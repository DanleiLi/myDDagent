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aveExternalLinkValues="0" updateLinks="never" codeName="ThisWorkbook" defaultThemeVersion="166925"/>
  <mc:AlternateContent xmlns:mc="http://schemas.openxmlformats.org/markup-compatibility/2006">
    <mc:Choice Requires="x15">
      <x15ac:absPath xmlns:x15ac="http://schemas.microsoft.com/office/spreadsheetml/2010/11/ac" url="C:\Users\Sara\Downloads\AIagentproject\.claude\raw_document\"/>
    </mc:Choice>
  </mc:AlternateContent>
  <xr:revisionPtr revIDLastSave="0" documentId="13_ncr:1_{73B9F7B0-F4A3-4134-BDD5-258D1B6A9314}" xr6:coauthVersionLast="47" xr6:coauthVersionMax="47" xr10:uidLastSave="{00000000-0000-0000-0000-000000000000}"/>
  <bookViews>
    <workbookView xWindow="35055" yWindow="-21720" windowWidth="38640" windowHeight="21120" tabRatio="709" activeTab="2" xr2:uid="{9ADBD64C-0D47-4706-82F2-7295FAAD6BE3}"/>
  </bookViews>
  <sheets>
    <sheet name="IM Info" sheetId="2" r:id="rId1"/>
    <sheet name="Invst. team" sheetId="3" r:id="rId2"/>
    <sheet name="Portfolio Details" sheetId="5" r:id="rId3"/>
    <sheet name="Liquidity Testing" sheetId="12" r:id="rId4"/>
    <sheet name="Scenario Testing" sheetId="13" r:id="rId5"/>
    <sheet name="Underlying Funds" sheetId="18" r:id="rId6"/>
    <sheet name="Directy Equity " sheetId="17" r:id="rId7"/>
  </sheets>
  <definedNames>
    <definedName name="_xlnm._FilterDatabase" localSheetId="5" hidden="1">'Underlying Funds'!$B$3:$D$3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 i="2" l="1"/>
  <c r="B11" i="2" s="1"/>
  <c r="B12" i="2" s="1"/>
  <c r="B13" i="2" s="1"/>
  <c r="B14" i="2" s="1"/>
  <c r="B15" i="2" s="1"/>
  <c r="B16" i="2" s="1"/>
  <c r="B17" i="2" s="1"/>
  <c r="B18" i="2" s="1"/>
  <c r="B19" i="2" s="1"/>
  <c r="B20" i="2" s="1"/>
</calcChain>
</file>

<file path=xl/sharedStrings.xml><?xml version="1.0" encoding="utf-8"?>
<sst xmlns="http://schemas.openxmlformats.org/spreadsheetml/2006/main" count="514" uniqueCount="265">
  <si>
    <t>Australian Business Number (ABN)</t>
  </si>
  <si>
    <t>Australian Financial Services License (AFSL)</t>
  </si>
  <si>
    <t>Investment Manager's full legal entity name as per ABN</t>
  </si>
  <si>
    <t>Street Address</t>
  </si>
  <si>
    <t>Postal Address</t>
  </si>
  <si>
    <t>Telephone number</t>
  </si>
  <si>
    <t>Email (General)</t>
  </si>
  <si>
    <t>Email (Invoices)</t>
  </si>
  <si>
    <t>Overview of the Investment Manager's business
- Include any corporate authorised representative or if any other relevant entities different to the AFSL holder involved in the management/construction of the portfolio</t>
  </si>
  <si>
    <t>About the investment manager (this is for disclosure purposes and should not include quantitative information that may go out of date quickly) (250 words max)</t>
  </si>
  <si>
    <t>Describe the investment philosophy and process</t>
  </si>
  <si>
    <t>Investment philosophy and process (this is for disclosure purposes and should not include quantitative information that may go out of date quickly) (180 words max)</t>
  </si>
  <si>
    <t>What is the strategy's capacity and FUM?</t>
  </si>
  <si>
    <t>What is the company's website?</t>
  </si>
  <si>
    <t>Name of portfolio manager</t>
  </si>
  <si>
    <t>Company position of portfolio manager (include any qualification reference)</t>
  </si>
  <si>
    <t>Brief bio of portfolio manager</t>
  </si>
  <si>
    <t>FSC Document or standard RFP</t>
  </si>
  <si>
    <t>Not available</t>
  </si>
  <si>
    <t>Monthly return series of flagship SMAs since inception</t>
  </si>
  <si>
    <t>Attached</t>
  </si>
  <si>
    <t>Pitch pack / fact sheet (Investment Team, process, portfolio &amp; performance)</t>
  </si>
  <si>
    <t>Certificates of Insurance</t>
  </si>
  <si>
    <t>Copy of AFSL</t>
  </si>
  <si>
    <t>Conflicts of Interest Policy</t>
  </si>
  <si>
    <t>Any relevant biographies or org charts</t>
  </si>
  <si>
    <t>Interest to participate in IPOs?</t>
  </si>
  <si>
    <t>No</t>
  </si>
  <si>
    <t>Interest to participate in placements?</t>
  </si>
  <si>
    <t>Interest to participate in entitlements?</t>
  </si>
  <si>
    <t>Interest to participate in rights issues?</t>
  </si>
  <si>
    <t>Interest to participate in SPPs?</t>
  </si>
  <si>
    <t>Interest to participate in bonus option issues?</t>
  </si>
  <si>
    <t>Interest to participate in voting at AGMs etc?</t>
  </si>
  <si>
    <t>Part 6 - Current Investment Team</t>
  </si>
  <si>
    <t xml:space="preserve">Name &amp; title/position </t>
  </si>
  <si>
    <t>Number of years with the firm</t>
  </si>
  <si>
    <t>Total years of investment experience</t>
  </si>
  <si>
    <t>Describe their role and contribution to the strategy</t>
  </si>
  <si>
    <t>Team additions in the last three years</t>
  </si>
  <si>
    <t>Date joined</t>
  </si>
  <si>
    <t>Previous employment</t>
  </si>
  <si>
    <t>Team departures in the last three years</t>
  </si>
  <si>
    <t>Name &amp; title/position</t>
  </si>
  <si>
    <t>Date departed</t>
  </si>
  <si>
    <t>Reason for departure</t>
  </si>
  <si>
    <t>Proposed managed portfolio name</t>
  </si>
  <si>
    <t>Australian Fixed Interest</t>
  </si>
  <si>
    <t>Diversified</t>
  </si>
  <si>
    <t>What is the minimum number of investment options held in the portfolio? (please clarify the asset category of investment options)</t>
  </si>
  <si>
    <t>What is the maximum number of investment options held in the portfolio? (please clarify the asset category of investment options)</t>
  </si>
  <si>
    <t>What is the minimum absolute single asset position? (%)</t>
  </si>
  <si>
    <t>What is the maximum absolute single asset position? (%)</t>
  </si>
  <si>
    <t>What is the minimum single asset position for any new asset? (%)</t>
  </si>
  <si>
    <t>Target volatility (or other risk target TE, VaR, CVaR)</t>
  </si>
  <si>
    <t>Will income be reinvested or paid to the platform cash account by default?</t>
  </si>
  <si>
    <t>Reinvested</t>
  </si>
  <si>
    <t>Minimum Cash buffer? (1% minimum required)</t>
  </si>
  <si>
    <t>Is the trading preference active or rebalance?</t>
  </si>
  <si>
    <t>Active</t>
  </si>
  <si>
    <t>Expected Turnover (p.a.)</t>
  </si>
  <si>
    <t>Active Stock Limits (+/- benchmark weight)</t>
  </si>
  <si>
    <t>Active GICS Sector Limits (+/- benchmark weight)</t>
  </si>
  <si>
    <t>Ex-ante tracking error target</t>
  </si>
  <si>
    <t>Target benchmark outperformance</t>
  </si>
  <si>
    <t>Minimum Range</t>
  </si>
  <si>
    <t>SAA</t>
  </si>
  <si>
    <t>Maximum Range</t>
  </si>
  <si>
    <t>Growth</t>
  </si>
  <si>
    <t>Australian Equities</t>
  </si>
  <si>
    <t>International Equities</t>
  </si>
  <si>
    <t>Domestic Property and Infrastructure</t>
  </si>
  <si>
    <t>International Property and Infrastructure</t>
  </si>
  <si>
    <t>Alternatives</t>
  </si>
  <si>
    <t xml:space="preserve">Defensive </t>
  </si>
  <si>
    <t xml:space="preserve">International Fixed Interest </t>
  </si>
  <si>
    <t>Cash (1% minimum required)</t>
  </si>
  <si>
    <t>Total</t>
  </si>
  <si>
    <t xml:space="preserve">Scenario testing - Total Portfolio Analysis (TPA) for the following periods:
</t>
  </si>
  <si>
    <t>Scenario</t>
  </si>
  <si>
    <t>Role in portfolio</t>
  </si>
  <si>
    <t>Target excess return</t>
  </si>
  <si>
    <t>Risk assessment: Tracking error (vs benchmark)</t>
  </si>
  <si>
    <t>Australian Equities  -for a portfolio of direct equities; please provide charts on market cap, sector allocation, style bias</t>
  </si>
  <si>
    <t>BlackRock Investment Management (Australia) Limited</t>
  </si>
  <si>
    <t>13 006 165 975</t>
  </si>
  <si>
    <t>33 Alfred Street, Sydney NSW 2000, Australia</t>
  </si>
  <si>
    <t>PO Box N43, Grosvenor Place, Sydney NSW 1220, Australia</t>
  </si>
  <si>
    <t>1300 366 100</t>
  </si>
  <si>
    <t>clientservices.aus@blackrock.com</t>
  </si>
  <si>
    <t>au.invoices@blackrock-test.com.au (fictional test email)</t>
  </si>
  <si>
    <t>BlackRock Investment Management (Australia) Limited is the Australian investment management entity of BlackRock. The firm operates in Australia and provides investment management services across managed funds, ETFs, model portfolios, institutional mandates and multi-asset investment solutions. For these fictional test portfolios, BlackRock Investment Management (Australia) Limited is treated as the AFSL holder and investment manager responsible for portfolio construction, implementation oversight, investment governance and ongoing model management. No separate corporate authorised representative is assumed for this test case. Operational services such as administration, custody, platform implementation and reporting may be performed by external service providers under contractual arrangements, but investment management responsibility remains with BlackRock Investment Management (Australia) Limited.</t>
  </si>
  <si>
    <t>BlackRock is a global investment manager with an established Australian presence. In Australia, the firm services institutional investors, financial advisers, platforms, SMSFs and individual investors through a range of investment capabilities including managed funds, iShares ETFs, model portfolios, active strategies and multi-asset solutions. BlackRock combines local Australian client service and investment capability with global research, portfolio construction resources, risk management systems and market insights. For disclosure purposes, the investment manager’s role is to design and manage investment solutions that are aligned to stated objectives, risk profiles and client needs. Its activities may include asset allocation, fund selection, portfolio monitoring, risk oversight, rebalancing and communication of investment views. The fictional portfolios in this test pack assume the manager uses BlackRock’s Australian operating infrastructure and global investment resources to support diversified managed portfolio solutions for Australian investors.</t>
  </si>
  <si>
    <t>Emily Hartley is a fictional senior portfolio manager used for agent testing purposes. In this test scenario, she is responsible for the day-to-day oversight of the Balanced and High Growth managed portfolios, including asset allocation implementation, portfolio monitoring, rebalancing recommendations and investment reporting. Emily has fictional experience across Australian equities, global equities, fixed income and multi-asset portfolio construction. Her role includes working with investment strategists, risk specialists, product teams and platform partners to ensure each portfolio remains aligned with its stated objective and risk profile. For the Balanced portfolio, her focus is maintaining a stable mix of growth and defensive exposures. For the High Growth portfolio, her focus is maximising long-term capital growth while monitoring concentration, liquidity and drawdown risk.</t>
  </si>
  <si>
    <t>Fictional test assumption: Strategy capacity AUD 2.5 billion. Current FUM AUD 185 million for the Balanced portfolio and AUD 92 million for the High Growth portfolio.</t>
  </si>
  <si>
    <t>The manager uses a diversified, risk-controlled approach to portfolio construction. Each portfolio starts with a strategic asset allocation suited to its investor profile, then uses researched investment exposures to implement that allocation efficiently. The process considers expected return, volatility, liquidity, diversification, cost and downside risk. Balanced portfolios place greater emphasis on spreading risk across growth and defensive assets, while high-risk portfolios allocate more heavily to equities and other growth-oriented investments. Portfolios are reviewed regularly, with rebalancing used to keep risk exposures aligned with objectives.</t>
  </si>
  <si>
    <t>https://www.blackrock.com/au</t>
  </si>
  <si>
    <t>Emily Hartley</t>
  </si>
  <si>
    <t xml:space="preserve"> Senior Portfolio Manager, Multi-Asset Model Portfolios, BlackRock Investment Management (Australia) Limited. CFA charterholder; Bachelor of Commerce, majoring in Finance. (fictional test role/person)</t>
  </si>
  <si>
    <t>Dr. Penelope Wren-Finch, Head of Portfolio Construction</t>
  </si>
  <si>
    <t>Leads strategic asset allocation, portfolio design, and risk budgeting for both the Balanced and High Growth portfolios. Oversees model changes, rebalancing rules, and the integration of research into portfolio decisions.</t>
  </si>
  <si>
    <t>Mr. Basil Q. Thistledown, Senior Multi-Asset Portfolio Manager</t>
  </si>
  <si>
    <t>Co-manages day-to-day portfolio implementation, monitors exposures, and helps translate market views into trading and rebalancing actions. Contributes to oversight of diversification, liquidity, and drawdown management.</t>
  </si>
  <si>
    <t>Ms. Cordelia Vane-Smythe, Director of Investment Risk</t>
  </si>
  <si>
    <t>Provides portfolio risk oversight, stress testing, and scenario analysis. Reviews concentration, volatility, correlation, and downside risk, and challenges proposed changes where risk budgets may be exceeded.</t>
  </si>
  <si>
    <t>Mr. Octavian Puddleworth, ETF and Implementation Specialist</t>
  </si>
  <si>
    <t>Handles implementation efficiency, instrument selection, and execution quality. Supports the team by checking tracking error, transaction costs, cash drag, and the operational practicality of portfolio changes.</t>
  </si>
  <si>
    <t>Ms. Xanthe Morrow-Glade, Research Analyst, Asset Allocation</t>
  </si>
  <si>
    <t>Produces market research, comparative analytics, and allocation notes across Australian and global asset classes. Supports portfolio reviews with data, peer comparisons, and short-term tactical observations</t>
  </si>
  <si>
    <t>12 investment options across Australian equities, global equities, fixed income, listed property, infrastructure and cash</t>
  </si>
  <si>
    <t>28 investment options across Australian and international growth and defensive asset classes</t>
  </si>
  <si>
    <t>8.5% to 10.5% annualised volatility target range</t>
  </si>
  <si>
    <t>25% to 40%</t>
  </si>
  <si>
    <t>+/- 8%</t>
  </si>
  <si>
    <t>+/- 12%</t>
  </si>
  <si>
    <t>2.0% to 3.5%</t>
  </si>
  <si>
    <t>CPI + 3.0% p.a. over rolling 7 years</t>
  </si>
  <si>
    <t>Inflation surprise higher</t>
  </si>
  <si>
    <t>Global recession shock</t>
  </si>
  <si>
    <t>Benchmark for the strategy</t>
  </si>
  <si>
    <t>Strategy highlights: style</t>
  </si>
  <si>
    <t>Factor biases</t>
  </si>
  <si>
    <t>Company logo, theme</t>
  </si>
  <si>
    <t>Portfolio Onboarding Questionnaire</t>
  </si>
  <si>
    <t>Question 5- Company logo and theme</t>
  </si>
  <si>
    <t>Question 4 - Corporate Actions likelihood of involvement</t>
  </si>
  <si>
    <t>Question 3 - Portfolio attachment checklist</t>
  </si>
  <si>
    <t>QUestion 2 - About the Portfolio Manager</t>
  </si>
  <si>
    <t>Question 1 - About the Investment Manager</t>
  </si>
  <si>
    <t>Investment manager fee</t>
  </si>
  <si>
    <t>AFSL 230523</t>
  </si>
  <si>
    <t>iShares Enhanced Moderate</t>
  </si>
  <si>
    <t>iShares Enhanced Balanced</t>
  </si>
  <si>
    <t>iShares Enhanced Growth</t>
  </si>
  <si>
    <t>iShares Enhanced Aggressive</t>
  </si>
  <si>
    <t>Asset Class</t>
  </si>
  <si>
    <t>GLDN</t>
  </si>
  <si>
    <t>iShares Physical Gold ETF</t>
  </si>
  <si>
    <t>iShares Core S&amp;P/ASX 200 ETF</t>
  </si>
  <si>
    <t>IAF</t>
  </si>
  <si>
    <t>iShares Core Composite Bond ETF</t>
  </si>
  <si>
    <t>ICOR</t>
  </si>
  <si>
    <t>iShares Core Corporate Bond ETF</t>
  </si>
  <si>
    <t>IGB</t>
  </si>
  <si>
    <t>iShares Treasury ETF</t>
  </si>
  <si>
    <t>ISEC</t>
  </si>
  <si>
    <t>iShares Enhanced Cash ETF</t>
  </si>
  <si>
    <t>IZZ</t>
  </si>
  <si>
    <t>iShares China Large-Cap ETF</t>
  </si>
  <si>
    <t>IEU</t>
  </si>
  <si>
    <t>iShares Europe ETF</t>
  </si>
  <si>
    <t>iShares MSCI Emerging Markets ETF</t>
  </si>
  <si>
    <t>EMXC</t>
  </si>
  <si>
    <t>IJP</t>
  </si>
  <si>
    <t>iShares MSCI Japan ETF</t>
  </si>
  <si>
    <t>IVV</t>
  </si>
  <si>
    <t>iShares S&amp;P 500 ETF</t>
  </si>
  <si>
    <t>iShares Global Aggregate Bond ESG (AUD Hedged) ETF</t>
  </si>
  <si>
    <t>IHHY</t>
  </si>
  <si>
    <t>iShares Global High Yield Bond (AUD Hedged) ETF</t>
  </si>
  <si>
    <t>GLIN</t>
  </si>
  <si>
    <t>iShares Core FTSE Global Infrastructure (AUD Hedged) ETF</t>
  </si>
  <si>
    <t>GLPR</t>
  </si>
  <si>
    <t>IOZ</t>
  </si>
  <si>
    <t>AESG</t>
  </si>
  <si>
    <t>Unit ID</t>
  </si>
  <si>
    <t>IACT</t>
  </si>
  <si>
    <t>IEM</t>
  </si>
  <si>
    <t>IHVV</t>
  </si>
  <si>
    <t>ILB</t>
  </si>
  <si>
    <t>Unit Name</t>
  </si>
  <si>
    <t>iShares MSCI Emerging Markets ex China ETF</t>
  </si>
  <si>
    <t>iShares FTSE Global Property ex Aus (AUD Hedged) ETF</t>
  </si>
  <si>
    <t>iShares U.S. Factor Rotation Active ETF</t>
  </si>
  <si>
    <t>iShares S&amp;P 500 AUD Hedged ETF</t>
  </si>
  <si>
    <t>iShares Government Inflation ETF</t>
  </si>
  <si>
    <t>Fund Manager</t>
  </si>
  <si>
    <t>Fixed Income – Global Aggregate (ESG, AUD Hedged)</t>
  </si>
  <si>
    <t>BlackRock (iShares)</t>
  </si>
  <si>
    <t>Equities – Emerging Markets (ex China)</t>
  </si>
  <si>
    <t>Commodities – Gold</t>
  </si>
  <si>
    <t>Infrastructure – Global Listed (AUD Hedged)</t>
  </si>
  <si>
    <t>Property – Global Listed ex Australia (AUD Hedged)</t>
  </si>
  <si>
    <t>Equities – U.S. (Active, Factor)</t>
  </si>
  <si>
    <t>Fixed Income – Australian Composite</t>
  </si>
  <si>
    <t>Fixed Income – Australian Corporate</t>
  </si>
  <si>
    <t>Equities – Emerging Markets</t>
  </si>
  <si>
    <t>Equities – Europe</t>
  </si>
  <si>
    <t>Fixed Income – Australian Government</t>
  </si>
  <si>
    <t>Fixed Income – Global High Yield (AUD Hedged)</t>
  </si>
  <si>
    <t>Equities – U.S. Large Cap (AUD Hedged)</t>
  </si>
  <si>
    <t>Equities – Japan</t>
  </si>
  <si>
    <t>Fixed Income – Australian Inflation-Linked</t>
  </si>
  <si>
    <t>Equities – Australian Large Cap</t>
  </si>
  <si>
    <t>Cash / Short-Duration Fixed Income</t>
  </si>
  <si>
    <t>Equities – U.S. Large Cap</t>
  </si>
  <si>
    <t>Equities – China Large Cap</t>
  </si>
  <si>
    <t>Bloomberg MSCI Global Aggregate and Green Bond ESG SRI AUD Hedged Index (AUD)</t>
  </si>
  <si>
    <t>MSCI Emerging Markets ex China Index Net</t>
  </si>
  <si>
    <t>LBMA Gold Price PM AUD Index</t>
  </si>
  <si>
    <t>FTSE Developed Core Infrastructure 50/50 100% Hedged to AUD Net Tax Index</t>
  </si>
  <si>
    <t>FTSE EPRA Nareit Developed ex-Australia Rental AUD Hedged Net Tax Index</t>
  </si>
  <si>
    <t>MSCI US Index Net AUD</t>
  </si>
  <si>
    <t>Bloomberg AusBond Composite 0+ Yr Index</t>
  </si>
  <si>
    <t>Bloomberg AusBond Credit 0+ Yr Index</t>
  </si>
  <si>
    <t>MSCI Emerging Markets Net Index (AUD)</t>
  </si>
  <si>
    <t>S&amp;P Global Europe 350 WMR</t>
  </si>
  <si>
    <t>Bloomberg AusBond Treasury 0+ Yr Index</t>
  </si>
  <si>
    <t>Markit iBoxx Global DM Liquid High Yield Capped AUD Hedged Index</t>
  </si>
  <si>
    <t>S&amp;P 500 Hedged AUD Index</t>
  </si>
  <si>
    <t>MSCI Developed - Japan Net Index (AUD)</t>
  </si>
  <si>
    <t>Bloomberg AusBond Inflation Government Index</t>
  </si>
  <si>
    <t>S&amp;P/ASX 200 Accumulation Index</t>
  </si>
  <si>
    <t>S&amp;P/ASX Bank Bill Index (AUD)</t>
  </si>
  <si>
    <t>S&amp;P 500 Net TR Index (AUD)</t>
  </si>
  <si>
    <t>FTSE China 50 OPEN Net Index in AUD</t>
  </si>
  <si>
    <t>Benchmark</t>
  </si>
  <si>
    <t>Minimum Investment Horizon</t>
  </si>
  <si>
    <t>Portfolio Income</t>
  </si>
  <si>
    <t>Risk Band/Label</t>
  </si>
  <si>
    <t>Investment Objective</t>
  </si>
  <si>
    <t>Morningstar Australia Aggressive Target Allocation NR AUD</t>
  </si>
  <si>
    <t>5 years</t>
  </si>
  <si>
    <t>Morningstar Australia Balanced Target Allocation NR AUD</t>
  </si>
  <si>
    <t>Morningstar Australia Conservative Target Allocation NR AUD</t>
  </si>
  <si>
    <t>3 years</t>
  </si>
  <si>
    <t>Morningstar Australia Growth Target Allocation NR AUD</t>
  </si>
  <si>
    <t>Morningstar Australia Moderate Target Allocation NR AUD</t>
  </si>
  <si>
    <t>Default - Reinvest</t>
  </si>
  <si>
    <t>6/High</t>
  </si>
  <si>
    <t>4/Medium</t>
  </si>
  <si>
    <t>3/Low to medium</t>
  </si>
  <si>
    <t>5/Medium to high</t>
  </si>
  <si>
    <t>To match or outperform the benchmark over a rolling five-year period</t>
  </si>
  <si>
    <t>Normal Market</t>
  </si>
  <si>
    <t>Moderate Volatility</t>
  </si>
  <si>
    <t>Severe Stress</t>
  </si>
  <si>
    <t>1D</t>
  </si>
  <si>
    <t>3D</t>
  </si>
  <si>
    <t>4D</t>
  </si>
  <si>
    <t>iShares Conservative</t>
  </si>
  <si>
    <t>Morningstar Conservative</t>
  </si>
  <si>
    <t>iShares Moderate</t>
  </si>
  <si>
    <t>Morningstar Moderate</t>
  </si>
  <si>
    <t>iShares Balanced</t>
  </si>
  <si>
    <t>Morningstar Balanced</t>
  </si>
  <si>
    <t>iShares Growth</t>
  </si>
  <si>
    <t>Morningstar Growth</t>
  </si>
  <si>
    <t>Conservative</t>
  </si>
  <si>
    <t>Moderate</t>
  </si>
  <si>
    <t>Balanced</t>
  </si>
  <si>
    <t>Aggressive</t>
  </si>
  <si>
    <t>Port</t>
  </si>
  <si>
    <t>Bench</t>
  </si>
  <si>
    <t>Strong equity rally (+15%)</t>
  </si>
  <si>
    <t>Sharp equity selloff (-12%)</t>
  </si>
  <si>
    <t>Rates rise sharply (+200bp)</t>
  </si>
  <si>
    <t>Rates fall sharply (-150bp)</t>
  </si>
  <si>
    <t>Liquidity stress scenario</t>
  </si>
  <si>
    <t>Russell investment</t>
  </si>
  <si>
    <t>iShares Aggressive</t>
  </si>
  <si>
    <t>Morningstar Aggressive</t>
  </si>
  <si>
    <t>Portfolio name &amp; Peer group</t>
  </si>
  <si>
    <t>iShare Enhanced Conservative</t>
  </si>
  <si>
    <t>To match or outperform the benchmark over a rolling three-year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</si>
</sst>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mm/yyyy;@"/>
    <numFmt numFmtId="166" formatCode="0.0000%"/>
    <numFmt numFmtId="167" formatCode="0.0%"/>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sz val="10"/>
      <color theme="1"/>
      <name val="Calibri"/>
      <family val="2"/>
      <scheme val="minor"/>
    </font>
    <font>
      <u/>
      <sz val="11"/>
      <color theme="10"/>
      <name val="Calibri"/>
      <family val="2"/>
      <scheme val="minor"/>
    </font>
    <font>
      <sz val="11"/>
      <name val="Calibri"/>
      <family val="2"/>
      <scheme val="minor"/>
    </font>
    <font>
      <sz val="10"/>
      <name val="Calibri"/>
      <family val="2"/>
      <scheme val="minor"/>
    </font>
    <font>
      <sz val="4"/>
      <color theme="0"/>
      <name val="Calibri"/>
      <family val="2"/>
      <scheme val="minor"/>
    </font>
    <font>
      <sz val="8"/>
      <name val="Calibri"/>
      <family val="2"/>
      <scheme val="minor"/>
    </font>
    <font>
      <sz val="10"/>
      <name val="MS Sans Serif"/>
      <family val="2"/>
    </font>
    <font>
      <sz val="12"/>
      <color rgb="FF242424"/>
      <name val="Aptos"/>
      <family val="2"/>
    </font>
    <font>
      <sz val="11"/>
      <color rgb="FF000000"/>
      <name val="Aptos Narrow"/>
      <family val="2"/>
    </font>
    <font>
      <b/>
      <sz val="11"/>
      <color rgb="FF000000"/>
      <name val="Calibri"/>
      <family val="2"/>
      <scheme val="minor"/>
    </font>
    <font>
      <sz val="11"/>
      <color theme="1"/>
      <name val="Segoe UI"/>
      <family val="2"/>
    </font>
    <font>
      <sz val="11"/>
      <color rgb="FF1A1C1F"/>
      <name val="Segoe UI"/>
      <family val="2"/>
    </font>
    <font>
      <sz val="26"/>
      <color theme="0"/>
      <name val="Calibri"/>
      <family val="2"/>
      <scheme val="minor"/>
    </font>
    <font>
      <sz val="12"/>
      <color theme="0"/>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rgb="FFFFFFFF"/>
        <bgColor indexed="64"/>
      </patternFill>
    </fill>
    <fill>
      <patternFill patternType="solid">
        <fgColor theme="9"/>
        <bgColor indexed="64"/>
      </patternFill>
    </fill>
    <fill>
      <patternFill patternType="solid">
        <fgColor theme="9" tint="0.79998168889431442"/>
        <bgColor indexed="64"/>
      </patternFill>
    </fill>
    <fill>
      <patternFill patternType="solid">
        <fgColor theme="0"/>
        <bgColor indexed="64"/>
      </patternFill>
    </fill>
    <fill>
      <patternFill patternType="solid">
        <fgColor theme="0"/>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6" fillId="0" borderId="0" applyNumberFormat="0" applyFill="0" applyBorder="0" applyAlignment="0" applyProtection="0"/>
    <xf numFmtId="0" fontId="11" fillId="0" borderId="0"/>
  </cellStyleXfs>
  <cellXfs count="78">
    <xf numFmtId="0" fontId="0" fillId="0" borderId="0" xfId="0"/>
    <xf numFmtId="0" fontId="5" fillId="0" borderId="1" xfId="0" applyFont="1" applyBorder="1" applyAlignment="1">
      <alignment vertical="center"/>
    </xf>
    <xf numFmtId="0" fontId="4" fillId="0" borderId="0" xfId="0" applyFont="1"/>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xf numFmtId="165" fontId="0" fillId="0" borderId="1" xfId="0" applyNumberFormat="1" applyBorder="1" applyAlignment="1">
      <alignment horizontal="center" wrapText="1"/>
    </xf>
    <xf numFmtId="0" fontId="3" fillId="0" borderId="0" xfId="0" applyFont="1"/>
    <xf numFmtId="0" fontId="0" fillId="0" borderId="1" xfId="0" applyBorder="1" applyAlignment="1">
      <alignment horizontal="left"/>
    </xf>
    <xf numFmtId="17" fontId="0" fillId="0" borderId="1" xfId="0" applyNumberFormat="1" applyBorder="1" applyAlignment="1">
      <alignment horizontal="center" wrapText="1"/>
    </xf>
    <xf numFmtId="17" fontId="0" fillId="0" borderId="1" xfId="0" applyNumberFormat="1" applyBorder="1" applyAlignment="1">
      <alignment horizontal="center"/>
    </xf>
    <xf numFmtId="0" fontId="0" fillId="2" borderId="1" xfId="0" applyFill="1" applyBorder="1" applyAlignment="1">
      <alignment horizontal="left" vertical="top" wrapText="1"/>
    </xf>
    <xf numFmtId="0" fontId="2" fillId="0" borderId="0" xfId="0" applyFont="1"/>
    <xf numFmtId="0" fontId="8" fillId="0" borderId="1" xfId="0" applyFont="1" applyBorder="1" applyAlignment="1">
      <alignment vertical="center"/>
    </xf>
    <xf numFmtId="0" fontId="12" fillId="0" borderId="0" xfId="0" applyFont="1" applyAlignment="1">
      <alignment vertical="center"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15" fillId="0" borderId="0" xfId="0" applyFont="1" applyAlignment="1">
      <alignment vertical="top" wrapText="1"/>
    </xf>
    <xf numFmtId="0" fontId="6" fillId="0" borderId="0" xfId="2" applyAlignment="1">
      <alignment vertical="top" wrapText="1"/>
    </xf>
    <xf numFmtId="0" fontId="16" fillId="3" borderId="0" xfId="0" applyFont="1" applyFill="1" applyAlignment="1">
      <alignment vertical="top" wrapText="1"/>
    </xf>
    <xf numFmtId="0" fontId="6" fillId="0" borderId="0" xfId="2"/>
    <xf numFmtId="0" fontId="13" fillId="0" borderId="0" xfId="0" applyFont="1"/>
    <xf numFmtId="0" fontId="0" fillId="0" borderId="2" xfId="0" applyBorder="1" applyAlignment="1">
      <alignment horizontal="left"/>
    </xf>
    <xf numFmtId="0" fontId="0" fillId="0" borderId="2" xfId="0" applyBorder="1" applyAlignment="1">
      <alignment horizontal="left" vertical="center" wrapText="1"/>
    </xf>
    <xf numFmtId="0" fontId="4" fillId="4" borderId="6" xfId="0" applyFont="1" applyFill="1" applyBorder="1"/>
    <xf numFmtId="0" fontId="4" fillId="4" borderId="8" xfId="0" applyFont="1" applyFill="1" applyBorder="1"/>
    <xf numFmtId="0" fontId="17" fillId="4" borderId="5" xfId="0" applyFont="1" applyFill="1" applyBorder="1" applyAlignment="1">
      <alignment vertical="center"/>
    </xf>
    <xf numFmtId="0" fontId="18" fillId="4" borderId="7" xfId="0" applyFont="1" applyFill="1" applyBorder="1" applyAlignment="1">
      <alignment vertical="center"/>
    </xf>
    <xf numFmtId="0" fontId="0" fillId="5" borderId="1" xfId="0" applyFill="1" applyBorder="1" applyAlignment="1">
      <alignment vertical="center" wrapText="1"/>
    </xf>
    <xf numFmtId="0" fontId="0" fillId="5" borderId="1" xfId="0" applyFill="1" applyBorder="1" applyAlignment="1">
      <alignment vertical="center"/>
    </xf>
    <xf numFmtId="0" fontId="0" fillId="5" borderId="2" xfId="0" applyFill="1" applyBorder="1" applyAlignment="1">
      <alignment horizontal="left" vertical="center" wrapText="1"/>
    </xf>
    <xf numFmtId="0" fontId="0" fillId="5" borderId="1" xfId="0" applyFill="1" applyBorder="1" applyAlignment="1">
      <alignment horizontal="left" vertical="center" wrapText="1"/>
    </xf>
    <xf numFmtId="0" fontId="0" fillId="6" borderId="0" xfId="0" applyFill="1"/>
    <xf numFmtId="0" fontId="9" fillId="6" borderId="0" xfId="0" applyFont="1" applyFill="1"/>
    <xf numFmtId="0" fontId="4" fillId="6" borderId="6" xfId="0" applyFont="1" applyFill="1" applyBorder="1"/>
    <xf numFmtId="0" fontId="5" fillId="6" borderId="1" xfId="0" applyFont="1" applyFill="1" applyBorder="1" applyAlignment="1">
      <alignment vertical="center"/>
    </xf>
    <xf numFmtId="0" fontId="0" fillId="6" borderId="2" xfId="0" applyFill="1" applyBorder="1" applyAlignment="1">
      <alignment horizontal="left" vertical="top" wrapText="1"/>
    </xf>
    <xf numFmtId="0" fontId="13" fillId="6" borderId="1" xfId="0" applyFont="1" applyFill="1" applyBorder="1"/>
    <xf numFmtId="0" fontId="0" fillId="6" borderId="1" xfId="0" applyFill="1" applyBorder="1" applyAlignment="1">
      <alignment vertical="top" wrapText="1"/>
    </xf>
    <xf numFmtId="9" fontId="0" fillId="6" borderId="1" xfId="0" applyNumberFormat="1" applyFill="1" applyBorder="1" applyAlignment="1">
      <alignment vertical="top" wrapText="1"/>
    </xf>
    <xf numFmtId="0" fontId="0" fillId="6" borderId="1" xfId="0" applyFill="1" applyBorder="1"/>
    <xf numFmtId="0" fontId="0" fillId="6" borderId="1" xfId="0" applyFill="1" applyBorder="1" applyAlignment="1">
      <alignment wrapText="1"/>
    </xf>
    <xf numFmtId="0" fontId="2" fillId="6" borderId="1" xfId="0" applyFont="1" applyFill="1" applyBorder="1" applyAlignment="1">
      <alignment horizontal="left" wrapText="1"/>
    </xf>
    <xf numFmtId="0" fontId="2" fillId="6" borderId="1" xfId="0" applyFont="1" applyFill="1" applyBorder="1"/>
    <xf numFmtId="9" fontId="2" fillId="6" borderId="1" xfId="1" applyFont="1" applyFill="1" applyBorder="1" applyAlignment="1">
      <alignment horizontal="right"/>
    </xf>
    <xf numFmtId="0" fontId="14" fillId="7" borderId="1" xfId="0" applyFont="1" applyFill="1" applyBorder="1" applyAlignment="1">
      <alignment horizontal="right"/>
    </xf>
    <xf numFmtId="9" fontId="2" fillId="6" borderId="0" xfId="1" applyFont="1" applyFill="1" applyBorder="1" applyAlignment="1">
      <alignment horizontal="right"/>
    </xf>
    <xf numFmtId="0" fontId="8" fillId="6" borderId="1" xfId="0" applyFont="1" applyFill="1" applyBorder="1" applyAlignment="1">
      <alignment horizontal="right" vertical="center" wrapText="1"/>
    </xf>
    <xf numFmtId="166" fontId="7" fillId="6" borderId="1" xfId="1" applyNumberFormat="1" applyFont="1" applyFill="1" applyBorder="1" applyAlignment="1"/>
    <xf numFmtId="0" fontId="7" fillId="6" borderId="0" xfId="0" applyFont="1" applyFill="1"/>
    <xf numFmtId="0" fontId="0" fillId="6" borderId="1" xfId="0" applyFill="1" applyBorder="1" applyAlignment="1">
      <alignment horizontal="left" vertical="top" wrapText="1"/>
    </xf>
    <xf numFmtId="0" fontId="2" fillId="6" borderId="1" xfId="0" applyFont="1" applyFill="1" applyBorder="1" applyAlignment="1">
      <alignment horizontal="left" vertical="top" wrapText="1"/>
    </xf>
    <xf numFmtId="0" fontId="4" fillId="6" borderId="1" xfId="0" applyFont="1" applyFill="1" applyBorder="1"/>
    <xf numFmtId="167" fontId="13" fillId="6" borderId="1" xfId="1" applyNumberFormat="1" applyFont="1" applyFill="1" applyBorder="1"/>
    <xf numFmtId="9" fontId="0" fillId="6" borderId="1" xfId="1" applyFont="1" applyFill="1" applyBorder="1" applyAlignment="1">
      <alignment horizontal="right"/>
    </xf>
    <xf numFmtId="10" fontId="13" fillId="6" borderId="1" xfId="1" applyNumberFormat="1" applyFont="1" applyFill="1" applyBorder="1"/>
    <xf numFmtId="10" fontId="4" fillId="6" borderId="1" xfId="1" applyNumberFormat="1" applyFont="1" applyFill="1" applyBorder="1"/>
    <xf numFmtId="0" fontId="4" fillId="6" borderId="0" xfId="0" applyFont="1" applyFill="1"/>
    <xf numFmtId="0" fontId="0" fillId="6" borderId="4" xfId="0" applyFill="1" applyBorder="1" applyAlignment="1">
      <alignment horizontal="left" vertical="top" wrapText="1"/>
    </xf>
    <xf numFmtId="10" fontId="4" fillId="6" borderId="0" xfId="1" applyNumberFormat="1" applyFont="1" applyFill="1" applyBorder="1"/>
    <xf numFmtId="0" fontId="0" fillId="6" borderId="0" xfId="0" applyFill="1" applyAlignment="1">
      <alignment vertical="top" wrapText="1"/>
    </xf>
    <xf numFmtId="9" fontId="0" fillId="6" borderId="0" xfId="0" applyNumberFormat="1" applyFill="1" applyAlignment="1">
      <alignment vertical="top" wrapText="1"/>
    </xf>
    <xf numFmtId="0" fontId="2" fillId="6" borderId="0" xfId="0" applyFont="1" applyFill="1" applyAlignment="1">
      <alignment horizontal="left" wrapText="1"/>
    </xf>
    <xf numFmtId="10" fontId="13" fillId="6" borderId="0" xfId="1" applyNumberFormat="1" applyFont="1" applyFill="1" applyBorder="1"/>
    <xf numFmtId="0" fontId="14" fillId="7" borderId="0" xfId="0" applyFont="1" applyFill="1" applyAlignment="1">
      <alignment horizontal="right"/>
    </xf>
    <xf numFmtId="166" fontId="7" fillId="6" borderId="0" xfId="1" applyNumberFormat="1" applyFont="1" applyFill="1" applyBorder="1" applyAlignment="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vertical="center"/>
    </xf>
    <xf numFmtId="0" fontId="2" fillId="0" borderId="1" xfId="0" applyFont="1" applyBorder="1" applyAlignment="1">
      <alignment horizontal="center" vertical="top"/>
    </xf>
    <xf numFmtId="10" fontId="0" fillId="0" borderId="0" xfId="0" applyNumberFormat="1"/>
    <xf numFmtId="10" fontId="13" fillId="0" borderId="0" xfId="0" applyNumberFormat="1" applyFont="1"/>
    <xf numFmtId="10" fontId="0" fillId="0" borderId="0" xfId="1" applyNumberFormat="1" applyFont="1"/>
    <xf numFmtId="0" fontId="0" fillId="5" borderId="2" xfId="0" applyFill="1" applyBorder="1" applyAlignment="1">
      <alignment horizontal="left" vertical="center" wrapText="1"/>
    </xf>
    <xf numFmtId="0" fontId="0" fillId="5" borderId="3" xfId="0" applyFill="1" applyBorder="1" applyAlignment="1">
      <alignment horizontal="left" vertical="center" wrapText="1"/>
    </xf>
    <xf numFmtId="166" fontId="7" fillId="6" borderId="1" xfId="1" applyNumberFormat="1" applyFont="1" applyFill="1" applyBorder="1" applyAlignment="1"/>
  </cellXfs>
  <cellStyles count="4">
    <cellStyle name="Hyperlink" xfId="2" builtinId="8"/>
    <cellStyle name="Normal" xfId="0" builtinId="0"/>
    <cellStyle name="Normal 3" xfId="3" xr:uid="{C0DA5F93-A048-4E3B-8760-55AEF9B9D52A}"/>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ackrock.com/au" TargetMode="External"/><Relationship Id="rId2" Type="http://schemas.openxmlformats.org/officeDocument/2006/relationships/hyperlink" Target="mailto:au.invoices@blackrock-test.com.au" TargetMode="External"/><Relationship Id="rId1" Type="http://schemas.openxmlformats.org/officeDocument/2006/relationships/hyperlink" Target="mailto:clientservices.aus@blackrock.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3B8C-1E7C-40AE-A3BB-03FC89E03757}">
  <sheetPr codeName="Sheet1"/>
  <dimension ref="A2:L48"/>
  <sheetViews>
    <sheetView topLeftCell="B16" zoomScale="85" zoomScaleNormal="85" workbookViewId="0">
      <selection activeCell="J17" sqref="J17"/>
    </sheetView>
  </sheetViews>
  <sheetFormatPr defaultRowHeight="14.25" x14ac:dyDescent="0.45"/>
  <cols>
    <col min="2" max="2" width="3.53125" customWidth="1"/>
    <col min="3" max="3" width="71" customWidth="1"/>
    <col min="4" max="4" width="125.6640625" customWidth="1"/>
  </cols>
  <sheetData>
    <row r="2" spans="2:12" ht="54" customHeight="1" x14ac:dyDescent="0.9">
      <c r="B2" s="27" t="s">
        <v>123</v>
      </c>
      <c r="C2" s="25"/>
      <c r="D2" s="25"/>
      <c r="E2" s="2"/>
      <c r="F2" s="2"/>
      <c r="G2" s="2"/>
      <c r="H2" s="2"/>
      <c r="I2" s="2"/>
      <c r="J2" s="2"/>
      <c r="K2" s="2"/>
      <c r="L2" s="2"/>
    </row>
    <row r="3" spans="2:12" ht="20.25" customHeight="1" x14ac:dyDescent="0.9">
      <c r="B3" s="28"/>
      <c r="C3" s="26"/>
      <c r="D3" s="26"/>
      <c r="E3" s="2"/>
      <c r="F3" s="2"/>
      <c r="G3" s="2"/>
      <c r="H3" s="2"/>
      <c r="I3" s="2"/>
      <c r="J3" s="2"/>
      <c r="K3" s="2"/>
      <c r="L3" s="2"/>
    </row>
    <row r="5" spans="2:12" ht="14.65" thickBot="1" x14ac:dyDescent="0.5">
      <c r="E5" s="8"/>
    </row>
    <row r="6" spans="2:12" ht="33.4" x14ac:dyDescent="0.45">
      <c r="B6" s="27" t="s">
        <v>128</v>
      </c>
      <c r="C6" s="27"/>
      <c r="D6" s="27"/>
      <c r="E6" s="8"/>
    </row>
    <row r="7" spans="2:12" ht="16.5" x14ac:dyDescent="0.45">
      <c r="B7" s="1">
        <v>1</v>
      </c>
      <c r="C7" s="29" t="s">
        <v>2</v>
      </c>
      <c r="D7" s="18" t="s">
        <v>84</v>
      </c>
      <c r="E7" s="8"/>
    </row>
    <row r="8" spans="2:12" ht="16.5" x14ac:dyDescent="0.45">
      <c r="B8" s="1">
        <v>2</v>
      </c>
      <c r="C8" s="30" t="s">
        <v>0</v>
      </c>
      <c r="D8" s="18" t="s">
        <v>85</v>
      </c>
      <c r="E8" s="8"/>
    </row>
    <row r="9" spans="2:12" ht="40.25" customHeight="1" x14ac:dyDescent="0.45">
      <c r="B9" s="1">
        <v>3</v>
      </c>
      <c r="C9" s="30" t="s">
        <v>1</v>
      </c>
      <c r="D9" s="18" t="s">
        <v>130</v>
      </c>
      <c r="E9" s="8"/>
    </row>
    <row r="10" spans="2:12" ht="16.5" x14ac:dyDescent="0.45">
      <c r="B10" s="1">
        <f>B9+1</f>
        <v>4</v>
      </c>
      <c r="C10" s="30" t="s">
        <v>3</v>
      </c>
      <c r="D10" s="18" t="s">
        <v>86</v>
      </c>
      <c r="E10" s="8"/>
    </row>
    <row r="11" spans="2:12" ht="16.5" x14ac:dyDescent="0.45">
      <c r="B11" s="1">
        <f t="shared" ref="B11:B20" si="0">B10+1</f>
        <v>5</v>
      </c>
      <c r="C11" s="30" t="s">
        <v>4</v>
      </c>
      <c r="D11" s="18" t="s">
        <v>87</v>
      </c>
      <c r="E11" s="8"/>
    </row>
    <row r="12" spans="2:12" ht="16.5" x14ac:dyDescent="0.45">
      <c r="B12" s="1">
        <f t="shared" si="0"/>
        <v>6</v>
      </c>
      <c r="C12" s="30" t="s">
        <v>5</v>
      </c>
      <c r="D12" s="18" t="s">
        <v>88</v>
      </c>
      <c r="E12" s="8"/>
    </row>
    <row r="13" spans="2:12" x14ac:dyDescent="0.45">
      <c r="B13" s="1">
        <f t="shared" si="0"/>
        <v>7</v>
      </c>
      <c r="C13" s="30" t="s">
        <v>6</v>
      </c>
      <c r="D13" s="19" t="s">
        <v>89</v>
      </c>
      <c r="E13" s="8"/>
    </row>
    <row r="14" spans="2:12" x14ac:dyDescent="0.45">
      <c r="B14" s="1">
        <f t="shared" si="0"/>
        <v>8</v>
      </c>
      <c r="C14" s="30" t="s">
        <v>7</v>
      </c>
      <c r="D14" s="19" t="s">
        <v>90</v>
      </c>
      <c r="E14" s="8"/>
    </row>
    <row r="15" spans="2:12" ht="96" customHeight="1" x14ac:dyDescent="0.45">
      <c r="B15" s="1">
        <f t="shared" si="0"/>
        <v>9</v>
      </c>
      <c r="C15" s="29" t="s">
        <v>8</v>
      </c>
      <c r="D15" s="18" t="s">
        <v>91</v>
      </c>
      <c r="E15" s="8"/>
    </row>
    <row r="16" spans="2:12" ht="99" customHeight="1" x14ac:dyDescent="0.45">
      <c r="B16" s="1">
        <f t="shared" si="0"/>
        <v>10</v>
      </c>
      <c r="C16" s="29" t="s">
        <v>9</v>
      </c>
      <c r="D16" s="18" t="s">
        <v>92</v>
      </c>
      <c r="E16" s="8"/>
    </row>
    <row r="17" spans="1:5" ht="151.5" customHeight="1" x14ac:dyDescent="0.45">
      <c r="B17" s="1">
        <f t="shared" si="0"/>
        <v>11</v>
      </c>
      <c r="C17" s="29" t="s">
        <v>10</v>
      </c>
      <c r="D17" s="18" t="s">
        <v>93</v>
      </c>
      <c r="E17" s="8"/>
    </row>
    <row r="18" spans="1:5" ht="84" customHeight="1" x14ac:dyDescent="0.45">
      <c r="B18" s="1">
        <f t="shared" si="0"/>
        <v>12</v>
      </c>
      <c r="C18" s="29" t="s">
        <v>11</v>
      </c>
      <c r="D18" s="20" t="s">
        <v>95</v>
      </c>
      <c r="E18" s="8"/>
    </row>
    <row r="19" spans="1:5" ht="33" x14ac:dyDescent="0.45">
      <c r="B19" s="1">
        <f t="shared" si="0"/>
        <v>13</v>
      </c>
      <c r="C19" s="29" t="s">
        <v>12</v>
      </c>
      <c r="D19" s="20" t="s">
        <v>94</v>
      </c>
      <c r="E19" s="8"/>
    </row>
    <row r="20" spans="1:5" ht="29" customHeight="1" x14ac:dyDescent="0.45">
      <c r="B20" s="1">
        <f t="shared" si="0"/>
        <v>14</v>
      </c>
      <c r="C20" s="29" t="s">
        <v>13</v>
      </c>
      <c r="D20" s="21" t="s">
        <v>96</v>
      </c>
      <c r="E20" s="8"/>
    </row>
    <row r="21" spans="1:5" ht="14.65" thickBot="1" x14ac:dyDescent="0.5">
      <c r="E21" s="8"/>
    </row>
    <row r="22" spans="1:5" ht="33.4" x14ac:dyDescent="0.45">
      <c r="B22" s="27" t="s">
        <v>127</v>
      </c>
      <c r="C22" s="27"/>
      <c r="D22" s="27"/>
      <c r="E22" s="8"/>
    </row>
    <row r="23" spans="1:5" x14ac:dyDescent="0.45">
      <c r="B23" s="1">
        <v>1</v>
      </c>
      <c r="C23" s="29" t="s">
        <v>14</v>
      </c>
      <c r="D23" s="16" t="s">
        <v>97</v>
      </c>
      <c r="E23" s="8"/>
    </row>
    <row r="24" spans="1:5" ht="28.5" x14ac:dyDescent="0.45">
      <c r="B24" s="1">
        <v>2</v>
      </c>
      <c r="C24" s="29" t="s">
        <v>15</v>
      </c>
      <c r="D24" s="16" t="s">
        <v>98</v>
      </c>
      <c r="E24" s="8"/>
    </row>
    <row r="25" spans="1:5" ht="141" customHeight="1" x14ac:dyDescent="0.45">
      <c r="B25" s="1">
        <v>3</v>
      </c>
      <c r="C25" s="29" t="s">
        <v>16</v>
      </c>
      <c r="D25" s="16" t="s">
        <v>93</v>
      </c>
      <c r="E25" s="8"/>
    </row>
    <row r="26" spans="1:5" ht="14.65" thickBot="1" x14ac:dyDescent="0.5">
      <c r="E26" s="8"/>
    </row>
    <row r="27" spans="1:5" ht="33.4" x14ac:dyDescent="0.45">
      <c r="A27" s="27"/>
      <c r="B27" s="27" t="s">
        <v>126</v>
      </c>
      <c r="C27" s="27"/>
      <c r="D27" s="27"/>
      <c r="E27" s="8"/>
    </row>
    <row r="28" spans="1:5" x14ac:dyDescent="0.45">
      <c r="B28" s="1">
        <v>1</v>
      </c>
      <c r="C28" s="29" t="s">
        <v>17</v>
      </c>
      <c r="D28" s="16" t="s">
        <v>20</v>
      </c>
      <c r="E28" s="8"/>
    </row>
    <row r="29" spans="1:5" x14ac:dyDescent="0.45">
      <c r="B29" s="14">
        <v>2</v>
      </c>
      <c r="C29" s="29" t="s">
        <v>19</v>
      </c>
      <c r="D29" s="16" t="s">
        <v>20</v>
      </c>
      <c r="E29" s="8"/>
    </row>
    <row r="30" spans="1:5" x14ac:dyDescent="0.45">
      <c r="B30" s="1">
        <v>4</v>
      </c>
      <c r="C30" s="29" t="s">
        <v>21</v>
      </c>
      <c r="D30" s="16" t="s">
        <v>20</v>
      </c>
      <c r="E30" s="8"/>
    </row>
    <row r="31" spans="1:5" x14ac:dyDescent="0.45">
      <c r="B31" s="1">
        <v>5</v>
      </c>
      <c r="C31" s="29" t="s">
        <v>22</v>
      </c>
      <c r="D31" s="16" t="s">
        <v>18</v>
      </c>
      <c r="E31" s="8"/>
    </row>
    <row r="32" spans="1:5" x14ac:dyDescent="0.45">
      <c r="B32" s="1">
        <v>6</v>
      </c>
      <c r="C32" s="29" t="s">
        <v>23</v>
      </c>
      <c r="D32" s="16" t="s">
        <v>18</v>
      </c>
      <c r="E32" s="8"/>
    </row>
    <row r="33" spans="2:5" x14ac:dyDescent="0.45">
      <c r="B33" s="1">
        <v>7</v>
      </c>
      <c r="C33" s="29" t="s">
        <v>24</v>
      </c>
      <c r="D33" s="16" t="s">
        <v>20</v>
      </c>
      <c r="E33" s="8"/>
    </row>
    <row r="34" spans="2:5" x14ac:dyDescent="0.45">
      <c r="B34" s="1">
        <v>8</v>
      </c>
      <c r="C34" s="29" t="s">
        <v>25</v>
      </c>
      <c r="D34" s="16" t="s">
        <v>20</v>
      </c>
      <c r="E34" s="8"/>
    </row>
    <row r="35" spans="2:5" ht="14.65" thickBot="1" x14ac:dyDescent="0.5"/>
    <row r="36" spans="2:5" ht="33.4" x14ac:dyDescent="0.45">
      <c r="B36" s="27" t="s">
        <v>125</v>
      </c>
      <c r="C36" s="27"/>
      <c r="D36" s="27"/>
    </row>
    <row r="37" spans="2:5" x14ac:dyDescent="0.45">
      <c r="B37" s="1">
        <v>1</v>
      </c>
      <c r="C37" s="29" t="s">
        <v>26</v>
      </c>
      <c r="D37" s="16" t="s">
        <v>27</v>
      </c>
    </row>
    <row r="38" spans="2:5" x14ac:dyDescent="0.45">
      <c r="B38" s="1">
        <v>2</v>
      </c>
      <c r="C38" s="29" t="s">
        <v>28</v>
      </c>
      <c r="D38" s="9" t="s">
        <v>27</v>
      </c>
    </row>
    <row r="39" spans="2:5" x14ac:dyDescent="0.45">
      <c r="B39" s="1">
        <v>3</v>
      </c>
      <c r="C39" s="29" t="s">
        <v>29</v>
      </c>
      <c r="D39" s="16" t="s">
        <v>27</v>
      </c>
    </row>
    <row r="40" spans="2:5" x14ac:dyDescent="0.45">
      <c r="B40" s="1">
        <v>4</v>
      </c>
      <c r="C40" s="29" t="s">
        <v>30</v>
      </c>
      <c r="D40" s="16" t="s">
        <v>27</v>
      </c>
    </row>
    <row r="41" spans="2:5" x14ac:dyDescent="0.45">
      <c r="B41" s="1">
        <v>5</v>
      </c>
      <c r="C41" s="29" t="s">
        <v>31</v>
      </c>
      <c r="D41" s="16" t="s">
        <v>27</v>
      </c>
    </row>
    <row r="42" spans="2:5" x14ac:dyDescent="0.45">
      <c r="B42" s="1">
        <v>6</v>
      </c>
      <c r="C42" s="29" t="s">
        <v>32</v>
      </c>
      <c r="D42" s="16" t="s">
        <v>27</v>
      </c>
    </row>
    <row r="43" spans="2:5" x14ac:dyDescent="0.45">
      <c r="B43" s="1">
        <v>7</v>
      </c>
      <c r="C43" s="29" t="s">
        <v>33</v>
      </c>
      <c r="D43" s="16" t="s">
        <v>27</v>
      </c>
    </row>
    <row r="46" spans="2:5" ht="14.65" thickBot="1" x14ac:dyDescent="0.5"/>
    <row r="47" spans="2:5" ht="32" customHeight="1" x14ac:dyDescent="0.45">
      <c r="B47" s="27" t="s">
        <v>124</v>
      </c>
      <c r="C47" s="27"/>
      <c r="D47" s="27"/>
    </row>
    <row r="48" spans="2:5" ht="89.75" customHeight="1" x14ac:dyDescent="0.45">
      <c r="B48" s="1">
        <v>1</v>
      </c>
      <c r="C48" s="29" t="s">
        <v>122</v>
      </c>
      <c r="D48" s="17"/>
    </row>
  </sheetData>
  <phoneticPr fontId="10" type="noConversion"/>
  <dataValidations count="2">
    <dataValidation type="list" allowBlank="1" showInputMessage="1" showErrorMessage="1" sqref="D28:D29 D30:D34" xr:uid="{A99E6AF9-11A3-4F26-982D-F28576BB78CF}">
      <formula1>"Attached, Not available"</formula1>
    </dataValidation>
    <dataValidation type="list" allowBlank="1" showInputMessage="1" showErrorMessage="1" sqref="D37:D43" xr:uid="{A33029AE-9FCE-4AE4-9D6F-A38BD957A87C}">
      <formula1>"Yes, No"</formula1>
    </dataValidation>
  </dataValidations>
  <hyperlinks>
    <hyperlink ref="D13" r:id="rId1" display="mailto:clientservices.aus@blackrock.com" xr:uid="{F10118A6-6111-4AE4-8AA9-A26460EE6114}"/>
    <hyperlink ref="D14" r:id="rId2" display="mailto:au.invoices@blackrock-test.com.au" xr:uid="{365FAC3C-408F-4B41-AA18-51F3FC8B5264}"/>
    <hyperlink ref="D20" r:id="rId3" xr:uid="{E48B67E9-A4B7-4B84-BDB8-7E66A68543F0}"/>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D3C6-9938-4B54-87E9-4A1DE33F87D4}">
  <sheetPr codeName="Sheet2"/>
  <dimension ref="B1:K27"/>
  <sheetViews>
    <sheetView topLeftCell="D7" zoomScaleNormal="100" workbookViewId="0">
      <selection activeCell="F15" sqref="F15"/>
    </sheetView>
  </sheetViews>
  <sheetFormatPr defaultRowHeight="14.25" x14ac:dyDescent="0.45"/>
  <cols>
    <col min="2" max="2" width="3.53125" customWidth="1"/>
    <col min="3" max="3" width="82.53125" customWidth="1"/>
    <col min="4" max="4" width="16.265625" customWidth="1"/>
    <col min="5" max="5" width="25.53125" customWidth="1"/>
    <col min="6" max="6" width="101.53125" customWidth="1"/>
  </cols>
  <sheetData>
    <row r="1" spans="2:11" ht="14.65" thickBot="1" x14ac:dyDescent="0.5"/>
    <row r="2" spans="2:11" ht="54" customHeight="1" x14ac:dyDescent="0.9">
      <c r="B2" s="27" t="s">
        <v>123</v>
      </c>
      <c r="C2" s="25"/>
      <c r="D2" s="25"/>
      <c r="E2" s="2"/>
      <c r="F2" s="2"/>
      <c r="G2" s="2"/>
      <c r="H2" s="2"/>
      <c r="I2" s="2"/>
      <c r="J2" s="2"/>
      <c r="K2" s="2"/>
    </row>
    <row r="3" spans="2:11" ht="20.25" customHeight="1" thickBot="1" x14ac:dyDescent="0.95">
      <c r="B3" s="28"/>
      <c r="C3" s="26"/>
      <c r="D3" s="26"/>
      <c r="E3" s="2"/>
      <c r="F3" s="2"/>
      <c r="G3" s="2"/>
      <c r="H3" s="2"/>
      <c r="I3" s="2"/>
      <c r="J3" s="2"/>
      <c r="K3" s="2"/>
    </row>
    <row r="5" spans="2:11" ht="14.65" thickBot="1" x14ac:dyDescent="0.5"/>
    <row r="6" spans="2:11" ht="33.4" x14ac:dyDescent="0.45">
      <c r="B6" s="27" t="s">
        <v>34</v>
      </c>
      <c r="C6" s="27"/>
      <c r="D6" s="27"/>
      <c r="E6" s="27"/>
      <c r="F6" s="27"/>
    </row>
    <row r="7" spans="2:11" ht="28.5" x14ac:dyDescent="0.45">
      <c r="B7" s="75" t="s">
        <v>35</v>
      </c>
      <c r="C7" s="76"/>
      <c r="D7" s="32" t="s">
        <v>36</v>
      </c>
      <c r="E7" s="32" t="s">
        <v>37</v>
      </c>
      <c r="F7" s="32" t="s">
        <v>38</v>
      </c>
    </row>
    <row r="8" spans="2:11" ht="33" x14ac:dyDescent="0.45">
      <c r="B8" s="3"/>
      <c r="C8" s="20" t="s">
        <v>99</v>
      </c>
      <c r="D8" s="20">
        <v>11</v>
      </c>
      <c r="E8" s="20">
        <v>18</v>
      </c>
      <c r="F8" s="20" t="s">
        <v>100</v>
      </c>
    </row>
    <row r="9" spans="2:11" ht="33" x14ac:dyDescent="0.45">
      <c r="B9" s="3"/>
      <c r="C9" s="20" t="s">
        <v>101</v>
      </c>
      <c r="D9" s="20">
        <v>8</v>
      </c>
      <c r="E9" s="20">
        <v>14</v>
      </c>
      <c r="F9" s="20" t="s">
        <v>102</v>
      </c>
    </row>
    <row r="10" spans="2:11" ht="33" x14ac:dyDescent="0.45">
      <c r="B10" s="3"/>
      <c r="C10" s="20" t="s">
        <v>103</v>
      </c>
      <c r="D10" s="20">
        <v>6</v>
      </c>
      <c r="E10" s="20">
        <v>12</v>
      </c>
      <c r="F10" s="20" t="s">
        <v>104</v>
      </c>
    </row>
    <row r="11" spans="2:11" ht="33" x14ac:dyDescent="0.45">
      <c r="B11" s="3"/>
      <c r="C11" s="20" t="s">
        <v>105</v>
      </c>
      <c r="D11" s="20">
        <v>4</v>
      </c>
      <c r="E11" s="20">
        <v>9</v>
      </c>
      <c r="F11" s="20" t="s">
        <v>106</v>
      </c>
    </row>
    <row r="12" spans="2:11" ht="33" x14ac:dyDescent="0.45">
      <c r="B12" s="3"/>
      <c r="C12" s="20" t="s">
        <v>107</v>
      </c>
      <c r="D12" s="20">
        <v>2</v>
      </c>
      <c r="E12" s="20">
        <v>5</v>
      </c>
      <c r="F12" s="20" t="s">
        <v>108</v>
      </c>
    </row>
    <row r="13" spans="2:11" x14ac:dyDescent="0.45">
      <c r="B13" s="3"/>
      <c r="C13" s="4"/>
      <c r="D13" s="6"/>
      <c r="E13" s="5"/>
      <c r="F13" s="24"/>
    </row>
    <row r="14" spans="2:11" ht="14.75" customHeight="1" x14ac:dyDescent="0.45">
      <c r="B14" s="3"/>
      <c r="C14" s="4"/>
      <c r="D14" s="6"/>
      <c r="E14" s="5"/>
      <c r="F14" s="24"/>
    </row>
    <row r="15" spans="2:11" ht="14.75" customHeight="1" x14ac:dyDescent="0.45">
      <c r="B15" s="3"/>
      <c r="C15" s="4"/>
      <c r="D15" s="6"/>
      <c r="E15" s="5"/>
      <c r="F15" s="24"/>
    </row>
    <row r="16" spans="2:11" x14ac:dyDescent="0.45">
      <c r="B16" s="3"/>
      <c r="C16" s="4"/>
      <c r="D16" s="6"/>
      <c r="E16" s="5"/>
      <c r="F16" s="24"/>
    </row>
    <row r="17" spans="2:6" ht="14.65" thickBot="1" x14ac:dyDescent="0.5">
      <c r="B17" s="3"/>
      <c r="C17" s="4"/>
      <c r="D17" s="6"/>
      <c r="E17" s="5"/>
      <c r="F17" s="24"/>
    </row>
    <row r="18" spans="2:6" ht="33.4" x14ac:dyDescent="0.45">
      <c r="B18" s="27" t="s">
        <v>39</v>
      </c>
      <c r="C18" s="27"/>
      <c r="D18" s="27"/>
      <c r="E18" s="27"/>
      <c r="F18" s="27"/>
    </row>
    <row r="19" spans="2:6" ht="29" customHeight="1" x14ac:dyDescent="0.45">
      <c r="B19" s="75" t="s">
        <v>35</v>
      </c>
      <c r="C19" s="76"/>
      <c r="D19" s="32" t="s">
        <v>40</v>
      </c>
      <c r="E19" s="32" t="s">
        <v>37</v>
      </c>
      <c r="F19" s="31" t="s">
        <v>41</v>
      </c>
    </row>
    <row r="20" spans="2:6" ht="14.75" customHeight="1" x14ac:dyDescent="0.45">
      <c r="B20" s="3"/>
      <c r="C20" s="20" t="s">
        <v>107</v>
      </c>
      <c r="D20" s="10">
        <v>45458</v>
      </c>
      <c r="E20" s="5">
        <v>5</v>
      </c>
      <c r="F20" s="23" t="s">
        <v>259</v>
      </c>
    </row>
    <row r="21" spans="2:6" x14ac:dyDescent="0.45">
      <c r="B21" s="3"/>
      <c r="C21" s="4"/>
      <c r="D21" s="10"/>
      <c r="E21" s="5"/>
      <c r="F21" s="23"/>
    </row>
    <row r="22" spans="2:6" ht="14.65" thickBot="1" x14ac:dyDescent="0.5">
      <c r="B22" s="3"/>
      <c r="C22" s="4"/>
      <c r="D22" s="10"/>
      <c r="E22" s="5"/>
      <c r="F22" s="23"/>
    </row>
    <row r="23" spans="2:6" ht="33.4" x14ac:dyDescent="0.45">
      <c r="B23" s="27" t="s">
        <v>42</v>
      </c>
      <c r="C23" s="27"/>
      <c r="D23" s="27"/>
      <c r="E23" s="27"/>
      <c r="F23" s="27"/>
    </row>
    <row r="24" spans="2:6" x14ac:dyDescent="0.45">
      <c r="B24" s="75" t="s">
        <v>43</v>
      </c>
      <c r="C24" s="76"/>
      <c r="D24" s="32" t="s">
        <v>40</v>
      </c>
      <c r="E24" s="32" t="s">
        <v>44</v>
      </c>
      <c r="F24" s="31" t="s">
        <v>45</v>
      </c>
    </row>
    <row r="25" spans="2:6" x14ac:dyDescent="0.45">
      <c r="B25" s="3"/>
      <c r="C25" s="4"/>
      <c r="D25" s="7"/>
      <c r="E25" s="11"/>
      <c r="F25" s="9"/>
    </row>
    <row r="26" spans="2:6" x14ac:dyDescent="0.45">
      <c r="B26" s="3"/>
      <c r="C26" s="4"/>
      <c r="D26" s="7"/>
      <c r="E26" s="11"/>
      <c r="F26" s="9"/>
    </row>
    <row r="27" spans="2:6" x14ac:dyDescent="0.45">
      <c r="B27" s="3"/>
      <c r="C27" s="4"/>
      <c r="D27" s="7"/>
      <c r="E27" s="11"/>
      <c r="F27" s="9"/>
    </row>
  </sheetData>
  <mergeCells count="3">
    <mergeCell ref="B19:C19"/>
    <mergeCell ref="B24:C24"/>
    <mergeCell ref="B7:C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296D-4B2E-4C93-BBF0-FAD17EBD5E4C}">
  <sheetPr codeName="Sheet4"/>
  <dimension ref="A2:AF60"/>
  <sheetViews>
    <sheetView tabSelected="1" topLeftCell="K1" zoomScale="85" zoomScaleNormal="85" workbookViewId="0">
      <selection activeCell="AC4" sqref="AC4"/>
    </sheetView>
  </sheetViews>
  <sheetFormatPr defaultColWidth="8.86328125" defaultRowHeight="14.25" x14ac:dyDescent="0.45"/>
  <cols>
    <col min="1" max="1" width="8.86328125" style="33" customWidth="1"/>
    <col min="2" max="2" width="3.33203125" style="33" customWidth="1"/>
    <col min="3" max="3" width="64.9296875" style="33" customWidth="1"/>
    <col min="4" max="4" width="47.06640625" style="33" customWidth="1"/>
    <col min="5" max="5" width="21.3984375" style="33" customWidth="1"/>
    <col min="6" max="6" width="1" style="34" customWidth="1"/>
    <col min="7" max="7" width="1.33203125" style="33" customWidth="1"/>
    <col min="8" max="8" width="0.53125" style="33" customWidth="1"/>
    <col min="9" max="9" width="3.33203125" style="33" customWidth="1"/>
    <col min="10" max="10" width="82.53125" style="33" customWidth="1"/>
    <col min="11" max="11" width="17.33203125" style="33" customWidth="1"/>
    <col min="12" max="12" width="9.53125" style="33" customWidth="1"/>
    <col min="13" max="13" width="1" style="34" customWidth="1"/>
    <col min="14" max="14" width="1.33203125" style="33" customWidth="1"/>
    <col min="15" max="15" width="0.53125" style="33" customWidth="1"/>
    <col min="16" max="16" width="3.33203125" style="33" customWidth="1"/>
    <col min="17" max="17" width="82.53125" style="33" customWidth="1"/>
    <col min="18" max="18" width="17.33203125" style="33" customWidth="1"/>
    <col min="19" max="19" width="9.53125" style="33" customWidth="1"/>
    <col min="20" max="20" width="1" style="34" customWidth="1"/>
    <col min="21" max="21" width="1.33203125" style="33" customWidth="1"/>
    <col min="22" max="22" width="0.53125" style="33" customWidth="1"/>
    <col min="23" max="23" width="3.33203125" style="33" customWidth="1"/>
    <col min="24" max="24" width="82.53125" style="33" customWidth="1"/>
    <col min="25" max="25" width="17.33203125" style="33" customWidth="1"/>
    <col min="26" max="26" width="9.53125" style="33" customWidth="1"/>
    <col min="27" max="27" width="0.53125" style="33" customWidth="1"/>
    <col min="28" max="28" width="3.33203125" style="33" customWidth="1"/>
    <col min="29" max="29" width="82.53125" style="33" customWidth="1"/>
    <col min="30" max="30" width="17.33203125" style="33" customWidth="1"/>
    <col min="31" max="32" width="9.53125" style="33" customWidth="1"/>
    <col min="33" max="16384" width="8.86328125" style="33"/>
  </cols>
  <sheetData>
    <row r="2" spans="2:32" ht="14.65" thickBot="1" x14ac:dyDescent="0.5"/>
    <row r="3" spans="2:32" ht="15" customHeight="1" x14ac:dyDescent="0.9">
      <c r="B3" s="35"/>
      <c r="C3" s="35"/>
      <c r="D3" s="35"/>
      <c r="E3" s="35"/>
      <c r="F3" s="35"/>
      <c r="G3" s="35"/>
      <c r="H3" s="35"/>
      <c r="I3" s="35"/>
      <c r="J3" s="35"/>
      <c r="K3" s="35"/>
      <c r="L3" s="35"/>
      <c r="N3" s="35"/>
      <c r="O3" s="35"/>
      <c r="P3" s="35"/>
      <c r="Q3" s="35"/>
      <c r="R3" s="35"/>
      <c r="S3" s="35"/>
      <c r="U3" s="35"/>
      <c r="V3" s="35"/>
      <c r="W3" s="35"/>
      <c r="X3" s="35"/>
      <c r="Y3" s="35"/>
      <c r="Z3" s="35"/>
      <c r="AA3" s="35"/>
      <c r="AB3" s="35"/>
      <c r="AC3" s="35"/>
      <c r="AD3" s="35"/>
      <c r="AE3" s="35"/>
      <c r="AF3" s="58"/>
    </row>
    <row r="4" spans="2:32" ht="14.75" customHeight="1" x14ac:dyDescent="0.45">
      <c r="B4" s="36">
        <v>1</v>
      </c>
      <c r="C4" s="51" t="s">
        <v>46</v>
      </c>
      <c r="D4" s="38" t="s">
        <v>263</v>
      </c>
      <c r="E4" s="39"/>
      <c r="I4" s="36">
        <v>1</v>
      </c>
      <c r="J4" s="51" t="s">
        <v>46</v>
      </c>
      <c r="K4" s="38" t="s">
        <v>131</v>
      </c>
      <c r="L4" s="39"/>
      <c r="P4" s="36">
        <v>1</v>
      </c>
      <c r="Q4" s="51" t="s">
        <v>46</v>
      </c>
      <c r="R4" s="38" t="s">
        <v>132</v>
      </c>
      <c r="S4" s="39"/>
      <c r="W4" s="36">
        <v>1</v>
      </c>
      <c r="X4" s="51" t="s">
        <v>46</v>
      </c>
      <c r="Y4" s="38" t="s">
        <v>133</v>
      </c>
      <c r="Z4" s="39"/>
      <c r="AB4" s="36">
        <v>1</v>
      </c>
      <c r="AC4" s="51" t="s">
        <v>46</v>
      </c>
      <c r="AD4" s="38" t="s">
        <v>134</v>
      </c>
      <c r="AE4" s="39"/>
      <c r="AF4" s="61"/>
    </row>
    <row r="5" spans="2:32" ht="28.5" x14ac:dyDescent="0.45">
      <c r="B5" s="36">
        <v>2</v>
      </c>
      <c r="C5" s="51" t="s">
        <v>49</v>
      </c>
      <c r="D5" s="38" t="s">
        <v>109</v>
      </c>
      <c r="E5" s="39"/>
      <c r="I5" s="36">
        <v>2</v>
      </c>
      <c r="J5" s="51" t="s">
        <v>49</v>
      </c>
      <c r="K5" s="38" t="s">
        <v>109</v>
      </c>
      <c r="L5" s="39"/>
      <c r="P5" s="36">
        <v>2</v>
      </c>
      <c r="Q5" s="51" t="s">
        <v>49</v>
      </c>
      <c r="R5" s="38" t="s">
        <v>109</v>
      </c>
      <c r="S5" s="39"/>
      <c r="W5" s="36">
        <v>2</v>
      </c>
      <c r="X5" s="51" t="s">
        <v>49</v>
      </c>
      <c r="Y5" s="38" t="s">
        <v>109</v>
      </c>
      <c r="Z5" s="39"/>
      <c r="AB5" s="36">
        <v>2</v>
      </c>
      <c r="AC5" s="51" t="s">
        <v>49</v>
      </c>
      <c r="AD5" s="38" t="s">
        <v>109</v>
      </c>
      <c r="AE5" s="39"/>
      <c r="AF5" s="61"/>
    </row>
    <row r="6" spans="2:32" ht="28.5" x14ac:dyDescent="0.45">
      <c r="B6" s="36">
        <v>3</v>
      </c>
      <c r="C6" s="51" t="s">
        <v>50</v>
      </c>
      <c r="D6" s="38" t="s">
        <v>110</v>
      </c>
      <c r="E6" s="39"/>
      <c r="I6" s="36">
        <v>3</v>
      </c>
      <c r="J6" s="51" t="s">
        <v>50</v>
      </c>
      <c r="K6" s="38" t="s">
        <v>110</v>
      </c>
      <c r="L6" s="39"/>
      <c r="P6" s="36">
        <v>3</v>
      </c>
      <c r="Q6" s="51" t="s">
        <v>50</v>
      </c>
      <c r="R6" s="38" t="s">
        <v>110</v>
      </c>
      <c r="S6" s="39"/>
      <c r="W6" s="36">
        <v>3</v>
      </c>
      <c r="X6" s="51" t="s">
        <v>50</v>
      </c>
      <c r="Y6" s="38" t="s">
        <v>110</v>
      </c>
      <c r="Z6" s="39"/>
      <c r="AB6" s="36">
        <v>3</v>
      </c>
      <c r="AC6" s="51" t="s">
        <v>50</v>
      </c>
      <c r="AD6" s="38" t="s">
        <v>110</v>
      </c>
      <c r="AE6" s="39"/>
      <c r="AF6" s="61"/>
    </row>
    <row r="7" spans="2:32" x14ac:dyDescent="0.45">
      <c r="B7" s="36">
        <v>4</v>
      </c>
      <c r="C7" s="51" t="s">
        <v>51</v>
      </c>
      <c r="D7" s="38">
        <v>7.4999999999999997E-3</v>
      </c>
      <c r="E7" s="40"/>
      <c r="I7" s="36">
        <v>4</v>
      </c>
      <c r="J7" s="51" t="s">
        <v>51</v>
      </c>
      <c r="K7" s="38">
        <v>7.4999999999999997E-3</v>
      </c>
      <c r="L7" s="40"/>
      <c r="P7" s="36">
        <v>4</v>
      </c>
      <c r="Q7" s="51" t="s">
        <v>51</v>
      </c>
      <c r="R7" s="38">
        <v>7.4999999999999997E-3</v>
      </c>
      <c r="S7" s="40"/>
      <c r="W7" s="36">
        <v>4</v>
      </c>
      <c r="X7" s="51" t="s">
        <v>51</v>
      </c>
      <c r="Y7" s="38">
        <v>7.4999999999999997E-3</v>
      </c>
      <c r="Z7" s="40"/>
      <c r="AB7" s="36">
        <v>4</v>
      </c>
      <c r="AC7" s="51" t="s">
        <v>51</v>
      </c>
      <c r="AD7" s="38">
        <v>7.4999999999999997E-3</v>
      </c>
      <c r="AE7" s="40"/>
      <c r="AF7" s="62"/>
    </row>
    <row r="8" spans="2:32" x14ac:dyDescent="0.45">
      <c r="B8" s="36">
        <v>5</v>
      </c>
      <c r="C8" s="51" t="s">
        <v>52</v>
      </c>
      <c r="D8" s="38">
        <v>0.18</v>
      </c>
      <c r="E8" s="40"/>
      <c r="I8" s="36">
        <v>5</v>
      </c>
      <c r="J8" s="51" t="s">
        <v>52</v>
      </c>
      <c r="K8" s="38">
        <v>0.18</v>
      </c>
      <c r="L8" s="40"/>
      <c r="P8" s="36">
        <v>5</v>
      </c>
      <c r="Q8" s="51" t="s">
        <v>52</v>
      </c>
      <c r="R8" s="38">
        <v>0.18</v>
      </c>
      <c r="S8" s="40"/>
      <c r="W8" s="36">
        <v>5</v>
      </c>
      <c r="X8" s="51" t="s">
        <v>52</v>
      </c>
      <c r="Y8" s="38">
        <v>0.18</v>
      </c>
      <c r="Z8" s="40"/>
      <c r="AB8" s="36">
        <v>5</v>
      </c>
      <c r="AC8" s="51" t="s">
        <v>52</v>
      </c>
      <c r="AD8" s="38">
        <v>0.18</v>
      </c>
      <c r="AE8" s="40"/>
      <c r="AF8" s="62"/>
    </row>
    <row r="9" spans="2:32" x14ac:dyDescent="0.45">
      <c r="B9" s="36">
        <v>6</v>
      </c>
      <c r="C9" s="51" t="s">
        <v>53</v>
      </c>
      <c r="D9" s="38">
        <v>0.01</v>
      </c>
      <c r="E9" s="40"/>
      <c r="I9" s="36">
        <v>6</v>
      </c>
      <c r="J9" s="51" t="s">
        <v>53</v>
      </c>
      <c r="K9" s="38">
        <v>0.01</v>
      </c>
      <c r="L9" s="40"/>
      <c r="P9" s="36">
        <v>6</v>
      </c>
      <c r="Q9" s="51" t="s">
        <v>53</v>
      </c>
      <c r="R9" s="38">
        <v>0.01</v>
      </c>
      <c r="S9" s="40"/>
      <c r="W9" s="36">
        <v>6</v>
      </c>
      <c r="X9" s="51" t="s">
        <v>53</v>
      </c>
      <c r="Y9" s="38">
        <v>0.01</v>
      </c>
      <c r="Z9" s="40"/>
      <c r="AB9" s="36">
        <v>6</v>
      </c>
      <c r="AC9" s="51" t="s">
        <v>53</v>
      </c>
      <c r="AD9" s="38">
        <v>0.01</v>
      </c>
      <c r="AE9" s="40"/>
      <c r="AF9" s="62"/>
    </row>
    <row r="10" spans="2:32" x14ac:dyDescent="0.45">
      <c r="B10" s="36">
        <v>7</v>
      </c>
      <c r="C10" s="51" t="s">
        <v>54</v>
      </c>
      <c r="D10" s="38" t="s">
        <v>111</v>
      </c>
      <c r="E10" s="39"/>
      <c r="I10" s="36">
        <v>7</v>
      </c>
      <c r="J10" s="51" t="s">
        <v>54</v>
      </c>
      <c r="K10" s="38" t="s">
        <v>111</v>
      </c>
      <c r="L10" s="39"/>
      <c r="P10" s="36">
        <v>7</v>
      </c>
      <c r="Q10" s="51" t="s">
        <v>54</v>
      </c>
      <c r="R10" s="38" t="s">
        <v>111</v>
      </c>
      <c r="S10" s="39"/>
      <c r="W10" s="36">
        <v>7</v>
      </c>
      <c r="X10" s="51" t="s">
        <v>54</v>
      </c>
      <c r="Y10" s="38" t="s">
        <v>111</v>
      </c>
      <c r="Z10" s="39"/>
      <c r="AB10" s="36">
        <v>7</v>
      </c>
      <c r="AC10" s="51" t="s">
        <v>54</v>
      </c>
      <c r="AD10" s="38" t="s">
        <v>111</v>
      </c>
      <c r="AE10" s="39"/>
      <c r="AF10" s="61"/>
    </row>
    <row r="11" spans="2:32" x14ac:dyDescent="0.45">
      <c r="B11" s="36">
        <v>8</v>
      </c>
      <c r="C11" s="51" t="s">
        <v>55</v>
      </c>
      <c r="D11" s="38" t="s">
        <v>56</v>
      </c>
      <c r="E11" s="39"/>
      <c r="I11" s="36">
        <v>8</v>
      </c>
      <c r="J11" s="51" t="s">
        <v>55</v>
      </c>
      <c r="K11" s="38" t="s">
        <v>56</v>
      </c>
      <c r="L11" s="39"/>
      <c r="P11" s="36">
        <v>8</v>
      </c>
      <c r="Q11" s="51" t="s">
        <v>55</v>
      </c>
      <c r="R11" s="38" t="s">
        <v>56</v>
      </c>
      <c r="S11" s="39"/>
      <c r="W11" s="36">
        <v>8</v>
      </c>
      <c r="X11" s="51" t="s">
        <v>55</v>
      </c>
      <c r="Y11" s="38" t="s">
        <v>56</v>
      </c>
      <c r="Z11" s="39"/>
      <c r="AB11" s="36">
        <v>8</v>
      </c>
      <c r="AC11" s="51" t="s">
        <v>55</v>
      </c>
      <c r="AD11" s="38" t="s">
        <v>56</v>
      </c>
      <c r="AE11" s="39"/>
      <c r="AF11" s="61"/>
    </row>
    <row r="12" spans="2:32" x14ac:dyDescent="0.45">
      <c r="B12" s="36">
        <v>9</v>
      </c>
      <c r="C12" s="51" t="s">
        <v>57</v>
      </c>
      <c r="D12" s="38">
        <v>1.4999999999999999E-2</v>
      </c>
      <c r="E12" s="40"/>
      <c r="I12" s="36">
        <v>9</v>
      </c>
      <c r="J12" s="51" t="s">
        <v>57</v>
      </c>
      <c r="K12" s="38">
        <v>1.4999999999999999E-2</v>
      </c>
      <c r="L12" s="40"/>
      <c r="P12" s="36">
        <v>9</v>
      </c>
      <c r="Q12" s="51" t="s">
        <v>57</v>
      </c>
      <c r="R12" s="38">
        <v>1.4999999999999999E-2</v>
      </c>
      <c r="S12" s="40"/>
      <c r="W12" s="36">
        <v>9</v>
      </c>
      <c r="X12" s="51" t="s">
        <v>57</v>
      </c>
      <c r="Y12" s="38">
        <v>1.4999999999999999E-2</v>
      </c>
      <c r="Z12" s="40"/>
      <c r="AB12" s="36">
        <v>9</v>
      </c>
      <c r="AC12" s="51" t="s">
        <v>57</v>
      </c>
      <c r="AD12" s="38">
        <v>1.4999999999999999E-2</v>
      </c>
      <c r="AE12" s="40"/>
      <c r="AF12" s="62"/>
    </row>
    <row r="13" spans="2:32" x14ac:dyDescent="0.45">
      <c r="B13" s="36">
        <v>10</v>
      </c>
      <c r="C13" s="51" t="s">
        <v>58</v>
      </c>
      <c r="D13" s="38" t="s">
        <v>59</v>
      </c>
      <c r="E13" s="39"/>
      <c r="I13" s="36">
        <v>10</v>
      </c>
      <c r="J13" s="51" t="s">
        <v>58</v>
      </c>
      <c r="K13" s="38" t="s">
        <v>59</v>
      </c>
      <c r="L13" s="39"/>
      <c r="P13" s="36">
        <v>10</v>
      </c>
      <c r="Q13" s="51" t="s">
        <v>58</v>
      </c>
      <c r="R13" s="38" t="s">
        <v>59</v>
      </c>
      <c r="S13" s="39"/>
      <c r="W13" s="36">
        <v>10</v>
      </c>
      <c r="X13" s="51" t="s">
        <v>58</v>
      </c>
      <c r="Y13" s="38" t="s">
        <v>59</v>
      </c>
      <c r="Z13" s="39"/>
      <c r="AB13" s="36">
        <v>10</v>
      </c>
      <c r="AC13" s="51" t="s">
        <v>58</v>
      </c>
      <c r="AD13" s="38" t="s">
        <v>59</v>
      </c>
      <c r="AE13" s="39"/>
      <c r="AF13" s="61"/>
    </row>
    <row r="14" spans="2:32" x14ac:dyDescent="0.45">
      <c r="B14" s="36">
        <v>11</v>
      </c>
      <c r="C14" s="51" t="s">
        <v>60</v>
      </c>
      <c r="D14" s="38" t="s">
        <v>112</v>
      </c>
      <c r="E14" s="39"/>
      <c r="I14" s="36">
        <v>11</v>
      </c>
      <c r="J14" s="51" t="s">
        <v>60</v>
      </c>
      <c r="K14" s="38" t="s">
        <v>112</v>
      </c>
      <c r="L14" s="39"/>
      <c r="P14" s="36">
        <v>11</v>
      </c>
      <c r="Q14" s="51" t="s">
        <v>60</v>
      </c>
      <c r="R14" s="38" t="s">
        <v>112</v>
      </c>
      <c r="S14" s="39"/>
      <c r="W14" s="36">
        <v>11</v>
      </c>
      <c r="X14" s="51" t="s">
        <v>60</v>
      </c>
      <c r="Y14" s="38" t="s">
        <v>112</v>
      </c>
      <c r="Z14" s="39"/>
      <c r="AB14" s="36">
        <v>11</v>
      </c>
      <c r="AC14" s="51" t="s">
        <v>60</v>
      </c>
      <c r="AD14" s="38" t="s">
        <v>112</v>
      </c>
      <c r="AE14" s="39"/>
      <c r="AF14" s="61"/>
    </row>
    <row r="15" spans="2:32" x14ac:dyDescent="0.45">
      <c r="B15" s="36">
        <v>12</v>
      </c>
      <c r="C15" s="51" t="s">
        <v>61</v>
      </c>
      <c r="D15" s="38" t="s">
        <v>113</v>
      </c>
      <c r="E15" s="39"/>
      <c r="I15" s="36">
        <v>12</v>
      </c>
      <c r="J15" s="51" t="s">
        <v>61</v>
      </c>
      <c r="K15" s="38" t="s">
        <v>113</v>
      </c>
      <c r="L15" s="39"/>
      <c r="P15" s="36">
        <v>12</v>
      </c>
      <c r="Q15" s="51" t="s">
        <v>61</v>
      </c>
      <c r="R15" s="38" t="s">
        <v>113</v>
      </c>
      <c r="S15" s="39"/>
      <c r="W15" s="36">
        <v>12</v>
      </c>
      <c r="X15" s="51" t="s">
        <v>61</v>
      </c>
      <c r="Y15" s="38" t="s">
        <v>113</v>
      </c>
      <c r="Z15" s="39"/>
      <c r="AB15" s="36">
        <v>12</v>
      </c>
      <c r="AC15" s="51" t="s">
        <v>61</v>
      </c>
      <c r="AD15" s="38" t="s">
        <v>113</v>
      </c>
      <c r="AE15" s="39"/>
      <c r="AF15" s="61"/>
    </row>
    <row r="16" spans="2:32" x14ac:dyDescent="0.45">
      <c r="B16" s="36">
        <v>13</v>
      </c>
      <c r="C16" s="51" t="s">
        <v>62</v>
      </c>
      <c r="D16" s="38" t="s">
        <v>114</v>
      </c>
      <c r="E16" s="39"/>
      <c r="I16" s="36">
        <v>13</v>
      </c>
      <c r="J16" s="51" t="s">
        <v>62</v>
      </c>
      <c r="K16" s="38" t="s">
        <v>114</v>
      </c>
      <c r="L16" s="39"/>
      <c r="P16" s="36">
        <v>13</v>
      </c>
      <c r="Q16" s="51" t="s">
        <v>62</v>
      </c>
      <c r="R16" s="38" t="s">
        <v>114</v>
      </c>
      <c r="S16" s="39"/>
      <c r="W16" s="36">
        <v>13</v>
      </c>
      <c r="X16" s="51" t="s">
        <v>62</v>
      </c>
      <c r="Y16" s="38" t="s">
        <v>114</v>
      </c>
      <c r="Z16" s="39"/>
      <c r="AB16" s="36">
        <v>13</v>
      </c>
      <c r="AC16" s="51" t="s">
        <v>62</v>
      </c>
      <c r="AD16" s="38" t="s">
        <v>114</v>
      </c>
      <c r="AE16" s="39"/>
      <c r="AF16" s="61"/>
    </row>
    <row r="17" spans="1:32" x14ac:dyDescent="0.45">
      <c r="B17" s="36">
        <v>14</v>
      </c>
      <c r="C17" s="51" t="s">
        <v>63</v>
      </c>
      <c r="D17" s="38" t="s">
        <v>115</v>
      </c>
      <c r="E17" s="39"/>
      <c r="I17" s="36">
        <v>14</v>
      </c>
      <c r="J17" s="51" t="s">
        <v>63</v>
      </c>
      <c r="K17" s="38" t="s">
        <v>115</v>
      </c>
      <c r="L17" s="39"/>
      <c r="P17" s="36">
        <v>14</v>
      </c>
      <c r="Q17" s="51" t="s">
        <v>63</v>
      </c>
      <c r="R17" s="38" t="s">
        <v>115</v>
      </c>
      <c r="S17" s="39"/>
      <c r="W17" s="36">
        <v>14</v>
      </c>
      <c r="X17" s="51" t="s">
        <v>63</v>
      </c>
      <c r="Y17" s="38" t="s">
        <v>115</v>
      </c>
      <c r="Z17" s="39"/>
      <c r="AB17" s="36">
        <v>14</v>
      </c>
      <c r="AC17" s="51" t="s">
        <v>63</v>
      </c>
      <c r="AD17" s="38" t="s">
        <v>115</v>
      </c>
      <c r="AE17" s="39"/>
      <c r="AF17" s="61"/>
    </row>
    <row r="18" spans="1:32" x14ac:dyDescent="0.45">
      <c r="B18" s="36">
        <v>15</v>
      </c>
      <c r="C18" s="51" t="s">
        <v>64</v>
      </c>
      <c r="D18" s="38" t="s">
        <v>116</v>
      </c>
      <c r="E18" s="39"/>
      <c r="I18" s="36">
        <v>15</v>
      </c>
      <c r="J18" s="51" t="s">
        <v>64</v>
      </c>
      <c r="K18" s="38" t="s">
        <v>116</v>
      </c>
      <c r="L18" s="39"/>
      <c r="P18" s="36">
        <v>15</v>
      </c>
      <c r="Q18" s="51" t="s">
        <v>64</v>
      </c>
      <c r="R18" s="38" t="s">
        <v>116</v>
      </c>
      <c r="S18" s="39"/>
      <c r="W18" s="36">
        <v>15</v>
      </c>
      <c r="X18" s="51" t="s">
        <v>64</v>
      </c>
      <c r="Y18" s="38" t="s">
        <v>116</v>
      </c>
      <c r="Z18" s="39"/>
      <c r="AB18" s="36">
        <v>15</v>
      </c>
      <c r="AC18" s="51" t="s">
        <v>64</v>
      </c>
      <c r="AD18" s="38"/>
      <c r="AE18" s="39"/>
      <c r="AF18" s="61"/>
    </row>
    <row r="19" spans="1:32" x14ac:dyDescent="0.45">
      <c r="A19" s="50"/>
      <c r="B19" s="36">
        <v>16</v>
      </c>
      <c r="C19" s="71" t="s">
        <v>216</v>
      </c>
      <c r="D19" t="s">
        <v>224</v>
      </c>
      <c r="I19" s="36">
        <v>16</v>
      </c>
      <c r="J19" s="71" t="s">
        <v>216</v>
      </c>
      <c r="K19" t="s">
        <v>227</v>
      </c>
      <c r="P19" s="36">
        <v>16</v>
      </c>
      <c r="Q19" s="71" t="s">
        <v>216</v>
      </c>
      <c r="R19" t="s">
        <v>223</v>
      </c>
      <c r="W19" s="36">
        <v>16</v>
      </c>
      <c r="X19" s="71" t="s">
        <v>216</v>
      </c>
      <c r="Y19" t="s">
        <v>226</v>
      </c>
      <c r="AB19" s="36">
        <v>16</v>
      </c>
      <c r="AC19" s="71" t="s">
        <v>216</v>
      </c>
      <c r="AD19" t="s">
        <v>221</v>
      </c>
    </row>
    <row r="20" spans="1:32" x14ac:dyDescent="0.45">
      <c r="A20" s="50"/>
      <c r="B20" s="36">
        <v>17</v>
      </c>
      <c r="C20" s="71" t="s">
        <v>135</v>
      </c>
      <c r="D20" t="s">
        <v>48</v>
      </c>
      <c r="I20" s="36">
        <v>17</v>
      </c>
      <c r="J20" s="71" t="s">
        <v>135</v>
      </c>
      <c r="K20" t="s">
        <v>48</v>
      </c>
      <c r="P20" s="36">
        <v>17</v>
      </c>
      <c r="Q20" s="71" t="s">
        <v>135</v>
      </c>
      <c r="R20" t="s">
        <v>48</v>
      </c>
      <c r="W20" s="36">
        <v>17</v>
      </c>
      <c r="X20" s="71" t="s">
        <v>135</v>
      </c>
      <c r="Y20" t="s">
        <v>48</v>
      </c>
      <c r="AB20" s="36">
        <v>17</v>
      </c>
      <c r="AC20" s="71" t="s">
        <v>135</v>
      </c>
      <c r="AD20" t="s">
        <v>48</v>
      </c>
    </row>
    <row r="21" spans="1:32" x14ac:dyDescent="0.45">
      <c r="A21" s="50"/>
      <c r="B21" s="36">
        <v>18</v>
      </c>
      <c r="C21" s="71" t="s">
        <v>217</v>
      </c>
      <c r="D21" t="s">
        <v>225</v>
      </c>
      <c r="I21" s="36">
        <v>18</v>
      </c>
      <c r="J21" s="71" t="s">
        <v>217</v>
      </c>
      <c r="K21" t="s">
        <v>222</v>
      </c>
      <c r="P21" s="36">
        <v>18</v>
      </c>
      <c r="Q21" s="71" t="s">
        <v>217</v>
      </c>
      <c r="R21" t="s">
        <v>222</v>
      </c>
      <c r="W21" s="36">
        <v>18</v>
      </c>
      <c r="X21" s="71" t="s">
        <v>217</v>
      </c>
      <c r="Y21" t="s">
        <v>222</v>
      </c>
      <c r="AB21" s="36">
        <v>18</v>
      </c>
      <c r="AC21" s="71" t="s">
        <v>217</v>
      </c>
      <c r="AD21" t="s">
        <v>222</v>
      </c>
    </row>
    <row r="22" spans="1:32" x14ac:dyDescent="0.45">
      <c r="A22" s="50"/>
      <c r="B22" s="36">
        <v>19</v>
      </c>
      <c r="C22" s="71" t="s">
        <v>218</v>
      </c>
      <c r="D22" t="s">
        <v>228</v>
      </c>
      <c r="I22" s="36">
        <v>19</v>
      </c>
      <c r="J22" s="71" t="s">
        <v>218</v>
      </c>
      <c r="K22" t="s">
        <v>228</v>
      </c>
      <c r="P22" s="36">
        <v>19</v>
      </c>
      <c r="Q22" s="71" t="s">
        <v>218</v>
      </c>
      <c r="R22" t="s">
        <v>228</v>
      </c>
      <c r="W22" s="36">
        <v>19</v>
      </c>
      <c r="X22" s="71" t="s">
        <v>218</v>
      </c>
      <c r="Y22" t="s">
        <v>228</v>
      </c>
      <c r="AB22" s="36">
        <v>19</v>
      </c>
      <c r="AC22" s="71" t="s">
        <v>218</v>
      </c>
      <c r="AD22" t="s">
        <v>228</v>
      </c>
    </row>
    <row r="23" spans="1:32" x14ac:dyDescent="0.45">
      <c r="A23" s="50"/>
      <c r="B23" s="36">
        <v>20</v>
      </c>
      <c r="C23" s="71" t="s">
        <v>219</v>
      </c>
      <c r="D23" t="s">
        <v>231</v>
      </c>
      <c r="I23" s="36">
        <v>20</v>
      </c>
      <c r="J23" s="71" t="s">
        <v>219</v>
      </c>
      <c r="K23" t="s">
        <v>230</v>
      </c>
      <c r="P23" s="36">
        <v>20</v>
      </c>
      <c r="Q23" s="71" t="s">
        <v>219</v>
      </c>
      <c r="R23" t="s">
        <v>230</v>
      </c>
      <c r="W23" s="36">
        <v>20</v>
      </c>
      <c r="X23" s="71" t="s">
        <v>219</v>
      </c>
      <c r="Y23" t="s">
        <v>232</v>
      </c>
      <c r="AB23" s="36">
        <v>20</v>
      </c>
      <c r="AC23" s="71" t="s">
        <v>219</v>
      </c>
      <c r="AD23" t="s">
        <v>229</v>
      </c>
    </row>
    <row r="24" spans="1:32" x14ac:dyDescent="0.45">
      <c r="A24" s="50"/>
      <c r="B24" s="36">
        <v>21</v>
      </c>
      <c r="C24" s="71" t="s">
        <v>220</v>
      </c>
      <c r="D24" t="s">
        <v>264</v>
      </c>
      <c r="I24" s="36">
        <v>21</v>
      </c>
      <c r="J24" s="71" t="s">
        <v>220</v>
      </c>
      <c r="K24" t="s">
        <v>233</v>
      </c>
      <c r="P24" s="36">
        <v>21</v>
      </c>
      <c r="Q24" s="71" t="s">
        <v>220</v>
      </c>
      <c r="R24" t="s">
        <v>233</v>
      </c>
      <c r="W24" s="36">
        <v>21</v>
      </c>
      <c r="X24" s="71" t="s">
        <v>220</v>
      </c>
      <c r="Y24" t="s">
        <v>233</v>
      </c>
      <c r="AB24" s="36">
        <v>21</v>
      </c>
      <c r="AC24" s="71" t="s">
        <v>220</v>
      </c>
      <c r="AD24" t="s">
        <v>233</v>
      </c>
    </row>
    <row r="25" spans="1:32" ht="14.65" thickBot="1" x14ac:dyDescent="0.5">
      <c r="F25" s="33"/>
      <c r="P25" s="41"/>
      <c r="Q25" s="41"/>
      <c r="R25" s="41"/>
      <c r="S25" s="41"/>
    </row>
    <row r="26" spans="1:32" ht="15" customHeight="1" x14ac:dyDescent="0.9">
      <c r="B26" s="35"/>
      <c r="C26" s="35"/>
      <c r="D26" s="35"/>
      <c r="E26" s="35"/>
      <c r="F26" s="35"/>
      <c r="I26" s="53"/>
      <c r="J26" s="51"/>
      <c r="K26" s="53"/>
      <c r="L26" s="53"/>
      <c r="P26" s="58"/>
      <c r="Q26" s="59"/>
      <c r="R26" s="58"/>
      <c r="S26" s="58"/>
      <c r="W26" s="35"/>
      <c r="X26" s="37"/>
      <c r="Y26" s="35"/>
      <c r="Z26" s="35"/>
      <c r="AB26" s="53"/>
      <c r="AC26" s="51"/>
      <c r="AD26" s="53"/>
      <c r="AE26" s="53"/>
      <c r="AF26" s="58"/>
    </row>
    <row r="27" spans="1:32" ht="29" customHeight="1" thickBot="1" x14ac:dyDescent="0.5">
      <c r="B27" s="41"/>
      <c r="C27" s="52" t="s">
        <v>66</v>
      </c>
      <c r="D27" s="52" t="s">
        <v>65</v>
      </c>
      <c r="E27" s="52" t="s">
        <v>67</v>
      </c>
      <c r="I27" s="42"/>
      <c r="J27" s="52" t="s">
        <v>66</v>
      </c>
      <c r="K27" s="43" t="s">
        <v>65</v>
      </c>
      <c r="L27" s="43" t="s">
        <v>67</v>
      </c>
      <c r="P27" s="42"/>
      <c r="Q27" s="52" t="s">
        <v>66</v>
      </c>
      <c r="R27" s="43" t="s">
        <v>65</v>
      </c>
      <c r="S27" s="43" t="s">
        <v>67</v>
      </c>
      <c r="W27" s="42"/>
      <c r="X27" s="52" t="s">
        <v>66</v>
      </c>
      <c r="Y27" s="43" t="s">
        <v>65</v>
      </c>
      <c r="Z27" s="43" t="s">
        <v>67</v>
      </c>
      <c r="AB27" s="42"/>
      <c r="AC27" s="52" t="s">
        <v>66</v>
      </c>
      <c r="AD27" s="43" t="s">
        <v>65</v>
      </c>
      <c r="AE27" s="43" t="s">
        <v>67</v>
      </c>
      <c r="AF27" s="63"/>
    </row>
    <row r="28" spans="1:32" ht="14.75" customHeight="1" x14ac:dyDescent="0.9">
      <c r="B28" s="53"/>
      <c r="C28" s="52" t="s">
        <v>68</v>
      </c>
      <c r="D28" s="53"/>
      <c r="E28" s="53"/>
      <c r="F28" s="35"/>
      <c r="I28" s="53"/>
      <c r="J28" s="51" t="s">
        <v>68</v>
      </c>
      <c r="K28" s="53"/>
      <c r="L28" s="53"/>
      <c r="P28" s="53"/>
      <c r="Q28" s="51" t="s">
        <v>68</v>
      </c>
      <c r="R28" s="53"/>
      <c r="S28" s="53"/>
      <c r="W28" s="53"/>
      <c r="X28" s="51" t="s">
        <v>68</v>
      </c>
      <c r="Y28" s="53"/>
      <c r="Z28" s="53"/>
      <c r="AB28" s="53"/>
      <c r="AC28" s="51" t="s">
        <v>68</v>
      </c>
      <c r="AD28" s="53"/>
      <c r="AE28" s="53"/>
      <c r="AF28" s="58"/>
    </row>
    <row r="29" spans="1:32" x14ac:dyDescent="0.45">
      <c r="B29" s="41"/>
      <c r="C29" s="51" t="s">
        <v>69</v>
      </c>
      <c r="D29" s="54">
        <v>0</v>
      </c>
      <c r="E29" s="54">
        <v>0.4</v>
      </c>
      <c r="I29" s="41"/>
      <c r="J29" s="51" t="s">
        <v>69</v>
      </c>
      <c r="K29" s="56">
        <v>0.05</v>
      </c>
      <c r="L29" s="56">
        <v>0.45</v>
      </c>
      <c r="P29" s="41"/>
      <c r="Q29" s="51" t="s">
        <v>69</v>
      </c>
      <c r="R29" s="56">
        <v>0.05</v>
      </c>
      <c r="S29" s="56">
        <v>0.45</v>
      </c>
      <c r="W29" s="41"/>
      <c r="X29" s="51" t="s">
        <v>69</v>
      </c>
      <c r="Y29" s="56">
        <v>0.04</v>
      </c>
      <c r="Z29" s="56">
        <v>0.44</v>
      </c>
      <c r="AB29" s="41"/>
      <c r="AC29" s="51" t="s">
        <v>69</v>
      </c>
      <c r="AD29" s="56">
        <v>0.09</v>
      </c>
      <c r="AE29" s="56">
        <v>0.49</v>
      </c>
      <c r="AF29" s="64"/>
    </row>
    <row r="30" spans="1:32" x14ac:dyDescent="0.45">
      <c r="B30" s="41"/>
      <c r="C30" s="51" t="s">
        <v>70</v>
      </c>
      <c r="D30" s="54">
        <v>0</v>
      </c>
      <c r="E30" s="54">
        <v>0.45</v>
      </c>
      <c r="I30" s="41"/>
      <c r="J30" s="51" t="s">
        <v>70</v>
      </c>
      <c r="K30" s="56">
        <v>0.05</v>
      </c>
      <c r="L30" s="56">
        <v>0.55000000000000004</v>
      </c>
      <c r="P30" s="41"/>
      <c r="Q30" s="51" t="s">
        <v>70</v>
      </c>
      <c r="R30" s="56">
        <v>0.05</v>
      </c>
      <c r="S30" s="56">
        <v>0.55000000000000004</v>
      </c>
      <c r="W30" s="41"/>
      <c r="X30" s="51" t="s">
        <v>70</v>
      </c>
      <c r="Y30" s="56">
        <v>0.27</v>
      </c>
      <c r="Z30" s="56">
        <v>0.67</v>
      </c>
      <c r="AB30" s="41"/>
      <c r="AC30" s="51" t="s">
        <v>70</v>
      </c>
      <c r="AD30" s="56">
        <v>0.36</v>
      </c>
      <c r="AE30" s="56">
        <v>0.76</v>
      </c>
      <c r="AF30" s="64"/>
    </row>
    <row r="31" spans="1:32" ht="16.5" customHeight="1" x14ac:dyDescent="0.45">
      <c r="B31" s="41"/>
      <c r="C31" s="51" t="s">
        <v>71</v>
      </c>
      <c r="D31" s="54">
        <v>0</v>
      </c>
      <c r="E31" s="54">
        <v>0.12</v>
      </c>
      <c r="I31" s="41"/>
      <c r="J31" s="51" t="s">
        <v>71</v>
      </c>
      <c r="K31" s="56">
        <v>0</v>
      </c>
      <c r="L31" s="56">
        <v>0.1</v>
      </c>
      <c r="P31" s="41"/>
      <c r="Q31" s="51" t="s">
        <v>71</v>
      </c>
      <c r="R31" s="56">
        <v>0</v>
      </c>
      <c r="S31" s="56">
        <v>0.1</v>
      </c>
      <c r="W31" s="41"/>
      <c r="X31" s="51" t="s">
        <v>71</v>
      </c>
      <c r="Y31" s="56">
        <v>0</v>
      </c>
      <c r="Z31" s="56">
        <v>7.0000000000000007E-2</v>
      </c>
      <c r="AB31" s="41"/>
      <c r="AC31" s="51" t="s">
        <v>71</v>
      </c>
      <c r="AD31" s="56">
        <v>0</v>
      </c>
      <c r="AE31" s="56">
        <v>0.1</v>
      </c>
      <c r="AF31" s="64"/>
    </row>
    <row r="32" spans="1:32" x14ac:dyDescent="0.45">
      <c r="B32" s="41"/>
      <c r="C32" s="51" t="s">
        <v>72</v>
      </c>
      <c r="D32" s="54">
        <v>0</v>
      </c>
      <c r="E32" s="54">
        <v>0.1</v>
      </c>
      <c r="I32" s="41"/>
      <c r="J32" s="51" t="s">
        <v>72</v>
      </c>
      <c r="K32" s="56">
        <v>0</v>
      </c>
      <c r="L32" s="56">
        <v>0.08</v>
      </c>
      <c r="P32" s="41"/>
      <c r="Q32" s="51" t="s">
        <v>72</v>
      </c>
      <c r="R32" s="56">
        <v>0</v>
      </c>
      <c r="S32" s="56">
        <v>0.08</v>
      </c>
      <c r="W32" s="41"/>
      <c r="X32" s="51" t="s">
        <v>72</v>
      </c>
      <c r="Y32" s="56">
        <v>0</v>
      </c>
      <c r="Z32" s="56">
        <v>0.08</v>
      </c>
      <c r="AB32" s="41"/>
      <c r="AC32" s="51" t="s">
        <v>72</v>
      </c>
      <c r="AD32" s="56">
        <v>0</v>
      </c>
      <c r="AE32" s="56">
        <v>0.1</v>
      </c>
      <c r="AF32" s="64"/>
    </row>
    <row r="33" spans="1:32" ht="14.65" thickBot="1" x14ac:dyDescent="0.5">
      <c r="B33" s="41"/>
      <c r="C33" s="51" t="s">
        <v>73</v>
      </c>
      <c r="D33" s="54">
        <v>0</v>
      </c>
      <c r="E33" s="54">
        <v>0.1</v>
      </c>
      <c r="I33" s="41"/>
      <c r="J33" s="51" t="s">
        <v>73</v>
      </c>
      <c r="K33" s="56">
        <v>0</v>
      </c>
      <c r="L33" s="56">
        <v>0.1</v>
      </c>
      <c r="P33" s="41"/>
      <c r="Q33" s="51" t="s">
        <v>73</v>
      </c>
      <c r="R33" s="56">
        <v>0</v>
      </c>
      <c r="S33" s="56">
        <v>0.1</v>
      </c>
      <c r="W33" s="41"/>
      <c r="X33" s="51" t="s">
        <v>73</v>
      </c>
      <c r="Y33" s="56">
        <v>0</v>
      </c>
      <c r="Z33" s="56">
        <v>0.2</v>
      </c>
      <c r="AB33" s="41"/>
      <c r="AC33" s="51" t="s">
        <v>73</v>
      </c>
      <c r="AD33" s="56">
        <v>0</v>
      </c>
      <c r="AE33" s="56">
        <v>0.3</v>
      </c>
      <c r="AF33" s="64"/>
    </row>
    <row r="34" spans="1:32" ht="30.75" x14ac:dyDescent="0.9">
      <c r="B34" s="53"/>
      <c r="C34" s="51" t="s">
        <v>74</v>
      </c>
      <c r="D34" s="53"/>
      <c r="E34" s="53"/>
      <c r="F34" s="35"/>
      <c r="I34" s="53"/>
      <c r="J34" s="51" t="s">
        <v>74</v>
      </c>
      <c r="K34" s="57"/>
      <c r="L34" s="57"/>
      <c r="P34" s="53"/>
      <c r="Q34" s="51" t="s">
        <v>74</v>
      </c>
      <c r="R34" s="57"/>
      <c r="S34" s="57"/>
      <c r="W34" s="53"/>
      <c r="X34" s="51" t="s">
        <v>74</v>
      </c>
      <c r="Y34" s="57"/>
      <c r="Z34" s="57"/>
      <c r="AB34" s="53"/>
      <c r="AC34" s="51" t="s">
        <v>74</v>
      </c>
      <c r="AD34" s="57"/>
      <c r="AE34" s="57"/>
      <c r="AF34" s="60"/>
    </row>
    <row r="35" spans="1:32" x14ac:dyDescent="0.45">
      <c r="B35" s="41"/>
      <c r="C35" s="51" t="s">
        <v>47</v>
      </c>
      <c r="D35" s="54">
        <v>0.1</v>
      </c>
      <c r="E35" s="54">
        <v>0.6</v>
      </c>
      <c r="I35" s="41"/>
      <c r="J35" s="51" t="s">
        <v>47</v>
      </c>
      <c r="K35" s="56">
        <v>0</v>
      </c>
      <c r="L35" s="56">
        <v>0.4</v>
      </c>
      <c r="P35" s="41"/>
      <c r="Q35" s="51" t="s">
        <v>47</v>
      </c>
      <c r="R35" s="56">
        <v>0</v>
      </c>
      <c r="S35" s="56">
        <v>0.4</v>
      </c>
      <c r="W35" s="41"/>
      <c r="X35" s="51" t="s">
        <v>47</v>
      </c>
      <c r="Y35" s="56">
        <v>0</v>
      </c>
      <c r="Z35" s="56">
        <v>0.4</v>
      </c>
      <c r="AB35" s="41"/>
      <c r="AC35" s="51" t="s">
        <v>47</v>
      </c>
      <c r="AD35" s="56">
        <v>0</v>
      </c>
      <c r="AE35" s="56">
        <v>0.28000000000000003</v>
      </c>
      <c r="AF35" s="64"/>
    </row>
    <row r="36" spans="1:32" x14ac:dyDescent="0.45">
      <c r="B36" s="41"/>
      <c r="C36" s="51" t="s">
        <v>75</v>
      </c>
      <c r="D36" s="54">
        <v>0.08</v>
      </c>
      <c r="E36" s="54">
        <v>0.6</v>
      </c>
      <c r="I36" s="41"/>
      <c r="J36" s="51" t="s">
        <v>75</v>
      </c>
      <c r="K36" s="56">
        <v>0</v>
      </c>
      <c r="L36" s="56">
        <v>0.4</v>
      </c>
      <c r="P36" s="41"/>
      <c r="Q36" s="51" t="s">
        <v>75</v>
      </c>
      <c r="R36" s="56">
        <v>0</v>
      </c>
      <c r="S36" s="56">
        <v>0.3</v>
      </c>
      <c r="W36" s="41"/>
      <c r="X36" s="51" t="s">
        <v>75</v>
      </c>
      <c r="Y36" s="56">
        <v>0</v>
      </c>
      <c r="Z36" s="56">
        <v>0.26</v>
      </c>
      <c r="AB36" s="41"/>
      <c r="AC36" s="51" t="s">
        <v>75</v>
      </c>
      <c r="AD36" s="56">
        <v>0</v>
      </c>
      <c r="AE36" s="56">
        <v>0.24</v>
      </c>
      <c r="AF36" s="64"/>
    </row>
    <row r="37" spans="1:32" x14ac:dyDescent="0.45">
      <c r="B37" s="41"/>
      <c r="C37" s="51" t="s">
        <v>76</v>
      </c>
      <c r="D37" s="54">
        <v>0.01</v>
      </c>
      <c r="E37" s="54">
        <v>0.4</v>
      </c>
      <c r="I37" s="41"/>
      <c r="J37" s="51" t="s">
        <v>76</v>
      </c>
      <c r="K37" s="56">
        <v>0.01</v>
      </c>
      <c r="L37" s="56">
        <v>0.4</v>
      </c>
      <c r="P37" s="41"/>
      <c r="Q37" s="51" t="s">
        <v>76</v>
      </c>
      <c r="R37" s="56">
        <v>0.01</v>
      </c>
      <c r="S37" s="56">
        <v>0.2</v>
      </c>
      <c r="W37" s="41"/>
      <c r="X37" s="51" t="s">
        <v>76</v>
      </c>
      <c r="Y37" s="56">
        <v>0.01</v>
      </c>
      <c r="Z37" s="56">
        <v>0.15</v>
      </c>
      <c r="AB37" s="41"/>
      <c r="AC37" s="51" t="s">
        <v>76</v>
      </c>
      <c r="AD37" s="56">
        <v>0.01</v>
      </c>
      <c r="AE37" s="56">
        <v>0.15</v>
      </c>
      <c r="AF37" s="64"/>
    </row>
    <row r="38" spans="1:32" x14ac:dyDescent="0.45">
      <c r="B38" s="44"/>
      <c r="C38" s="51" t="s">
        <v>77</v>
      </c>
      <c r="D38" s="45"/>
      <c r="E38" s="45"/>
      <c r="I38" s="44"/>
      <c r="J38" s="51" t="s">
        <v>77</v>
      </c>
      <c r="K38" s="46"/>
      <c r="L38" s="46"/>
      <c r="P38" s="44"/>
      <c r="Q38" s="51" t="s">
        <v>77</v>
      </c>
      <c r="R38" s="46"/>
      <c r="S38" s="46"/>
      <c r="W38" s="44"/>
      <c r="X38" s="51" t="s">
        <v>77</v>
      </c>
      <c r="Y38" s="46"/>
      <c r="Z38" s="46"/>
      <c r="AB38" s="44"/>
      <c r="AC38" s="51" t="s">
        <v>77</v>
      </c>
      <c r="AD38" s="46"/>
      <c r="AE38" s="46"/>
      <c r="AF38" s="65"/>
    </row>
    <row r="39" spans="1:32" ht="14.65" thickBot="1" x14ac:dyDescent="0.5">
      <c r="B39" s="41"/>
      <c r="C39" s="41"/>
      <c r="D39" s="55"/>
      <c r="E39" s="45"/>
      <c r="I39" s="41"/>
      <c r="J39" s="51"/>
      <c r="K39" s="55"/>
      <c r="L39" s="45"/>
      <c r="P39" s="41"/>
      <c r="Q39" s="51"/>
      <c r="R39" s="55"/>
      <c r="S39" s="45"/>
      <c r="W39" s="41"/>
      <c r="X39" s="51"/>
      <c r="Y39" s="55"/>
      <c r="Z39" s="45"/>
      <c r="AB39" s="41"/>
      <c r="AC39" s="51"/>
      <c r="AD39" s="55"/>
      <c r="AE39" s="45"/>
      <c r="AF39" s="47"/>
    </row>
    <row r="40" spans="1:32" ht="15" customHeight="1" x14ac:dyDescent="0.9">
      <c r="B40" s="53"/>
      <c r="C40" s="51"/>
      <c r="D40" s="53"/>
      <c r="E40" s="53"/>
      <c r="F40" s="35"/>
      <c r="I40" s="53"/>
      <c r="J40" s="51"/>
      <c r="K40" s="53"/>
      <c r="L40" s="53"/>
      <c r="P40" s="53"/>
      <c r="Q40" s="51"/>
      <c r="R40" s="53"/>
      <c r="S40" s="53"/>
      <c r="W40" s="53"/>
      <c r="X40" s="51"/>
      <c r="Y40" s="53"/>
      <c r="Z40" s="53"/>
      <c r="AB40" s="53"/>
      <c r="AC40" s="51"/>
      <c r="AD40" s="53"/>
      <c r="AE40" s="53"/>
      <c r="AF40" s="58"/>
    </row>
    <row r="41" spans="1:32" x14ac:dyDescent="0.45">
      <c r="B41" s="48">
        <v>1</v>
      </c>
      <c r="C41" s="51" t="s">
        <v>129</v>
      </c>
      <c r="D41" s="49">
        <v>4.4999999999999997E-3</v>
      </c>
      <c r="E41" s="49"/>
      <c r="I41" s="48">
        <v>1</v>
      </c>
      <c r="J41" s="51" t="s">
        <v>129</v>
      </c>
      <c r="K41" s="77">
        <v>4.4999999999999997E-3</v>
      </c>
      <c r="L41" s="77"/>
      <c r="P41" s="48">
        <v>1</v>
      </c>
      <c r="Q41" s="51" t="s">
        <v>129</v>
      </c>
      <c r="R41" s="77">
        <v>4.4999999999999997E-3</v>
      </c>
      <c r="S41" s="77"/>
      <c r="W41" s="48">
        <v>1</v>
      </c>
      <c r="X41" s="51" t="s">
        <v>129</v>
      </c>
      <c r="Y41" s="77">
        <v>4.4999999999999997E-3</v>
      </c>
      <c r="Z41" s="77"/>
      <c r="AB41" s="48">
        <v>1</v>
      </c>
      <c r="AC41" s="51" t="s">
        <v>129</v>
      </c>
      <c r="AD41" s="77">
        <v>4.4999999999999997E-3</v>
      </c>
      <c r="AE41" s="77"/>
      <c r="AF41" s="66"/>
    </row>
    <row r="43" spans="1:32" x14ac:dyDescent="0.45">
      <c r="A43" s="50"/>
      <c r="B43" s="50"/>
      <c r="C43" s="50"/>
      <c r="D43" s="50"/>
      <c r="I43" s="50"/>
      <c r="J43" s="50"/>
      <c r="K43" s="50"/>
      <c r="P43" s="50"/>
      <c r="Q43" s="50"/>
      <c r="R43" s="50"/>
      <c r="W43" s="50"/>
      <c r="X43" s="50"/>
      <c r="Y43" s="50"/>
      <c r="AB43" s="50"/>
      <c r="AC43" s="50"/>
      <c r="AD43" s="50"/>
    </row>
    <row r="44" spans="1:32" x14ac:dyDescent="0.45">
      <c r="A44" s="50"/>
      <c r="C44" s="50"/>
      <c r="D44" s="50"/>
      <c r="I44" s="50"/>
      <c r="J44" s="50"/>
      <c r="K44" s="50"/>
      <c r="P44" s="50"/>
      <c r="Q44" s="50"/>
      <c r="R44" s="50"/>
      <c r="W44" s="50"/>
      <c r="X44" s="50"/>
      <c r="Y44" s="50"/>
      <c r="AB44" s="50"/>
      <c r="AC44" s="50"/>
      <c r="AD44" s="50"/>
    </row>
    <row r="45" spans="1:32" x14ac:dyDescent="0.45">
      <c r="A45" s="50"/>
      <c r="C45" s="50"/>
      <c r="D45" s="50"/>
      <c r="I45" s="50"/>
      <c r="J45" s="50"/>
      <c r="K45" s="50"/>
      <c r="P45" s="50"/>
      <c r="Q45" s="50"/>
      <c r="R45" s="50"/>
      <c r="W45" s="50"/>
      <c r="X45" s="50"/>
      <c r="Y45" s="50"/>
      <c r="AB45" s="50"/>
      <c r="AC45" s="50"/>
      <c r="AD45" s="50"/>
    </row>
    <row r="46" spans="1:32" x14ac:dyDescent="0.45">
      <c r="A46" s="50"/>
      <c r="C46" s="50"/>
      <c r="D46" s="50"/>
      <c r="I46" s="50"/>
      <c r="J46" s="50"/>
      <c r="K46" s="50"/>
      <c r="P46" s="50"/>
      <c r="Q46" s="50"/>
      <c r="R46" s="50"/>
      <c r="W46" s="50"/>
      <c r="X46" s="50"/>
      <c r="Y46" s="50"/>
      <c r="AB46" s="50"/>
      <c r="AC46" s="50"/>
      <c r="AD46" s="50"/>
    </row>
    <row r="47" spans="1:32" x14ac:dyDescent="0.45">
      <c r="A47" s="50"/>
      <c r="C47" s="50"/>
      <c r="D47" s="50"/>
      <c r="I47" s="50"/>
      <c r="J47" s="50"/>
      <c r="K47" s="50"/>
      <c r="P47" s="50"/>
      <c r="Q47" s="50"/>
      <c r="R47" s="50"/>
      <c r="W47" s="50"/>
      <c r="X47" s="50"/>
      <c r="Y47" s="50"/>
      <c r="AB47" s="50"/>
      <c r="AC47" s="50"/>
      <c r="AD47" s="50"/>
    </row>
    <row r="48" spans="1:32" x14ac:dyDescent="0.45">
      <c r="A48" s="50"/>
      <c r="C48" s="50"/>
      <c r="D48" s="50"/>
      <c r="I48" s="50"/>
      <c r="J48" s="50"/>
      <c r="K48" s="50"/>
      <c r="P48" s="50"/>
      <c r="Q48" s="50"/>
      <c r="R48" s="50"/>
      <c r="W48" s="50"/>
      <c r="X48" s="50"/>
      <c r="Y48" s="50"/>
      <c r="AB48" s="50"/>
      <c r="AC48" s="50"/>
      <c r="AD48" s="50"/>
    </row>
    <row r="49" spans="1:30" x14ac:dyDescent="0.45">
      <c r="A49" s="50"/>
      <c r="C49" s="50"/>
      <c r="D49" s="50"/>
      <c r="I49" s="50"/>
      <c r="J49" s="50"/>
      <c r="K49" s="50"/>
      <c r="P49" s="50"/>
      <c r="Q49" s="50"/>
      <c r="R49" s="50"/>
      <c r="W49" s="50"/>
      <c r="X49" s="50"/>
      <c r="Y49" s="50"/>
      <c r="AB49" s="50"/>
      <c r="AC49" s="50"/>
      <c r="AD49" s="50"/>
    </row>
    <row r="50" spans="1:30" x14ac:dyDescent="0.45">
      <c r="A50" s="50"/>
      <c r="C50" s="50"/>
      <c r="D50" s="50"/>
      <c r="I50" s="50"/>
      <c r="J50" s="50"/>
      <c r="K50" s="50"/>
      <c r="P50" s="50"/>
      <c r="Q50" s="50"/>
      <c r="R50" s="50"/>
      <c r="W50" s="50"/>
      <c r="X50" s="50"/>
      <c r="Y50" s="50"/>
      <c r="AB50" s="50"/>
      <c r="AC50" s="50"/>
      <c r="AD50" s="50"/>
    </row>
    <row r="51" spans="1:30" x14ac:dyDescent="0.45">
      <c r="A51" s="50"/>
      <c r="C51" s="50"/>
      <c r="D51" s="50"/>
      <c r="I51" s="50"/>
      <c r="J51" s="50"/>
      <c r="K51" s="50"/>
      <c r="P51" s="50"/>
      <c r="Q51" s="50"/>
      <c r="R51" s="50"/>
      <c r="W51" s="50"/>
      <c r="X51" s="50"/>
      <c r="Y51" s="50"/>
      <c r="AB51" s="50"/>
      <c r="AC51" s="50"/>
      <c r="AD51" s="50"/>
    </row>
    <row r="52" spans="1:30" x14ac:dyDescent="0.45">
      <c r="A52" s="50"/>
      <c r="C52" s="50"/>
      <c r="D52" s="50"/>
      <c r="I52" s="50"/>
      <c r="J52" s="50"/>
      <c r="K52" s="50"/>
      <c r="P52" s="50"/>
      <c r="Q52" s="50"/>
      <c r="R52" s="50"/>
      <c r="W52" s="50"/>
      <c r="X52" s="50"/>
      <c r="Y52" s="50"/>
      <c r="AB52" s="50"/>
      <c r="AC52" s="50"/>
      <c r="AD52" s="50"/>
    </row>
    <row r="53" spans="1:30" x14ac:dyDescent="0.45">
      <c r="A53" s="50"/>
      <c r="C53" s="50"/>
      <c r="D53" s="50"/>
      <c r="I53" s="50"/>
      <c r="J53" s="50"/>
      <c r="K53" s="50"/>
      <c r="P53" s="50"/>
      <c r="Q53" s="50"/>
      <c r="R53" s="50"/>
      <c r="W53" s="50"/>
      <c r="X53" s="50"/>
      <c r="Y53" s="50"/>
      <c r="AB53" s="50"/>
      <c r="AC53" s="50"/>
      <c r="AD53" s="50"/>
    </row>
    <row r="54" spans="1:30" x14ac:dyDescent="0.45">
      <c r="A54" s="50"/>
      <c r="C54" s="50"/>
      <c r="D54" s="50"/>
      <c r="I54" s="50"/>
      <c r="J54" s="50"/>
      <c r="K54" s="50"/>
      <c r="P54" s="50"/>
      <c r="Q54" s="50"/>
      <c r="R54" s="50"/>
      <c r="W54" s="50"/>
      <c r="X54" s="50"/>
      <c r="Y54" s="50"/>
      <c r="AB54" s="50"/>
      <c r="AC54" s="50"/>
      <c r="AD54" s="50"/>
    </row>
    <row r="55" spans="1:30" x14ac:dyDescent="0.45">
      <c r="A55" s="50"/>
      <c r="C55" s="50"/>
      <c r="D55" s="50"/>
      <c r="I55" s="50"/>
      <c r="J55" s="50"/>
      <c r="K55" s="50"/>
      <c r="P55" s="50"/>
      <c r="Q55" s="50"/>
      <c r="R55" s="50"/>
      <c r="W55" s="50"/>
      <c r="X55" s="50"/>
      <c r="Y55" s="50"/>
      <c r="AB55" s="50"/>
      <c r="AC55" s="50"/>
      <c r="AD55" s="50"/>
    </row>
    <row r="56" spans="1:30" x14ac:dyDescent="0.45">
      <c r="A56" s="50"/>
      <c r="C56" s="50"/>
      <c r="D56" s="50"/>
      <c r="I56" s="50"/>
      <c r="J56" s="50"/>
      <c r="K56" s="50"/>
      <c r="P56" s="50"/>
      <c r="Q56" s="50"/>
      <c r="R56" s="50"/>
      <c r="W56" s="50"/>
      <c r="X56" s="50"/>
      <c r="Y56" s="50"/>
      <c r="AB56" s="50"/>
      <c r="AC56" s="50"/>
      <c r="AD56" s="50"/>
    </row>
    <row r="57" spans="1:30" x14ac:dyDescent="0.45">
      <c r="A57" s="50"/>
      <c r="C57" s="50"/>
      <c r="D57" s="50"/>
      <c r="I57" s="50"/>
      <c r="J57" s="50"/>
      <c r="K57" s="50"/>
      <c r="P57" s="50"/>
      <c r="Q57" s="50"/>
      <c r="R57" s="50"/>
      <c r="W57" s="50"/>
      <c r="X57" s="50"/>
      <c r="Y57" s="50"/>
      <c r="AB57" s="50"/>
      <c r="AC57" s="50"/>
      <c r="AD57" s="50"/>
    </row>
    <row r="58" spans="1:30" x14ac:dyDescent="0.45">
      <c r="A58" s="50"/>
      <c r="C58" s="50"/>
      <c r="D58" s="50"/>
      <c r="I58" s="50"/>
      <c r="J58" s="50"/>
      <c r="K58" s="50"/>
      <c r="P58" s="50"/>
      <c r="Q58" s="50"/>
      <c r="R58" s="50"/>
      <c r="W58" s="50"/>
      <c r="X58" s="50"/>
      <c r="Y58" s="50"/>
      <c r="AB58" s="50"/>
      <c r="AC58" s="50"/>
      <c r="AD58" s="50"/>
    </row>
    <row r="59" spans="1:30" x14ac:dyDescent="0.45">
      <c r="A59" s="50"/>
      <c r="B59" s="50"/>
      <c r="C59" s="50"/>
      <c r="D59" s="50"/>
    </row>
    <row r="60" spans="1:30" x14ac:dyDescent="0.45">
      <c r="A60" s="50"/>
      <c r="B60" s="50"/>
      <c r="C60" s="50"/>
      <c r="D60" s="50"/>
    </row>
  </sheetData>
  <mergeCells count="4">
    <mergeCell ref="AD41:AE41"/>
    <mergeCell ref="Y41:Z41"/>
    <mergeCell ref="R41:S41"/>
    <mergeCell ref="K41:L4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FEB08-95BB-4F2C-A774-ABE971D64740}">
  <sheetPr codeName="Sheet6"/>
  <dimension ref="A3:T46"/>
  <sheetViews>
    <sheetView workbookViewId="0">
      <selection activeCell="L12" sqref="L12"/>
    </sheetView>
  </sheetViews>
  <sheetFormatPr defaultRowHeight="14.25" x14ac:dyDescent="0.45"/>
  <cols>
    <col min="1" max="1" width="22.06640625" bestFit="1" customWidth="1"/>
    <col min="2" max="2" width="14.06640625" bestFit="1" customWidth="1"/>
    <col min="3" max="4" width="7.73046875" bestFit="1" customWidth="1"/>
    <col min="5" max="5" width="14.86328125" customWidth="1"/>
  </cols>
  <sheetData>
    <row r="3" spans="1:20" ht="60" customHeight="1" x14ac:dyDescent="0.45">
      <c r="B3" s="22" t="s">
        <v>234</v>
      </c>
      <c r="C3" s="22"/>
      <c r="D3" s="22"/>
      <c r="E3" s="22" t="s">
        <v>235</v>
      </c>
      <c r="F3" s="22"/>
      <c r="G3" s="22"/>
      <c r="H3" t="s">
        <v>236</v>
      </c>
    </row>
    <row r="4" spans="1:20" ht="32.25" customHeight="1" x14ac:dyDescent="0.45">
      <c r="A4" s="22" t="s">
        <v>262</v>
      </c>
      <c r="B4" s="22" t="s">
        <v>237</v>
      </c>
      <c r="C4" s="22" t="s">
        <v>238</v>
      </c>
      <c r="D4" s="22" t="s">
        <v>239</v>
      </c>
      <c r="E4" s="22" t="s">
        <v>237</v>
      </c>
      <c r="F4" s="22" t="s">
        <v>238</v>
      </c>
      <c r="G4" s="22" t="s">
        <v>239</v>
      </c>
      <c r="H4" t="s">
        <v>237</v>
      </c>
      <c r="I4" t="s">
        <v>238</v>
      </c>
      <c r="J4" t="s">
        <v>239</v>
      </c>
    </row>
    <row r="5" spans="1:20" x14ac:dyDescent="0.45">
      <c r="A5" s="22" t="s">
        <v>240</v>
      </c>
      <c r="B5" s="73">
        <v>0.98</v>
      </c>
      <c r="C5" s="73">
        <v>0.98136999999999996</v>
      </c>
      <c r="D5" s="73">
        <v>1</v>
      </c>
      <c r="E5" s="73">
        <v>0.97318199999999999</v>
      </c>
      <c r="F5" s="73">
        <v>0.98301400000000005</v>
      </c>
      <c r="G5" s="73">
        <v>1</v>
      </c>
      <c r="H5" s="72">
        <v>0.97697900000000004</v>
      </c>
      <c r="I5" s="72">
        <v>0.97702699999999998</v>
      </c>
      <c r="J5" s="73">
        <v>0.97935300000000003</v>
      </c>
      <c r="L5" s="72"/>
      <c r="M5" s="72"/>
      <c r="N5" s="72"/>
      <c r="O5" s="72"/>
      <c r="P5" s="72"/>
      <c r="Q5" s="72"/>
      <c r="R5" s="72"/>
      <c r="S5" s="72"/>
      <c r="T5" s="72"/>
    </row>
    <row r="6" spans="1:20" x14ac:dyDescent="0.45">
      <c r="A6" s="22" t="s">
        <v>241</v>
      </c>
      <c r="B6" s="73">
        <v>0.97</v>
      </c>
      <c r="C6" s="73">
        <v>0.97494199999999998</v>
      </c>
      <c r="D6" s="73">
        <v>1</v>
      </c>
      <c r="E6" s="73">
        <v>0.96114100000000002</v>
      </c>
      <c r="F6" s="73">
        <v>0.96215399999999995</v>
      </c>
      <c r="G6" s="73">
        <v>1</v>
      </c>
      <c r="H6" s="72">
        <v>0.95487599999999995</v>
      </c>
      <c r="I6" s="72">
        <v>0.96137700000000004</v>
      </c>
      <c r="J6" s="73">
        <v>0.98982199999999998</v>
      </c>
      <c r="L6" s="72"/>
      <c r="M6" s="72"/>
      <c r="N6" s="72"/>
      <c r="O6" s="72"/>
      <c r="P6" s="72"/>
      <c r="Q6" s="72"/>
      <c r="R6" s="72"/>
      <c r="S6" s="72"/>
      <c r="T6" s="72"/>
    </row>
    <row r="7" spans="1:20" x14ac:dyDescent="0.45">
      <c r="A7" s="22" t="s">
        <v>242</v>
      </c>
      <c r="B7" s="73">
        <v>0.96</v>
      </c>
      <c r="C7" s="73">
        <v>0.96625399999999995</v>
      </c>
      <c r="D7" s="73">
        <v>1</v>
      </c>
      <c r="E7" s="73">
        <v>0.95528299999999999</v>
      </c>
      <c r="F7" s="73">
        <v>0.95889100000000005</v>
      </c>
      <c r="G7" s="73">
        <v>1</v>
      </c>
      <c r="H7" s="72">
        <v>0.94988799999999995</v>
      </c>
      <c r="I7" s="72">
        <v>0.95862999999999998</v>
      </c>
      <c r="J7" s="73">
        <v>0.98982199999999998</v>
      </c>
      <c r="L7" s="72"/>
      <c r="M7" s="72"/>
      <c r="N7" s="72"/>
      <c r="O7" s="72"/>
      <c r="P7" s="72"/>
      <c r="Q7" s="72"/>
      <c r="R7" s="72"/>
      <c r="S7" s="72"/>
      <c r="T7" s="72"/>
    </row>
    <row r="8" spans="1:20" x14ac:dyDescent="0.45">
      <c r="A8" s="22" t="s">
        <v>243</v>
      </c>
      <c r="B8" s="73">
        <v>0.97</v>
      </c>
      <c r="C8" s="73">
        <v>0.97522600000000004</v>
      </c>
      <c r="D8" s="73">
        <v>1</v>
      </c>
      <c r="E8" s="73">
        <v>0.96273900000000001</v>
      </c>
      <c r="F8" s="73">
        <v>0.97137799999999996</v>
      </c>
      <c r="G8" s="73">
        <v>1</v>
      </c>
      <c r="H8" s="72">
        <v>0.96641900000000003</v>
      </c>
      <c r="I8" s="72">
        <v>0.97198499999999999</v>
      </c>
      <c r="J8" s="73">
        <v>0.98982199999999998</v>
      </c>
      <c r="L8" s="72"/>
      <c r="M8" s="72"/>
      <c r="N8" s="72"/>
      <c r="O8" s="72"/>
      <c r="P8" s="72"/>
      <c r="Q8" s="72"/>
      <c r="R8" s="72"/>
      <c r="S8" s="72"/>
      <c r="T8" s="72"/>
    </row>
    <row r="9" spans="1:20" x14ac:dyDescent="0.45">
      <c r="A9" s="22" t="s">
        <v>244</v>
      </c>
      <c r="B9" s="73">
        <v>0.98</v>
      </c>
      <c r="C9" s="73">
        <v>0.98994400000000005</v>
      </c>
      <c r="D9" s="73">
        <v>1</v>
      </c>
      <c r="E9" s="73">
        <v>0.97648900000000005</v>
      </c>
      <c r="F9" s="73">
        <v>0.98408499999999999</v>
      </c>
      <c r="G9" s="73">
        <v>1</v>
      </c>
      <c r="H9" s="72">
        <v>0.98188500000000001</v>
      </c>
      <c r="I9" s="72">
        <v>0.98509500000000005</v>
      </c>
      <c r="J9" s="73">
        <v>0.98982199999999998</v>
      </c>
      <c r="L9" s="72"/>
      <c r="M9" s="72"/>
      <c r="N9" s="72"/>
      <c r="O9" s="72"/>
      <c r="P9" s="72"/>
      <c r="Q9" s="72"/>
      <c r="R9" s="72"/>
      <c r="S9" s="72"/>
      <c r="T9" s="72"/>
    </row>
    <row r="10" spans="1:20" x14ac:dyDescent="0.45">
      <c r="A10" s="22" t="s">
        <v>245</v>
      </c>
      <c r="B10" s="73">
        <v>0.96</v>
      </c>
      <c r="C10" s="73">
        <v>0.967445</v>
      </c>
      <c r="D10" s="73">
        <v>1</v>
      </c>
      <c r="E10" s="73">
        <v>0.95294900000000005</v>
      </c>
      <c r="F10" s="73">
        <v>0.95658799999999999</v>
      </c>
      <c r="G10" s="73">
        <v>1</v>
      </c>
      <c r="H10" s="72">
        <v>0.952627</v>
      </c>
      <c r="I10" s="72">
        <v>0.96184199999999997</v>
      </c>
      <c r="J10" s="73">
        <v>0.98982199999999998</v>
      </c>
      <c r="L10" s="72"/>
      <c r="M10" s="72"/>
      <c r="N10" s="72"/>
      <c r="O10" s="72"/>
      <c r="P10" s="72"/>
      <c r="Q10" s="72"/>
      <c r="R10" s="72"/>
      <c r="S10" s="72"/>
      <c r="T10" s="72"/>
    </row>
    <row r="11" spans="1:20" x14ac:dyDescent="0.45">
      <c r="A11" s="22" t="s">
        <v>246</v>
      </c>
      <c r="B11" s="73">
        <v>0.98</v>
      </c>
      <c r="C11" s="73">
        <v>0.98329100000000003</v>
      </c>
      <c r="D11" s="73">
        <v>1</v>
      </c>
      <c r="E11" s="73">
        <v>0.97331299999999998</v>
      </c>
      <c r="F11" s="73">
        <v>0.97338800000000003</v>
      </c>
      <c r="G11" s="73">
        <v>1</v>
      </c>
      <c r="H11" s="72">
        <v>0.96800699999999995</v>
      </c>
      <c r="I11" s="72">
        <v>0.97628899999999996</v>
      </c>
      <c r="J11" s="73">
        <v>0.98982199999999998</v>
      </c>
      <c r="L11" s="72"/>
      <c r="M11" s="72"/>
      <c r="N11" s="72"/>
      <c r="O11" s="72"/>
      <c r="P11" s="72"/>
      <c r="Q11" s="72"/>
      <c r="R11" s="72"/>
      <c r="S11" s="72"/>
      <c r="T11" s="72"/>
    </row>
    <row r="12" spans="1:20" ht="30" customHeight="1" x14ac:dyDescent="0.45">
      <c r="A12" s="22" t="s">
        <v>247</v>
      </c>
      <c r="B12" s="73">
        <v>0.96</v>
      </c>
      <c r="C12" s="73">
        <v>0.96902299999999997</v>
      </c>
      <c r="D12" s="73">
        <v>1</v>
      </c>
      <c r="E12" s="73">
        <v>0.95867400000000003</v>
      </c>
      <c r="F12" s="73">
        <v>0.96173299999999995</v>
      </c>
      <c r="G12" s="73">
        <v>1</v>
      </c>
      <c r="H12" s="72">
        <v>0.96093300000000004</v>
      </c>
      <c r="I12" s="72">
        <v>0.96435599999999999</v>
      </c>
      <c r="J12" s="73">
        <v>0.98982199999999998</v>
      </c>
      <c r="L12" s="72"/>
      <c r="M12" s="72"/>
      <c r="N12" s="72"/>
      <c r="O12" s="72"/>
      <c r="P12" s="72"/>
      <c r="Q12" s="72"/>
      <c r="R12" s="72"/>
      <c r="S12" s="72"/>
      <c r="T12" s="72"/>
    </row>
    <row r="13" spans="1:20" ht="63" customHeight="1" x14ac:dyDescent="0.45">
      <c r="A13" s="22" t="s">
        <v>260</v>
      </c>
      <c r="B13" s="73">
        <v>0.96</v>
      </c>
      <c r="C13" s="73">
        <v>0.964086</v>
      </c>
      <c r="D13" s="73">
        <v>1</v>
      </c>
      <c r="E13" s="73">
        <v>0.95851399999999998</v>
      </c>
      <c r="F13" s="73">
        <v>0.95943000000000001</v>
      </c>
      <c r="G13" s="73">
        <v>1</v>
      </c>
      <c r="H13" s="72">
        <v>0.95672199999999996</v>
      </c>
      <c r="I13" s="72">
        <v>0.96389400000000003</v>
      </c>
      <c r="J13" s="73">
        <v>0.98982199999999998</v>
      </c>
      <c r="L13" s="72"/>
      <c r="M13" s="72"/>
      <c r="N13" s="72"/>
      <c r="O13" s="72"/>
      <c r="P13" s="72"/>
      <c r="Q13" s="72"/>
      <c r="R13" s="72"/>
      <c r="S13" s="72"/>
      <c r="T13" s="72"/>
    </row>
    <row r="14" spans="1:20" x14ac:dyDescent="0.45">
      <c r="A14" s="22" t="s">
        <v>261</v>
      </c>
      <c r="B14" s="73">
        <v>0.97</v>
      </c>
      <c r="C14" s="73">
        <v>0.97101700000000002</v>
      </c>
      <c r="D14" s="73">
        <v>1</v>
      </c>
      <c r="E14" s="73">
        <v>0.969024</v>
      </c>
      <c r="F14" s="73">
        <v>0.97461699999999996</v>
      </c>
      <c r="G14" s="73">
        <v>1</v>
      </c>
      <c r="H14" s="72">
        <v>0.97419299999999998</v>
      </c>
      <c r="I14" s="72">
        <v>0.98317399999999999</v>
      </c>
      <c r="J14" s="73">
        <v>0.98982199999999998</v>
      </c>
      <c r="L14" s="72"/>
      <c r="M14" s="72"/>
      <c r="N14" s="72"/>
      <c r="O14" s="72"/>
      <c r="P14" s="72"/>
      <c r="Q14" s="72"/>
      <c r="R14" s="72"/>
      <c r="S14" s="72"/>
      <c r="T14" s="72"/>
    </row>
    <row r="15" spans="1:20" x14ac:dyDescent="0.45">
      <c r="A15" s="22"/>
      <c r="B15" s="22"/>
      <c r="C15" s="22"/>
      <c r="D15" s="22"/>
      <c r="E15" s="22"/>
      <c r="F15" s="22"/>
      <c r="G15" s="22"/>
    </row>
    <row r="16" spans="1:20" x14ac:dyDescent="0.45">
      <c r="A16" s="22"/>
      <c r="B16" s="22"/>
      <c r="C16" s="22"/>
      <c r="D16" s="22"/>
      <c r="E16" s="22"/>
      <c r="F16" s="22"/>
      <c r="G16" s="22"/>
    </row>
    <row r="17" spans="1:7" x14ac:dyDescent="0.45">
      <c r="A17" s="22"/>
      <c r="B17" s="22"/>
      <c r="C17" s="22"/>
      <c r="D17" s="22"/>
      <c r="E17" s="22"/>
      <c r="F17" s="22"/>
      <c r="G17" s="22"/>
    </row>
    <row r="18" spans="1:7" x14ac:dyDescent="0.45">
      <c r="A18" s="22"/>
      <c r="B18" s="22"/>
      <c r="C18" s="22"/>
      <c r="D18" s="22"/>
      <c r="E18" s="22"/>
      <c r="F18" s="22"/>
      <c r="G18" s="22"/>
    </row>
    <row r="46" spans="1:1" ht="15.75" x14ac:dyDescent="0.45">
      <c r="A46" s="15"/>
    </row>
  </sheetData>
  <phoneticPr fontId="1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42544-092D-4F09-94D7-435C4B0CE094}">
  <sheetPr codeName="Sheet7"/>
  <dimension ref="A1:K13"/>
  <sheetViews>
    <sheetView workbookViewId="0">
      <selection activeCell="F18" sqref="F18"/>
    </sheetView>
  </sheetViews>
  <sheetFormatPr defaultRowHeight="14.25" x14ac:dyDescent="0.45"/>
  <cols>
    <col min="1" max="1" width="29.53125" customWidth="1"/>
    <col min="2" max="2" width="11.6640625" bestFit="1" customWidth="1"/>
    <col min="3" max="3" width="6.33203125" bestFit="1" customWidth="1"/>
    <col min="4" max="4" width="9" bestFit="1" customWidth="1"/>
    <col min="5" max="5" width="6.33203125" bestFit="1" customWidth="1"/>
    <col min="6" max="6" width="8.33203125" bestFit="1" customWidth="1"/>
    <col min="7" max="7" width="7.265625" bestFit="1" customWidth="1"/>
    <col min="8" max="8" width="10.33203125" bestFit="1" customWidth="1"/>
    <col min="9" max="9" width="11" bestFit="1" customWidth="1"/>
    <col min="10" max="10" width="11.33203125" bestFit="1" customWidth="1"/>
  </cols>
  <sheetData>
    <row r="1" spans="1:11" ht="55.9" customHeight="1" x14ac:dyDescent="0.45">
      <c r="A1" s="12" t="s">
        <v>78</v>
      </c>
    </row>
    <row r="5" spans="1:11" x14ac:dyDescent="0.45">
      <c r="A5" t="s">
        <v>79</v>
      </c>
      <c r="B5" t="s">
        <v>248</v>
      </c>
      <c r="D5" t="s">
        <v>249</v>
      </c>
      <c r="F5" t="s">
        <v>250</v>
      </c>
      <c r="H5" t="s">
        <v>68</v>
      </c>
      <c r="J5" t="s">
        <v>251</v>
      </c>
    </row>
    <row r="6" spans="1:11" x14ac:dyDescent="0.45">
      <c r="B6" t="s">
        <v>252</v>
      </c>
      <c r="C6" t="s">
        <v>253</v>
      </c>
      <c r="D6" t="s">
        <v>252</v>
      </c>
      <c r="E6" t="s">
        <v>253</v>
      </c>
      <c r="F6" t="s">
        <v>252</v>
      </c>
      <c r="G6" t="s">
        <v>253</v>
      </c>
      <c r="H6" t="s">
        <v>252</v>
      </c>
      <c r="I6" t="s">
        <v>253</v>
      </c>
      <c r="J6" t="s">
        <v>252</v>
      </c>
      <c r="K6" t="s">
        <v>253</v>
      </c>
    </row>
    <row r="7" spans="1:11" x14ac:dyDescent="0.45">
      <c r="A7" t="s">
        <v>254</v>
      </c>
      <c r="B7" s="72">
        <v>4.2000000000000003E-2</v>
      </c>
      <c r="C7" s="72">
        <v>4.1000000000000002E-2</v>
      </c>
      <c r="D7" s="72">
        <v>7.8E-2</v>
      </c>
      <c r="E7" s="72">
        <v>7.9000000000000001E-2</v>
      </c>
      <c r="F7" s="72">
        <v>0.104</v>
      </c>
      <c r="G7" s="72">
        <v>0.10199999999999999</v>
      </c>
      <c r="H7" s="72">
        <v>0.13100000000000001</v>
      </c>
      <c r="I7" s="72">
        <v>0.13300000000000001</v>
      </c>
      <c r="J7" s="72">
        <v>0.152</v>
      </c>
      <c r="K7" s="72">
        <v>0.15</v>
      </c>
    </row>
    <row r="8" spans="1:11" x14ac:dyDescent="0.45">
      <c r="A8" t="s">
        <v>255</v>
      </c>
      <c r="B8" s="72">
        <v>-3.1E-2</v>
      </c>
      <c r="C8" s="72">
        <v>-3.2000000000000001E-2</v>
      </c>
      <c r="D8" s="72">
        <v>-6.2E-2</v>
      </c>
      <c r="E8" s="72">
        <v>-6.0999999999999999E-2</v>
      </c>
      <c r="F8" s="72">
        <v>-8.4000000000000005E-2</v>
      </c>
      <c r="G8" s="72">
        <v>-8.3000000000000004E-2</v>
      </c>
      <c r="H8" s="72">
        <v>-0.107</v>
      </c>
      <c r="I8" s="72">
        <v>-0.108</v>
      </c>
      <c r="J8" s="72">
        <v>-0.121</v>
      </c>
      <c r="K8" s="72">
        <v>-0.12</v>
      </c>
    </row>
    <row r="9" spans="1:11" x14ac:dyDescent="0.45">
      <c r="A9" t="s">
        <v>256</v>
      </c>
      <c r="B9" s="72">
        <v>-1.7999999999999999E-2</v>
      </c>
      <c r="C9" s="72">
        <v>-1.9E-2</v>
      </c>
      <c r="D9" s="72">
        <v>-3.2000000000000001E-2</v>
      </c>
      <c r="E9" s="72">
        <v>-3.3000000000000002E-2</v>
      </c>
      <c r="F9" s="72">
        <v>-4.5999999999999999E-2</v>
      </c>
      <c r="G9" s="72">
        <v>-4.4999999999999998E-2</v>
      </c>
      <c r="H9" s="72">
        <v>-5.7000000000000002E-2</v>
      </c>
      <c r="I9" s="72">
        <v>-5.8000000000000003E-2</v>
      </c>
      <c r="J9" s="72">
        <v>-7.1999999999999995E-2</v>
      </c>
      <c r="K9" s="72">
        <v>-7.0999999999999994E-2</v>
      </c>
    </row>
    <row r="10" spans="1:11" x14ac:dyDescent="0.45">
      <c r="A10" t="s">
        <v>257</v>
      </c>
      <c r="B10" s="72">
        <v>2.4E-2</v>
      </c>
      <c r="C10" s="72">
        <v>2.3E-2</v>
      </c>
      <c r="D10" s="72">
        <v>3.7999999999999999E-2</v>
      </c>
      <c r="E10" s="72">
        <v>3.9E-2</v>
      </c>
      <c r="F10" s="72">
        <v>5.0999999999999997E-2</v>
      </c>
      <c r="G10" s="72">
        <v>5.1999999999999998E-2</v>
      </c>
      <c r="H10" s="72">
        <v>6.4000000000000001E-2</v>
      </c>
      <c r="I10" s="72">
        <v>6.3E-2</v>
      </c>
      <c r="J10" s="72">
        <v>8.2000000000000003E-2</v>
      </c>
      <c r="K10" s="72">
        <v>8.1000000000000003E-2</v>
      </c>
    </row>
    <row r="11" spans="1:11" x14ac:dyDescent="0.45">
      <c r="A11" t="s">
        <v>117</v>
      </c>
      <c r="B11" s="72">
        <v>-7.0000000000000001E-3</v>
      </c>
      <c r="C11" s="72">
        <v>-8.0000000000000002E-3</v>
      </c>
      <c r="D11" s="72">
        <v>-1.4E-2</v>
      </c>
      <c r="E11" s="72">
        <v>-1.2999999999999999E-2</v>
      </c>
      <c r="F11" s="72">
        <v>-2.3E-2</v>
      </c>
      <c r="G11" s="72">
        <v>-2.1999999999999999E-2</v>
      </c>
      <c r="H11" s="72">
        <v>-3.1E-2</v>
      </c>
      <c r="I11" s="72">
        <v>-0.03</v>
      </c>
      <c r="J11" s="72">
        <v>-4.2000000000000003E-2</v>
      </c>
      <c r="K11" s="72">
        <v>-4.1000000000000002E-2</v>
      </c>
    </row>
    <row r="12" spans="1:11" x14ac:dyDescent="0.45">
      <c r="A12" t="s">
        <v>118</v>
      </c>
      <c r="B12" s="72">
        <v>-5.1999999999999998E-2</v>
      </c>
      <c r="C12" s="72">
        <v>-5.0999999999999997E-2</v>
      </c>
      <c r="D12" s="72">
        <v>-9.8000000000000004E-2</v>
      </c>
      <c r="E12" s="72">
        <v>-9.7000000000000003E-2</v>
      </c>
      <c r="F12" s="72">
        <v>-0.13400000000000001</v>
      </c>
      <c r="G12" s="72">
        <v>-0.13200000000000001</v>
      </c>
      <c r="H12" s="72">
        <v>-0.17100000000000001</v>
      </c>
      <c r="I12" s="72">
        <v>-0.17299999999999999</v>
      </c>
      <c r="J12" s="72">
        <v>-0.20399999999999999</v>
      </c>
      <c r="K12" s="72">
        <v>-0.20200000000000001</v>
      </c>
    </row>
    <row r="13" spans="1:11" x14ac:dyDescent="0.45">
      <c r="A13" t="s">
        <v>258</v>
      </c>
      <c r="B13" s="72">
        <v>-2.3E-2</v>
      </c>
      <c r="C13" s="72">
        <v>-2.4E-2</v>
      </c>
      <c r="D13" s="72">
        <v>-3.6999999999999998E-2</v>
      </c>
      <c r="E13" s="72">
        <v>-3.7999999999999999E-2</v>
      </c>
      <c r="F13" s="72">
        <v>-5.0999999999999997E-2</v>
      </c>
      <c r="G13" s="72">
        <v>-0.05</v>
      </c>
      <c r="H13" s="72">
        <v>-6.8000000000000005E-2</v>
      </c>
      <c r="I13" s="72">
        <v>-6.9000000000000006E-2</v>
      </c>
      <c r="J13" s="72">
        <v>-8.4000000000000005E-2</v>
      </c>
      <c r="K13" s="72">
        <v>-8.2000000000000003E-2</v>
      </c>
    </row>
  </sheetData>
  <phoneticPr fontId="10"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D198-108B-4166-BADD-64B947BEDED9}">
  <dimension ref="B3:K47"/>
  <sheetViews>
    <sheetView topLeftCell="C1" workbookViewId="0">
      <selection activeCell="K4" sqref="K4"/>
    </sheetView>
  </sheetViews>
  <sheetFormatPr defaultRowHeight="14.25" x14ac:dyDescent="0.45"/>
  <cols>
    <col min="1" max="1" width="26.1328125" customWidth="1"/>
    <col min="2" max="2" width="16.46484375" customWidth="1"/>
    <col min="3" max="3" width="55.1328125" customWidth="1"/>
    <col min="4" max="4" width="47.6640625" customWidth="1"/>
    <col min="5" max="5" width="18.59765625" bestFit="1" customWidth="1"/>
    <col min="6" max="6" width="14.46484375" bestFit="1" customWidth="1"/>
    <col min="7" max="7" width="79.265625" customWidth="1"/>
    <col min="8" max="8" width="21.265625" customWidth="1"/>
    <col min="9" max="9" width="26.59765625" customWidth="1"/>
    <col min="10" max="10" width="20.33203125" customWidth="1"/>
    <col min="11" max="11" width="40.59765625" bestFit="1" customWidth="1"/>
  </cols>
  <sheetData>
    <row r="3" spans="2:11" x14ac:dyDescent="0.45">
      <c r="B3" s="67" t="s">
        <v>165</v>
      </c>
      <c r="C3" s="67" t="s">
        <v>170</v>
      </c>
      <c r="D3" s="67" t="s">
        <v>135</v>
      </c>
      <c r="E3" s="67" t="s">
        <v>176</v>
      </c>
      <c r="F3" s="13" t="s">
        <v>80</v>
      </c>
      <c r="G3" s="13" t="s">
        <v>119</v>
      </c>
      <c r="H3" s="13" t="s">
        <v>81</v>
      </c>
      <c r="I3" s="13" t="s">
        <v>120</v>
      </c>
      <c r="J3" s="13" t="s">
        <v>121</v>
      </c>
      <c r="K3" s="13" t="s">
        <v>82</v>
      </c>
    </row>
    <row r="4" spans="2:11" x14ac:dyDescent="0.45">
      <c r="B4" s="68" t="s">
        <v>164</v>
      </c>
      <c r="C4" s="68" t="s">
        <v>157</v>
      </c>
      <c r="D4" s="68" t="s">
        <v>177</v>
      </c>
      <c r="E4" s="68" t="s">
        <v>178</v>
      </c>
      <c r="G4" s="70" t="s">
        <v>197</v>
      </c>
      <c r="H4" s="74">
        <v>7.2659999999999999E-3</v>
      </c>
      <c r="I4" s="74"/>
    </row>
    <row r="5" spans="2:11" x14ac:dyDescent="0.45">
      <c r="B5" s="68" t="s">
        <v>152</v>
      </c>
      <c r="C5" s="68" t="s">
        <v>171</v>
      </c>
      <c r="D5" s="68" t="s">
        <v>179</v>
      </c>
      <c r="E5" s="68" t="s">
        <v>178</v>
      </c>
      <c r="G5" s="70" t="s">
        <v>198</v>
      </c>
      <c r="H5" s="74">
        <v>7.4250000000000002E-3</v>
      </c>
      <c r="I5" s="74"/>
    </row>
    <row r="6" spans="2:11" x14ac:dyDescent="0.45">
      <c r="B6" s="68" t="s">
        <v>136</v>
      </c>
      <c r="C6" s="68" t="s">
        <v>137</v>
      </c>
      <c r="D6" s="68" t="s">
        <v>180</v>
      </c>
      <c r="E6" s="68" t="s">
        <v>178</v>
      </c>
      <c r="G6" s="70" t="s">
        <v>199</v>
      </c>
      <c r="H6" s="74">
        <v>6.2570000000000004E-3</v>
      </c>
      <c r="I6" s="74"/>
    </row>
    <row r="7" spans="2:11" x14ac:dyDescent="0.45">
      <c r="B7" s="68" t="s">
        <v>160</v>
      </c>
      <c r="C7" s="68" t="s">
        <v>161</v>
      </c>
      <c r="D7" s="68" t="s">
        <v>181</v>
      </c>
      <c r="E7" s="68" t="s">
        <v>178</v>
      </c>
      <c r="G7" s="70" t="s">
        <v>200</v>
      </c>
      <c r="H7" s="74">
        <v>3.5969999999999999E-3</v>
      </c>
      <c r="I7" s="74"/>
    </row>
    <row r="8" spans="2:11" x14ac:dyDescent="0.45">
      <c r="B8" s="68" t="s">
        <v>162</v>
      </c>
      <c r="C8" s="68" t="s">
        <v>172</v>
      </c>
      <c r="D8" s="68" t="s">
        <v>182</v>
      </c>
      <c r="E8" s="68" t="s">
        <v>178</v>
      </c>
      <c r="G8" s="70" t="s">
        <v>201</v>
      </c>
      <c r="H8" s="74">
        <v>7.0569999999999999E-3</v>
      </c>
      <c r="I8" s="74"/>
    </row>
    <row r="9" spans="2:11" x14ac:dyDescent="0.45">
      <c r="B9" s="68" t="s">
        <v>166</v>
      </c>
      <c r="C9" s="68" t="s">
        <v>173</v>
      </c>
      <c r="D9" s="68" t="s">
        <v>183</v>
      </c>
      <c r="E9" s="68" t="s">
        <v>178</v>
      </c>
      <c r="G9" s="70" t="s">
        <v>202</v>
      </c>
      <c r="H9" s="74">
        <v>2.2829999999999999E-3</v>
      </c>
      <c r="I9" s="74"/>
    </row>
    <row r="10" spans="2:11" x14ac:dyDescent="0.45">
      <c r="B10" s="68" t="s">
        <v>139</v>
      </c>
      <c r="C10" s="68" t="s">
        <v>140</v>
      </c>
      <c r="D10" s="68" t="s">
        <v>184</v>
      </c>
      <c r="E10" s="68" t="s">
        <v>178</v>
      </c>
      <c r="G10" s="70" t="s">
        <v>203</v>
      </c>
      <c r="H10" s="74">
        <v>2.6779999999999998E-3</v>
      </c>
      <c r="I10" s="74"/>
    </row>
    <row r="11" spans="2:11" x14ac:dyDescent="0.45">
      <c r="B11" s="68" t="s">
        <v>141</v>
      </c>
      <c r="C11" s="68" t="s">
        <v>142</v>
      </c>
      <c r="D11" s="68" t="s">
        <v>185</v>
      </c>
      <c r="E11" s="68" t="s">
        <v>178</v>
      </c>
      <c r="G11" s="70" t="s">
        <v>204</v>
      </c>
      <c r="H11" s="74">
        <v>6.698E-3</v>
      </c>
      <c r="I11" s="74"/>
    </row>
    <row r="12" spans="2:11" x14ac:dyDescent="0.45">
      <c r="B12" s="68" t="s">
        <v>167</v>
      </c>
      <c r="C12" s="68" t="s">
        <v>151</v>
      </c>
      <c r="D12" s="68" t="s">
        <v>186</v>
      </c>
      <c r="E12" s="68" t="s">
        <v>178</v>
      </c>
      <c r="G12" s="70" t="s">
        <v>205</v>
      </c>
      <c r="H12" s="74">
        <v>1.761E-3</v>
      </c>
      <c r="I12" s="74"/>
    </row>
    <row r="13" spans="2:11" x14ac:dyDescent="0.45">
      <c r="B13" s="68" t="s">
        <v>149</v>
      </c>
      <c r="C13" s="68" t="s">
        <v>150</v>
      </c>
      <c r="D13" s="68" t="s">
        <v>187</v>
      </c>
      <c r="E13" s="68" t="s">
        <v>178</v>
      </c>
      <c r="G13" s="70" t="s">
        <v>206</v>
      </c>
      <c r="H13" s="74">
        <v>4.2830000000000003E-3</v>
      </c>
      <c r="I13" s="74"/>
    </row>
    <row r="14" spans="2:11" x14ac:dyDescent="0.45">
      <c r="B14" s="68" t="s">
        <v>143</v>
      </c>
      <c r="C14" s="68" t="s">
        <v>144</v>
      </c>
      <c r="D14" s="68" t="s">
        <v>188</v>
      </c>
      <c r="E14" s="68" t="s">
        <v>178</v>
      </c>
      <c r="G14" s="70" t="s">
        <v>207</v>
      </c>
      <c r="H14" s="74">
        <v>5.195E-3</v>
      </c>
      <c r="I14" s="74"/>
    </row>
    <row r="15" spans="2:11" x14ac:dyDescent="0.45">
      <c r="B15" s="68" t="s">
        <v>158</v>
      </c>
      <c r="C15" s="68" t="s">
        <v>159</v>
      </c>
      <c r="D15" s="68" t="s">
        <v>189</v>
      </c>
      <c r="E15" s="68" t="s">
        <v>178</v>
      </c>
      <c r="G15" s="70" t="s">
        <v>208</v>
      </c>
      <c r="H15" s="74">
        <v>6.7330000000000003E-3</v>
      </c>
      <c r="I15" s="74"/>
    </row>
    <row r="16" spans="2:11" x14ac:dyDescent="0.45">
      <c r="B16" s="68" t="s">
        <v>168</v>
      </c>
      <c r="C16" s="68" t="s">
        <v>174</v>
      </c>
      <c r="D16" s="68" t="s">
        <v>190</v>
      </c>
      <c r="E16" s="68" t="s">
        <v>178</v>
      </c>
      <c r="G16" s="70" t="s">
        <v>209</v>
      </c>
      <c r="H16" s="74">
        <v>8.1720000000000004E-3</v>
      </c>
      <c r="I16" s="74"/>
    </row>
    <row r="17" spans="2:9" x14ac:dyDescent="0.45">
      <c r="B17" s="68" t="s">
        <v>153</v>
      </c>
      <c r="C17" s="68" t="s">
        <v>154</v>
      </c>
      <c r="D17" s="68" t="s">
        <v>191</v>
      </c>
      <c r="E17" s="68" t="s">
        <v>178</v>
      </c>
      <c r="G17" s="70" t="s">
        <v>210</v>
      </c>
      <c r="H17" s="74">
        <v>3.4849999999999998E-3</v>
      </c>
      <c r="I17" s="74"/>
    </row>
    <row r="18" spans="2:9" x14ac:dyDescent="0.45">
      <c r="B18" s="68" t="s">
        <v>169</v>
      </c>
      <c r="C18" s="68" t="s">
        <v>175</v>
      </c>
      <c r="D18" s="68" t="s">
        <v>192</v>
      </c>
      <c r="E18" s="68" t="s">
        <v>178</v>
      </c>
      <c r="G18" s="70" t="s">
        <v>211</v>
      </c>
      <c r="H18" s="74">
        <v>7.3709999999999999E-3</v>
      </c>
      <c r="I18" s="74"/>
    </row>
    <row r="19" spans="2:9" x14ac:dyDescent="0.45">
      <c r="B19" s="68" t="s">
        <v>163</v>
      </c>
      <c r="C19" s="68" t="s">
        <v>138</v>
      </c>
      <c r="D19" s="68" t="s">
        <v>193</v>
      </c>
      <c r="E19" s="68" t="s">
        <v>178</v>
      </c>
      <c r="G19" s="70" t="s">
        <v>212</v>
      </c>
      <c r="H19" s="74">
        <v>2.271E-3</v>
      </c>
      <c r="I19" s="74"/>
    </row>
    <row r="20" spans="2:9" x14ac:dyDescent="0.45">
      <c r="B20" s="68" t="s">
        <v>145</v>
      </c>
      <c r="C20" s="68" t="s">
        <v>146</v>
      </c>
      <c r="D20" s="68" t="s">
        <v>194</v>
      </c>
      <c r="E20" s="68" t="s">
        <v>178</v>
      </c>
      <c r="G20" s="70" t="s">
        <v>213</v>
      </c>
      <c r="H20" s="74">
        <v>4.1650000000000003E-3</v>
      </c>
      <c r="I20" s="74"/>
    </row>
    <row r="21" spans="2:9" x14ac:dyDescent="0.45">
      <c r="B21" s="68" t="s">
        <v>155</v>
      </c>
      <c r="C21" s="68" t="s">
        <v>156</v>
      </c>
      <c r="D21" s="68" t="s">
        <v>195</v>
      </c>
      <c r="E21" s="68" t="s">
        <v>178</v>
      </c>
      <c r="G21" s="70" t="s">
        <v>214</v>
      </c>
      <c r="H21" s="74">
        <v>2.9269999999999999E-3</v>
      </c>
      <c r="I21" s="74"/>
    </row>
    <row r="22" spans="2:9" x14ac:dyDescent="0.45">
      <c r="B22" s="68" t="s">
        <v>147</v>
      </c>
      <c r="C22" s="68" t="s">
        <v>148</v>
      </c>
      <c r="D22" s="68" t="s">
        <v>196</v>
      </c>
      <c r="E22" s="68" t="s">
        <v>178</v>
      </c>
      <c r="G22" s="70" t="s">
        <v>215</v>
      </c>
      <c r="H22" s="74">
        <v>6.1450000000000003E-3</v>
      </c>
      <c r="I22" s="74"/>
    </row>
    <row r="27" spans="2:9" x14ac:dyDescent="0.45">
      <c r="B27" s="67"/>
      <c r="C27" s="67"/>
      <c r="D27" s="67"/>
    </row>
    <row r="28" spans="2:9" x14ac:dyDescent="0.45">
      <c r="B28" s="69"/>
      <c r="C28" s="68"/>
    </row>
    <row r="29" spans="2:9" x14ac:dyDescent="0.45">
      <c r="B29" s="69"/>
      <c r="C29" s="68"/>
    </row>
    <row r="30" spans="2:9" x14ac:dyDescent="0.45">
      <c r="B30" s="69"/>
      <c r="C30" s="68"/>
    </row>
    <row r="31" spans="2:9" x14ac:dyDescent="0.45">
      <c r="B31" s="69"/>
      <c r="C31" s="68"/>
    </row>
    <row r="32" spans="2:9" x14ac:dyDescent="0.45">
      <c r="B32" s="69"/>
      <c r="C32" s="68"/>
    </row>
    <row r="33" spans="2:3" x14ac:dyDescent="0.45">
      <c r="B33" s="69"/>
      <c r="C33" s="68"/>
    </row>
    <row r="34" spans="2:3" x14ac:dyDescent="0.45">
      <c r="B34" s="69"/>
      <c r="C34" s="68"/>
    </row>
    <row r="35" spans="2:3" x14ac:dyDescent="0.45">
      <c r="B35" s="69"/>
      <c r="C35" s="68"/>
    </row>
    <row r="36" spans="2:3" x14ac:dyDescent="0.45">
      <c r="B36" s="69"/>
      <c r="C36" s="68"/>
    </row>
    <row r="37" spans="2:3" x14ac:dyDescent="0.45">
      <c r="B37" s="69"/>
      <c r="C37" s="68"/>
    </row>
    <row r="38" spans="2:3" x14ac:dyDescent="0.45">
      <c r="B38" s="69"/>
      <c r="C38" s="68"/>
    </row>
    <row r="39" spans="2:3" x14ac:dyDescent="0.45">
      <c r="B39" s="69"/>
      <c r="C39" s="68"/>
    </row>
    <row r="40" spans="2:3" x14ac:dyDescent="0.45">
      <c r="B40" s="69"/>
      <c r="C40" s="68"/>
    </row>
    <row r="41" spans="2:3" x14ac:dyDescent="0.45">
      <c r="B41" s="69"/>
      <c r="C41" s="68"/>
    </row>
    <row r="42" spans="2:3" x14ac:dyDescent="0.45">
      <c r="B42" s="69"/>
      <c r="C42" s="68"/>
    </row>
    <row r="43" spans="2:3" x14ac:dyDescent="0.45">
      <c r="B43" s="69"/>
      <c r="C43" s="68"/>
    </row>
    <row r="44" spans="2:3" x14ac:dyDescent="0.45">
      <c r="B44" s="69"/>
      <c r="C44" s="68"/>
    </row>
    <row r="45" spans="2:3" x14ac:dyDescent="0.45">
      <c r="B45" s="69"/>
      <c r="C45" s="68"/>
    </row>
    <row r="46" spans="2:3" x14ac:dyDescent="0.45">
      <c r="B46" s="69"/>
      <c r="C46" s="68"/>
    </row>
    <row r="47" spans="2:3" x14ac:dyDescent="0.45">
      <c r="B47" s="69"/>
      <c r="C47" s="68"/>
    </row>
  </sheetData>
  <autoFilter ref="B3:D3" xr:uid="{6343D198-108B-4166-BADD-64B947BEDED9}">
    <sortState xmlns:xlrd2="http://schemas.microsoft.com/office/spreadsheetml/2017/richdata2" ref="B4:D25">
      <sortCondition ref="B3"/>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9CD60-1C0A-40BF-A9A4-1A8F8608603C}">
  <sheetPr codeName="Sheet10"/>
  <dimension ref="A1:K1"/>
  <sheetViews>
    <sheetView workbookViewId="0">
      <selection activeCell="L34" sqref="L34"/>
    </sheetView>
  </sheetViews>
  <sheetFormatPr defaultRowHeight="14.25" x14ac:dyDescent="0.45"/>
  <cols>
    <col min="2" max="2" width="10" customWidth="1"/>
  </cols>
  <sheetData>
    <row r="1" spans="1:11" x14ac:dyDescent="0.45">
      <c r="A1" s="13" t="s">
        <v>83</v>
      </c>
      <c r="B1" s="13"/>
      <c r="C1" s="13"/>
      <c r="D1" s="13"/>
      <c r="E1" s="13"/>
      <c r="F1" s="13"/>
      <c r="G1" s="13"/>
      <c r="H1" s="13"/>
      <c r="I1" s="13"/>
      <c r="J1" s="13"/>
      <c r="K1" s="1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c4117a-bbb3-4e1f-8a90-b630a637c5f5" xsi:nil="true"/>
    <lcf76f155ced4ddcb4097134ff3c332f xmlns="b6f0f157-b05d-47b5-a4ad-9104388b9e0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1AAECD4FFAEC24881DE1F6007DB1196" ma:contentTypeVersion="19" ma:contentTypeDescription="Create a new document." ma:contentTypeScope="" ma:versionID="dfaa4fe9fdfaebd2b3fb94fdbc0e2fd9">
  <xsd:schema xmlns:xsd="http://www.w3.org/2001/XMLSchema" xmlns:xs="http://www.w3.org/2001/XMLSchema" xmlns:p="http://schemas.microsoft.com/office/2006/metadata/properties" xmlns:ns2="b6f0f157-b05d-47b5-a4ad-9104388b9e00" xmlns:ns3="695474d6-1b83-4b70-99c6-99f4784a3023" xmlns:ns4="28c4117a-bbb3-4e1f-8a90-b630a637c5f5" targetNamespace="http://schemas.microsoft.com/office/2006/metadata/properties" ma:root="true" ma:fieldsID="87f642a867bb127e08f296f551362199" ns2:_="" ns3:_="" ns4:_="">
    <xsd:import namespace="b6f0f157-b05d-47b5-a4ad-9104388b9e00"/>
    <xsd:import namespace="695474d6-1b83-4b70-99c6-99f4784a3023"/>
    <xsd:import namespace="28c4117a-bbb3-4e1f-8a90-b630a637c5f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f0f157-b05d-47b5-a4ad-9104388b9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0616e0a-51ce-457b-a9c4-6ff1e00dfc5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5474d6-1b83-4b70-99c6-99f4784a30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c4117a-bbb3-4e1f-8a90-b630a637c5f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d9efa9e-e86d-421a-b29c-68cba4ec1ac4}" ma:internalName="TaxCatchAll" ma:showField="CatchAllData" ma:web="695474d6-1b83-4b70-99c6-99f4784a30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569D96-EBC1-4F05-A274-F7D34647513F}">
  <ds:schemaRefs>
    <ds:schemaRef ds:uri="http://schemas.microsoft.com/office/2006/metadata/properties"/>
    <ds:schemaRef ds:uri="http://schemas.microsoft.com/office/infopath/2007/PartnerControls"/>
    <ds:schemaRef ds:uri="28c4117a-bbb3-4e1f-8a90-b630a637c5f5"/>
    <ds:schemaRef ds:uri="b6f0f157-b05d-47b5-a4ad-9104388b9e00"/>
  </ds:schemaRefs>
</ds:datastoreItem>
</file>

<file path=customXml/itemProps2.xml><?xml version="1.0" encoding="utf-8"?>
<ds:datastoreItem xmlns:ds="http://schemas.openxmlformats.org/officeDocument/2006/customXml" ds:itemID="{ADAA858D-17E0-4319-8465-84C2F9CFF8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f0f157-b05d-47b5-a4ad-9104388b9e00"/>
    <ds:schemaRef ds:uri="695474d6-1b83-4b70-99c6-99f4784a3023"/>
    <ds:schemaRef ds:uri="28c4117a-bbb3-4e1f-8a90-b630a637c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299E98-CCB7-43FF-A59F-E13BC180F587}">
  <ds:schemaRefs>
    <ds:schemaRef ds:uri="http://schemas.microsoft.com/sharepoint/v3/contenttype/forms"/>
  </ds:schemaRefs>
</ds:datastoreItem>
</file>

<file path=docMetadata/LabelInfo.xml><?xml version="1.0" encoding="utf-8"?>
<clbl:labelList xmlns:clbl="http://schemas.microsoft.com/office/2020/mipLabelMetadata">
  <clbl:label id="{7d8a056e-981a-4d0b-83ea-062214276430}" enabled="1" method="Standard" siteId="{c64d49cd-d138-4cdb-a5d4-324a4040c74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IM Info</vt:lpstr>
      <vt:lpstr>Invst. team</vt:lpstr>
      <vt:lpstr>Portfolio Details</vt:lpstr>
      <vt:lpstr>Liquidity Testing</vt:lpstr>
      <vt:lpstr>Scenario Testing</vt:lpstr>
      <vt:lpstr>Underlying Funds</vt:lpstr>
      <vt:lpstr>Directy Equity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Brann</dc:creator>
  <cp:keywords/>
  <dc:description/>
  <cp:lastModifiedBy>Danlei Li</cp:lastModifiedBy>
  <cp:revision/>
  <dcterms:created xsi:type="dcterms:W3CDTF">2020-10-20T04:20:17Z</dcterms:created>
  <dcterms:modified xsi:type="dcterms:W3CDTF">2026-05-16T00:12:12Z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8a056e-981a-4d0b-83ea-062214276430_Enabled">
    <vt:lpwstr>true</vt:lpwstr>
  </property>
  <property fmtid="{D5CDD505-2E9C-101B-9397-08002B2CF9AE}" pid="3" name="MSIP_Label_7d8a056e-981a-4d0b-83ea-062214276430_SetDate">
    <vt:lpwstr>2020-10-20T05:10:20Z</vt:lpwstr>
  </property>
  <property fmtid="{D5CDD505-2E9C-101B-9397-08002B2CF9AE}" pid="4" name="MSIP_Label_7d8a056e-981a-4d0b-83ea-062214276430_Method">
    <vt:lpwstr>Standard</vt:lpwstr>
  </property>
  <property fmtid="{D5CDD505-2E9C-101B-9397-08002B2CF9AE}" pid="5" name="MSIP_Label_7d8a056e-981a-4d0b-83ea-062214276430_Name">
    <vt:lpwstr>General</vt:lpwstr>
  </property>
  <property fmtid="{D5CDD505-2E9C-101B-9397-08002B2CF9AE}" pid="6" name="MSIP_Label_7d8a056e-981a-4d0b-83ea-062214276430_SiteId">
    <vt:lpwstr>c64d49cd-d138-4cdb-a5d4-324a4040c74a</vt:lpwstr>
  </property>
  <property fmtid="{D5CDD505-2E9C-101B-9397-08002B2CF9AE}" pid="7" name="MSIP_Label_7d8a056e-981a-4d0b-83ea-062214276430_ActionId">
    <vt:lpwstr>6bb1cc8c-2939-4937-ab22-75da8e2dff9c</vt:lpwstr>
  </property>
  <property fmtid="{D5CDD505-2E9C-101B-9397-08002B2CF9AE}" pid="8" name="MSIP_Label_7d8a056e-981a-4d0b-83ea-062214276430_ContentBits">
    <vt:lpwstr>0</vt:lpwstr>
  </property>
  <property fmtid="{D5CDD505-2E9C-101B-9397-08002B2CF9AE}" pid="9" name="ContentTypeId">
    <vt:lpwstr>0x010100F1AAECD4FFAEC24881DE1F6007DB1196</vt:lpwstr>
  </property>
  <property fmtid="{D5CDD505-2E9C-101B-9397-08002B2CF9AE}" pid="10" name="MediaServiceImageTags">
    <vt:lpwstr/>
  </property>
</Properties>
</file>