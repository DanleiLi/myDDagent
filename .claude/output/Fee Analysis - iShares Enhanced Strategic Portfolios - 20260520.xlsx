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Component" sheetId="2" state="visible" r:id="rId2"/>
    <sheet xmlns:r="http://schemas.openxmlformats.org/officeDocument/2006/relationships" name="Portfolio Hol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B1EEA"/>
        <bgColor rgb="000B1EEA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10" fontId="0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10" fontId="0" fillId="3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IM Fee % p.a.</t>
        </is>
      </c>
      <c r="B1" s="1" t="n">
        <v>0.004500000000000001</v>
      </c>
      <c r="C1" s="1" t="n">
        <v>0.004500000000000001</v>
      </c>
      <c r="D1" s="1" t="n">
        <v>0.004500000000000001</v>
      </c>
      <c r="E1" s="1" t="n">
        <v>0.004500000000000001</v>
      </c>
      <c r="F1" s="1" t="n">
        <v>0.004500000000000001</v>
      </c>
    </row>
    <row r="2">
      <c r="A2" t="inlineStr">
        <is>
          <t>RE Fee % p.a.</t>
        </is>
      </c>
      <c r="B2" s="1" t="n">
        <v>0.0008</v>
      </c>
      <c r="C2" s="1" t="n">
        <v>0.0008</v>
      </c>
      <c r="D2" s="1" t="n">
        <v>0.0008</v>
      </c>
      <c r="E2" s="1" t="n">
        <v>0.0008</v>
      </c>
      <c r="F2" s="1" t="n">
        <v>0.0008</v>
      </c>
    </row>
    <row r="3">
      <c r="A3" s="2" t="inlineStr">
        <is>
          <t>Fee Component</t>
        </is>
      </c>
      <c r="B3" s="2" t="inlineStr">
        <is>
          <t>iShares Enhanced Strategic Conservative</t>
        </is>
      </c>
      <c r="C3" s="2" t="inlineStr">
        <is>
          <t>iShares Enhanced Strategic Moderate</t>
        </is>
      </c>
      <c r="D3" s="2" t="inlineStr">
        <is>
          <t>iShares Enhanced Strategic Balanced</t>
        </is>
      </c>
      <c r="E3" s="2" t="inlineStr">
        <is>
          <t>iShares Enhanced Strategic Growth</t>
        </is>
      </c>
      <c r="F3" s="2" t="inlineStr">
        <is>
          <t>iShares Enhanced Strategic Aggressive</t>
        </is>
      </c>
    </row>
    <row r="4">
      <c r="A4" s="3" t="inlineStr">
        <is>
          <t>Investment management fees % p.a.</t>
        </is>
      </c>
      <c r="B4" s="4">
        <f>(B$1*(1+0.1-0.1*0.75)+B$2*(1+0.1-0.1*0.55))</f>
        <v/>
      </c>
      <c r="C4" s="4">
        <f>(C$1*(1+0.1-0.1*0.75)+C$2*(1+0.1-0.1*0.55))</f>
        <v/>
      </c>
      <c r="D4" s="4">
        <f>(D$1*(1+0.1-0.1*0.75)+D$2*(1+0.1-0.1*0.55))</f>
        <v/>
      </c>
      <c r="E4" s="4">
        <f>(E$1*(1+0.1-0.1*0.75)+E$2*(1+0.1-0.1*0.55))</f>
        <v/>
      </c>
      <c r="F4" s="4">
        <f>(F$1*(1+0.1-0.1*0.75)+F$2*(1+0.1-0.1*0.55))</f>
        <v/>
      </c>
    </row>
    <row r="5">
      <c r="A5" s="5" t="inlineStr">
        <is>
          <t>Rebate % p.a.</t>
        </is>
      </c>
      <c r="B5" s="6">
        <f>SUMPRODUCT('Portfolio Holdings'!$D$2:$D$19,'Component'!$I$2:$I$19)</f>
        <v/>
      </c>
      <c r="C5" s="6">
        <f>SUMPRODUCT('Portfolio Holdings'!$D$20:$D$38,'Component'!$I$20:$I$38)</f>
        <v/>
      </c>
      <c r="D5" s="6">
        <f>SUMPRODUCT('Portfolio Holdings'!$D$39:$D$57,'Component'!$I$39:$I$57)</f>
        <v/>
      </c>
      <c r="E5" s="6">
        <f>SUMPRODUCT('Portfolio Holdings'!$D$58:$D$73,'Component'!$I$58:$I$73)</f>
        <v/>
      </c>
      <c r="F5" s="6">
        <f>SUMPRODUCT('Portfolio Holdings'!$D$74:$D$85,'Component'!$I$74:$I$85)</f>
        <v/>
      </c>
    </row>
    <row r="6">
      <c r="A6" s="3" t="inlineStr">
        <is>
          <t>Estimated underlying management fees % p.a.</t>
        </is>
      </c>
      <c r="B6" s="4">
        <f>SUMPRODUCT('Portfolio Holdings'!$D$2:$D$19,'Component'!$C$2:$C$19)-B5</f>
        <v/>
      </c>
      <c r="C6" s="4">
        <f>SUMPRODUCT('Portfolio Holdings'!$D$20:$D$38,'Component'!$C$20:$C$38)-C5</f>
        <v/>
      </c>
      <c r="D6" s="4">
        <f>SUMPRODUCT('Portfolio Holdings'!$D$39:$D$57,'Component'!$C$39:$C$57)-D5</f>
        <v/>
      </c>
      <c r="E6" s="4">
        <f>SUMPRODUCT('Portfolio Holdings'!$D$58:$D$73,'Component'!$C$58:$C$73)-E5</f>
        <v/>
      </c>
      <c r="F6" s="4">
        <f>SUMPRODUCT('Portfolio Holdings'!$D$74:$D$85,'Component'!$C$74:$C$85)-F5</f>
        <v/>
      </c>
    </row>
    <row r="7">
      <c r="A7" s="5" t="inlineStr">
        <is>
          <t>Estimated managed portfolio cash investment fee % p.a.</t>
        </is>
      </c>
      <c r="B7" s="6">
        <f>SUMPRODUCT('Portfolio Holdings'!$D$2:$D$19,'Component'!$D$2:$D$19)</f>
        <v/>
      </c>
      <c r="C7" s="6">
        <f>SUMPRODUCT('Portfolio Holdings'!$D$20:$D$38,'Component'!$D$20:$D$38)</f>
        <v/>
      </c>
      <c r="D7" s="6">
        <f>SUMPRODUCT('Portfolio Holdings'!$D$39:$D$57,'Component'!$D$39:$D$57)</f>
        <v/>
      </c>
      <c r="E7" s="6">
        <f>SUMPRODUCT('Portfolio Holdings'!$D$58:$D$73,'Component'!$D$58:$D$73)</f>
        <v/>
      </c>
      <c r="F7" s="6">
        <f>SUMPRODUCT('Portfolio Holdings'!$D$74:$D$85,'Component'!$D$74:$D$85)</f>
        <v/>
      </c>
    </row>
    <row r="8">
      <c r="A8" s="5" t="inlineStr">
        <is>
          <t>Portfolio performance fee % p.a.</t>
        </is>
      </c>
      <c r="B8" s="6">
        <f>0</f>
        <v/>
      </c>
      <c r="C8" s="6">
        <f>0</f>
        <v/>
      </c>
      <c r="D8" s="6">
        <f>0</f>
        <v/>
      </c>
      <c r="E8" s="6">
        <f>0</f>
        <v/>
      </c>
      <c r="F8" s="6">
        <f>0</f>
        <v/>
      </c>
    </row>
    <row r="9">
      <c r="A9" s="5" t="inlineStr">
        <is>
          <t>Estimated underlying performance fee % p.a.</t>
        </is>
      </c>
      <c r="B9" s="6">
        <f>SUMPRODUCT('Portfolio Holdings'!$D$2:$D$19,'Component'!$E$2:$E$19)</f>
        <v/>
      </c>
      <c r="C9" s="6">
        <f>SUMPRODUCT('Portfolio Holdings'!$D$20:$D$38,'Component'!$E$20:$E$38)</f>
        <v/>
      </c>
      <c r="D9" s="6">
        <f>SUMPRODUCT('Portfolio Holdings'!$D$39:$D$57,'Component'!$E$39:$E$57)</f>
        <v/>
      </c>
      <c r="E9" s="6">
        <f>SUMPRODUCT('Portfolio Holdings'!$D$58:$D$73,'Component'!$E$58:$E$73)</f>
        <v/>
      </c>
      <c r="F9" s="6">
        <f>SUMPRODUCT('Portfolio Holdings'!$D$74:$D$85,'Component'!$E$74:$E$85)</f>
        <v/>
      </c>
    </row>
    <row r="10">
      <c r="A10" s="5" t="inlineStr">
        <is>
          <t>Estimated gross transaction costs % p.a.</t>
        </is>
      </c>
      <c r="B10" s="6">
        <f>SUMPRODUCT('Portfolio Holdings'!$D$2:$D$19,'Component'!$F$2:$F$19)</f>
        <v/>
      </c>
      <c r="C10" s="6">
        <f>SUMPRODUCT('Portfolio Holdings'!$D$20:$D$38,'Component'!$F$20:$F$38)</f>
        <v/>
      </c>
      <c r="D10" s="6">
        <f>SUMPRODUCT('Portfolio Holdings'!$D$39:$D$57,'Component'!$F$39:$F$57)</f>
        <v/>
      </c>
      <c r="E10" s="6">
        <f>SUMPRODUCT('Portfolio Holdings'!$D$58:$D$73,'Component'!$F$58:$F$73)</f>
        <v/>
      </c>
      <c r="F10" s="6">
        <f>SUMPRODUCT('Portfolio Holdings'!$D$74:$D$85,'Component'!$F$74:$F$85)</f>
        <v/>
      </c>
    </row>
    <row r="11">
      <c r="A11" s="5" t="inlineStr">
        <is>
          <t>Estimated underlying buy spread % p.a.</t>
        </is>
      </c>
      <c r="B11" s="6">
        <f>SUMPRODUCT('Portfolio Holdings'!$D$2:$D$19,'Component'!$G$2:$G$19)</f>
        <v/>
      </c>
      <c r="C11" s="6">
        <f>SUMPRODUCT('Portfolio Holdings'!$D$20:$D$38,'Component'!$G$20:$G$38)</f>
        <v/>
      </c>
      <c r="D11" s="6">
        <f>SUMPRODUCT('Portfolio Holdings'!$D$39:$D$57,'Component'!$G$39:$G$57)</f>
        <v/>
      </c>
      <c r="E11" s="6">
        <f>SUMPRODUCT('Portfolio Holdings'!$D$58:$D$73,'Component'!$G$58:$G$73)</f>
        <v/>
      </c>
      <c r="F11" s="6">
        <f>SUMPRODUCT('Portfolio Holdings'!$D$74:$D$85,'Component'!$G$74:$G$85)</f>
        <v/>
      </c>
    </row>
    <row r="12">
      <c r="A12" s="5" t="inlineStr">
        <is>
          <t>Estimated underlying sell spread % p.a.</t>
        </is>
      </c>
      <c r="B12" s="6">
        <f>SUMPRODUCT('Portfolio Holdings'!$D$2:$D$19,'Component'!$H$2:$H$19)</f>
        <v/>
      </c>
      <c r="C12" s="6">
        <f>SUMPRODUCT('Portfolio Holdings'!$D$20:$D$38,'Component'!$H$20:$H$38)</f>
        <v/>
      </c>
      <c r="D12" s="6">
        <f>SUMPRODUCT('Portfolio Holdings'!$D$39:$D$57,'Component'!$H$39:$H$57)</f>
        <v/>
      </c>
      <c r="E12" s="6">
        <f>SUMPRODUCT('Portfolio Holdings'!$D$58:$D$73,'Component'!$H$58:$H$73)</f>
        <v/>
      </c>
      <c r="F12" s="6">
        <f>SUMPRODUCT('Portfolio Holdings'!$D$74:$D$85,'Component'!$H$74:$H$85)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2" t="inlineStr">
        <is>
          <t>Unit ID</t>
        </is>
      </c>
      <c r="B1" s="2" t="inlineStr">
        <is>
          <t>Unit Name</t>
        </is>
      </c>
      <c r="C1" s="2" t="inlineStr">
        <is>
          <t>Management fees and costs %</t>
        </is>
      </c>
      <c r="D1" s="2" t="inlineStr">
        <is>
          <t>Cash investment fee %</t>
        </is>
      </c>
      <c r="E1" s="2" t="inlineStr">
        <is>
          <t>Performance fees %</t>
        </is>
      </c>
      <c r="F1" s="2" t="inlineStr">
        <is>
          <t>Gross transaction costs %</t>
        </is>
      </c>
      <c r="G1" s="2" t="inlineStr">
        <is>
          <t>Buy spread %</t>
        </is>
      </c>
      <c r="H1" s="2" t="inlineStr">
        <is>
          <t>Sell spread %</t>
        </is>
      </c>
      <c r="I1" s="2" t="inlineStr">
        <is>
          <t>Rebate %</t>
        </is>
      </c>
      <c r="J1" s="2" t="inlineStr">
        <is>
          <t>PDS URL</t>
        </is>
      </c>
    </row>
    <row r="2">
      <c r="A2" t="inlineStr">
        <is>
          <t>AESG</t>
        </is>
      </c>
      <c r="B2" t="inlineStr">
        <is>
          <t>Ishares Global Aggregate Bond Esg (Aud Hedged) Etf</t>
        </is>
      </c>
      <c r="C2" s="7" t="n">
        <v>0.008199999999999999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8" t="inlineStr">
        <is>
          <t>https://www.blackrock.com/au/</t>
        </is>
      </c>
    </row>
    <row r="3">
      <c r="A3" t="inlineStr">
        <is>
          <t>CASHACCT</t>
        </is>
      </c>
      <c r="B3" t="inlineStr">
        <is>
          <t>Cash Account</t>
        </is>
      </c>
      <c r="C3" s="7" t="n">
        <v>0</v>
      </c>
      <c r="D3" s="7" t="n">
        <v>0.014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8" t="inlineStr"/>
    </row>
    <row r="4">
      <c r="A4" t="inlineStr">
        <is>
          <t>EMXC</t>
        </is>
      </c>
      <c r="B4" t="inlineStr">
        <is>
          <t>Ishares Msci Emerging Markets EX China Etf</t>
        </is>
      </c>
      <c r="C4" s="7" t="n">
        <v>0.0017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inlineStr">
        <is>
          <t>https://www.blackrock.com/au/</t>
        </is>
      </c>
    </row>
    <row r="5">
      <c r="A5" t="inlineStr">
        <is>
          <t>GLDN</t>
        </is>
      </c>
      <c r="B5" t="inlineStr">
        <is>
          <t>Ishares Physical Gold Etf</t>
        </is>
      </c>
      <c r="C5" s="7" t="n">
        <v>0.0029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8" t="inlineStr">
        <is>
          <t>https://www.blackrock.com/au/</t>
        </is>
      </c>
    </row>
    <row r="6">
      <c r="A6" t="inlineStr">
        <is>
          <t>GLIN</t>
        </is>
      </c>
      <c r="B6" t="inlineStr">
        <is>
          <t>iShares Core FTSE Global Infrastructure (AUD Hedged) ETF</t>
        </is>
      </c>
      <c r="C6" s="7" t="n">
        <v>0.0077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8" t="inlineStr">
        <is>
          <t>https://www.blackrock.com/au/</t>
        </is>
      </c>
    </row>
    <row r="7">
      <c r="A7" t="inlineStr">
        <is>
          <t>IACT</t>
        </is>
      </c>
      <c r="B7" t="inlineStr">
        <is>
          <t>Ishares U.S. Factor Rotation Active Etf</t>
        </is>
      </c>
      <c r="C7" s="7" t="n">
        <v>0.0031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8" t="inlineStr">
        <is>
          <t>https://www.blackrock.com/au/</t>
        </is>
      </c>
    </row>
    <row r="8">
      <c r="A8" t="inlineStr">
        <is>
          <t>IAF</t>
        </is>
      </c>
      <c r="B8" t="inlineStr">
        <is>
          <t>Ishares Core Composite Bond Etf</t>
        </is>
      </c>
      <c r="C8" s="7" t="n">
        <v>0.008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8" t="inlineStr">
        <is>
          <t>https://www.blackrock.com/au/</t>
        </is>
      </c>
    </row>
    <row r="9">
      <c r="A9" t="inlineStr">
        <is>
          <t>ICOR</t>
        </is>
      </c>
      <c r="B9" t="inlineStr">
        <is>
          <t>Ishares Core Corporate Bond Etf</t>
        </is>
      </c>
      <c r="C9" s="7" t="n">
        <v>0.0005999999999999999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8" t="inlineStr">
        <is>
          <t>https://www.blackrock.com/au/</t>
        </is>
      </c>
    </row>
    <row r="10">
      <c r="A10" t="inlineStr">
        <is>
          <t>IEM</t>
        </is>
      </c>
      <c r="B10" t="inlineStr">
        <is>
          <t>Ishares Msci Emerging Markets Etf</t>
        </is>
      </c>
      <c r="C10" s="7" t="n">
        <v>0.0022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8" t="inlineStr">
        <is>
          <t>https://www.blackrock.com/au/</t>
        </is>
      </c>
    </row>
    <row r="11">
      <c r="A11" t="inlineStr">
        <is>
          <t>IEU</t>
        </is>
      </c>
      <c r="B11" t="inlineStr">
        <is>
          <t>Ishares Europe Etf</t>
        </is>
      </c>
      <c r="C11" s="7" t="n">
        <v>0.0054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8" t="inlineStr">
        <is>
          <t>https://www.blackrock.com/au/</t>
        </is>
      </c>
    </row>
    <row r="12">
      <c r="A12" t="inlineStr">
        <is>
          <t>IGB</t>
        </is>
      </c>
      <c r="B12" t="inlineStr">
        <is>
          <t>Ishares Treasury Etf</t>
        </is>
      </c>
      <c r="C12" s="7" t="n">
        <v>0.007800000000000001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8" t="inlineStr">
        <is>
          <t>https://www.blackrock.com/au/</t>
        </is>
      </c>
    </row>
    <row r="13">
      <c r="A13" t="inlineStr">
        <is>
          <t>IHHY</t>
        </is>
      </c>
      <c r="B13" t="inlineStr">
        <is>
          <t>Ishares Global High Yield Bond (Aud Hedged) Etf</t>
        </is>
      </c>
      <c r="C13" s="7" t="n">
        <v>0.0037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8" t="inlineStr">
        <is>
          <t>https://www.blackrock.com/au/</t>
        </is>
      </c>
    </row>
    <row r="14">
      <c r="A14" t="inlineStr">
        <is>
          <t>IHVV</t>
        </is>
      </c>
      <c r="B14" t="inlineStr">
        <is>
          <t>Ishares S&amp;P 500 Aud Hedged Etf</t>
        </is>
      </c>
      <c r="C14" s="7" t="n">
        <v>0.0046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8" t="inlineStr">
        <is>
          <t>https://www.blackrock.com/au/</t>
        </is>
      </c>
    </row>
    <row r="15">
      <c r="A15" t="inlineStr">
        <is>
          <t>IJP</t>
        </is>
      </c>
      <c r="B15" t="inlineStr">
        <is>
          <t>Ishares Msci Japan Etf</t>
        </is>
      </c>
      <c r="C15" s="7" t="n">
        <v>0.0052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8" t="inlineStr">
        <is>
          <t>https://www.blackrock.com/au/</t>
        </is>
      </c>
    </row>
    <row r="16">
      <c r="A16" t="inlineStr">
        <is>
          <t>ILB</t>
        </is>
      </c>
      <c r="B16" t="inlineStr">
        <is>
          <t>Ishares Government Inflation Etf</t>
        </is>
      </c>
      <c r="C16" s="7" t="n">
        <v>0.0011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8" t="inlineStr">
        <is>
          <t>https://www.blackrock.com/au/</t>
        </is>
      </c>
    </row>
    <row r="17">
      <c r="A17" t="inlineStr">
        <is>
          <t>IOZ</t>
        </is>
      </c>
      <c r="B17" t="inlineStr">
        <is>
          <t>Ishares Core S&amp;P/ASX 200 Etf</t>
        </is>
      </c>
      <c r="C17" s="7" t="n">
        <v>0.0075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8" t="inlineStr">
        <is>
          <t>https://www.blackrock.com/au/</t>
        </is>
      </c>
    </row>
    <row r="18">
      <c r="A18" t="inlineStr">
        <is>
          <t>ISEC</t>
        </is>
      </c>
      <c r="B18" t="inlineStr">
        <is>
          <t>Ishares Enhanced Cash Etf</t>
        </is>
      </c>
      <c r="C18" s="7" t="n">
        <v>0.0073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8" t="inlineStr">
        <is>
          <t>https://www.blackrock.com/au/</t>
        </is>
      </c>
    </row>
    <row r="19">
      <c r="A19" t="inlineStr">
        <is>
          <t>IVV</t>
        </is>
      </c>
      <c r="B19" t="inlineStr">
        <is>
          <t>Ishares S&amp;P 500 Etf</t>
        </is>
      </c>
      <c r="C19" s="7" t="n">
        <v>0.004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8" t="inlineStr">
        <is>
          <t>https://www.blackrock.com/au/</t>
        </is>
      </c>
    </row>
    <row r="20">
      <c r="A20" t="inlineStr">
        <is>
          <t>AESG</t>
        </is>
      </c>
      <c r="B20" t="inlineStr">
        <is>
          <t>Ishares Global Aggregate Bond Esg (Aud Hedged) Etf</t>
        </is>
      </c>
      <c r="C20" s="7" t="n">
        <v>0.008199999999999999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8" t="inlineStr">
        <is>
          <t>https://www.blackrock.com/au/</t>
        </is>
      </c>
    </row>
    <row r="21">
      <c r="A21" t="inlineStr">
        <is>
          <t>CASHACCT</t>
        </is>
      </c>
      <c r="B21" t="inlineStr">
        <is>
          <t>Cash Account</t>
        </is>
      </c>
      <c r="C21" s="7" t="n">
        <v>0</v>
      </c>
      <c r="D21" s="7" t="n">
        <v>0.014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8" t="inlineStr"/>
    </row>
    <row r="22">
      <c r="A22" t="inlineStr">
        <is>
          <t>EMXC</t>
        </is>
      </c>
      <c r="B22" t="inlineStr">
        <is>
          <t>Ishares Msci Emerging Markets EX China Etf</t>
        </is>
      </c>
      <c r="C22" s="7" t="n">
        <v>0.0017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8" t="inlineStr">
        <is>
          <t>https://www.blackrock.com/au/</t>
        </is>
      </c>
    </row>
    <row r="23">
      <c r="A23" t="inlineStr">
        <is>
          <t>GLDN</t>
        </is>
      </c>
      <c r="B23" t="inlineStr">
        <is>
          <t>Ishares Physical Gold Etf</t>
        </is>
      </c>
      <c r="C23" s="7" t="n">
        <v>0.0029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8" t="inlineStr">
        <is>
          <t>https://www.blackrock.com/au/</t>
        </is>
      </c>
    </row>
    <row r="24">
      <c r="A24" t="inlineStr">
        <is>
          <t>GLIN</t>
        </is>
      </c>
      <c r="B24" t="inlineStr">
        <is>
          <t>iShares Core FTSE Global Infrastructure (AUD Hedged) ETF</t>
        </is>
      </c>
      <c r="C24" s="7" t="n">
        <v>0.0077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8" t="inlineStr">
        <is>
          <t>https://www.blackrock.com/au/</t>
        </is>
      </c>
    </row>
    <row r="25">
      <c r="A25" t="inlineStr">
        <is>
          <t>IACT</t>
        </is>
      </c>
      <c r="B25" t="inlineStr">
        <is>
          <t>Ishares U.S. Factor Rotation Active Etf</t>
        </is>
      </c>
      <c r="C25" s="7" t="n">
        <v>0.0031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8" t="inlineStr">
        <is>
          <t>https://www.blackrock.com/au/</t>
        </is>
      </c>
    </row>
    <row r="26">
      <c r="A26" t="inlineStr">
        <is>
          <t>IAF</t>
        </is>
      </c>
      <c r="B26" t="inlineStr">
        <is>
          <t>Ishares Core Composite Bond Etf</t>
        </is>
      </c>
      <c r="C26" s="7" t="n">
        <v>0.008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8" t="inlineStr">
        <is>
          <t>https://www.blackrock.com/au/</t>
        </is>
      </c>
    </row>
    <row r="27">
      <c r="A27" t="inlineStr">
        <is>
          <t>ICOR</t>
        </is>
      </c>
      <c r="B27" t="inlineStr">
        <is>
          <t>Ishares Core Corporate Bond Etf</t>
        </is>
      </c>
      <c r="C27" s="7" t="n">
        <v>0.0005999999999999999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8" t="inlineStr">
        <is>
          <t>https://www.blackrock.com/au/</t>
        </is>
      </c>
    </row>
    <row r="28">
      <c r="A28" t="inlineStr">
        <is>
          <t>IEM</t>
        </is>
      </c>
      <c r="B28" t="inlineStr">
        <is>
          <t>Ishares Msci Emerging Markets Etf</t>
        </is>
      </c>
      <c r="C28" s="7" t="n">
        <v>0.0022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8" t="inlineStr">
        <is>
          <t>https://www.blackrock.com/au/</t>
        </is>
      </c>
    </row>
    <row r="29">
      <c r="A29" t="inlineStr">
        <is>
          <t>IEU</t>
        </is>
      </c>
      <c r="B29" t="inlineStr">
        <is>
          <t>Ishares Europe Etf</t>
        </is>
      </c>
      <c r="C29" s="7" t="n">
        <v>0.0054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8" t="inlineStr">
        <is>
          <t>https://www.blackrock.com/au/</t>
        </is>
      </c>
    </row>
    <row r="30">
      <c r="A30" t="inlineStr">
        <is>
          <t>IGB</t>
        </is>
      </c>
      <c r="B30" t="inlineStr">
        <is>
          <t>Ishares Treasury Etf</t>
        </is>
      </c>
      <c r="C30" s="7" t="n">
        <v>0.007800000000000001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8" t="inlineStr">
        <is>
          <t>https://www.blackrock.com/au/</t>
        </is>
      </c>
    </row>
    <row r="31">
      <c r="A31" t="inlineStr">
        <is>
          <t>IHHY</t>
        </is>
      </c>
      <c r="B31" t="inlineStr">
        <is>
          <t>Ishares Global High Yield Bond (Aud Hedged) Etf</t>
        </is>
      </c>
      <c r="C31" s="7" t="n">
        <v>0.0037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8" t="inlineStr">
        <is>
          <t>https://www.blackrock.com/au/</t>
        </is>
      </c>
    </row>
    <row r="32">
      <c r="A32" t="inlineStr">
        <is>
          <t>IHVV</t>
        </is>
      </c>
      <c r="B32" t="inlineStr">
        <is>
          <t>Ishares S&amp;P 500 Aud Hedged Etf</t>
        </is>
      </c>
      <c r="C32" s="7" t="n">
        <v>0.0046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8" t="inlineStr">
        <is>
          <t>https://www.blackrock.com/au/</t>
        </is>
      </c>
    </row>
    <row r="33">
      <c r="A33" t="inlineStr">
        <is>
          <t>IJP</t>
        </is>
      </c>
      <c r="B33" t="inlineStr">
        <is>
          <t>Ishares Msci Japan Etf</t>
        </is>
      </c>
      <c r="C33" s="7" t="n">
        <v>0.0052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8" t="inlineStr">
        <is>
          <t>https://www.blackrock.com/au/</t>
        </is>
      </c>
    </row>
    <row r="34">
      <c r="A34" t="inlineStr">
        <is>
          <t>ILB</t>
        </is>
      </c>
      <c r="B34" t="inlineStr">
        <is>
          <t>Ishares Government Inflation Etf</t>
        </is>
      </c>
      <c r="C34" s="7" t="n">
        <v>0.0011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8" t="inlineStr">
        <is>
          <t>https://www.blackrock.com/au/</t>
        </is>
      </c>
    </row>
    <row r="35">
      <c r="A35" t="inlineStr">
        <is>
          <t>IOZ</t>
        </is>
      </c>
      <c r="B35" t="inlineStr">
        <is>
          <t>Ishares Core S&amp;P/ASX 200 Etf</t>
        </is>
      </c>
      <c r="C35" s="7" t="n">
        <v>0.0075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8" t="inlineStr">
        <is>
          <t>https://www.blackrock.com/au/</t>
        </is>
      </c>
    </row>
    <row r="36">
      <c r="A36" t="inlineStr">
        <is>
          <t>ISEC</t>
        </is>
      </c>
      <c r="B36" t="inlineStr">
        <is>
          <t>Ishares Enhanced Cash Etf</t>
        </is>
      </c>
      <c r="C36" s="7" t="n">
        <v>0.0073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8" t="inlineStr">
        <is>
          <t>https://www.blackrock.com/au/</t>
        </is>
      </c>
    </row>
    <row r="37">
      <c r="A37" t="inlineStr">
        <is>
          <t>IVV</t>
        </is>
      </c>
      <c r="B37" t="inlineStr">
        <is>
          <t>Ishares S&amp;P 500 Etf</t>
        </is>
      </c>
      <c r="C37" s="7" t="n">
        <v>0.004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8" t="inlineStr">
        <is>
          <t>https://www.blackrock.com/au/</t>
        </is>
      </c>
    </row>
    <row r="38">
      <c r="A38" t="inlineStr">
        <is>
          <t>IZZ</t>
        </is>
      </c>
      <c r="B38" t="inlineStr">
        <is>
          <t>Ishares China Large-Cap Etf</t>
        </is>
      </c>
      <c r="C38" s="7" t="n">
        <v>0.0067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8" t="inlineStr">
        <is>
          <t>https://www.blackrock.com/au/</t>
        </is>
      </c>
    </row>
    <row r="39">
      <c r="A39" t="inlineStr">
        <is>
          <t>AESG</t>
        </is>
      </c>
      <c r="B39" t="inlineStr">
        <is>
          <t>Ishares Global Aggregate Bond Esg (Aud Hedged) Etf</t>
        </is>
      </c>
      <c r="C39" s="7" t="n">
        <v>0.008199999999999999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8" t="inlineStr">
        <is>
          <t>https://www.blackrock.com/au/</t>
        </is>
      </c>
    </row>
    <row r="40">
      <c r="A40" t="inlineStr">
        <is>
          <t>CASHACCT</t>
        </is>
      </c>
      <c r="B40" t="inlineStr">
        <is>
          <t>Cash Account</t>
        </is>
      </c>
      <c r="C40" s="7" t="n">
        <v>0</v>
      </c>
      <c r="D40" s="7" t="n">
        <v>0.014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8" t="inlineStr"/>
    </row>
    <row r="41">
      <c r="A41" t="inlineStr">
        <is>
          <t>EMXC</t>
        </is>
      </c>
      <c r="B41" t="inlineStr">
        <is>
          <t>Ishares Msci Emerging Markets EX China Etf</t>
        </is>
      </c>
      <c r="C41" s="7" t="n">
        <v>0.0017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8" t="inlineStr">
        <is>
          <t>https://www.blackrock.com/au/</t>
        </is>
      </c>
    </row>
    <row r="42">
      <c r="A42" t="inlineStr">
        <is>
          <t>GLDN</t>
        </is>
      </c>
      <c r="B42" t="inlineStr">
        <is>
          <t>Ishares Physical Gold Etf</t>
        </is>
      </c>
      <c r="C42" s="7" t="n">
        <v>0.0029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8" t="inlineStr">
        <is>
          <t>https://www.blackrock.com/au/</t>
        </is>
      </c>
    </row>
    <row r="43">
      <c r="A43" t="inlineStr">
        <is>
          <t>GLIN</t>
        </is>
      </c>
      <c r="B43" t="inlineStr">
        <is>
          <t>iShares Core FTSE Global Infrastructure (AUD Hedged) ETF</t>
        </is>
      </c>
      <c r="C43" s="7" t="n">
        <v>0.0077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8" t="inlineStr">
        <is>
          <t>https://www.blackrock.com/au/</t>
        </is>
      </c>
    </row>
    <row r="44">
      <c r="A44" t="inlineStr">
        <is>
          <t>GLPR</t>
        </is>
      </c>
      <c r="B44" t="inlineStr">
        <is>
          <t>Ishares Ftse Gbl Property EX Aus (Aud Hedged) Etf</t>
        </is>
      </c>
      <c r="C44" s="7" t="n">
        <v>0.0071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8" t="inlineStr">
        <is>
          <t>https://www.blackrock.com/au/</t>
        </is>
      </c>
    </row>
    <row r="45">
      <c r="A45" t="inlineStr">
        <is>
          <t>IACT</t>
        </is>
      </c>
      <c r="B45" t="inlineStr">
        <is>
          <t>Ishares U.S. Factor Rotation Active Etf</t>
        </is>
      </c>
      <c r="C45" s="7" t="n">
        <v>0.0031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8" t="inlineStr">
        <is>
          <t>https://www.blackrock.com/au/</t>
        </is>
      </c>
    </row>
    <row r="46">
      <c r="A46" t="inlineStr">
        <is>
          <t>IAF</t>
        </is>
      </c>
      <c r="B46" t="inlineStr">
        <is>
          <t>Ishares Core Composite Bond Etf</t>
        </is>
      </c>
      <c r="C46" s="7" t="n">
        <v>0.008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8" t="inlineStr">
        <is>
          <t>https://www.blackrock.com/au/</t>
        </is>
      </c>
    </row>
    <row r="47">
      <c r="A47" t="inlineStr">
        <is>
          <t>IEM</t>
        </is>
      </c>
      <c r="B47" t="inlineStr">
        <is>
          <t>Ishares Msci Emerging Markets Etf</t>
        </is>
      </c>
      <c r="C47" s="7" t="n">
        <v>0.0022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8" t="inlineStr">
        <is>
          <t>https://www.blackrock.com/au/</t>
        </is>
      </c>
    </row>
    <row r="48">
      <c r="A48" t="inlineStr">
        <is>
          <t>IEU</t>
        </is>
      </c>
      <c r="B48" t="inlineStr">
        <is>
          <t>Ishares Europe Etf</t>
        </is>
      </c>
      <c r="C48" s="7" t="n">
        <v>0.0054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8" t="inlineStr">
        <is>
          <t>https://www.blackrock.com/au/</t>
        </is>
      </c>
    </row>
    <row r="49">
      <c r="A49" t="inlineStr">
        <is>
          <t>IGB</t>
        </is>
      </c>
      <c r="B49" t="inlineStr">
        <is>
          <t>Ishares Treasury Etf</t>
        </is>
      </c>
      <c r="C49" s="7" t="n">
        <v>0.007800000000000001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8" t="inlineStr">
        <is>
          <t>https://www.blackrock.com/au/</t>
        </is>
      </c>
    </row>
    <row r="50">
      <c r="A50" t="inlineStr">
        <is>
          <t>IHHY</t>
        </is>
      </c>
      <c r="B50" t="inlineStr">
        <is>
          <t>Ishares Global High Yield Bond (Aud Hedged) Etf</t>
        </is>
      </c>
      <c r="C50" s="7" t="n">
        <v>0.0037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8" t="inlineStr">
        <is>
          <t>https://www.blackrock.com/au/</t>
        </is>
      </c>
    </row>
    <row r="51">
      <c r="A51" t="inlineStr">
        <is>
          <t>IHVV</t>
        </is>
      </c>
      <c r="B51" t="inlineStr">
        <is>
          <t>Ishares S&amp;P 500 Aud Hedged Etf</t>
        </is>
      </c>
      <c r="C51" s="7" t="n">
        <v>0.0046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8" t="inlineStr">
        <is>
          <t>https://www.blackrock.com/au/</t>
        </is>
      </c>
    </row>
    <row r="52">
      <c r="A52" t="inlineStr">
        <is>
          <t>IJP</t>
        </is>
      </c>
      <c r="B52" t="inlineStr">
        <is>
          <t>Ishares Msci Japan Etf</t>
        </is>
      </c>
      <c r="C52" s="7" t="n">
        <v>0.0052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8" t="inlineStr">
        <is>
          <t>https://www.blackrock.com/au/</t>
        </is>
      </c>
    </row>
    <row r="53">
      <c r="A53" t="inlineStr">
        <is>
          <t>ILB</t>
        </is>
      </c>
      <c r="B53" t="inlineStr">
        <is>
          <t>Ishares Government Inflation Etf</t>
        </is>
      </c>
      <c r="C53" s="7" t="n">
        <v>0.0011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8" t="inlineStr">
        <is>
          <t>https://www.blackrock.com/au/</t>
        </is>
      </c>
    </row>
    <row r="54">
      <c r="A54" t="inlineStr">
        <is>
          <t>IOZ</t>
        </is>
      </c>
      <c r="B54" t="inlineStr">
        <is>
          <t>Ishares Core S&amp;P/ASX 200 Etf</t>
        </is>
      </c>
      <c r="C54" s="7" t="n">
        <v>0.0075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8" t="inlineStr">
        <is>
          <t>https://www.blackrock.com/au/</t>
        </is>
      </c>
    </row>
    <row r="55">
      <c r="A55" t="inlineStr">
        <is>
          <t>ISEC</t>
        </is>
      </c>
      <c r="B55" t="inlineStr">
        <is>
          <t>Ishares Enhanced Cash Etf</t>
        </is>
      </c>
      <c r="C55" s="7" t="n">
        <v>0.0073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8" t="inlineStr">
        <is>
          <t>https://www.blackrock.com/au/</t>
        </is>
      </c>
    </row>
    <row r="56">
      <c r="A56" t="inlineStr">
        <is>
          <t>IVV</t>
        </is>
      </c>
      <c r="B56" t="inlineStr">
        <is>
          <t>Ishares S&amp;P 500 Etf</t>
        </is>
      </c>
      <c r="C56" s="7" t="n">
        <v>0.004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8" t="inlineStr">
        <is>
          <t>https://www.blackrock.com/au/</t>
        </is>
      </c>
    </row>
    <row r="57">
      <c r="A57" t="inlineStr">
        <is>
          <t>IZZ</t>
        </is>
      </c>
      <c r="B57" t="inlineStr">
        <is>
          <t>Ishares China Large-Cap Etf</t>
        </is>
      </c>
      <c r="C57" s="7" t="n">
        <v>0.0067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8" t="inlineStr">
        <is>
          <t>https://www.blackrock.com/au/</t>
        </is>
      </c>
    </row>
    <row r="58">
      <c r="A58" t="inlineStr">
        <is>
          <t>EMXC</t>
        </is>
      </c>
      <c r="B58" t="inlineStr">
        <is>
          <t>Ishares Msci Emerging Markets EX China Etf</t>
        </is>
      </c>
      <c r="C58" s="7" t="n">
        <v>0.0017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8" t="inlineStr">
        <is>
          <t>https://www.blackrock.com/au/</t>
        </is>
      </c>
    </row>
    <row r="59">
      <c r="A59" t="inlineStr">
        <is>
          <t>GLDN</t>
        </is>
      </c>
      <c r="B59" t="inlineStr">
        <is>
          <t>Ishares Physical Gold Etf</t>
        </is>
      </c>
      <c r="C59" s="7" t="n">
        <v>0.0029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8" t="inlineStr">
        <is>
          <t>https://www.blackrock.com/au/</t>
        </is>
      </c>
    </row>
    <row r="60">
      <c r="A60" t="inlineStr">
        <is>
          <t>GLIN</t>
        </is>
      </c>
      <c r="B60" t="inlineStr">
        <is>
          <t>iShares Core FTSE Global Infrastructure (AUD Hedged) ETF</t>
        </is>
      </c>
      <c r="C60" s="7" t="n">
        <v>0.0077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8" t="inlineStr">
        <is>
          <t>https://www.blackrock.com/au/</t>
        </is>
      </c>
    </row>
    <row r="61">
      <c r="A61" t="inlineStr">
        <is>
          <t>GLPR</t>
        </is>
      </c>
      <c r="B61" t="inlineStr">
        <is>
          <t>Ishares Ftse Gbl Property EX Aus (Aud Hedged) Etf</t>
        </is>
      </c>
      <c r="C61" s="7" t="n">
        <v>0.0071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8" t="inlineStr">
        <is>
          <t>https://www.blackrock.com/au/</t>
        </is>
      </c>
    </row>
    <row r="62">
      <c r="A62" t="inlineStr">
        <is>
          <t>IACT</t>
        </is>
      </c>
      <c r="B62" t="inlineStr">
        <is>
          <t>Ishares U.S. Factor Rotation Active Etf</t>
        </is>
      </c>
      <c r="C62" s="7" t="n">
        <v>0.0031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8" t="inlineStr">
        <is>
          <t>https://www.blackrock.com/au/</t>
        </is>
      </c>
    </row>
    <row r="63">
      <c r="A63" t="inlineStr">
        <is>
          <t>IAF</t>
        </is>
      </c>
      <c r="B63" t="inlineStr">
        <is>
          <t>Ishares Core Composite Bond Etf</t>
        </is>
      </c>
      <c r="C63" s="7" t="n">
        <v>0.008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8" t="inlineStr">
        <is>
          <t>https://www.blackrock.com/au/</t>
        </is>
      </c>
    </row>
    <row r="64">
      <c r="A64" t="inlineStr">
        <is>
          <t>IEM</t>
        </is>
      </c>
      <c r="B64" t="inlineStr">
        <is>
          <t>Ishares Msci Emerging Markets Etf</t>
        </is>
      </c>
      <c r="C64" s="7" t="n">
        <v>0.0022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8" t="inlineStr">
        <is>
          <t>https://www.blackrock.com/au/</t>
        </is>
      </c>
    </row>
    <row r="65">
      <c r="A65" t="inlineStr">
        <is>
          <t>IEU</t>
        </is>
      </c>
      <c r="B65" t="inlineStr">
        <is>
          <t>Ishares Europe Etf</t>
        </is>
      </c>
      <c r="C65" s="7" t="n">
        <v>0.0054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8" t="inlineStr">
        <is>
          <t>https://www.blackrock.com/au/</t>
        </is>
      </c>
    </row>
    <row r="66">
      <c r="A66" t="inlineStr">
        <is>
          <t>IGB</t>
        </is>
      </c>
      <c r="B66" t="inlineStr">
        <is>
          <t>Ishares Treasury Etf</t>
        </is>
      </c>
      <c r="C66" s="7" t="n">
        <v>0.007800000000000001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8" t="inlineStr">
        <is>
          <t>https://www.blackrock.com/au/</t>
        </is>
      </c>
    </row>
    <row r="67">
      <c r="A67" t="inlineStr">
        <is>
          <t>IHVV</t>
        </is>
      </c>
      <c r="B67" t="inlineStr">
        <is>
          <t>Ishares S&amp;P 500 Aud Hedged Etf</t>
        </is>
      </c>
      <c r="C67" s="7" t="n">
        <v>0.0046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8" t="inlineStr">
        <is>
          <t>https://www.blackrock.com/au/</t>
        </is>
      </c>
    </row>
    <row r="68">
      <c r="A68" t="inlineStr">
        <is>
          <t>IJP</t>
        </is>
      </c>
      <c r="B68" t="inlineStr">
        <is>
          <t>Ishares Msci Japan Etf</t>
        </is>
      </c>
      <c r="C68" s="7" t="n">
        <v>0.0052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8" t="inlineStr">
        <is>
          <t>https://www.blackrock.com/au/</t>
        </is>
      </c>
    </row>
    <row r="69">
      <c r="A69" t="inlineStr">
        <is>
          <t>ILB</t>
        </is>
      </c>
      <c r="B69" t="inlineStr">
        <is>
          <t>Ishares Government Inflation Etf</t>
        </is>
      </c>
      <c r="C69" s="7" t="n">
        <v>0.0011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8" t="inlineStr">
        <is>
          <t>https://www.blackrock.com/au/</t>
        </is>
      </c>
    </row>
    <row r="70">
      <c r="A70" t="inlineStr">
        <is>
          <t>IOZ</t>
        </is>
      </c>
      <c r="B70" t="inlineStr">
        <is>
          <t>Ishares Core S&amp;P/ASX 200 Etf</t>
        </is>
      </c>
      <c r="C70" s="7" t="n">
        <v>0.0075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8" t="inlineStr">
        <is>
          <t>https://www.blackrock.com/au/</t>
        </is>
      </c>
    </row>
    <row r="71">
      <c r="A71" t="inlineStr">
        <is>
          <t>IVV</t>
        </is>
      </c>
      <c r="B71" t="inlineStr">
        <is>
          <t>Ishares S&amp;P 500 Etf</t>
        </is>
      </c>
      <c r="C71" s="7" t="n">
        <v>0.004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8" t="inlineStr">
        <is>
          <t>https://www.blackrock.com/au/</t>
        </is>
      </c>
    </row>
    <row r="72">
      <c r="A72" t="inlineStr">
        <is>
          <t>CASHACCT</t>
        </is>
      </c>
      <c r="B72" t="inlineStr">
        <is>
          <t>Cash Account</t>
        </is>
      </c>
      <c r="C72" s="7" t="n">
        <v>0</v>
      </c>
      <c r="D72" s="7" t="n">
        <v>0.014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8" t="inlineStr"/>
    </row>
    <row r="73">
      <c r="A73" t="inlineStr">
        <is>
          <t>IZZ</t>
        </is>
      </c>
      <c r="B73" t="inlineStr">
        <is>
          <t>Ishares China Large-Cap Etf</t>
        </is>
      </c>
      <c r="C73" s="7" t="n">
        <v>0.0067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8" t="inlineStr">
        <is>
          <t>https://www.blackrock.com/au/</t>
        </is>
      </c>
    </row>
    <row r="74">
      <c r="A74" t="inlineStr">
        <is>
          <t>EMXC</t>
        </is>
      </c>
      <c r="B74" t="inlineStr">
        <is>
          <t>Ishares Msci Emerging Markets EX China Etf</t>
        </is>
      </c>
      <c r="C74" s="7" t="n">
        <v>0.0017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8" t="inlineStr">
        <is>
          <t>https://www.blackrock.com/au/</t>
        </is>
      </c>
    </row>
    <row r="75">
      <c r="A75" t="inlineStr">
        <is>
          <t>GLIN</t>
        </is>
      </c>
      <c r="B75" t="inlineStr">
        <is>
          <t>iShares Core FTSE Global Infrastructure (AUD Hedged) ETF</t>
        </is>
      </c>
      <c r="C75" s="7" t="n">
        <v>0.0077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8" t="inlineStr">
        <is>
          <t>https://www.blackrock.com/au/</t>
        </is>
      </c>
    </row>
    <row r="76">
      <c r="A76" t="inlineStr">
        <is>
          <t>GLPR</t>
        </is>
      </c>
      <c r="B76" t="inlineStr">
        <is>
          <t>Ishares Ftse Gbl Property EX Aus (Aud Hedged) Etf</t>
        </is>
      </c>
      <c r="C76" s="7" t="n">
        <v>0.0071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8" t="inlineStr">
        <is>
          <t>https://www.blackrock.com/au/</t>
        </is>
      </c>
    </row>
    <row r="77">
      <c r="A77" t="inlineStr">
        <is>
          <t>IACT</t>
        </is>
      </c>
      <c r="B77" t="inlineStr">
        <is>
          <t>Ishares U.S. Factor Rotation Active Etf</t>
        </is>
      </c>
      <c r="C77" s="7" t="n">
        <v>0.0031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8" t="inlineStr">
        <is>
          <t>https://www.blackrock.com/au/</t>
        </is>
      </c>
    </row>
    <row r="78">
      <c r="A78" t="inlineStr">
        <is>
          <t>IEM</t>
        </is>
      </c>
      <c r="B78" t="inlineStr">
        <is>
          <t>Ishares Msci Emerging Markets Etf</t>
        </is>
      </c>
      <c r="C78" s="7" t="n">
        <v>0.0022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8" t="inlineStr">
        <is>
          <t>https://www.blackrock.com/au/</t>
        </is>
      </c>
    </row>
    <row r="79">
      <c r="A79" t="inlineStr">
        <is>
          <t>IEU</t>
        </is>
      </c>
      <c r="B79" t="inlineStr">
        <is>
          <t>Ishares Europe Etf</t>
        </is>
      </c>
      <c r="C79" s="7" t="n">
        <v>0.0054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8" t="inlineStr">
        <is>
          <t>https://www.blackrock.com/au/</t>
        </is>
      </c>
    </row>
    <row r="80">
      <c r="A80" t="inlineStr">
        <is>
          <t>IHVV</t>
        </is>
      </c>
      <c r="B80" t="inlineStr">
        <is>
          <t>Ishares S&amp;P 500 Aud Hedged Etf</t>
        </is>
      </c>
      <c r="C80" s="7" t="n">
        <v>0.0046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8" t="inlineStr">
        <is>
          <t>https://www.blackrock.com/au/</t>
        </is>
      </c>
    </row>
    <row r="81">
      <c r="A81" t="inlineStr">
        <is>
          <t>IJP</t>
        </is>
      </c>
      <c r="B81" t="inlineStr">
        <is>
          <t>Ishares Msci Japan Etf</t>
        </is>
      </c>
      <c r="C81" s="7" t="n">
        <v>0.0052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8" t="inlineStr">
        <is>
          <t>https://www.blackrock.com/au/</t>
        </is>
      </c>
    </row>
    <row r="82">
      <c r="A82" t="inlineStr">
        <is>
          <t>IOZ</t>
        </is>
      </c>
      <c r="B82" t="inlineStr">
        <is>
          <t>Ishares Core S&amp;P/ASX 200 Etf</t>
        </is>
      </c>
      <c r="C82" s="7" t="n">
        <v>0.0075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8" t="inlineStr">
        <is>
          <t>https://www.blackrock.com/au/</t>
        </is>
      </c>
    </row>
    <row r="83">
      <c r="A83" t="inlineStr">
        <is>
          <t>IVV</t>
        </is>
      </c>
      <c r="B83" t="inlineStr">
        <is>
          <t>Ishares S&amp;P 500 Etf</t>
        </is>
      </c>
      <c r="C83" s="7" t="n">
        <v>0.004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8" t="inlineStr">
        <is>
          <t>https://www.blackrock.com/au/</t>
        </is>
      </c>
    </row>
    <row r="84">
      <c r="A84" t="inlineStr">
        <is>
          <t>IZZ</t>
        </is>
      </c>
      <c r="B84" t="inlineStr">
        <is>
          <t>Ishares China Large-Cap Etf</t>
        </is>
      </c>
      <c r="C84" s="7" t="n">
        <v>0.0067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8" t="inlineStr">
        <is>
          <t>https://www.blackrock.com/au/</t>
        </is>
      </c>
    </row>
    <row r="85">
      <c r="A85" t="inlineStr">
        <is>
          <t>CASHACCT</t>
        </is>
      </c>
      <c r="B85" t="inlineStr">
        <is>
          <t>Cash Account</t>
        </is>
      </c>
      <c r="C85" s="7" t="n">
        <v>0</v>
      </c>
      <c r="D85" s="7" t="n">
        <v>0.014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</cols>
  <sheetData>
    <row r="1">
      <c r="A1" s="2" t="inlineStr">
        <is>
          <t>Portfolio ID</t>
        </is>
      </c>
      <c r="B1" s="2" t="inlineStr">
        <is>
          <t>Portfolio Name</t>
        </is>
      </c>
      <c r="C1" s="2" t="inlineStr">
        <is>
          <t>Unit ID</t>
        </is>
      </c>
      <c r="D1" s="2" t="inlineStr">
        <is>
          <t>Allocation %</t>
        </is>
      </c>
    </row>
    <row r="2">
      <c r="A2" t="inlineStr">
        <is>
          <t>NTH0001</t>
        </is>
      </c>
      <c r="B2" t="inlineStr">
        <is>
          <t>iShares Enhanced Strategic Conservative</t>
        </is>
      </c>
      <c r="C2" t="inlineStr">
        <is>
          <t>AESG</t>
        </is>
      </c>
      <c r="D2" s="7" t="n">
        <v>0.111</v>
      </c>
    </row>
    <row r="3">
      <c r="A3" t="inlineStr">
        <is>
          <t>NTH0001</t>
        </is>
      </c>
      <c r="B3" t="inlineStr">
        <is>
          <t>iShares Enhanced Strategic Conservative</t>
        </is>
      </c>
      <c r="C3" t="inlineStr">
        <is>
          <t>CASHACCT</t>
        </is>
      </c>
      <c r="D3" s="7" t="n">
        <v>0.025</v>
      </c>
    </row>
    <row r="4">
      <c r="A4" t="inlineStr">
        <is>
          <t>NTH0001</t>
        </is>
      </c>
      <c r="B4" t="inlineStr">
        <is>
          <t>iShares Enhanced Strategic Conservative</t>
        </is>
      </c>
      <c r="C4" t="inlineStr">
        <is>
          <t>EMXC</t>
        </is>
      </c>
      <c r="D4" s="7" t="n">
        <v>0.015</v>
      </c>
    </row>
    <row r="5">
      <c r="A5" t="inlineStr">
        <is>
          <t>NTH0001</t>
        </is>
      </c>
      <c r="B5" t="inlineStr">
        <is>
          <t>iShares Enhanced Strategic Conservative</t>
        </is>
      </c>
      <c r="C5" t="inlineStr">
        <is>
          <t>GLDN</t>
        </is>
      </c>
      <c r="D5" s="7" t="n">
        <v>0.03</v>
      </c>
    </row>
    <row r="6">
      <c r="A6" t="inlineStr">
        <is>
          <t>NTH0001</t>
        </is>
      </c>
      <c r="B6" t="inlineStr">
        <is>
          <t>iShares Enhanced Strategic Conservative</t>
        </is>
      </c>
      <c r="C6" t="inlineStr">
        <is>
          <t>GLIN</t>
        </is>
      </c>
      <c r="D6" s="7" t="n">
        <v>0.045</v>
      </c>
    </row>
    <row r="7">
      <c r="A7" t="inlineStr">
        <is>
          <t>NTH0001</t>
        </is>
      </c>
      <c r="B7" t="inlineStr">
        <is>
          <t>iShares Enhanced Strategic Conservative</t>
        </is>
      </c>
      <c r="C7" t="inlineStr">
        <is>
          <t>IACT</t>
        </is>
      </c>
      <c r="D7" s="7" t="n">
        <v>0.02</v>
      </c>
    </row>
    <row r="8">
      <c r="A8" t="inlineStr">
        <is>
          <t>NTH0001</t>
        </is>
      </c>
      <c r="B8" t="inlineStr">
        <is>
          <t>iShares Enhanced Strategic Conservative</t>
        </is>
      </c>
      <c r="C8" t="inlineStr">
        <is>
          <t>IAF</t>
        </is>
      </c>
      <c r="D8" s="7" t="n">
        <v>0.186</v>
      </c>
    </row>
    <row r="9">
      <c r="A9" t="inlineStr">
        <is>
          <t>NTH0001</t>
        </is>
      </c>
      <c r="B9" t="inlineStr">
        <is>
          <t>iShares Enhanced Strategic Conservative</t>
        </is>
      </c>
      <c r="C9" t="inlineStr">
        <is>
          <t>ICOR</t>
        </is>
      </c>
      <c r="D9" s="7" t="n">
        <v>0.051</v>
      </c>
    </row>
    <row r="10">
      <c r="A10" t="inlineStr">
        <is>
          <t>NTH0001</t>
        </is>
      </c>
      <c r="B10" t="inlineStr">
        <is>
          <t>iShares Enhanced Strategic Conservative</t>
        </is>
      </c>
      <c r="C10" t="inlineStr">
        <is>
          <t>IEM</t>
        </is>
      </c>
      <c r="D10" s="7" t="n">
        <v>0.04</v>
      </c>
    </row>
    <row r="11">
      <c r="A11" t="inlineStr">
        <is>
          <t>NTH0001</t>
        </is>
      </c>
      <c r="B11" t="inlineStr">
        <is>
          <t>iShares Enhanced Strategic Conservative</t>
        </is>
      </c>
      <c r="C11" t="inlineStr">
        <is>
          <t>IEU</t>
        </is>
      </c>
      <c r="D11" s="7" t="n">
        <v>0.012</v>
      </c>
    </row>
    <row r="12">
      <c r="A12" t="inlineStr">
        <is>
          <t>NTH0001</t>
        </is>
      </c>
      <c r="B12" t="inlineStr">
        <is>
          <t>iShares Enhanced Strategic Conservative</t>
        </is>
      </c>
      <c r="C12" t="inlineStr">
        <is>
          <t>IGB</t>
        </is>
      </c>
      <c r="D12" s="7" t="n">
        <v>0.045</v>
      </c>
    </row>
    <row r="13">
      <c r="A13" t="inlineStr">
        <is>
          <t>NTH0001</t>
        </is>
      </c>
      <c r="B13" t="inlineStr">
        <is>
          <t>iShares Enhanced Strategic Conservative</t>
        </is>
      </c>
      <c r="C13" t="inlineStr">
        <is>
          <t>IHHY</t>
        </is>
      </c>
      <c r="D13" s="7" t="n">
        <v>0.015</v>
      </c>
    </row>
    <row r="14">
      <c r="A14" t="inlineStr">
        <is>
          <t>NTH0001</t>
        </is>
      </c>
      <c r="B14" t="inlineStr">
        <is>
          <t>iShares Enhanced Strategic Conservative</t>
        </is>
      </c>
      <c r="C14" t="inlineStr">
        <is>
          <t>IHVV</t>
        </is>
      </c>
      <c r="D14" s="7" t="n">
        <v>0.047</v>
      </c>
    </row>
    <row r="15">
      <c r="A15" t="inlineStr">
        <is>
          <t>NTH0001</t>
        </is>
      </c>
      <c r="B15" t="inlineStr">
        <is>
          <t>iShares Enhanced Strategic Conservative</t>
        </is>
      </c>
      <c r="C15" t="inlineStr">
        <is>
          <t>IJP</t>
        </is>
      </c>
      <c r="D15" s="7" t="n">
        <v>0.023</v>
      </c>
    </row>
    <row r="16">
      <c r="A16" t="inlineStr">
        <is>
          <t>NTH0001</t>
        </is>
      </c>
      <c r="B16" t="inlineStr">
        <is>
          <t>iShares Enhanced Strategic Conservative</t>
        </is>
      </c>
      <c r="C16" t="inlineStr">
        <is>
          <t>ILB</t>
        </is>
      </c>
      <c r="D16" s="7" t="n">
        <v>0.095</v>
      </c>
    </row>
    <row r="17">
      <c r="A17" t="inlineStr">
        <is>
          <t>NTH0001</t>
        </is>
      </c>
      <c r="B17" t="inlineStr">
        <is>
          <t>iShares Enhanced Strategic Conservative</t>
        </is>
      </c>
      <c r="C17" t="inlineStr">
        <is>
          <t>IOZ</t>
        </is>
      </c>
      <c r="D17" s="7" t="n">
        <v>0.06</v>
      </c>
    </row>
    <row r="18">
      <c r="A18" t="inlineStr">
        <is>
          <t>NTH0001</t>
        </is>
      </c>
      <c r="B18" t="inlineStr">
        <is>
          <t>iShares Enhanced Strategic Conservative</t>
        </is>
      </c>
      <c r="C18" t="inlineStr">
        <is>
          <t>ISEC</t>
        </is>
      </c>
      <c r="D18" s="7" t="n">
        <v>0.118</v>
      </c>
    </row>
    <row r="19">
      <c r="A19" t="inlineStr">
        <is>
          <t>NTH0001</t>
        </is>
      </c>
      <c r="B19" t="inlineStr">
        <is>
          <t>iShares Enhanced Strategic Conservative</t>
        </is>
      </c>
      <c r="C19" t="inlineStr">
        <is>
          <t>IVV</t>
        </is>
      </c>
      <c r="D19" s="7" t="n">
        <v>0.062</v>
      </c>
    </row>
    <row r="20">
      <c r="A20" t="inlineStr">
        <is>
          <t>NTH0002</t>
        </is>
      </c>
      <c r="B20" t="inlineStr">
        <is>
          <t>iShares Enhanced Strategic Moderate</t>
        </is>
      </c>
      <c r="C20" t="inlineStr">
        <is>
          <t>AESG</t>
        </is>
      </c>
      <c r="D20" s="7" t="n">
        <v>0.081</v>
      </c>
    </row>
    <row r="21">
      <c r="A21" t="inlineStr">
        <is>
          <t>NTH0002</t>
        </is>
      </c>
      <c r="B21" t="inlineStr">
        <is>
          <t>iShares Enhanced Strategic Moderate</t>
        </is>
      </c>
      <c r="C21" t="inlineStr">
        <is>
          <t>CASHACCT</t>
        </is>
      </c>
      <c r="D21" s="7" t="n">
        <v>0.025</v>
      </c>
    </row>
    <row r="22">
      <c r="A22" t="inlineStr">
        <is>
          <t>NTH0002</t>
        </is>
      </c>
      <c r="B22" t="inlineStr">
        <is>
          <t>iShares Enhanced Strategic Moderate</t>
        </is>
      </c>
      <c r="C22" t="inlineStr">
        <is>
          <t>EMXC</t>
        </is>
      </c>
      <c r="D22" s="7" t="n">
        <v>0.04</v>
      </c>
    </row>
    <row r="23">
      <c r="A23" t="inlineStr">
        <is>
          <t>NTH0002</t>
        </is>
      </c>
      <c r="B23" t="inlineStr">
        <is>
          <t>iShares Enhanced Strategic Moderate</t>
        </is>
      </c>
      <c r="C23" t="inlineStr">
        <is>
          <t>GLDN</t>
        </is>
      </c>
      <c r="D23" s="7" t="n">
        <v>0.031</v>
      </c>
    </row>
    <row r="24">
      <c r="A24" t="inlineStr">
        <is>
          <t>NTH0002</t>
        </is>
      </c>
      <c r="B24" t="inlineStr">
        <is>
          <t>iShares Enhanced Strategic Moderate</t>
        </is>
      </c>
      <c r="C24" t="inlineStr">
        <is>
          <t>GLIN</t>
        </is>
      </c>
      <c r="D24" s="7" t="n">
        <v>0.05</v>
      </c>
    </row>
    <row r="25">
      <c r="A25" t="inlineStr">
        <is>
          <t>NTH0002</t>
        </is>
      </c>
      <c r="B25" t="inlineStr">
        <is>
          <t>iShares Enhanced Strategic Moderate</t>
        </is>
      </c>
      <c r="C25" t="inlineStr">
        <is>
          <t>IACT</t>
        </is>
      </c>
      <c r="D25" s="7" t="n">
        <v>0.03</v>
      </c>
    </row>
    <row r="26">
      <c r="A26" t="inlineStr">
        <is>
          <t>NTH0002</t>
        </is>
      </c>
      <c r="B26" t="inlineStr">
        <is>
          <t>iShares Enhanced Strategic Moderate</t>
        </is>
      </c>
      <c r="C26" t="inlineStr">
        <is>
          <t>IAF</t>
        </is>
      </c>
      <c r="D26" s="7" t="n">
        <v>0.111</v>
      </c>
    </row>
    <row r="27">
      <c r="A27" t="inlineStr">
        <is>
          <t>NTH0002</t>
        </is>
      </c>
      <c r="B27" t="inlineStr">
        <is>
          <t>iShares Enhanced Strategic Moderate</t>
        </is>
      </c>
      <c r="C27" t="inlineStr">
        <is>
          <t>ICOR</t>
        </is>
      </c>
      <c r="D27" s="7" t="n">
        <v>0.031</v>
      </c>
    </row>
    <row r="28">
      <c r="A28" t="inlineStr">
        <is>
          <t>NTH0002</t>
        </is>
      </c>
      <c r="B28" t="inlineStr">
        <is>
          <t>iShares Enhanced Strategic Moderate</t>
        </is>
      </c>
      <c r="C28" t="inlineStr">
        <is>
          <t>IEM</t>
        </is>
      </c>
      <c r="D28" s="7" t="n">
        <v>0.02</v>
      </c>
    </row>
    <row r="29">
      <c r="A29" t="inlineStr">
        <is>
          <t>NTH0002</t>
        </is>
      </c>
      <c r="B29" t="inlineStr">
        <is>
          <t>iShares Enhanced Strategic Moderate</t>
        </is>
      </c>
      <c r="C29" t="inlineStr">
        <is>
          <t>IEU</t>
        </is>
      </c>
      <c r="D29" s="7" t="n">
        <v>0.028</v>
      </c>
    </row>
    <row r="30">
      <c r="A30" t="inlineStr">
        <is>
          <t>NTH0002</t>
        </is>
      </c>
      <c r="B30" t="inlineStr">
        <is>
          <t>iShares Enhanced Strategic Moderate</t>
        </is>
      </c>
      <c r="C30" t="inlineStr">
        <is>
          <t>IGB</t>
        </is>
      </c>
      <c r="D30" s="7" t="n">
        <v>0.04</v>
      </c>
    </row>
    <row r="31">
      <c r="A31" t="inlineStr">
        <is>
          <t>NTH0002</t>
        </is>
      </c>
      <c r="B31" t="inlineStr">
        <is>
          <t>iShares Enhanced Strategic Moderate</t>
        </is>
      </c>
      <c r="C31" t="inlineStr">
        <is>
          <t>IHHY</t>
        </is>
      </c>
      <c r="D31" s="7" t="n">
        <v>0.01</v>
      </c>
    </row>
    <row r="32">
      <c r="A32" t="inlineStr">
        <is>
          <t>NTH0002</t>
        </is>
      </c>
      <c r="B32" t="inlineStr">
        <is>
          <t>iShares Enhanced Strategic Moderate</t>
        </is>
      </c>
      <c r="C32" t="inlineStr">
        <is>
          <t>IHVV</t>
        </is>
      </c>
      <c r="D32" s="7" t="n">
        <v>0.08599999999999999</v>
      </c>
    </row>
    <row r="33">
      <c r="A33" t="inlineStr">
        <is>
          <t>NTH0002</t>
        </is>
      </c>
      <c r="B33" t="inlineStr">
        <is>
          <t>iShares Enhanced Strategic Moderate</t>
        </is>
      </c>
      <c r="C33" t="inlineStr">
        <is>
          <t>IJP</t>
        </is>
      </c>
      <c r="D33" s="7" t="n">
        <v>0.03</v>
      </c>
    </row>
    <row r="34">
      <c r="A34" t="inlineStr">
        <is>
          <t>NTH0002</t>
        </is>
      </c>
      <c r="B34" t="inlineStr">
        <is>
          <t>iShares Enhanced Strategic Moderate</t>
        </is>
      </c>
      <c r="C34" t="inlineStr">
        <is>
          <t>ILB</t>
        </is>
      </c>
      <c r="D34" s="7" t="n">
        <v>0.081</v>
      </c>
    </row>
    <row r="35">
      <c r="A35" t="inlineStr">
        <is>
          <t>NTH0002</t>
        </is>
      </c>
      <c r="B35" t="inlineStr">
        <is>
          <t>iShares Enhanced Strategic Moderate</t>
        </is>
      </c>
      <c r="C35" t="inlineStr">
        <is>
          <t>IOZ</t>
        </is>
      </c>
      <c r="D35" s="7" t="n">
        <v>0.129</v>
      </c>
    </row>
    <row r="36">
      <c r="A36" t="inlineStr">
        <is>
          <t>NTH0002</t>
        </is>
      </c>
      <c r="B36" t="inlineStr">
        <is>
          <t>iShares Enhanced Strategic Moderate</t>
        </is>
      </c>
      <c r="C36" t="inlineStr">
        <is>
          <t>ISEC</t>
        </is>
      </c>
      <c r="D36" s="7" t="n">
        <v>0.067</v>
      </c>
    </row>
    <row r="37">
      <c r="A37" t="inlineStr">
        <is>
          <t>NTH0002</t>
        </is>
      </c>
      <c r="B37" t="inlineStr">
        <is>
          <t>iShares Enhanced Strategic Moderate</t>
        </is>
      </c>
      <c r="C37" t="inlineStr">
        <is>
          <t>IVV</t>
        </is>
      </c>
      <c r="D37" s="7" t="n">
        <v>0.091</v>
      </c>
    </row>
    <row r="38">
      <c r="A38" t="inlineStr">
        <is>
          <t>NTH0002</t>
        </is>
      </c>
      <c r="B38" t="inlineStr">
        <is>
          <t>iShares Enhanced Strategic Moderate</t>
        </is>
      </c>
      <c r="C38" t="inlineStr">
        <is>
          <t>IZZ</t>
        </is>
      </c>
      <c r="D38" s="7" t="n">
        <v>0.019</v>
      </c>
    </row>
    <row r="39">
      <c r="A39" t="inlineStr">
        <is>
          <t>NTH0003</t>
        </is>
      </c>
      <c r="B39" t="inlineStr">
        <is>
          <t>iShares Enhanced Strategic Balanced</t>
        </is>
      </c>
      <c r="C39" t="inlineStr">
        <is>
          <t>AESG</t>
        </is>
      </c>
      <c r="D39" s="7" t="n">
        <v>0.048</v>
      </c>
    </row>
    <row r="40">
      <c r="A40" t="inlineStr">
        <is>
          <t>NTH0003</t>
        </is>
      </c>
      <c r="B40" t="inlineStr">
        <is>
          <t>iShares Enhanced Strategic Balanced</t>
        </is>
      </c>
      <c r="C40" t="inlineStr">
        <is>
          <t>CASHACCT</t>
        </is>
      </c>
      <c r="D40" s="7" t="n">
        <v>0.02</v>
      </c>
    </row>
    <row r="41">
      <c r="A41" t="inlineStr">
        <is>
          <t>NTH0003</t>
        </is>
      </c>
      <c r="B41" t="inlineStr">
        <is>
          <t>iShares Enhanced Strategic Balanced</t>
        </is>
      </c>
      <c r="C41" t="inlineStr">
        <is>
          <t>EMXC</t>
        </is>
      </c>
      <c r="D41" s="7" t="n">
        <v>0.047</v>
      </c>
    </row>
    <row r="42">
      <c r="A42" t="inlineStr">
        <is>
          <t>NTH0003</t>
        </is>
      </c>
      <c r="B42" t="inlineStr">
        <is>
          <t>iShares Enhanced Strategic Balanced</t>
        </is>
      </c>
      <c r="C42" t="inlineStr">
        <is>
          <t>GLDN</t>
        </is>
      </c>
      <c r="D42" s="7" t="n">
        <v>0.035</v>
      </c>
    </row>
    <row r="43">
      <c r="A43" t="inlineStr">
        <is>
          <t>NTH0003</t>
        </is>
      </c>
      <c r="B43" t="inlineStr">
        <is>
          <t>iShares Enhanced Strategic Balanced</t>
        </is>
      </c>
      <c r="C43" t="inlineStr">
        <is>
          <t>GLIN</t>
        </is>
      </c>
      <c r="D43" s="7" t="n">
        <v>0.05</v>
      </c>
    </row>
    <row r="44">
      <c r="A44" t="inlineStr">
        <is>
          <t>NTH0003</t>
        </is>
      </c>
      <c r="B44" t="inlineStr">
        <is>
          <t>iShares Enhanced Strategic Balanced</t>
        </is>
      </c>
      <c r="C44" t="inlineStr">
        <is>
          <t>GLPR</t>
        </is>
      </c>
      <c r="D44" s="7" t="n">
        <v>0.01</v>
      </c>
    </row>
    <row r="45">
      <c r="A45" t="inlineStr">
        <is>
          <t>NTH0003</t>
        </is>
      </c>
      <c r="B45" t="inlineStr">
        <is>
          <t>iShares Enhanced Strategic Balanced</t>
        </is>
      </c>
      <c r="C45" t="inlineStr">
        <is>
          <t>IACT</t>
        </is>
      </c>
      <c r="D45" s="7" t="n">
        <v>0.04</v>
      </c>
    </row>
    <row r="46">
      <c r="A46" t="inlineStr">
        <is>
          <t>NTH0003</t>
        </is>
      </c>
      <c r="B46" t="inlineStr">
        <is>
          <t>iShares Enhanced Strategic Balanced</t>
        </is>
      </c>
      <c r="C46" t="inlineStr">
        <is>
          <t>IAF</t>
        </is>
      </c>
      <c r="D46" s="7" t="n">
        <v>0.066</v>
      </c>
    </row>
    <row r="47">
      <c r="A47" t="inlineStr">
        <is>
          <t>NTH0003</t>
        </is>
      </c>
      <c r="B47" t="inlineStr">
        <is>
          <t>iShares Enhanced Strategic Balanced</t>
        </is>
      </c>
      <c r="C47" t="inlineStr">
        <is>
          <t>IEM</t>
        </is>
      </c>
      <c r="D47" s="7" t="n">
        <v>0.03</v>
      </c>
    </row>
    <row r="48">
      <c r="A48" t="inlineStr">
        <is>
          <t>NTH0003</t>
        </is>
      </c>
      <c r="B48" t="inlineStr">
        <is>
          <t>iShares Enhanced Strategic Balanced</t>
        </is>
      </c>
      <c r="C48" t="inlineStr">
        <is>
          <t>IEU</t>
        </is>
      </c>
      <c r="D48" s="7" t="n">
        <v>0.044</v>
      </c>
    </row>
    <row r="49">
      <c r="A49" t="inlineStr">
        <is>
          <t>NTH0003</t>
        </is>
      </c>
      <c r="B49" t="inlineStr">
        <is>
          <t>iShares Enhanced Strategic Balanced</t>
        </is>
      </c>
      <c r="C49" t="inlineStr">
        <is>
          <t>IGB</t>
        </is>
      </c>
      <c r="D49" s="7" t="n">
        <v>0.034</v>
      </c>
    </row>
    <row r="50">
      <c r="A50" t="inlineStr">
        <is>
          <t>NTH0003</t>
        </is>
      </c>
      <c r="B50" t="inlineStr">
        <is>
          <t>iShares Enhanced Strategic Balanced</t>
        </is>
      </c>
      <c r="C50" t="inlineStr">
        <is>
          <t>IHHY</t>
        </is>
      </c>
      <c r="D50" s="7" t="n">
        <v>0.01</v>
      </c>
    </row>
    <row r="51">
      <c r="A51" t="inlineStr">
        <is>
          <t>NTH0003</t>
        </is>
      </c>
      <c r="B51" t="inlineStr">
        <is>
          <t>iShares Enhanced Strategic Balanced</t>
        </is>
      </c>
      <c r="C51" t="inlineStr">
        <is>
          <t>IHVV</t>
        </is>
      </c>
      <c r="D51" s="7" t="n">
        <v>0.116</v>
      </c>
    </row>
    <row r="52">
      <c r="A52" t="inlineStr">
        <is>
          <t>NTH0003</t>
        </is>
      </c>
      <c r="B52" t="inlineStr">
        <is>
          <t>iShares Enhanced Strategic Balanced</t>
        </is>
      </c>
      <c r="C52" t="inlineStr">
        <is>
          <t>IJP</t>
        </is>
      </c>
      <c r="D52" s="7" t="n">
        <v>0.037</v>
      </c>
    </row>
    <row r="53">
      <c r="A53" t="inlineStr">
        <is>
          <t>NTH0003</t>
        </is>
      </c>
      <c r="B53" t="inlineStr">
        <is>
          <t>iShares Enhanced Strategic Balanced</t>
        </is>
      </c>
      <c r="C53" t="inlineStr">
        <is>
          <t>ILB</t>
        </is>
      </c>
      <c r="D53" s="7" t="n">
        <v>0.051</v>
      </c>
    </row>
    <row r="54">
      <c r="A54" t="inlineStr">
        <is>
          <t>NTH0003</t>
        </is>
      </c>
      <c r="B54" t="inlineStr">
        <is>
          <t>iShares Enhanced Strategic Balanced</t>
        </is>
      </c>
      <c r="C54" t="inlineStr">
        <is>
          <t>IOZ</t>
        </is>
      </c>
      <c r="D54" s="7" t="n">
        <v>0.209</v>
      </c>
    </row>
    <row r="55">
      <c r="A55" t="inlineStr">
        <is>
          <t>NTH0003</t>
        </is>
      </c>
      <c r="B55" t="inlineStr">
        <is>
          <t>iShares Enhanced Strategic Balanced</t>
        </is>
      </c>
      <c r="C55" t="inlineStr">
        <is>
          <t>ISEC</t>
        </is>
      </c>
      <c r="D55" s="7" t="n">
        <v>0.011</v>
      </c>
    </row>
    <row r="56">
      <c r="A56" t="inlineStr">
        <is>
          <t>NTH0003</t>
        </is>
      </c>
      <c r="B56" t="inlineStr">
        <is>
          <t>iShares Enhanced Strategic Balanced</t>
        </is>
      </c>
      <c r="C56" t="inlineStr">
        <is>
          <t>IVV</t>
        </is>
      </c>
      <c r="D56" s="7" t="n">
        <v>0.12</v>
      </c>
    </row>
    <row r="57">
      <c r="A57" t="inlineStr">
        <is>
          <t>NTH0003</t>
        </is>
      </c>
      <c r="B57" t="inlineStr">
        <is>
          <t>iShares Enhanced Strategic Balanced</t>
        </is>
      </c>
      <c r="C57" t="inlineStr">
        <is>
          <t>IZZ</t>
        </is>
      </c>
      <c r="D57" s="7" t="n">
        <v>0.022</v>
      </c>
    </row>
    <row r="58">
      <c r="A58" t="inlineStr">
        <is>
          <t>NTH0004</t>
        </is>
      </c>
      <c r="B58" t="inlineStr">
        <is>
          <t>iShares Enhanced Strategic Growth</t>
        </is>
      </c>
      <c r="C58" t="inlineStr">
        <is>
          <t>EMXC</t>
        </is>
      </c>
      <c r="D58" s="7" t="n">
        <v>0.051</v>
      </c>
    </row>
    <row r="59">
      <c r="A59" t="inlineStr">
        <is>
          <t>NTH0004</t>
        </is>
      </c>
      <c r="B59" t="inlineStr">
        <is>
          <t>iShares Enhanced Strategic Growth</t>
        </is>
      </c>
      <c r="C59" t="inlineStr">
        <is>
          <t>GLDN</t>
        </is>
      </c>
      <c r="D59" s="7" t="n">
        <v>0.032</v>
      </c>
    </row>
    <row r="60">
      <c r="A60" t="inlineStr">
        <is>
          <t>NTH0004</t>
        </is>
      </c>
      <c r="B60" t="inlineStr">
        <is>
          <t>iShares Enhanced Strategic Growth</t>
        </is>
      </c>
      <c r="C60" t="inlineStr">
        <is>
          <t>GLIN</t>
        </is>
      </c>
      <c r="D60" s="7" t="n">
        <v>0.061</v>
      </c>
    </row>
    <row r="61">
      <c r="A61" t="inlineStr">
        <is>
          <t>NTH0004</t>
        </is>
      </c>
      <c r="B61" t="inlineStr">
        <is>
          <t>iShares Enhanced Strategic Growth</t>
        </is>
      </c>
      <c r="C61" t="inlineStr">
        <is>
          <t>GLPR</t>
        </is>
      </c>
      <c r="D61" s="7" t="n">
        <v>0.01</v>
      </c>
    </row>
    <row r="62">
      <c r="A62" t="inlineStr">
        <is>
          <t>NTH0004</t>
        </is>
      </c>
      <c r="B62" t="inlineStr">
        <is>
          <t>iShares Enhanced Strategic Growth</t>
        </is>
      </c>
      <c r="C62" t="inlineStr">
        <is>
          <t>IACT</t>
        </is>
      </c>
      <c r="D62" s="7" t="n">
        <v>0.05</v>
      </c>
    </row>
    <row r="63">
      <c r="A63" t="inlineStr">
        <is>
          <t>NTH0004</t>
        </is>
      </c>
      <c r="B63" t="inlineStr">
        <is>
          <t>iShares Enhanced Strategic Growth</t>
        </is>
      </c>
      <c r="C63" t="inlineStr">
        <is>
          <t>IAF</t>
        </is>
      </c>
      <c r="D63" s="7" t="n">
        <v>0.01</v>
      </c>
    </row>
    <row r="64">
      <c r="A64" t="inlineStr">
        <is>
          <t>NTH0004</t>
        </is>
      </c>
      <c r="B64" t="inlineStr">
        <is>
          <t>iShares Enhanced Strategic Growth</t>
        </is>
      </c>
      <c r="C64" t="inlineStr">
        <is>
          <t>IEM</t>
        </is>
      </c>
      <c r="D64" s="7" t="n">
        <v>0.041</v>
      </c>
    </row>
    <row r="65">
      <c r="A65" t="inlineStr">
        <is>
          <t>NTH0004</t>
        </is>
      </c>
      <c r="B65" t="inlineStr">
        <is>
          <t>iShares Enhanced Strategic Growth</t>
        </is>
      </c>
      <c r="C65" t="inlineStr">
        <is>
          <t>IEU</t>
        </is>
      </c>
      <c r="D65" s="7" t="n">
        <v>0.059</v>
      </c>
    </row>
    <row r="66">
      <c r="A66" t="inlineStr">
        <is>
          <t>NTH0004</t>
        </is>
      </c>
      <c r="B66" t="inlineStr">
        <is>
          <t>iShares Enhanced Strategic Growth</t>
        </is>
      </c>
      <c r="C66" t="inlineStr">
        <is>
          <t>IGB</t>
        </is>
      </c>
      <c r="D66" s="7" t="n">
        <v>0.019</v>
      </c>
    </row>
    <row r="67">
      <c r="A67" t="inlineStr">
        <is>
          <t>NTH0004</t>
        </is>
      </c>
      <c r="B67" t="inlineStr">
        <is>
          <t>iShares Enhanced Strategic Growth</t>
        </is>
      </c>
      <c r="C67" t="inlineStr">
        <is>
          <t>IHVV</t>
        </is>
      </c>
      <c r="D67" s="7" t="n">
        <v>0.146</v>
      </c>
    </row>
    <row r="68">
      <c r="A68" t="inlineStr">
        <is>
          <t>NTH0004</t>
        </is>
      </c>
      <c r="B68" t="inlineStr">
        <is>
          <t>iShares Enhanced Strategic Growth</t>
        </is>
      </c>
      <c r="C68" t="inlineStr">
        <is>
          <t>IJP</t>
        </is>
      </c>
      <c r="D68" s="7" t="n">
        <v>0.043</v>
      </c>
    </row>
    <row r="69">
      <c r="A69" t="inlineStr">
        <is>
          <t>NTH0004</t>
        </is>
      </c>
      <c r="B69" t="inlineStr">
        <is>
          <t>iShares Enhanced Strategic Growth</t>
        </is>
      </c>
      <c r="C69" t="inlineStr">
        <is>
          <t>ILB</t>
        </is>
      </c>
      <c r="D69" s="7" t="n">
        <v>0.031</v>
      </c>
    </row>
    <row r="70">
      <c r="A70" t="inlineStr">
        <is>
          <t>NTH0004</t>
        </is>
      </c>
      <c r="B70" t="inlineStr">
        <is>
          <t>iShares Enhanced Strategic Growth</t>
        </is>
      </c>
      <c r="C70" t="inlineStr">
        <is>
          <t>IOZ</t>
        </is>
      </c>
      <c r="D70" s="7" t="n">
        <v>0.259</v>
      </c>
    </row>
    <row r="71">
      <c r="A71" t="inlineStr">
        <is>
          <t>NTH0004</t>
        </is>
      </c>
      <c r="B71" t="inlineStr">
        <is>
          <t>iShares Enhanced Strategic Growth</t>
        </is>
      </c>
      <c r="C71" t="inlineStr">
        <is>
          <t>IVV</t>
        </is>
      </c>
      <c r="D71" s="7" t="n">
        <v>0.145</v>
      </c>
    </row>
    <row r="72">
      <c r="A72" t="inlineStr">
        <is>
          <t>NTH0004</t>
        </is>
      </c>
      <c r="B72" t="inlineStr">
        <is>
          <t>iShares Enhanced Strategic Growth</t>
        </is>
      </c>
      <c r="C72" t="inlineStr">
        <is>
          <t>CASHACCT</t>
        </is>
      </c>
      <c r="D72" s="7" t="n">
        <v>0.02</v>
      </c>
    </row>
    <row r="73">
      <c r="A73" t="inlineStr">
        <is>
          <t>NTH0004</t>
        </is>
      </c>
      <c r="B73" t="inlineStr">
        <is>
          <t>iShares Enhanced Strategic Growth</t>
        </is>
      </c>
      <c r="C73" t="inlineStr">
        <is>
          <t>IZZ</t>
        </is>
      </c>
      <c r="D73" s="7" t="n">
        <v>0.023</v>
      </c>
    </row>
    <row r="74">
      <c r="A74" t="inlineStr">
        <is>
          <t>NTH0005</t>
        </is>
      </c>
      <c r="B74" t="inlineStr">
        <is>
          <t>iShares Enhanced Strategic Aggressive</t>
        </is>
      </c>
      <c r="C74" t="inlineStr">
        <is>
          <t>EMXC</t>
        </is>
      </c>
      <c r="D74" s="7" t="n">
        <v>0.058</v>
      </c>
    </row>
    <row r="75">
      <c r="A75" t="inlineStr">
        <is>
          <t>NTH0005</t>
        </is>
      </c>
      <c r="B75" t="inlineStr">
        <is>
          <t>iShares Enhanced Strategic Aggressive</t>
        </is>
      </c>
      <c r="C75" t="inlineStr">
        <is>
          <t>GLIN</t>
        </is>
      </c>
      <c r="D75" s="7" t="n">
        <v>0.051</v>
      </c>
    </row>
    <row r="76">
      <c r="A76" t="inlineStr">
        <is>
          <t>NTH0005</t>
        </is>
      </c>
      <c r="B76" t="inlineStr">
        <is>
          <t>iShares Enhanced Strategic Aggressive</t>
        </is>
      </c>
      <c r="C76" t="inlineStr">
        <is>
          <t>GLPR</t>
        </is>
      </c>
      <c r="D76" s="7" t="n">
        <v>0.01</v>
      </c>
    </row>
    <row r="77">
      <c r="A77" t="inlineStr">
        <is>
          <t>NTH0005</t>
        </is>
      </c>
      <c r="B77" t="inlineStr">
        <is>
          <t>iShares Enhanced Strategic Aggressive</t>
        </is>
      </c>
      <c r="C77" t="inlineStr">
        <is>
          <t>IACT</t>
        </is>
      </c>
      <c r="D77" s="7" t="n">
        <v>0.06</v>
      </c>
    </row>
    <row r="78">
      <c r="A78" t="inlineStr">
        <is>
          <t>NTH0005</t>
        </is>
      </c>
      <c r="B78" t="inlineStr">
        <is>
          <t>iShares Enhanced Strategic Aggressive</t>
        </is>
      </c>
      <c r="C78" t="inlineStr">
        <is>
          <t>IEM</t>
        </is>
      </c>
      <c r="D78" s="7" t="n">
        <v>0.041</v>
      </c>
    </row>
    <row r="79">
      <c r="A79" t="inlineStr">
        <is>
          <t>NTH0005</t>
        </is>
      </c>
      <c r="B79" t="inlineStr">
        <is>
          <t>iShares Enhanced Strategic Aggressive</t>
        </is>
      </c>
      <c r="C79" t="inlineStr">
        <is>
          <t>IEU</t>
        </is>
      </c>
      <c r="D79" s="7" t="n">
        <v>0.06900000000000001</v>
      </c>
    </row>
    <row r="80">
      <c r="A80" t="inlineStr">
        <is>
          <t>NTH0005</t>
        </is>
      </c>
      <c r="B80" t="inlineStr">
        <is>
          <t>iShares Enhanced Strategic Aggressive</t>
        </is>
      </c>
      <c r="C80" t="inlineStr">
        <is>
          <t>IHVV</t>
        </is>
      </c>
      <c r="D80" s="7" t="n">
        <v>0.171</v>
      </c>
    </row>
    <row r="81">
      <c r="A81" t="inlineStr">
        <is>
          <t>NTH0005</t>
        </is>
      </c>
      <c r="B81" t="inlineStr">
        <is>
          <t>iShares Enhanced Strategic Aggressive</t>
        </is>
      </c>
      <c r="C81" t="inlineStr">
        <is>
          <t>IJP</t>
        </is>
      </c>
      <c r="D81" s="7" t="n">
        <v>0.046</v>
      </c>
    </row>
    <row r="82">
      <c r="A82" t="inlineStr">
        <is>
          <t>NTH0005</t>
        </is>
      </c>
      <c r="B82" t="inlineStr">
        <is>
          <t>iShares Enhanced Strategic Aggressive</t>
        </is>
      </c>
      <c r="C82" t="inlineStr">
        <is>
          <t>IOZ</t>
        </is>
      </c>
      <c r="D82" s="7" t="n">
        <v>0.292</v>
      </c>
    </row>
    <row r="83">
      <c r="A83" t="inlineStr">
        <is>
          <t>NTH0005</t>
        </is>
      </c>
      <c r="B83" t="inlineStr">
        <is>
          <t>iShares Enhanced Strategic Aggressive</t>
        </is>
      </c>
      <c r="C83" t="inlineStr">
        <is>
          <t>IVV</t>
        </is>
      </c>
      <c r="D83" s="7" t="n">
        <v>0.157</v>
      </c>
    </row>
    <row r="84">
      <c r="A84" t="inlineStr">
        <is>
          <t>NTH0005</t>
        </is>
      </c>
      <c r="B84" t="inlineStr">
        <is>
          <t>iShares Enhanced Strategic Aggressive</t>
        </is>
      </c>
      <c r="C84" t="inlineStr">
        <is>
          <t>IZZ</t>
        </is>
      </c>
      <c r="D84" s="7" t="n">
        <v>0.025</v>
      </c>
    </row>
    <row r="85">
      <c r="A85" t="inlineStr">
        <is>
          <t>NTH0005</t>
        </is>
      </c>
      <c r="B85" t="inlineStr">
        <is>
          <t>iShares Enhanced Strategic Aggressive</t>
        </is>
      </c>
      <c r="C85" t="inlineStr">
        <is>
          <t>CASHACCT</t>
        </is>
      </c>
      <c r="D85" s="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2026-05-20T06:05:15Z</dcterms:created>
  <dcterms:modified xmlns:dcterms="http://purl.org/dc/terms/" xmlns:xsi="http://www.w3.org/2001/XMLSchema-instance" xsi:type="dcterms:W3CDTF">2026-05-20T06:05:15Z</dcterms:modified>
</cp:coreProperties>
</file>