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ummary" sheetId="1" state="visible" r:id="rId1"/>
    <sheet xmlns:r="http://schemas.openxmlformats.org/officeDocument/2006/relationships" name="Component" sheetId="2" state="visible" r:id="rId2"/>
    <sheet xmlns:r="http://schemas.openxmlformats.org/officeDocument/2006/relationships" name="Portfolio Hol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0B1EEA"/>
        <bgColor rgb="000B1EEA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10" fontId="0" fillId="4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10" fontId="0" fillId="3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t="inlineStr">
        <is>
          <t>IM Fee % p.a.</t>
        </is>
      </c>
      <c r="B1" s="1" t="n">
        <v>0.00075</v>
      </c>
      <c r="C1" s="1" t="n">
        <v>0.00075</v>
      </c>
    </row>
    <row r="2">
      <c r="A2" t="inlineStr">
        <is>
          <t>RE Fee % p.a.</t>
        </is>
      </c>
      <c r="B2" s="1" t="n">
        <v>0.0008</v>
      </c>
      <c r="C2" s="1" t="n">
        <v>0.0008</v>
      </c>
    </row>
    <row r="3">
      <c r="A3" s="2" t="inlineStr">
        <is>
          <t>Fee Component</t>
        </is>
      </c>
      <c r="B3" s="2" t="inlineStr">
        <is>
          <t>Aurora Growth Managed Portfolio</t>
        </is>
      </c>
      <c r="C3" s="2" t="inlineStr">
        <is>
          <t>Aurora Defensive Managed Portfolio</t>
        </is>
      </c>
    </row>
    <row r="4">
      <c r="A4" s="3" t="inlineStr">
        <is>
          <t>Investment management fees % p.a.</t>
        </is>
      </c>
      <c r="B4" s="4">
        <f>(B$1*(1+0.1-0.1*0.75)+B$2*(1+0.1-0.1*0.55))</f>
        <v/>
      </c>
      <c r="C4" s="4">
        <f>(C$1*(1+0.1-0.1*0.75)+C$2*(1+0.1-0.1*0.55))</f>
        <v/>
      </c>
    </row>
    <row r="5">
      <c r="A5" s="5" t="inlineStr">
        <is>
          <t>Rebate % p.a.</t>
        </is>
      </c>
      <c r="B5" s="6">
        <f>SUMPRODUCT('Portfolio Holdings'!$D$2:$D$17,'Component'!$I$2:$I$17)</f>
        <v/>
      </c>
      <c r="C5" s="6">
        <f>SUMPRODUCT('Portfolio Holdings'!$D$18:$D$26,'Component'!$I$18:$I$26)</f>
        <v/>
      </c>
    </row>
    <row r="6">
      <c r="A6" s="3" t="inlineStr">
        <is>
          <t>Estimated underlying management fees % p.a.</t>
        </is>
      </c>
      <c r="B6" s="4">
        <f>SUMPRODUCT('Portfolio Holdings'!$D$2:$D$17,'Component'!$C$2:$C$17)-B5</f>
        <v/>
      </c>
      <c r="C6" s="4">
        <f>SUMPRODUCT('Portfolio Holdings'!$D$18:$D$26,'Component'!$C$18:$C$26)-C5</f>
        <v/>
      </c>
    </row>
    <row r="7">
      <c r="A7" s="5" t="inlineStr">
        <is>
          <t>Estimated managed portfolio cash investment fee % p.a.</t>
        </is>
      </c>
      <c r="B7" s="6">
        <f>SUMPRODUCT('Portfolio Holdings'!$D$2:$D$17,'Component'!$D$2:$D$17)</f>
        <v/>
      </c>
      <c r="C7" s="6">
        <f>SUMPRODUCT('Portfolio Holdings'!$D$18:$D$26,'Component'!$D$18:$D$26)</f>
        <v/>
      </c>
    </row>
    <row r="8">
      <c r="A8" s="5" t="inlineStr">
        <is>
          <t>Portfolio performance fee % p.a.</t>
        </is>
      </c>
      <c r="B8" s="6">
        <f>0</f>
        <v/>
      </c>
      <c r="C8" s="6">
        <f>0</f>
        <v/>
      </c>
    </row>
    <row r="9">
      <c r="A9" s="5" t="inlineStr">
        <is>
          <t>Estimated underlying performance fee % p.a.</t>
        </is>
      </c>
      <c r="B9" s="6">
        <f>SUMPRODUCT('Portfolio Holdings'!$D$2:$D$17,'Component'!$E$2:$E$17)</f>
        <v/>
      </c>
      <c r="C9" s="6">
        <f>SUMPRODUCT('Portfolio Holdings'!$D$18:$D$26,'Component'!$E$18:$E$26)</f>
        <v/>
      </c>
    </row>
    <row r="10">
      <c r="A10" s="5" t="inlineStr">
        <is>
          <t>Estimated gross transaction costs % p.a.</t>
        </is>
      </c>
      <c r="B10" s="6">
        <f>SUMPRODUCT('Portfolio Holdings'!$D$2:$D$17,'Component'!$F$2:$F$17)</f>
        <v/>
      </c>
      <c r="C10" s="6">
        <f>SUMPRODUCT('Portfolio Holdings'!$D$18:$D$26,'Component'!$F$18:$F$26)</f>
        <v/>
      </c>
    </row>
    <row r="11">
      <c r="A11" s="5" t="inlineStr">
        <is>
          <t>Estimated underlying buy spread % p.a.</t>
        </is>
      </c>
      <c r="B11" s="6">
        <f>SUMPRODUCT('Portfolio Holdings'!$D$2:$D$17,'Component'!$G$2:$G$17)</f>
        <v/>
      </c>
      <c r="C11" s="6">
        <f>SUMPRODUCT('Portfolio Holdings'!$D$18:$D$26,'Component'!$G$18:$G$26)</f>
        <v/>
      </c>
    </row>
    <row r="12">
      <c r="A12" s="5" t="inlineStr">
        <is>
          <t>Estimated underlying sell spread % p.a.</t>
        </is>
      </c>
      <c r="B12" s="6">
        <f>SUMPRODUCT('Portfolio Holdings'!$D$2:$D$17,'Component'!$H$2:$H$17)</f>
        <v/>
      </c>
      <c r="C12" s="6">
        <f>SUMPRODUCT('Portfolio Holdings'!$D$18:$D$26,'Component'!$H$18:$H$26)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2" t="inlineStr">
        <is>
          <t>Unit ID</t>
        </is>
      </c>
      <c r="B1" s="2" t="inlineStr">
        <is>
          <t>Unit Name</t>
        </is>
      </c>
      <c r="C1" s="2" t="inlineStr">
        <is>
          <t>Management fees and costs %</t>
        </is>
      </c>
      <c r="D1" s="2" t="inlineStr">
        <is>
          <t>Cash investment fee %</t>
        </is>
      </c>
      <c r="E1" s="2" t="inlineStr">
        <is>
          <t>Performance fees %</t>
        </is>
      </c>
      <c r="F1" s="2" t="inlineStr">
        <is>
          <t>Gross transaction costs %</t>
        </is>
      </c>
      <c r="G1" s="2" t="inlineStr">
        <is>
          <t>Buy spread %</t>
        </is>
      </c>
      <c r="H1" s="2" t="inlineStr">
        <is>
          <t>Sell spread %</t>
        </is>
      </c>
      <c r="I1" s="2" t="inlineStr">
        <is>
          <t>Rebate %</t>
        </is>
      </c>
      <c r="J1" s="2" t="inlineStr">
        <is>
          <t>PDS URL</t>
        </is>
      </c>
    </row>
    <row r="2">
      <c r="A2" t="inlineStr">
        <is>
          <t>AAP0103</t>
        </is>
      </c>
      <c r="B2" t="inlineStr">
        <is>
          <t>Ausbil Australian Active Equity Fund</t>
        </is>
      </c>
      <c r="C2" s="7" t="n">
        <v>0.005500000000000001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0.002</v>
      </c>
      <c r="J2" s="8" t="inlineStr">
        <is>
          <t>https://www.ausbil.com.au/our-products/australian-equities/ausbil-australian-active-equity-fund</t>
        </is>
      </c>
    </row>
    <row r="3">
      <c r="A3" t="inlineStr">
        <is>
          <t>VAN0002</t>
        </is>
      </c>
      <c r="B3" t="inlineStr">
        <is>
          <t>Vanguard Australian Shares Index Fund</t>
        </is>
      </c>
      <c r="C3" s="7" t="n">
        <v>0.0007000000000000001</v>
      </c>
      <c r="D3" s="7" t="n">
        <v>0</v>
      </c>
      <c r="E3" s="7" t="n">
        <v>0</v>
      </c>
      <c r="F3" s="7" t="n">
        <v>0</v>
      </c>
      <c r="G3" s="7" t="n">
        <v>0.0005</v>
      </c>
      <c r="H3" s="7" t="n">
        <v>0.0005</v>
      </c>
      <c r="I3" s="7" t="n">
        <v>0</v>
      </c>
      <c r="J3" s="8" t="inlineStr">
        <is>
          <t>https://fund-docs.vanguard.com/AU-PDS-Vanguard_Australian_Shares_Index_Fund.pdf</t>
        </is>
      </c>
    </row>
    <row r="4">
      <c r="A4" t="inlineStr">
        <is>
          <t>VAN0003</t>
        </is>
      </c>
      <c r="B4" t="inlineStr">
        <is>
          <t>Vanguard International Shares Index Fund</t>
        </is>
      </c>
      <c r="C4" s="7" t="n">
        <v>0.0018</v>
      </c>
      <c r="D4" s="7" t="n">
        <v>0</v>
      </c>
      <c r="E4" s="7" t="n">
        <v>0</v>
      </c>
      <c r="F4" s="7" t="n">
        <v>0</v>
      </c>
      <c r="G4" s="7" t="n">
        <v>0.0005</v>
      </c>
      <c r="H4" s="7" t="n">
        <v>0.0005</v>
      </c>
      <c r="I4" s="7" t="n">
        <v>0</v>
      </c>
      <c r="J4" s="8" t="inlineStr">
        <is>
          <t>https://fund-docs.vanguard.com/AU-PDS-Vanguard_International_Shares_Index_Fund.pdf</t>
        </is>
      </c>
    </row>
    <row r="5">
      <c r="A5" t="inlineStr">
        <is>
          <t>TGP0034</t>
        </is>
      </c>
      <c r="B5" t="inlineStr">
        <is>
          <t>Clearbridge RARE Infrastructure Value Fund - Unhedged</t>
        </is>
      </c>
      <c r="C5" s="7" t="n">
        <v>0.00974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0.0015</v>
      </c>
      <c r="J5" s="8" t="inlineStr">
        <is>
          <t>https://www.clearbridgeinvestments.com.au/investment-products/clearbridge-rare-infrastructure-value-fund-unhedged-class-a-units/</t>
        </is>
      </c>
    </row>
    <row r="6">
      <c r="A6" t="inlineStr">
        <is>
          <t>MAQ0464</t>
        </is>
      </c>
      <c r="B6" t="inlineStr">
        <is>
          <t>Arrowstreet Global Equity Fund</t>
        </is>
      </c>
      <c r="C6" s="7" t="n">
        <v>0.0128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0.0053</v>
      </c>
      <c r="J6" s="8" t="inlineStr">
        <is>
          <t>https://www.macquarie.com/assets/macq/mam/au/pds/arrowstreet-global-equity-fund-pds.pdf</t>
        </is>
      </c>
    </row>
    <row r="7">
      <c r="A7" t="inlineStr">
        <is>
          <t>ETL0060</t>
        </is>
      </c>
      <c r="B7" t="inlineStr">
        <is>
          <t>Allan Gray Australian Equity Fund</t>
        </is>
      </c>
      <c r="C7" s="7" t="n">
        <v>0.0077</v>
      </c>
      <c r="D7" s="7" t="n">
        <v>0</v>
      </c>
      <c r="E7" s="7" t="n">
        <v>0.205</v>
      </c>
      <c r="F7" s="7" t="n">
        <v>0</v>
      </c>
      <c r="G7" s="7" t="n">
        <v>0</v>
      </c>
      <c r="H7" s="7" t="n">
        <v>0</v>
      </c>
      <c r="I7" s="7" t="n">
        <v>0</v>
      </c>
      <c r="J7" s="8" t="inlineStr">
        <is>
          <t>https://www.allangray.com.au/au/investor/allan-gray-australia-equity-fund/</t>
        </is>
      </c>
    </row>
    <row r="8">
      <c r="A8" t="inlineStr">
        <is>
          <t>FID0010</t>
        </is>
      </c>
      <c r="B8" t="inlineStr">
        <is>
          <t>Fidelity Asia Fund</t>
        </is>
      </c>
      <c r="C8" s="7" t="n">
        <v>0.0115</v>
      </c>
      <c r="D8" s="7" t="n">
        <v>0</v>
      </c>
      <c r="E8" s="7" t="n">
        <v>0</v>
      </c>
      <c r="F8" s="7" t="n">
        <v>0</v>
      </c>
      <c r="G8" s="7" t="n">
        <v>0.008</v>
      </c>
      <c r="H8" s="7" t="n">
        <v>0.008</v>
      </c>
      <c r="I8" s="7" t="n">
        <v>0.002</v>
      </c>
      <c r="J8" s="8" t="inlineStr">
        <is>
          <t>https://www.fidelity.com.au/funds/fidelity-asia-fund/</t>
        </is>
      </c>
    </row>
    <row r="9">
      <c r="A9" t="inlineStr">
        <is>
          <t>WHT1465</t>
        </is>
      </c>
      <c r="B9" t="inlineStr">
        <is>
          <t>Plato Global Alpha Fund</t>
        </is>
      </c>
      <c r="C9" s="7" t="n">
        <v>0.008800000000000001</v>
      </c>
      <c r="D9" s="7" t="n">
        <v>0</v>
      </c>
      <c r="E9" s="7" t="n">
        <v>0.15</v>
      </c>
      <c r="F9" s="7" t="n">
        <v>0.0003</v>
      </c>
      <c r="G9" s="7" t="n">
        <v>0</v>
      </c>
      <c r="H9" s="7" t="n">
        <v>0</v>
      </c>
      <c r="I9" s="7" t="n">
        <v>0.001</v>
      </c>
      <c r="J9" s="8" t="inlineStr">
        <is>
          <t>https://plato.com.au/global-strategies/plato-global-alpha-fund/</t>
        </is>
      </c>
    </row>
    <row r="10">
      <c r="A10" t="inlineStr">
        <is>
          <t>ETL0463</t>
        </is>
      </c>
      <c r="B10" t="inlineStr">
        <is>
          <t>Orbis Global Equity Fund</t>
        </is>
      </c>
      <c r="C10" s="7" t="n">
        <v>0.0107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0.002</v>
      </c>
      <c r="J10" s="8" t="inlineStr">
        <is>
          <t>https://www.orbis.com/au/investor/funds/orbis-global-equity-fund</t>
        </is>
      </c>
    </row>
    <row r="11">
      <c r="A11" t="inlineStr">
        <is>
          <t>MGE0005</t>
        </is>
      </c>
      <c r="B11" t="inlineStr">
        <is>
          <t>Magellan Global Opportunities Fund No. 2</t>
        </is>
      </c>
      <c r="C11" s="7" t="n">
        <v>0.0075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0.001</v>
      </c>
      <c r="J11" s="8" t="inlineStr">
        <is>
          <t>https://magellaninvestmentpartners.com/funds/magellan-global-opportunities-fund-no-2/</t>
        </is>
      </c>
    </row>
    <row r="12">
      <c r="A12" t="inlineStr">
        <is>
          <t>BFL0020</t>
        </is>
      </c>
      <c r="B12" t="inlineStr">
        <is>
          <t>Quay Global Real Estate Fund (Unhedged)</t>
        </is>
      </c>
      <c r="C12" s="7" t="n">
        <v>0.008699999999999999</v>
      </c>
      <c r="D12" s="7" t="n">
        <v>0</v>
      </c>
      <c r="E12" s="7" t="n">
        <v>0</v>
      </c>
      <c r="F12" s="7" t="n">
        <v>0.0005</v>
      </c>
      <c r="G12" s="7" t="n">
        <v>0.002</v>
      </c>
      <c r="H12" s="7" t="n">
        <v>0.002</v>
      </c>
      <c r="I12" s="7" t="n">
        <v>0.0012</v>
      </c>
      <c r="J12" s="8" t="inlineStr">
        <is>
          <t>https://www.bennelongfunds.com/download/qgref/product-disclosure-statement</t>
        </is>
      </c>
    </row>
    <row r="13">
      <c r="A13" t="inlineStr">
        <is>
          <t>BTA0313</t>
        </is>
      </c>
      <c r="B13" t="inlineStr">
        <is>
          <t>Pendal MidCap Fund</t>
        </is>
      </c>
      <c r="C13" s="7" t="n">
        <v>0.009000000000000001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7" t="n">
        <v>0.0015</v>
      </c>
      <c r="J13" s="8" t="inlineStr">
        <is>
          <t>https://pendalgroup.com/australian-equities/pendal-midcap-fund</t>
        </is>
      </c>
    </row>
    <row r="14">
      <c r="A14" t="inlineStr">
        <is>
          <t>WHT3093</t>
        </is>
      </c>
      <c r="B14" t="inlineStr">
        <is>
          <t>Firetrail Australian Small Companies Fund (Class A)</t>
        </is>
      </c>
      <c r="C14" s="7" t="n">
        <v>0.008500000000000001</v>
      </c>
      <c r="D14" s="7" t="n">
        <v>0</v>
      </c>
      <c r="E14" s="7" t="n">
        <v>0.2</v>
      </c>
      <c r="F14" s="7" t="n">
        <v>0</v>
      </c>
      <c r="G14" s="7" t="n">
        <v>0</v>
      </c>
      <c r="H14" s="7" t="n">
        <v>0</v>
      </c>
      <c r="I14" s="7" t="n">
        <v>0.002</v>
      </c>
      <c r="J14" s="8" t="inlineStr">
        <is>
          <t>https://firetrail.com/funds/firetrail-australian-small-companies-fund/</t>
        </is>
      </c>
    </row>
    <row r="15">
      <c r="A15" t="inlineStr">
        <is>
          <t>GSF0874</t>
        </is>
      </c>
      <c r="B15" t="inlineStr">
        <is>
          <t>Munro Global Growth Small &amp; Mid Cap Fund - Class A</t>
        </is>
      </c>
      <c r="C15" s="7" t="n">
        <v>0.011</v>
      </c>
      <c r="D15" s="7" t="n">
        <v>0</v>
      </c>
      <c r="E15" s="7" t="n">
        <v>0.15</v>
      </c>
      <c r="F15" s="7" t="n">
        <v>0</v>
      </c>
      <c r="G15" s="7" t="n">
        <v>0</v>
      </c>
      <c r="H15" s="7" t="n">
        <v>0</v>
      </c>
      <c r="I15" s="7" t="n">
        <v>0</v>
      </c>
      <c r="J15" s="8" t="inlineStr">
        <is>
          <t>https://www.gsfm.com.au/unlisted-funds/munro-global-growth-smid/</t>
        </is>
      </c>
    </row>
    <row r="16">
      <c r="A16" t="inlineStr">
        <is>
          <t>VAN0004</t>
        </is>
      </c>
      <c r="B16" t="inlineStr">
        <is>
          <t>Vanguard Australian Property Securities Index Fund (W)</t>
        </is>
      </c>
      <c r="C16" s="7" t="n">
        <v>0.0023</v>
      </c>
      <c r="D16" s="7" t="n">
        <v>0</v>
      </c>
      <c r="E16" s="7" t="n">
        <v>0</v>
      </c>
      <c r="F16" s="7" t="n">
        <v>0</v>
      </c>
      <c r="G16" s="7" t="n">
        <v>0.0005</v>
      </c>
      <c r="H16" s="7" t="n">
        <v>0.0005</v>
      </c>
      <c r="I16" s="7" t="n">
        <v>0</v>
      </c>
      <c r="J16" s="8" t="inlineStr">
        <is>
          <t>https://www.vanguard.com.au/adviser/invest/fund?portId=8105</t>
        </is>
      </c>
    </row>
    <row r="17">
      <c r="A17" t="inlineStr">
        <is>
          <t>CASHACCT</t>
        </is>
      </c>
      <c r="B17" t="inlineStr">
        <is>
          <t>Cash Account</t>
        </is>
      </c>
      <c r="C17" s="7" t="n">
        <v>0</v>
      </c>
      <c r="D17" s="7" t="n">
        <v>0.014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0.0015</v>
      </c>
      <c r="J17" s="8" t="inlineStr">
        <is>
          <t>—</t>
        </is>
      </c>
    </row>
    <row r="18">
      <c r="A18" t="inlineStr">
        <is>
          <t>BTA8657</t>
        </is>
      </c>
      <c r="B18" t="inlineStr">
        <is>
          <t>Pendal Dynamic Income Fund</t>
        </is>
      </c>
      <c r="C18" s="7" t="n">
        <v>0.0035</v>
      </c>
      <c r="D18" s="7" t="n">
        <v>0</v>
      </c>
      <c r="E18" s="7" t="n">
        <v>0</v>
      </c>
      <c r="F18" s="7" t="n">
        <v>0.0011</v>
      </c>
      <c r="G18" s="7" t="n">
        <v>0.003</v>
      </c>
      <c r="H18" s="7" t="n">
        <v>0.003</v>
      </c>
      <c r="I18" s="7" t="n">
        <v>0.0015</v>
      </c>
      <c r="J18" s="8" t="inlineStr">
        <is>
          <t>https://pendalgroup.com/products/pendal-dynamic-income-fund</t>
        </is>
      </c>
    </row>
    <row r="19">
      <c r="A19" t="inlineStr">
        <is>
          <t>FRT0027</t>
        </is>
      </c>
      <c r="B19" t="inlineStr">
        <is>
          <t>Franklin Australia Absolute Return Bond Fund - Class A</t>
        </is>
      </c>
      <c r="C19" s="7" t="n">
        <v>0.005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7" t="n">
        <v>0.001</v>
      </c>
      <c r="J19" s="8" t="inlineStr">
        <is>
          <t>https://www.franklintempleton.com.au/our-products/funds-prices-performance/managed-funds/products/19414/W/franklin-australian-absolute-return-bond-fund/</t>
        </is>
      </c>
    </row>
    <row r="20">
      <c r="A20" t="inlineStr">
        <is>
          <t>UBS0003</t>
        </is>
      </c>
      <c r="B20" t="inlineStr">
        <is>
          <t>UBS Income Solutions Fund</t>
        </is>
      </c>
      <c r="C20" s="7" t="n">
        <v>0.006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0.0015</v>
      </c>
      <c r="J20" s="8" t="inlineStr">
        <is>
          <t>https://api.platformplus.com.au/pds/code/UBS0003AU</t>
        </is>
      </c>
    </row>
    <row r="21">
      <c r="A21" t="inlineStr">
        <is>
          <t>SCH0028</t>
        </is>
      </c>
      <c r="B21" t="inlineStr">
        <is>
          <t>Schroder Fixed Income - Client Class</t>
        </is>
      </c>
      <c r="C21" s="7" t="n">
        <v>0.004500000000000001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0.0017</v>
      </c>
      <c r="J21" s="8" t="inlineStr">
        <is>
          <t>https://api.schroders.com/document-store/AUF-Schroder-Fixed-Income-Fund-WC-PDS-AUEN.pdf</t>
        </is>
      </c>
    </row>
    <row r="22">
      <c r="A22" t="inlineStr">
        <is>
          <t>ETL0016</t>
        </is>
      </c>
      <c r="B22" t="inlineStr">
        <is>
          <t>PIMCO Diversified Fixed Interest Fund - Wholesale Class</t>
        </is>
      </c>
      <c r="C22" s="7" t="n">
        <v>0.005600000000000001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7" t="n">
        <v>0.0005</v>
      </c>
      <c r="J22" s="8" t="inlineStr">
        <is>
          <t>https://www.pimco.com/au/en/investments/managed-fund/pimco-diversified-fixed-interest-fund/wholesale-aud</t>
        </is>
      </c>
    </row>
    <row r="23">
      <c r="A23" t="inlineStr">
        <is>
          <t>MAQ3897</t>
        </is>
      </c>
      <c r="B23" t="inlineStr">
        <is>
          <t>Macquarie Dynamic Bond Fund</t>
        </is>
      </c>
      <c r="C23" s="7" t="n">
        <v>0.00614</v>
      </c>
      <c r="D23" s="7" t="n">
        <v>0</v>
      </c>
      <c r="E23" s="7" t="n">
        <v>0</v>
      </c>
      <c r="F23" s="7" t="n">
        <v>0</v>
      </c>
      <c r="G23" s="7" t="n">
        <v>0.008199999999999999</v>
      </c>
      <c r="H23" s="7" t="n">
        <v>0.008199999999999999</v>
      </c>
      <c r="I23" s="7" t="n">
        <v>0</v>
      </c>
      <c r="J23" s="8" t="inlineStr">
        <is>
          <t>https://www.macquarie.com/au/en/about/company/macquarie-asset-management/financial-advisor/investments/managed-funds-and-active-etfs/fixed-income/macquarie-dynamic-bond-fund.html</t>
        </is>
      </c>
    </row>
    <row r="24">
      <c r="A24" t="inlineStr">
        <is>
          <t>CSA0038</t>
        </is>
      </c>
      <c r="B24" t="inlineStr">
        <is>
          <t>Bentham Global Income Fund</t>
        </is>
      </c>
      <c r="C24" s="7" t="n">
        <v>0.0077</v>
      </c>
      <c r="D24" s="7" t="n">
        <v>0</v>
      </c>
      <c r="E24" s="7" t="n">
        <v>0</v>
      </c>
      <c r="F24" s="7" t="n">
        <v>0.0005</v>
      </c>
      <c r="G24" s="7" t="n">
        <v>0</v>
      </c>
      <c r="H24" s="7" t="n">
        <v>0</v>
      </c>
      <c r="I24" s="7" t="n">
        <v>0.0025</v>
      </c>
      <c r="J24" s="8" t="inlineStr">
        <is>
          <t>https://www.fidante.com/au/BENT-PDS-GIF.pdf</t>
        </is>
      </c>
    </row>
    <row r="25">
      <c r="A25" t="inlineStr">
        <is>
          <t>WPC1583</t>
        </is>
      </c>
      <c r="B25" t="inlineStr">
        <is>
          <t>Daintree High Income Trust</t>
        </is>
      </c>
      <c r="C25" s="7" t="n">
        <v>0.0075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0.0015</v>
      </c>
      <c r="J25" s="8" t="inlineStr">
        <is>
          <t>https://daintreecapital.com.au/daintree-high-income-trust/</t>
        </is>
      </c>
    </row>
    <row r="26">
      <c r="A26" t="inlineStr">
        <is>
          <t>CASHACCT</t>
        </is>
      </c>
      <c r="B26" t="inlineStr">
        <is>
          <t>Cash Account</t>
        </is>
      </c>
      <c r="C26" s="7" t="n">
        <v>0</v>
      </c>
      <c r="D26" s="7" t="n">
        <v>0.014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0.0015</v>
      </c>
      <c r="J26" s="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2" customWidth="1" min="4" max="4"/>
  </cols>
  <sheetData>
    <row r="1">
      <c r="A1" s="2" t="inlineStr">
        <is>
          <t>Portfolio ID</t>
        </is>
      </c>
      <c r="B1" s="2" t="inlineStr">
        <is>
          <t>Portfolio Name</t>
        </is>
      </c>
      <c r="C1" s="2" t="inlineStr">
        <is>
          <t>Unit ID</t>
        </is>
      </c>
      <c r="D1" s="2" t="inlineStr">
        <is>
          <t>Allocation %</t>
        </is>
      </c>
    </row>
    <row r="2">
      <c r="A2" t="inlineStr">
        <is>
          <t>NTH0620</t>
        </is>
      </c>
      <c r="B2" t="inlineStr">
        <is>
          <t>Aurora Growth Managed Portfolio</t>
        </is>
      </c>
      <c r="C2" t="inlineStr">
        <is>
          <t>AAP0103</t>
        </is>
      </c>
      <c r="D2" s="7" t="n">
        <v>0.11</v>
      </c>
    </row>
    <row r="3">
      <c r="A3" t="inlineStr">
        <is>
          <t>NTH0620</t>
        </is>
      </c>
      <c r="B3" t="inlineStr">
        <is>
          <t>Aurora Growth Managed Portfolio</t>
        </is>
      </c>
      <c r="C3" t="inlineStr">
        <is>
          <t>VAN0002</t>
        </is>
      </c>
      <c r="D3" s="7" t="n">
        <v>0.1</v>
      </c>
    </row>
    <row r="4">
      <c r="A4" t="inlineStr">
        <is>
          <t>NTH0620</t>
        </is>
      </c>
      <c r="B4" t="inlineStr">
        <is>
          <t>Aurora Growth Managed Portfolio</t>
        </is>
      </c>
      <c r="C4" t="inlineStr">
        <is>
          <t>VAN0003</t>
        </is>
      </c>
      <c r="D4" s="7" t="n">
        <v>0.1</v>
      </c>
    </row>
    <row r="5">
      <c r="A5" t="inlineStr">
        <is>
          <t>NTH0620</t>
        </is>
      </c>
      <c r="B5" t="inlineStr">
        <is>
          <t>Aurora Growth Managed Portfolio</t>
        </is>
      </c>
      <c r="C5" t="inlineStr">
        <is>
          <t>TGP0034</t>
        </is>
      </c>
      <c r="D5" s="7" t="n">
        <v>0.09</v>
      </c>
    </row>
    <row r="6">
      <c r="A6" t="inlineStr">
        <is>
          <t>NTH0620</t>
        </is>
      </c>
      <c r="B6" t="inlineStr">
        <is>
          <t>Aurora Growth Managed Portfolio</t>
        </is>
      </c>
      <c r="C6" t="inlineStr">
        <is>
          <t>MAQ0464</t>
        </is>
      </c>
      <c r="D6" s="7" t="n">
        <v>0.08</v>
      </c>
    </row>
    <row r="7">
      <c r="A7" t="inlineStr">
        <is>
          <t>NTH0620</t>
        </is>
      </c>
      <c r="B7" t="inlineStr">
        <is>
          <t>Aurora Growth Managed Portfolio</t>
        </is>
      </c>
      <c r="C7" t="inlineStr">
        <is>
          <t>ETL0060</t>
        </is>
      </c>
      <c r="D7" s="7" t="n">
        <v>0.07000000000000001</v>
      </c>
    </row>
    <row r="8">
      <c r="A8" t="inlineStr">
        <is>
          <t>NTH0620</t>
        </is>
      </c>
      <c r="B8" t="inlineStr">
        <is>
          <t>Aurora Growth Managed Portfolio</t>
        </is>
      </c>
      <c r="C8" t="inlineStr">
        <is>
          <t>FID0010</t>
        </is>
      </c>
      <c r="D8" s="7" t="n">
        <v>0.07000000000000001</v>
      </c>
    </row>
    <row r="9">
      <c r="A9" t="inlineStr">
        <is>
          <t>NTH0620</t>
        </is>
      </c>
      <c r="B9" t="inlineStr">
        <is>
          <t>Aurora Growth Managed Portfolio</t>
        </is>
      </c>
      <c r="C9" t="inlineStr">
        <is>
          <t>WHT1465</t>
        </is>
      </c>
      <c r="D9" s="7" t="n">
        <v>0.06</v>
      </c>
    </row>
    <row r="10">
      <c r="A10" t="inlineStr">
        <is>
          <t>NTH0620</t>
        </is>
      </c>
      <c r="B10" t="inlineStr">
        <is>
          <t>Aurora Growth Managed Portfolio</t>
        </is>
      </c>
      <c r="C10" t="inlineStr">
        <is>
          <t>ETL0463</t>
        </is>
      </c>
      <c r="D10" s="7" t="n">
        <v>0.06</v>
      </c>
    </row>
    <row r="11">
      <c r="A11" t="inlineStr">
        <is>
          <t>NTH0620</t>
        </is>
      </c>
      <c r="B11" t="inlineStr">
        <is>
          <t>Aurora Growth Managed Portfolio</t>
        </is>
      </c>
      <c r="C11" t="inlineStr">
        <is>
          <t>MGE0005</t>
        </is>
      </c>
      <c r="D11" s="7" t="n">
        <v>0.05</v>
      </c>
    </row>
    <row r="12">
      <c r="A12" t="inlineStr">
        <is>
          <t>NTH0620</t>
        </is>
      </c>
      <c r="B12" t="inlineStr">
        <is>
          <t>Aurora Growth Managed Portfolio</t>
        </is>
      </c>
      <c r="C12" t="inlineStr">
        <is>
          <t>BFL0020</t>
        </is>
      </c>
      <c r="D12" s="7" t="n">
        <v>0.05</v>
      </c>
    </row>
    <row r="13">
      <c r="A13" t="inlineStr">
        <is>
          <t>NTH0620</t>
        </is>
      </c>
      <c r="B13" t="inlineStr">
        <is>
          <t>Aurora Growth Managed Portfolio</t>
        </is>
      </c>
      <c r="C13" t="inlineStr">
        <is>
          <t>BTA0313</t>
        </is>
      </c>
      <c r="D13" s="7" t="n">
        <v>0.04</v>
      </c>
    </row>
    <row r="14">
      <c r="A14" t="inlineStr">
        <is>
          <t>NTH0620</t>
        </is>
      </c>
      <c r="B14" t="inlineStr">
        <is>
          <t>Aurora Growth Managed Portfolio</t>
        </is>
      </c>
      <c r="C14" t="inlineStr">
        <is>
          <t>WHT3093</t>
        </is>
      </c>
      <c r="D14" s="7" t="n">
        <v>0.04</v>
      </c>
    </row>
    <row r="15">
      <c r="A15" t="inlineStr">
        <is>
          <t>NTH0620</t>
        </is>
      </c>
      <c r="B15" t="inlineStr">
        <is>
          <t>Aurora Growth Managed Portfolio</t>
        </is>
      </c>
      <c r="C15" t="inlineStr">
        <is>
          <t>GSF0874</t>
        </is>
      </c>
      <c r="D15" s="7" t="n">
        <v>0.03</v>
      </c>
    </row>
    <row r="16">
      <c r="A16" t="inlineStr">
        <is>
          <t>NTH0620</t>
        </is>
      </c>
      <c r="B16" t="inlineStr">
        <is>
          <t>Aurora Growth Managed Portfolio</t>
        </is>
      </c>
      <c r="C16" t="inlineStr">
        <is>
          <t>VAN0004</t>
        </is>
      </c>
      <c r="D16" s="7" t="n">
        <v>0.03</v>
      </c>
    </row>
    <row r="17">
      <c r="A17" t="inlineStr">
        <is>
          <t>NTH0620</t>
        </is>
      </c>
      <c r="B17" t="inlineStr">
        <is>
          <t>Aurora Growth Managed Portfolio</t>
        </is>
      </c>
      <c r="C17" t="inlineStr">
        <is>
          <t>CASHACCT</t>
        </is>
      </c>
      <c r="D17" s="7" t="n">
        <v>0.02</v>
      </c>
    </row>
    <row r="18">
      <c r="A18" t="inlineStr">
        <is>
          <t>NTH0619</t>
        </is>
      </c>
      <c r="B18" t="inlineStr">
        <is>
          <t>Aurora Defensive Managed Portfolio</t>
        </is>
      </c>
      <c r="C18" t="inlineStr">
        <is>
          <t>BTA8657</t>
        </is>
      </c>
      <c r="D18" s="7" t="n">
        <v>0.11</v>
      </c>
    </row>
    <row r="19">
      <c r="A19" t="inlineStr">
        <is>
          <t>NTH0619</t>
        </is>
      </c>
      <c r="B19" t="inlineStr">
        <is>
          <t>Aurora Defensive Managed Portfolio</t>
        </is>
      </c>
      <c r="C19" t="inlineStr">
        <is>
          <t>FRT0027</t>
        </is>
      </c>
      <c r="D19" s="7" t="n">
        <v>0.13</v>
      </c>
    </row>
    <row r="20">
      <c r="A20" t="inlineStr">
        <is>
          <t>NTH0619</t>
        </is>
      </c>
      <c r="B20" t="inlineStr">
        <is>
          <t>Aurora Defensive Managed Portfolio</t>
        </is>
      </c>
      <c r="C20" t="inlineStr">
        <is>
          <t>UBS0003</t>
        </is>
      </c>
      <c r="D20" s="7" t="n">
        <v>0.11</v>
      </c>
    </row>
    <row r="21">
      <c r="A21" t="inlineStr">
        <is>
          <t>NTH0619</t>
        </is>
      </c>
      <c r="B21" t="inlineStr">
        <is>
          <t>Aurora Defensive Managed Portfolio</t>
        </is>
      </c>
      <c r="C21" t="inlineStr">
        <is>
          <t>SCH0028</t>
        </is>
      </c>
      <c r="D21" s="7" t="n">
        <v>0.13</v>
      </c>
    </row>
    <row r="22">
      <c r="A22" t="inlineStr">
        <is>
          <t>NTH0619</t>
        </is>
      </c>
      <c r="B22" t="inlineStr">
        <is>
          <t>Aurora Defensive Managed Portfolio</t>
        </is>
      </c>
      <c r="C22" t="inlineStr">
        <is>
          <t>ETL0016</t>
        </is>
      </c>
      <c r="D22" s="7" t="n">
        <v>0.2</v>
      </c>
    </row>
    <row r="23">
      <c r="A23" t="inlineStr">
        <is>
          <t>NTH0619</t>
        </is>
      </c>
      <c r="B23" t="inlineStr">
        <is>
          <t>Aurora Defensive Managed Portfolio</t>
        </is>
      </c>
      <c r="C23" t="inlineStr">
        <is>
          <t>MAQ3897</t>
        </is>
      </c>
      <c r="D23" s="7" t="n">
        <v>0.07000000000000001</v>
      </c>
    </row>
    <row r="24">
      <c r="A24" t="inlineStr">
        <is>
          <t>NTH0619</t>
        </is>
      </c>
      <c r="B24" t="inlineStr">
        <is>
          <t>Aurora Defensive Managed Portfolio</t>
        </is>
      </c>
      <c r="C24" t="inlineStr">
        <is>
          <t>CSA0038</t>
        </is>
      </c>
      <c r="D24" s="7" t="n">
        <v>0.11</v>
      </c>
    </row>
    <row r="25">
      <c r="A25" t="inlineStr">
        <is>
          <t>NTH0619</t>
        </is>
      </c>
      <c r="B25" t="inlineStr">
        <is>
          <t>Aurora Defensive Managed Portfolio</t>
        </is>
      </c>
      <c r="C25" t="inlineStr">
        <is>
          <t>WPC1583</t>
        </is>
      </c>
      <c r="D25" s="7" t="n">
        <v>0.12</v>
      </c>
    </row>
    <row r="26">
      <c r="A26" t="inlineStr">
        <is>
          <t>NTH0619</t>
        </is>
      </c>
      <c r="B26" t="inlineStr">
        <is>
          <t>Aurora Defensive Managed Portfolio</t>
        </is>
      </c>
      <c r="C26" t="inlineStr">
        <is>
          <t>CASHACCT</t>
        </is>
      </c>
      <c r="D26" s="7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2026-04-27T10:26:04Z</dcterms:created>
  <dcterms:modified xmlns:dcterms="http://purl.org/dc/terms/" xmlns:xsi="http://www.w3.org/2001/XMLSchema-instance" xsi:type="dcterms:W3CDTF">2026-04-27T10:26:04Z</dcterms:modified>
</cp:coreProperties>
</file>