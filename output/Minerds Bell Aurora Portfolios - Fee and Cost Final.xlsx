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6044462fd8d2ec/MP project/"/>
    </mc:Choice>
  </mc:AlternateContent>
  <xr:revisionPtr revIDLastSave="84" documentId="8_{EE43B511-0F8A-4955-8E45-A9D6F382A638}" xr6:coauthVersionLast="47" xr6:coauthVersionMax="47" xr10:uidLastSave="{1C91DBB4-8942-4988-93A8-CC6AE5F35844}"/>
  <bookViews>
    <workbookView xWindow="35055" yWindow="-21720" windowWidth="38640" windowHeight="21120" activeTab="5" xr2:uid="{AB4CDC0C-C248-4356-853E-82ABC68266A7}"/>
  </bookViews>
  <sheets>
    <sheet name="Summary" sheetId="6" r:id="rId1"/>
    <sheet name="IMFee" sheetId="7" r:id="rId2"/>
    <sheet name="Data Source&gt;" sheetId="9" r:id="rId3"/>
    <sheet name="ComponentFee" sheetId="3" r:id="rId4"/>
    <sheet name="Rebate" sheetId="8" r:id="rId5"/>
    <sheet name="Component" sheetId="1" r:id="rId6"/>
  </sheets>
  <definedNames>
    <definedName name="__N2" hidden="1">#REF!</definedName>
    <definedName name="_xlnm._FilterDatabase" localSheetId="5" hidden="1">Component!$A$2:$G$18</definedName>
    <definedName name="_xlnm._FilterDatabase" localSheetId="3" hidden="1">ComponentFee!$D$2:$M$26</definedName>
    <definedName name="_xlnm._FilterDatabase" localSheetId="1" hidden="1">IMFee!$A$2:$K$2</definedName>
    <definedName name="_xlnm._FilterDatabase" localSheetId="4" hidden="1">Rebate!$A$1:$D$1</definedName>
    <definedName name="_xlnm._FilterDatabase" localSheetId="0" hidden="1">Summary!$B$57:$M$81</definedName>
    <definedName name="_Key1" hidden="1">#REF!</definedName>
    <definedName name="_N2" hidden="1">#REF!</definedName>
    <definedName name="_Order1" hidden="1">255</definedName>
    <definedName name="_Order2" hidden="1">255</definedName>
    <definedName name="_Sort" hidden="1">#REF!</definedName>
    <definedName name="AFDSSA" hidden="1">#REF!</definedName>
    <definedName name="ASDF" hidden="1">#REF!</definedName>
    <definedName name="ddd" hidden="1">#REF!</definedName>
    <definedName name="ddddd" hidden="1">#REF!</definedName>
    <definedName name="dddddd" hidden="1">#REF!</definedName>
    <definedName name="dddddddddddddddd" hidden="1">#REF!</definedName>
    <definedName name="ddddddddddddddddddd" hidden="1">#REF!</definedName>
    <definedName name="dfds" hidden="1">#REF!</definedName>
    <definedName name="DS">#REF!</definedName>
    <definedName name="ERF" hidden="1">#REF!</definedName>
    <definedName name="FAC_WealthPlus">#REF!+#REF!</definedName>
    <definedName name="HTML1_1" hidden="1">"[PRICES.XLS]Internet!$A$1:$A$19"</definedName>
    <definedName name="HTML1_11" hidden="1">1</definedName>
    <definedName name="HTML1_12" hidden="1">"D:\HOME\UNITTRST\PAGES\PRICES02.HTM"</definedName>
    <definedName name="HTML1_2" hidden="1">-4146</definedName>
    <definedName name="HTML1_3" hidden="1">"D:\HOME\UNITTRST\PAGES\PRICES01.HTM"</definedName>
    <definedName name="HTML1_4" hidden="1">"Internet"</definedName>
    <definedName name="HTML1_6" hidden="1">1</definedName>
    <definedName name="HTML1_7" hidden="1">1</definedName>
    <definedName name="HTML1_8" hidden="1">35373</definedName>
    <definedName name="HTML1_9" hidden="1">"Ray Lee"</definedName>
    <definedName name="HTML2_1" hidden="1">"[PRICES.XLS]Internet!$A$1:$C$19"</definedName>
    <definedName name="HTML2_11" hidden="1">1</definedName>
    <definedName name="HTML2_12" hidden="1">"D:\HOME\UNITTRST\PAGES\UT_PRI01.HTM"</definedName>
    <definedName name="HTML2_2" hidden="1">-4146</definedName>
    <definedName name="HTML2_3" hidden="1">"D:\HOME\UNITTRST\PAGES\PRICES01.HTM"</definedName>
    <definedName name="HTMLCount" hidden="1">2</definedName>
    <definedName name="Input_PDS">#REF!</definedName>
    <definedName name="int" hidden="1">#REF!</definedName>
    <definedName name="sd" hidden="1">#REF!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Template">#REF!</definedName>
    <definedName name="Test" hidden="1">#REF!</definedName>
    <definedName name="test2" hidden="1">#REF!</definedName>
    <definedName name="WOW_MySuper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  <c r="F3" i="7"/>
  <c r="E3" i="7"/>
  <c r="L48" i="6"/>
  <c r="L39" i="6" l="1"/>
  <c r="L47" i="6"/>
  <c r="L46" i="6"/>
  <c r="L19" i="6" l="1"/>
  <c r="L36" i="6" s="1"/>
  <c r="V6" i="6"/>
  <c r="E58" i="6" l="1" a="1"/>
  <c r="E58" i="6" s="1"/>
  <c r="F58" i="6" a="1"/>
  <c r="F58" i="6" s="1"/>
  <c r="B58" i="6" a="1"/>
  <c r="B58" i="6" s="1"/>
  <c r="L45" i="6"/>
  <c r="L44" i="6"/>
  <c r="L22" i="6"/>
  <c r="M22" i="6"/>
  <c r="L33" i="6" l="1"/>
  <c r="L49" i="6"/>
  <c r="F18" i="1" l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7" i="1"/>
  <c r="F19" i="1"/>
  <c r="F20" i="1"/>
  <c r="F21" i="1"/>
  <c r="F22" i="1"/>
  <c r="F23" i="1"/>
  <c r="F24" i="1"/>
  <c r="F25" i="1"/>
  <c r="F26" i="1"/>
  <c r="A2" i="8"/>
  <c r="A8" i="8"/>
  <c r="A23" i="8"/>
  <c r="A19" i="8"/>
  <c r="A22" i="8"/>
  <c r="A13" i="8"/>
  <c r="A12" i="8"/>
  <c r="A15" i="8"/>
  <c r="A9" i="8"/>
  <c r="A10" i="8"/>
  <c r="A20" i="8"/>
  <c r="A21" i="8"/>
  <c r="A3" i="8"/>
  <c r="A17" i="8"/>
  <c r="A5" i="8"/>
  <c r="A11" i="8"/>
  <c r="A18" i="8"/>
  <c r="A16" i="8"/>
  <c r="A7" i="8"/>
  <c r="A14" i="8"/>
  <c r="A6" i="8"/>
  <c r="A24" i="8"/>
  <c r="A4" i="8"/>
  <c r="E9" i="1" l="1"/>
  <c r="E11" i="1"/>
  <c r="E12" i="1"/>
  <c r="E14" i="1"/>
  <c r="E16" i="1"/>
  <c r="E18" i="1"/>
  <c r="E5" i="1"/>
  <c r="E7" i="1"/>
  <c r="E19" i="1"/>
  <c r="E10" i="1"/>
  <c r="E13" i="1"/>
  <c r="E15" i="1"/>
  <c r="E17" i="1"/>
  <c r="E4" i="1"/>
  <c r="E6" i="1"/>
  <c r="E20" i="1"/>
  <c r="E21" i="1"/>
  <c r="E22" i="1"/>
  <c r="E23" i="1"/>
  <c r="E24" i="1"/>
  <c r="E25" i="1"/>
  <c r="E26" i="1"/>
  <c r="E27" i="1"/>
  <c r="E3" i="1"/>
  <c r="E8" i="1"/>
  <c r="M14" i="6" l="1"/>
  <c r="L14" i="6"/>
  <c r="H4" i="7"/>
  <c r="I4" i="7" s="1"/>
  <c r="H3" i="7"/>
  <c r="D4" i="7"/>
  <c r="E4" i="7" s="1"/>
  <c r="D3" i="7"/>
  <c r="J4" i="7" l="1"/>
  <c r="I3" i="7"/>
  <c r="J3" i="7" s="1"/>
  <c r="F4" i="7"/>
  <c r="L56" i="6"/>
  <c r="L58" i="6" s="1"/>
  <c r="M56" i="6"/>
  <c r="M44" i="6"/>
  <c r="M45" i="6"/>
  <c r="M46" i="6"/>
  <c r="M47" i="6"/>
  <c r="M48" i="6"/>
  <c r="L30" i="6"/>
  <c r="M30" i="6"/>
  <c r="M39" i="6"/>
  <c r="L18" i="6"/>
  <c r="L31" i="6" s="1"/>
  <c r="M18" i="6"/>
  <c r="M57" i="6" s="1"/>
  <c r="M58" i="6" l="1"/>
  <c r="K4" i="7"/>
  <c r="M19" i="6" s="1"/>
  <c r="M36" i="6" s="1"/>
  <c r="K3" i="7"/>
  <c r="L57" i="6"/>
  <c r="M31" i="6"/>
  <c r="M33" i="6"/>
  <c r="L53" i="6"/>
  <c r="L42" i="6" s="1"/>
  <c r="M53" i="6"/>
  <c r="M49" i="6"/>
  <c r="M42" i="6" l="1"/>
  <c r="U6" i="6" l="1"/>
  <c r="V7" i="6"/>
  <c r="V8" i="6" s="1"/>
  <c r="V9" i="6" s="1"/>
  <c r="U7" i="6" l="1"/>
  <c r="U8" i="6" s="1"/>
  <c r="U9" i="6" s="1"/>
  <c r="K81" i="6"/>
  <c r="J81" i="6"/>
  <c r="I81" i="6"/>
  <c r="H81" i="6"/>
  <c r="G81" i="6"/>
  <c r="F81" i="6"/>
  <c r="K80" i="6"/>
  <c r="J80" i="6"/>
  <c r="I80" i="6"/>
  <c r="H80" i="6"/>
  <c r="G80" i="6"/>
  <c r="F80" i="6"/>
  <c r="K79" i="6"/>
  <c r="J79" i="6"/>
  <c r="I79" i="6"/>
  <c r="H79" i="6"/>
  <c r="G79" i="6"/>
  <c r="F79" i="6"/>
  <c r="K78" i="6"/>
  <c r="J78" i="6"/>
  <c r="I78" i="6"/>
  <c r="H78" i="6"/>
  <c r="G78" i="6"/>
  <c r="F78" i="6"/>
  <c r="K77" i="6"/>
  <c r="J77" i="6"/>
  <c r="I77" i="6"/>
  <c r="H77" i="6"/>
  <c r="G77" i="6"/>
  <c r="F77" i="6"/>
  <c r="K76" i="6"/>
  <c r="J76" i="6"/>
  <c r="I76" i="6"/>
  <c r="H76" i="6"/>
  <c r="G76" i="6"/>
  <c r="F76" i="6"/>
  <c r="K75" i="6"/>
  <c r="J75" i="6"/>
  <c r="I75" i="6"/>
  <c r="H75" i="6"/>
  <c r="G75" i="6"/>
  <c r="F75" i="6"/>
  <c r="K74" i="6"/>
  <c r="J74" i="6"/>
  <c r="I74" i="6"/>
  <c r="H74" i="6"/>
  <c r="G74" i="6"/>
  <c r="F74" i="6"/>
  <c r="K73" i="6"/>
  <c r="J73" i="6"/>
  <c r="I73" i="6"/>
  <c r="H73" i="6"/>
  <c r="G73" i="6"/>
  <c r="F73" i="6"/>
  <c r="K72" i="6"/>
  <c r="J72" i="6"/>
  <c r="I72" i="6"/>
  <c r="H72" i="6"/>
  <c r="G72" i="6"/>
  <c r="F72" i="6"/>
  <c r="K71" i="6"/>
  <c r="J71" i="6"/>
  <c r="I71" i="6"/>
  <c r="H71" i="6"/>
  <c r="G71" i="6"/>
  <c r="F71" i="6"/>
  <c r="K70" i="6"/>
  <c r="J70" i="6"/>
  <c r="I70" i="6"/>
  <c r="H70" i="6"/>
  <c r="G70" i="6"/>
  <c r="F70" i="6"/>
  <c r="K69" i="6"/>
  <c r="J69" i="6"/>
  <c r="I69" i="6"/>
  <c r="H69" i="6"/>
  <c r="G69" i="6"/>
  <c r="F69" i="6"/>
  <c r="K68" i="6"/>
  <c r="J68" i="6"/>
  <c r="I68" i="6"/>
  <c r="H68" i="6"/>
  <c r="G68" i="6"/>
  <c r="F68" i="6"/>
  <c r="K67" i="6"/>
  <c r="J67" i="6"/>
  <c r="I67" i="6"/>
  <c r="H67" i="6"/>
  <c r="G67" i="6"/>
  <c r="F67" i="6"/>
  <c r="K66" i="6"/>
  <c r="J66" i="6"/>
  <c r="I66" i="6"/>
  <c r="H66" i="6"/>
  <c r="G66" i="6"/>
  <c r="F66" i="6"/>
  <c r="K65" i="6"/>
  <c r="J65" i="6"/>
  <c r="I65" i="6"/>
  <c r="H65" i="6"/>
  <c r="G65" i="6"/>
  <c r="F65" i="6"/>
  <c r="K64" i="6"/>
  <c r="J64" i="6"/>
  <c r="I64" i="6"/>
  <c r="H64" i="6"/>
  <c r="G64" i="6"/>
  <c r="F64" i="6"/>
  <c r="K63" i="6"/>
  <c r="J63" i="6"/>
  <c r="I63" i="6"/>
  <c r="H63" i="6"/>
  <c r="G63" i="6"/>
  <c r="F63" i="6"/>
  <c r="K62" i="6"/>
  <c r="J62" i="6"/>
  <c r="I62" i="6"/>
  <c r="H62" i="6"/>
  <c r="G62" i="6"/>
  <c r="F62" i="6"/>
  <c r="K61" i="6"/>
  <c r="J61" i="6"/>
  <c r="I61" i="6"/>
  <c r="H61" i="6"/>
  <c r="G61" i="6"/>
  <c r="F61" i="6"/>
  <c r="K60" i="6"/>
  <c r="J60" i="6"/>
  <c r="I60" i="6"/>
  <c r="H60" i="6"/>
  <c r="G60" i="6"/>
  <c r="F60" i="6"/>
  <c r="K59" i="6"/>
  <c r="J59" i="6"/>
  <c r="I59" i="6"/>
  <c r="H59" i="6"/>
  <c r="G59" i="6"/>
  <c r="F59" i="6"/>
  <c r="K58" i="6"/>
  <c r="J58" i="6"/>
  <c r="I58" i="6"/>
  <c r="H58" i="6"/>
  <c r="G58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D81" i="6" l="1"/>
  <c r="L81" i="6"/>
  <c r="M81" i="6"/>
  <c r="D64" i="6"/>
  <c r="L64" i="6"/>
  <c r="M64" i="6"/>
  <c r="D72" i="6"/>
  <c r="M72" i="6"/>
  <c r="L72" i="6"/>
  <c r="D69" i="6"/>
  <c r="M69" i="6"/>
  <c r="L69" i="6"/>
  <c r="D66" i="6"/>
  <c r="L66" i="6"/>
  <c r="M66" i="6"/>
  <c r="D74" i="6"/>
  <c r="L74" i="6"/>
  <c r="M74" i="6"/>
  <c r="D78" i="6"/>
  <c r="M78" i="6"/>
  <c r="L78" i="6"/>
  <c r="D68" i="6"/>
  <c r="M68" i="6"/>
  <c r="L68" i="6"/>
  <c r="D80" i="6"/>
  <c r="M80" i="6"/>
  <c r="L80" i="6"/>
  <c r="D61" i="6"/>
  <c r="L61" i="6"/>
  <c r="M61" i="6"/>
  <c r="D60" i="6"/>
  <c r="L60" i="6"/>
  <c r="M60" i="6"/>
  <c r="D76" i="6"/>
  <c r="L76" i="6"/>
  <c r="M76" i="6"/>
  <c r="D65" i="6"/>
  <c r="L65" i="6"/>
  <c r="M65" i="6"/>
  <c r="D73" i="6"/>
  <c r="M73" i="6"/>
  <c r="L73" i="6"/>
  <c r="D77" i="6"/>
  <c r="M77" i="6"/>
  <c r="L77" i="6"/>
  <c r="D62" i="6"/>
  <c r="L62" i="6"/>
  <c r="M62" i="6"/>
  <c r="D70" i="6"/>
  <c r="M70" i="6"/>
  <c r="L70" i="6"/>
  <c r="D59" i="6"/>
  <c r="L59" i="6"/>
  <c r="M59" i="6"/>
  <c r="D63" i="6"/>
  <c r="L63" i="6"/>
  <c r="M63" i="6"/>
  <c r="D67" i="6"/>
  <c r="L67" i="6"/>
  <c r="M67" i="6"/>
  <c r="D71" i="6"/>
  <c r="M71" i="6"/>
  <c r="L71" i="6"/>
  <c r="D75" i="6"/>
  <c r="L75" i="6"/>
  <c r="M75" i="6"/>
  <c r="D79" i="6"/>
  <c r="L79" i="6"/>
  <c r="M79" i="6"/>
  <c r="M21" i="6" l="1"/>
  <c r="M38" i="6" s="1"/>
  <c r="M26" i="6"/>
  <c r="M25" i="6"/>
  <c r="M23" i="6"/>
  <c r="M40" i="6" s="1"/>
  <c r="M20" i="6"/>
  <c r="M55" i="6"/>
  <c r="M24" i="6"/>
  <c r="M41" i="6"/>
  <c r="L26" i="6"/>
  <c r="L41" i="6"/>
  <c r="L21" i="6"/>
  <c r="L38" i="6" s="1"/>
  <c r="L23" i="6"/>
  <c r="L40" i="6" s="1"/>
  <c r="L24" i="6"/>
  <c r="L25" i="6"/>
  <c r="L20" i="6"/>
  <c r="L55" i="6"/>
  <c r="L27" i="6" l="1"/>
  <c r="L37" i="6"/>
  <c r="M27" i="6"/>
  <c r="M37" i="6"/>
  <c r="M43" i="6" l="1"/>
  <c r="M50" i="6" s="1"/>
  <c r="M32" i="6"/>
  <c r="M34" i="6" s="1"/>
  <c r="L43" i="6"/>
  <c r="L50" i="6" s="1"/>
  <c r="L32" i="6"/>
  <c r="L34" i="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<sst xmlns="http://schemas.openxmlformats.org/spreadsheetml/2006/main" count="360" uniqueCount="217">
  <si>
    <t>Managed Portfolio Fee Calculation Tool</t>
  </si>
  <si>
    <t>Inputs</t>
  </si>
  <si>
    <t>Admin Fee</t>
  </si>
  <si>
    <t>Fees % p.a.</t>
  </si>
  <si>
    <t>Fees by balance tier $</t>
  </si>
  <si>
    <t>Menu</t>
  </si>
  <si>
    <t>Partner</t>
  </si>
  <si>
    <t>Balance</t>
  </si>
  <si>
    <t>Min</t>
  </si>
  <si>
    <t>Select</t>
  </si>
  <si>
    <t>Choice (Super / Pension)</t>
  </si>
  <si>
    <t>Choice (IDPS)</t>
  </si>
  <si>
    <t>Account Balance $</t>
  </si>
  <si>
    <t>$0 - $350,000</t>
  </si>
  <si>
    <t>Managed Portfolio Balance %</t>
  </si>
  <si>
    <t>$350,001 - $750,000</t>
  </si>
  <si>
    <t>Platform Cash Balance %</t>
  </si>
  <si>
    <t>$750,001 - $1,000,000</t>
  </si>
  <si>
    <t>Account Fee $ p.a.</t>
  </si>
  <si>
    <t>$1,000,001 - $1,250,000</t>
  </si>
  <si>
    <t>Cash Account Investment Fee % p.a.</t>
  </si>
  <si>
    <t>$1,250,000 +</t>
  </si>
  <si>
    <t>Trade Fee %</t>
  </si>
  <si>
    <t>Turnover % p.a.</t>
  </si>
  <si>
    <t>Trustee Fee % p.a.</t>
  </si>
  <si>
    <t>Performance Fee % p.a.</t>
  </si>
  <si>
    <t>Rebate %p.a.</t>
  </si>
  <si>
    <t>`</t>
  </si>
  <si>
    <t>Portfolio fees and costs</t>
  </si>
  <si>
    <t>Fee Type</t>
  </si>
  <si>
    <t>Estimated gross transaction costs % p.a.</t>
  </si>
  <si>
    <t>Estimated underlying buy spread %</t>
  </si>
  <si>
    <t>Estimated underlying sell spread %</t>
  </si>
  <si>
    <t>Total fees and costs</t>
  </si>
  <si>
    <t>Total portfolio fees and costs % p.a.</t>
  </si>
  <si>
    <t>Total platform administration fees % p.a.</t>
  </si>
  <si>
    <t>Grand total estimated fees and costs % p.a.</t>
  </si>
  <si>
    <t>Portfolio investment management fees</t>
  </si>
  <si>
    <t>Portfolio estimated underlying management fees and costs</t>
  </si>
  <si>
    <t>Portfolio estimated cash investment fees</t>
  </si>
  <si>
    <t>Portfolio performance fees</t>
  </si>
  <si>
    <t>Portfolio estimated underlying performance fees</t>
  </si>
  <si>
    <t>Portfolio estimated trade fees</t>
  </si>
  <si>
    <t>Total estimated portfolio fees and costs $ p.a.</t>
  </si>
  <si>
    <t>Account fee</t>
  </si>
  <si>
    <t>Administration fee</t>
  </si>
  <si>
    <t>Platform cash administration fee</t>
  </si>
  <si>
    <t>Platform cash investment fee</t>
  </si>
  <si>
    <t>Trustee fee</t>
  </si>
  <si>
    <t>Total platform administration fees $ p.a.</t>
  </si>
  <si>
    <t>Grand total estimated fees and costs $ p.a.</t>
  </si>
  <si>
    <t>Listed %</t>
  </si>
  <si>
    <t>Total %</t>
  </si>
  <si>
    <t>UnitID</t>
  </si>
  <si>
    <t>UnitName</t>
  </si>
  <si>
    <t>Estimated underlying management fees and costs % p.a.</t>
  </si>
  <si>
    <t>Estimated managed portfolio cash investment fee % p.a.</t>
  </si>
  <si>
    <t>Estimated underlying performance fees % p.a.</t>
  </si>
  <si>
    <t>Investment Management Fees (p.a.)</t>
  </si>
  <si>
    <t>ModelID</t>
  </si>
  <si>
    <t>ModelDescription</t>
  </si>
  <si>
    <t>IM Fee %
(excl. GST)</t>
  </si>
  <si>
    <t>IM Fee %
(GST)</t>
  </si>
  <si>
    <t>IM Fee %
(RITC)</t>
  </si>
  <si>
    <t>IM Fee %
(incl. GST)
(less RITC)</t>
  </si>
  <si>
    <t>RE Fee %
(excl. GST)</t>
  </si>
  <si>
    <t>RE Fee %
(GST)</t>
  </si>
  <si>
    <t>RE Fee %
(RITC)</t>
  </si>
  <si>
    <t>RE Fee %
(incl. GST)
(less RITC)</t>
  </si>
  <si>
    <t>Client Fee % (Rounded)
(IM Fee + RE Fee + GST - RITC)</t>
  </si>
  <si>
    <t>Underlying Asset Fees and Costs</t>
  </si>
  <si>
    <t>Asset Type</t>
  </si>
  <si>
    <t>Asset Class</t>
  </si>
  <si>
    <t>TradeType</t>
  </si>
  <si>
    <t>CASHACCT</t>
  </si>
  <si>
    <t>Unit ID</t>
  </si>
  <si>
    <t>APIR</t>
  </si>
  <si>
    <t>Fund name</t>
  </si>
  <si>
    <t>Rebate</t>
  </si>
  <si>
    <t>Investment Components</t>
  </si>
  <si>
    <t>Percentage</t>
  </si>
  <si>
    <t>Percentage * 100</t>
  </si>
  <si>
    <t>Cash Account</t>
  </si>
  <si>
    <t>Total</t>
  </si>
  <si>
    <t xml:space="preserve">Investment management fee % p.a. </t>
  </si>
  <si>
    <t xml:space="preserve">Estimated underlying management fees and costs % p.a. </t>
  </si>
  <si>
    <t xml:space="preserve">Estimated managed portfolio cash investment fee % p.a. </t>
  </si>
  <si>
    <t xml:space="preserve">Performance fees % p.a. </t>
  </si>
  <si>
    <t xml:space="preserve">Estimated underlying performance fees % p.a. </t>
  </si>
  <si>
    <t>BTA0313</t>
  </si>
  <si>
    <t>AAP0103</t>
  </si>
  <si>
    <t>WHT3093</t>
  </si>
  <si>
    <t>VAN0002</t>
  </si>
  <si>
    <t>WHT1465</t>
  </si>
  <si>
    <t>MAQ0464</t>
  </si>
  <si>
    <t>GSF0874</t>
  </si>
  <si>
    <t>MGE0005</t>
  </si>
  <si>
    <t>ETL0463</t>
  </si>
  <si>
    <t>FID0010</t>
  </si>
  <si>
    <t>VAN0003</t>
  </si>
  <si>
    <t>VAN0004</t>
  </si>
  <si>
    <t>BFL0020</t>
  </si>
  <si>
    <t>TGP0034</t>
  </si>
  <si>
    <t>BTA8657</t>
  </si>
  <si>
    <t>FRT0027</t>
  </si>
  <si>
    <t>UBS0003</t>
  </si>
  <si>
    <t>SCH0028</t>
  </si>
  <si>
    <t>ETL0016</t>
  </si>
  <si>
    <t>MAQ3897</t>
  </si>
  <si>
    <t>CSA0038</t>
  </si>
  <si>
    <t>WPC1583</t>
  </si>
  <si>
    <t>NONEXCHG</t>
  </si>
  <si>
    <t>BTA0313AU</t>
  </si>
  <si>
    <t>AAP0103AU</t>
  </si>
  <si>
    <t>ETL0060AU</t>
  </si>
  <si>
    <t>WHT3093AU</t>
  </si>
  <si>
    <t>VAN0002AU</t>
  </si>
  <si>
    <t>WHT1465AU</t>
  </si>
  <si>
    <t>MAQ0464AU</t>
  </si>
  <si>
    <t>GSF0874AU</t>
  </si>
  <si>
    <t>MGE0005AU</t>
  </si>
  <si>
    <t>ETL0463AU</t>
  </si>
  <si>
    <t>FID0010AU</t>
  </si>
  <si>
    <t>VAN0003AU</t>
  </si>
  <si>
    <t>VAN0004AU</t>
  </si>
  <si>
    <t>BFL0020AU</t>
  </si>
  <si>
    <t>TGP0034AU</t>
  </si>
  <si>
    <t>BTA8657AU</t>
  </si>
  <si>
    <t>FRT0027AU</t>
  </si>
  <si>
    <t>UBS0003AU</t>
  </si>
  <si>
    <t>SCH0028AU</t>
  </si>
  <si>
    <t>ETL0016AU</t>
  </si>
  <si>
    <t>MAQ3897AU</t>
  </si>
  <si>
    <t>CSA0038AU</t>
  </si>
  <si>
    <t>WPC1583AU</t>
  </si>
  <si>
    <t>Pendal MidCap</t>
  </si>
  <si>
    <t>Ausbil Australian Active Fund - Wholesale class</t>
  </si>
  <si>
    <t xml:space="preserve">Allan Gray Australia Equity Fund B </t>
  </si>
  <si>
    <t xml:space="preserve">Firetrail Australian Small Companies Fund </t>
  </si>
  <si>
    <t xml:space="preserve">Vanguard Australian Share index </t>
  </si>
  <si>
    <t xml:space="preserve">Plato Global Alpha Fund </t>
  </si>
  <si>
    <t>Arrowstreet Global Equity No 2 (Class I)</t>
  </si>
  <si>
    <t xml:space="preserve">Munro Global Growth Small &amp; Mid Cap Fund </t>
  </si>
  <si>
    <t>Magellan Global Opportunities</t>
  </si>
  <si>
    <t xml:space="preserve">Orbis Global Equity Fund (Australia Registered) - Retail Class </t>
  </si>
  <si>
    <t xml:space="preserve">Fidelity Asia </t>
  </si>
  <si>
    <t xml:space="preserve">Vanguard International Share index </t>
  </si>
  <si>
    <t xml:space="preserve">Vanguard Aust Prop Sec Index Fund </t>
  </si>
  <si>
    <t>Quay Global Real Estate Fund (Unhedged)</t>
  </si>
  <si>
    <t xml:space="preserve">ClearBridge RARE Infrastructure Value (Unhedged) </t>
  </si>
  <si>
    <t xml:space="preserve">Pendal Dynamic Income Fund </t>
  </si>
  <si>
    <t xml:space="preserve">Franklin Templeton Absolute Return Bond </t>
  </si>
  <si>
    <t xml:space="preserve">UBS Income Solutions </t>
  </si>
  <si>
    <t xml:space="preserve">Schroder Fixed Income </t>
  </si>
  <si>
    <t>PIMCO Diversified Fixed Interest - Institutional Class</t>
  </si>
  <si>
    <t>Macquarie Dynamic Bond No.1 W(Class W)</t>
  </si>
  <si>
    <t>Bentham Professional Global Income P</t>
  </si>
  <si>
    <t>Daintree High Income Trust</t>
  </si>
  <si>
    <t>Aurora Defensive Managed Portfolio</t>
  </si>
  <si>
    <t>Aurora Growth Managed Portfolio</t>
  </si>
  <si>
    <t>https://northonline.amp.com.au/NorthOnline/ViewDoc.aspx?documenttype=1&amp;Type=APIR&amp;Code=GSF0874AU</t>
  </si>
  <si>
    <t>https://northonline.amp.com.au/NorthOnline/ViewDoc.aspx?documenttype=1&amp;Type=APIR&amp;Code=MGE0005AU</t>
  </si>
  <si>
    <t>NTH0619</t>
  </si>
  <si>
    <t>NTH0620</t>
  </si>
  <si>
    <t>Pendal Dynamic Income Fund</t>
  </si>
  <si>
    <t>Franklin Australian Absolute Return Bond Fund</t>
  </si>
  <si>
    <t>UBS Income Solution Fund</t>
  </si>
  <si>
    <t xml:space="preserve">Schroder Fixed Income Fund (W) </t>
  </si>
  <si>
    <t>PIMCO Diversified Fixed Interest Fund — Wholesale Class</t>
  </si>
  <si>
    <t>Macquarie Dynamic Bond No. 1 Fund - Class W</t>
  </si>
  <si>
    <t xml:space="preserve">Bentham Global Income Fund (W) </t>
  </si>
  <si>
    <t>Pendal MidCap Fund</t>
  </si>
  <si>
    <t xml:space="preserve">Ausbil Australian Active Equity Fund </t>
  </si>
  <si>
    <t>Firetrail Australian Small Companies Fund</t>
  </si>
  <si>
    <t xml:space="preserve">Vanguard Australian Shares Index Fund (W) </t>
  </si>
  <si>
    <t>Plato Global Alpha Fund</t>
  </si>
  <si>
    <t xml:space="preserve">Arrowstreet Global Equity Fund </t>
  </si>
  <si>
    <t>Munro Global Growth Small&amp;Mid Cap Fund - Class A</t>
  </si>
  <si>
    <t>Magellan Global Opportunities Fund No. 2 - Class A</t>
  </si>
  <si>
    <t>Orbis Global Equity Fund</t>
  </si>
  <si>
    <t>Fidelity Asia Fund</t>
  </si>
  <si>
    <t xml:space="preserve">Vanguard International Shares Index Fund </t>
  </si>
  <si>
    <t xml:space="preserve">Vanguard Australian Property Securities Index Fund (W) </t>
  </si>
  <si>
    <t>Quay Global Real Estate-Daily Series</t>
  </si>
  <si>
    <t>ClearBridge RARE Infrastructure Value Fund – Unhedged</t>
  </si>
  <si>
    <t>PDS Link</t>
  </si>
  <si>
    <t>https://pendalgroup.com/wp-content/uploads/docs/factsheets/PDS/Pendal%20Dynamic%20Income%20Fund%20-%20PDS%20-%20Class%20R.pdf?v=2025-04-221745299193</t>
  </si>
  <si>
    <t xml:space="preserve">https://www.franklintempleton.com.au/our-products/funds-prices-performance/managed-funds/products/19414/W/franklin-australian-absolute-return-bond-fund/FRT0027AU#documents </t>
  </si>
  <si>
    <t>https://mim.fgsfulfillment.com/download.aspx?sku=PDS-MDBF-ANZ</t>
  </si>
  <si>
    <t>https://fidante.com/au/Offer-Documents</t>
  </si>
  <si>
    <t xml:space="preserve">https://www.pendalgroup.com/pendal-midcap-fund </t>
  </si>
  <si>
    <t>https://www.ausbil.com.au/CMSPages/GetFile.aspx?guid=71ec5a50-77c5-4ebd-8828-691219bfab8a</t>
  </si>
  <si>
    <t>https://www.allangray.com.au/documents/Allan-Gray-Australia-Equity-Fund-Class-A-PDS-and-Application-form-Australian-and-NZ-investors.pdf</t>
  </si>
  <si>
    <t>https://mim.fgsfulfillment.com/download.aspx?sku=PDS-AGEF-ANZ</t>
  </si>
  <si>
    <t>https://www.orbis.com/au/investor/funds/orbis-global-equity-fund#downloads</t>
  </si>
  <si>
    <t xml:space="preserve">https://www.quaygi.com/quay-global-real-estate-fund </t>
  </si>
  <si>
    <t>https://www.clearbridgeinvestments.com.au/forms-downloads/clearbridge-product-disclosure-statements/clearbridge-rare-infrastructure-value-fund-unhedged-class-a-units-product-disclosure-statement/</t>
  </si>
  <si>
    <t>PDS date</t>
  </si>
  <si>
    <t>https://daintreecapital.com.au/wp-content/uploads/2022/07/Daintree-High-Income-Trust-PDS.pdf</t>
  </si>
  <si>
    <t>https://fund-ui.pimco.com/fund-detail-api/api/funds/documents/content/view?documentId=hy1jSu7qu_tgkxzWKGHUF1BXmUSpzIpDrzm2B6eHkmw</t>
  </si>
  <si>
    <t>https://plato.com.au/wp-content/uploads/Plato-Global-Alpha-Fund-PDS.pdf</t>
  </si>
  <si>
    <t>https://www.fidelity.com.au/funds/fidelity-asia-fund/related-documents/product-disclosure-statement/</t>
  </si>
  <si>
    <t>https://fund-docs.vanguard.com/AU-PDS-Vanguard_International_Shares_Index_Fund.pdf</t>
  </si>
  <si>
    <t>https://fund-docs.vanguard.com/AU-PDS-Vanguard_Australian_Property_Securities_Index_Fund.pdf</t>
  </si>
  <si>
    <t>Status</t>
  </si>
  <si>
    <t>OPEN</t>
  </si>
  <si>
    <t>Estimated gross transactions costs % p.a.</t>
  </si>
  <si>
    <t>Portfolio estimated gross transaction costs</t>
  </si>
  <si>
    <t>ETL0060</t>
  </si>
  <si>
    <t>APIR code</t>
  </si>
  <si>
    <t>Allan Gray Australia Equity Fund - Class A</t>
  </si>
  <si>
    <t>Estimated Sell spread %</t>
  </si>
  <si>
    <t>Estimated Buy spread &amp;</t>
  </si>
  <si>
    <t>Lumina Defensive Managed Portfolio</t>
  </si>
  <si>
    <t>Lumina Growth Managed Portfolio</t>
  </si>
  <si>
    <t>NTH0621</t>
  </si>
  <si>
    <t>https://fund-docs.vanguard.com/AU-PDS-Vanguard_Australian_Shares_Index_Fund.pdf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</si>
</sst>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0.0000%"/>
    <numFmt numFmtId="169" formatCode="0.000%"/>
    <numFmt numFmtId="170" formatCode="#,##0.0000"/>
    <numFmt numFmtId="171" formatCode="#,##0.00_ ;\-#,##0.00\ 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4"/>
      <color theme="2"/>
      <name val="Calibri Light"/>
      <family val="2"/>
      <scheme val="major"/>
    </font>
    <font>
      <sz val="14"/>
      <color theme="2"/>
      <name val="Calibri Light"/>
      <family val="2"/>
      <scheme val="major"/>
    </font>
    <font>
      <b/>
      <sz val="9"/>
      <color theme="3"/>
      <name val="Calibri Light"/>
      <family val="2"/>
      <scheme val="major"/>
    </font>
    <font>
      <b/>
      <sz val="9"/>
      <color theme="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  <family val="2"/>
    </font>
    <font>
      <sz val="8"/>
      <color theme="1"/>
      <name val="Calibri"/>
      <family val="2"/>
      <scheme val="minor"/>
    </font>
    <font>
      <sz val="9"/>
      <color theme="1"/>
      <name val="Roboto"/>
      <family val="2"/>
    </font>
    <font>
      <u/>
      <sz val="11"/>
      <color theme="1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F5C"/>
        <bgColor indexed="64"/>
      </patternFill>
    </fill>
    <fill>
      <patternFill patternType="solid">
        <fgColor rgb="FF001E41"/>
        <bgColor indexed="64"/>
      </patternFill>
    </fill>
    <fill>
      <patternFill patternType="solid">
        <fgColor rgb="FFD2F5FC"/>
        <bgColor indexed="64"/>
      </patternFill>
    </fill>
    <fill>
      <patternFill patternType="solid">
        <fgColor rgb="FFDED1FA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329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9" fillId="0" borderId="0"/>
    <xf numFmtId="167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9" applyNumberFormat="0" applyAlignment="0" applyProtection="0"/>
    <xf numFmtId="0" fontId="19" fillId="16" borderId="10" applyNumberFormat="0" applyAlignment="0" applyProtection="0"/>
    <xf numFmtId="0" fontId="20" fillId="16" borderId="9" applyNumberFormat="0" applyAlignment="0" applyProtection="0"/>
    <xf numFmtId="0" fontId="21" fillId="0" borderId="11" applyNumberFormat="0" applyFill="0" applyAlignment="0" applyProtection="0"/>
    <xf numFmtId="0" fontId="22" fillId="17" borderId="12" applyNumberFormat="0" applyAlignment="0" applyProtection="0"/>
    <xf numFmtId="0" fontId="23" fillId="0" borderId="0" applyNumberFormat="0" applyFill="0" applyBorder="0" applyAlignment="0" applyProtection="0"/>
    <xf numFmtId="0" fontId="1" fillId="18" borderId="13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6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1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7" fillId="0" borderId="0"/>
    <xf numFmtId="0" fontId="28" fillId="0" borderId="0" applyNumberFormat="0" applyFill="0" applyAlignment="0" applyProtection="0"/>
    <xf numFmtId="0" fontId="29" fillId="0" borderId="0" applyNumberFormat="0" applyFill="0" applyAlignment="0" applyProtection="0"/>
    <xf numFmtId="0" fontId="30" fillId="0" borderId="0" applyNumberFormat="0" applyFill="0" applyAlignment="0" applyProtection="0"/>
    <xf numFmtId="0" fontId="31" fillId="0" borderId="0" applyNumberFormat="0" applyFill="0" applyAlignment="0" applyProtection="0"/>
    <xf numFmtId="9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3" fillId="0" borderId="0"/>
    <xf numFmtId="167" fontId="1" fillId="0" borderId="0" applyFont="0" applyFill="0" applyBorder="0" applyAlignment="0" applyProtection="0"/>
    <xf numFmtId="0" fontId="34" fillId="0" borderId="0"/>
    <xf numFmtId="0" fontId="9" fillId="0" borderId="0"/>
    <xf numFmtId="0" fontId="9" fillId="0" borderId="0"/>
    <xf numFmtId="9" fontId="3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5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123">
    <xf numFmtId="0" fontId="0" fillId="0" borderId="0" xfId="0"/>
    <xf numFmtId="170" fontId="4" fillId="3" borderId="0" xfId="0" applyNumberFormat="1" applyFont="1" applyFill="1" applyAlignment="1">
      <alignment horizontal="left" vertical="center"/>
    </xf>
    <xf numFmtId="170" fontId="3" fillId="3" borderId="0" xfId="0" applyNumberFormat="1" applyFont="1" applyFill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10" fontId="3" fillId="3" borderId="1" xfId="2" applyNumberFormat="1" applyFont="1" applyFill="1" applyBorder="1" applyAlignment="1">
      <alignment horizontal="left" vertical="center"/>
    </xf>
    <xf numFmtId="170" fontId="3" fillId="3" borderId="1" xfId="2" applyNumberFormat="1" applyFont="1" applyFill="1" applyBorder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3" fontId="3" fillId="3" borderId="0" xfId="2" applyNumberFormat="1" applyFont="1" applyFill="1" applyAlignment="1">
      <alignment horizontal="left" vertical="center"/>
    </xf>
    <xf numFmtId="170" fontId="3" fillId="3" borderId="0" xfId="2" applyNumberFormat="1" applyFont="1" applyFill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0" fontId="3" fillId="4" borderId="1" xfId="2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/>
    </xf>
    <xf numFmtId="10" fontId="3" fillId="4" borderId="1" xfId="2" applyNumberFormat="1" applyFont="1" applyFill="1" applyBorder="1" applyAlignment="1">
      <alignment horizontal="left"/>
    </xf>
    <xf numFmtId="3" fontId="3" fillId="4" borderId="1" xfId="2" applyNumberFormat="1" applyFont="1" applyFill="1" applyBorder="1" applyAlignment="1">
      <alignment horizontal="left" vertical="center"/>
    </xf>
    <xf numFmtId="3" fontId="3" fillId="3" borderId="0" xfId="0" applyNumberFormat="1" applyFont="1" applyFill="1" applyAlignment="1">
      <alignment horizontal="left"/>
    </xf>
    <xf numFmtId="170" fontId="3" fillId="3" borderId="0" xfId="0" applyNumberFormat="1" applyFont="1" applyFill="1" applyAlignment="1">
      <alignment horizontal="left"/>
    </xf>
    <xf numFmtId="3" fontId="3" fillId="3" borderId="0" xfId="2" applyNumberFormat="1" applyFont="1" applyFill="1" applyAlignment="1">
      <alignment horizontal="left"/>
    </xf>
    <xf numFmtId="170" fontId="3" fillId="3" borderId="0" xfId="2" applyNumberFormat="1" applyFont="1" applyFill="1" applyAlignment="1">
      <alignment horizontal="left"/>
    </xf>
    <xf numFmtId="168" fontId="3" fillId="3" borderId="1" xfId="2" applyNumberFormat="1" applyFont="1" applyFill="1" applyBorder="1" applyAlignment="1">
      <alignment horizontal="left" vertical="center"/>
    </xf>
    <xf numFmtId="170" fontId="4" fillId="3" borderId="0" xfId="2" applyNumberFormat="1" applyFont="1" applyFill="1" applyBorder="1" applyAlignment="1">
      <alignment horizontal="left" vertical="center"/>
    </xf>
    <xf numFmtId="170" fontId="3" fillId="3" borderId="0" xfId="2" applyNumberFormat="1" applyFont="1" applyFill="1" applyBorder="1" applyAlignment="1">
      <alignment horizontal="left"/>
    </xf>
    <xf numFmtId="3" fontId="4" fillId="3" borderId="0" xfId="0" applyNumberFormat="1" applyFont="1" applyFill="1" applyAlignment="1">
      <alignment horizontal="left" vertical="center"/>
    </xf>
    <xf numFmtId="170" fontId="3" fillId="3" borderId="1" xfId="2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3" fontId="3" fillId="3" borderId="5" xfId="0" applyNumberFormat="1" applyFont="1" applyFill="1" applyBorder="1" applyAlignment="1">
      <alignment horizontal="left" vertical="center"/>
    </xf>
    <xf numFmtId="3" fontId="3" fillId="3" borderId="4" xfId="0" applyNumberFormat="1" applyFont="1" applyFill="1" applyBorder="1" applyAlignment="1">
      <alignment horizontal="left" vertical="center"/>
    </xf>
    <xf numFmtId="3" fontId="4" fillId="3" borderId="0" xfId="0" applyNumberFormat="1" applyFont="1" applyFill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right"/>
    </xf>
    <xf numFmtId="0" fontId="0" fillId="3" borderId="0" xfId="0" applyFill="1"/>
    <xf numFmtId="170" fontId="3" fillId="3" borderId="1" xfId="2" applyNumberFormat="1" applyFont="1" applyFill="1" applyBorder="1" applyAlignment="1">
      <alignment horizontal="left"/>
    </xf>
    <xf numFmtId="170" fontId="4" fillId="2" borderId="0" xfId="2" applyNumberFormat="1" applyFont="1" applyFill="1" applyAlignment="1">
      <alignment horizontal="left" vertical="center"/>
    </xf>
    <xf numFmtId="9" fontId="3" fillId="3" borderId="1" xfId="2" applyFont="1" applyFill="1" applyBorder="1" applyAlignment="1">
      <alignment horizontal="left" vertical="center"/>
    </xf>
    <xf numFmtId="3" fontId="7" fillId="6" borderId="1" xfId="0" applyNumberFormat="1" applyFont="1" applyFill="1" applyBorder="1" applyAlignment="1">
      <alignment horizontal="left" vertical="center"/>
    </xf>
    <xf numFmtId="170" fontId="7" fillId="6" borderId="1" xfId="0" applyNumberFormat="1" applyFont="1" applyFill="1" applyBorder="1" applyAlignment="1">
      <alignment horizontal="left" vertical="center"/>
    </xf>
    <xf numFmtId="3" fontId="7" fillId="6" borderId="1" xfId="2" applyNumberFormat="1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left" vertical="center"/>
    </xf>
    <xf numFmtId="3" fontId="4" fillId="6" borderId="4" xfId="2" applyNumberFormat="1" applyFont="1" applyFill="1" applyBorder="1" applyAlignment="1">
      <alignment horizontal="left" vertical="center"/>
    </xf>
    <xf numFmtId="170" fontId="4" fillId="6" borderId="1" xfId="2" applyNumberFormat="1" applyFont="1" applyFill="1" applyBorder="1" applyAlignment="1">
      <alignment horizontal="left" vertical="center"/>
    </xf>
    <xf numFmtId="170" fontId="4" fillId="6" borderId="1" xfId="0" applyNumberFormat="1" applyFont="1" applyFill="1" applyBorder="1" applyAlignment="1">
      <alignment horizontal="left" vertical="center"/>
    </xf>
    <xf numFmtId="170" fontId="4" fillId="5" borderId="1" xfId="0" applyNumberFormat="1" applyFont="1" applyFill="1" applyBorder="1" applyAlignment="1">
      <alignment horizontal="left" vertical="center"/>
    </xf>
    <xf numFmtId="3" fontId="4" fillId="5" borderId="4" xfId="0" applyNumberFormat="1" applyFont="1" applyFill="1" applyBorder="1" applyAlignment="1">
      <alignment horizontal="left" vertical="center"/>
    </xf>
    <xf numFmtId="170" fontId="4" fillId="5" borderId="1" xfId="2" applyNumberFormat="1" applyFont="1" applyFill="1" applyBorder="1" applyAlignment="1">
      <alignment horizontal="left" vertical="center"/>
    </xf>
    <xf numFmtId="170" fontId="4" fillId="5" borderId="1" xfId="2" applyNumberFormat="1" applyFont="1" applyFill="1" applyBorder="1" applyAlignment="1">
      <alignment horizontal="left" vertical="center" wrapText="1"/>
    </xf>
    <xf numFmtId="170" fontId="3" fillId="6" borderId="0" xfId="2" applyNumberFormat="1" applyFont="1" applyFill="1" applyAlignment="1">
      <alignment horizontal="left" vertical="center"/>
    </xf>
    <xf numFmtId="170" fontId="4" fillId="6" borderId="1" xfId="2" applyNumberFormat="1" applyFont="1" applyFill="1" applyBorder="1" applyAlignment="1">
      <alignment horizontal="right" vertical="center"/>
    </xf>
    <xf numFmtId="170" fontId="3" fillId="6" borderId="1" xfId="0" applyNumberFormat="1" applyFont="1" applyFill="1" applyBorder="1" applyAlignment="1">
      <alignment horizontal="left" vertical="center"/>
    </xf>
    <xf numFmtId="3" fontId="4" fillId="5" borderId="1" xfId="2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left" vertical="center" wrapText="1"/>
    </xf>
    <xf numFmtId="3" fontId="3" fillId="8" borderId="4" xfId="2" applyNumberFormat="1" applyFont="1" applyFill="1" applyBorder="1" applyAlignment="1">
      <alignment horizontal="left" vertical="center" wrapText="1"/>
    </xf>
    <xf numFmtId="3" fontId="3" fillId="8" borderId="1" xfId="2" applyNumberFormat="1" applyFont="1" applyFill="1" applyBorder="1" applyAlignment="1">
      <alignment horizontal="left" vertical="center" wrapText="1"/>
    </xf>
    <xf numFmtId="170" fontId="6" fillId="7" borderId="1" xfId="2" applyNumberFormat="1" applyFont="1" applyFill="1" applyBorder="1" applyAlignment="1">
      <alignment horizontal="left" vertical="center"/>
    </xf>
    <xf numFmtId="3" fontId="3" fillId="7" borderId="1" xfId="2" applyNumberFormat="1" applyFont="1" applyFill="1" applyBorder="1" applyAlignment="1">
      <alignment horizontal="left"/>
    </xf>
    <xf numFmtId="9" fontId="3" fillId="7" borderId="1" xfId="2" applyFont="1" applyFill="1" applyBorder="1" applyAlignment="1">
      <alignment horizontal="left"/>
    </xf>
    <xf numFmtId="3" fontId="3" fillId="7" borderId="1" xfId="2" applyNumberFormat="1" applyFont="1" applyFill="1" applyBorder="1" applyAlignment="1">
      <alignment horizontal="left" vertical="center"/>
    </xf>
    <xf numFmtId="10" fontId="3" fillId="7" borderId="1" xfId="2" applyNumberFormat="1" applyFont="1" applyFill="1" applyBorder="1" applyAlignment="1">
      <alignment horizontal="left" vertical="center"/>
    </xf>
    <xf numFmtId="9" fontId="3" fillId="7" borderId="1" xfId="2" applyFont="1" applyFill="1" applyBorder="1" applyAlignment="1">
      <alignment horizontal="left" vertical="center"/>
    </xf>
    <xf numFmtId="169" fontId="3" fillId="7" borderId="1" xfId="2" applyNumberFormat="1" applyFont="1" applyFill="1" applyBorder="1" applyAlignment="1">
      <alignment horizontal="left" vertical="center"/>
    </xf>
    <xf numFmtId="10" fontId="4" fillId="5" borderId="1" xfId="2" applyNumberFormat="1" applyFont="1" applyFill="1" applyBorder="1" applyAlignment="1">
      <alignment horizontal="left" vertical="center"/>
    </xf>
    <xf numFmtId="170" fontId="4" fillId="5" borderId="1" xfId="0" applyNumberFormat="1" applyFont="1" applyFill="1" applyBorder="1" applyAlignment="1">
      <alignment horizontal="left" vertical="center" wrapText="1"/>
    </xf>
    <xf numFmtId="10" fontId="3" fillId="8" borderId="1" xfId="2" applyNumberFormat="1" applyFont="1" applyFill="1" applyBorder="1" applyAlignment="1">
      <alignment horizontal="left" vertical="center"/>
    </xf>
    <xf numFmtId="171" fontId="3" fillId="3" borderId="3" xfId="1" applyNumberFormat="1" applyFont="1" applyFill="1" applyBorder="1" applyAlignment="1">
      <alignment horizontal="left" vertical="center"/>
    </xf>
    <xf numFmtId="170" fontId="5" fillId="4" borderId="1" xfId="2" applyNumberFormat="1" applyFont="1" applyFill="1" applyBorder="1" applyAlignment="1">
      <alignment horizontal="left" vertical="center"/>
    </xf>
    <xf numFmtId="170" fontId="5" fillId="4" borderId="1" xfId="2" applyNumberFormat="1" applyFont="1" applyFill="1" applyBorder="1" applyAlignment="1">
      <alignment horizontal="right" vertical="center"/>
    </xf>
    <xf numFmtId="170" fontId="8" fillId="10" borderId="1" xfId="2" applyNumberFormat="1" applyFont="1" applyFill="1" applyBorder="1" applyAlignment="1">
      <alignment horizontal="left" vertical="center"/>
    </xf>
    <xf numFmtId="170" fontId="8" fillId="10" borderId="1" xfId="2" applyNumberFormat="1" applyFont="1" applyFill="1" applyBorder="1" applyAlignment="1">
      <alignment horizontal="right" vertical="center"/>
    </xf>
    <xf numFmtId="170" fontId="5" fillId="10" borderId="1" xfId="2" applyNumberFormat="1" applyFont="1" applyFill="1" applyBorder="1" applyAlignment="1">
      <alignment horizontal="left" vertical="center"/>
    </xf>
    <xf numFmtId="170" fontId="5" fillId="10" borderId="1" xfId="2" applyNumberFormat="1" applyFont="1" applyFill="1" applyBorder="1" applyAlignment="1">
      <alignment horizontal="right" vertical="center"/>
    </xf>
    <xf numFmtId="10" fontId="5" fillId="10" borderId="1" xfId="2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4" fillId="5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10" fontId="5" fillId="3" borderId="1" xfId="2" applyNumberFormat="1" applyFont="1" applyFill="1" applyBorder="1" applyAlignment="1">
      <alignment horizontal="left" vertical="center"/>
    </xf>
    <xf numFmtId="3" fontId="3" fillId="3" borderId="1" xfId="2" applyNumberFormat="1" applyFont="1" applyFill="1" applyBorder="1" applyAlignment="1">
      <alignment horizontal="left" vertical="center"/>
    </xf>
    <xf numFmtId="3" fontId="5" fillId="4" borderId="1" xfId="2" applyNumberFormat="1" applyFont="1" applyFill="1" applyBorder="1" applyAlignment="1">
      <alignment horizontal="left" vertical="center"/>
    </xf>
    <xf numFmtId="3" fontId="8" fillId="10" borderId="1" xfId="2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0" fontId="7" fillId="6" borderId="1" xfId="2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0" fontId="7" fillId="5" borderId="1" xfId="2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" fontId="7" fillId="6" borderId="1" xfId="7" applyNumberFormat="1" applyFont="1" applyFill="1" applyBorder="1" applyAlignment="1">
      <alignment horizontal="left" vertical="center"/>
    </xf>
    <xf numFmtId="4" fontId="7" fillId="5" borderId="1" xfId="7" applyNumberFormat="1" applyFont="1" applyFill="1" applyBorder="1" applyAlignment="1">
      <alignment horizontal="left" vertical="center"/>
    </xf>
    <xf numFmtId="4" fontId="3" fillId="0" borderId="0" xfId="7" applyNumberFormat="1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10" fontId="8" fillId="7" borderId="1" xfId="2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11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8" fontId="7" fillId="6" borderId="0" xfId="2" applyNumberFormat="1" applyFont="1" applyFill="1" applyAlignment="1">
      <alignment vertical="top"/>
    </xf>
    <xf numFmtId="168" fontId="3" fillId="0" borderId="0" xfId="2" applyNumberFormat="1" applyFont="1" applyAlignment="1">
      <alignment vertical="top"/>
    </xf>
    <xf numFmtId="168" fontId="7" fillId="5" borderId="1" xfId="2" applyNumberFormat="1" applyFont="1" applyFill="1" applyBorder="1" applyAlignment="1">
      <alignment horizontal="left" vertical="top"/>
    </xf>
    <xf numFmtId="168" fontId="5" fillId="8" borderId="1" xfId="2" applyNumberFormat="1" applyFont="1" applyFill="1" applyBorder="1" applyAlignment="1">
      <alignment horizontal="left" vertical="top" wrapText="1"/>
    </xf>
    <xf numFmtId="168" fontId="5" fillId="7" borderId="1" xfId="2" applyNumberFormat="1" applyFont="1" applyFill="1" applyBorder="1" applyAlignment="1">
      <alignment horizontal="left" vertical="top" wrapText="1"/>
    </xf>
    <xf numFmtId="168" fontId="5" fillId="9" borderId="1" xfId="2" applyNumberFormat="1" applyFont="1" applyFill="1" applyBorder="1" applyAlignment="1">
      <alignment horizontal="left" vertical="top" wrapText="1"/>
    </xf>
    <xf numFmtId="168" fontId="3" fillId="3" borderId="1" xfId="2" applyNumberFormat="1" applyFont="1" applyFill="1" applyBorder="1" applyAlignment="1">
      <alignment horizontal="left" vertical="top"/>
    </xf>
    <xf numFmtId="168" fontId="3" fillId="4" borderId="1" xfId="2" applyNumberFormat="1" applyFont="1" applyFill="1" applyBorder="1" applyAlignment="1">
      <alignment horizontal="left" vertical="top"/>
    </xf>
    <xf numFmtId="172" fontId="3" fillId="0" borderId="0" xfId="2" applyNumberFormat="1" applyFont="1" applyAlignment="1">
      <alignment vertical="center"/>
    </xf>
    <xf numFmtId="10" fontId="3" fillId="0" borderId="0" xfId="2" applyNumberFormat="1" applyFont="1" applyAlignment="1">
      <alignment vertical="center"/>
    </xf>
    <xf numFmtId="10" fontId="7" fillId="5" borderId="1" xfId="2" applyNumberFormat="1" applyFont="1" applyFill="1" applyBorder="1" applyAlignment="1">
      <alignment horizontal="left" vertical="top"/>
    </xf>
    <xf numFmtId="10" fontId="0" fillId="0" borderId="0" xfId="2" applyNumberFormat="1" applyFont="1"/>
    <xf numFmtId="0" fontId="10" fillId="0" borderId="0" xfId="0" applyFont="1"/>
    <xf numFmtId="168" fontId="3" fillId="3" borderId="0" xfId="2" applyNumberFormat="1" applyFont="1" applyFill="1" applyAlignment="1">
      <alignment horizontal="left"/>
    </xf>
    <xf numFmtId="168" fontId="3" fillId="0" borderId="1" xfId="2" applyNumberFormat="1" applyFont="1" applyFill="1" applyBorder="1" applyAlignment="1">
      <alignment horizontal="center" vertical="center"/>
    </xf>
    <xf numFmtId="0" fontId="10" fillId="0" borderId="1" xfId="0" applyFont="1" applyBorder="1"/>
    <xf numFmtId="169" fontId="3" fillId="0" borderId="0" xfId="0" applyNumberFormat="1" applyFont="1" applyAlignment="1">
      <alignment vertical="center"/>
    </xf>
    <xf numFmtId="2" fontId="0" fillId="0" borderId="0" xfId="0" applyNumberFormat="1"/>
    <xf numFmtId="0" fontId="0" fillId="0" borderId="1" xfId="0" applyBorder="1"/>
    <xf numFmtId="14" fontId="3" fillId="0" borderId="1" xfId="0" applyNumberFormat="1" applyFont="1" applyBorder="1" applyAlignment="1">
      <alignment horizontal="left" vertical="center"/>
    </xf>
    <xf numFmtId="0" fontId="36" fillId="0" borderId="0" xfId="328"/>
    <xf numFmtId="10" fontId="3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168" fontId="5" fillId="0" borderId="1" xfId="2" applyNumberFormat="1" applyFont="1" applyFill="1" applyBorder="1" applyAlignment="1">
      <alignment horizontal="center" vertical="center"/>
    </xf>
    <xf numFmtId="0" fontId="36" fillId="0" borderId="15" xfId="328" applyFill="1" applyBorder="1"/>
  </cellXfs>
  <cellStyles count="329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7" builtinId="3"/>
    <cellStyle name="Comma [0] 2" xfId="53" xr:uid="{0B7BC2A5-FEF1-4B1D-8CFB-C74349658D4D}"/>
    <cellStyle name="Comma [0] 2 2" xfId="143" xr:uid="{F9720E65-9D29-441F-A230-457004B7ED5F}"/>
    <cellStyle name="Comma [0] 2 2 2" xfId="264" xr:uid="{81092533-3EBD-491C-9C0C-EC7B68ED816F}"/>
    <cellStyle name="Comma [0] 3" xfId="72" xr:uid="{E84D9056-60BD-4ABE-8ED5-D3F9B8D41BAA}"/>
    <cellStyle name="Comma [0] 3 2" xfId="154" xr:uid="{E5013D5A-2138-49FF-A6CD-91D3D703F128}"/>
    <cellStyle name="Comma [0] 3 2 2" xfId="275" xr:uid="{6395CA6A-2ADB-4D5C-9BAF-250638D365E4}"/>
    <cellStyle name="Comma 10" xfId="5" xr:uid="{F374A3F5-9731-4C0B-8B7C-8762B959C3AE}"/>
    <cellStyle name="Comma 10 2" xfId="123" xr:uid="{CD16B777-D059-4A5F-BF66-875232688BB3}"/>
    <cellStyle name="Comma 10 2 2" xfId="244" xr:uid="{2BF80FA3-31F5-4715-8EC0-4F45757CFD06}"/>
    <cellStyle name="Comma 10 3" xfId="204" xr:uid="{0FB0B2F9-F8C2-4F5B-B883-A4FBE093ACE8}"/>
    <cellStyle name="Comma 10 3 2" xfId="323" xr:uid="{2FA759A3-B845-4092-8E1E-3CD9EF674879}"/>
    <cellStyle name="Comma 10 4" xfId="212" xr:uid="{F8F009A3-26A2-4BF7-B856-EA1F1A2D9047}"/>
    <cellStyle name="Comma 10 5" xfId="85" xr:uid="{DF201662-7398-4B9E-A72B-6167A5E8D83D}"/>
    <cellStyle name="Comma 11" xfId="94" xr:uid="{41310C9D-6B4A-48A1-9E34-0BA7A041ED66}"/>
    <cellStyle name="Comma 11 2" xfId="168" xr:uid="{90C1A9AE-0BDF-4C3D-980F-28F9E8BBECC9}"/>
    <cellStyle name="Comma 11 2 2" xfId="289" xr:uid="{9C26EC72-C050-4B84-AFCE-E4E541217555}"/>
    <cellStyle name="Comma 11 3" xfId="217" xr:uid="{7D5F5759-4B28-43A8-8268-89EA313291DB}"/>
    <cellStyle name="Comma 12" xfId="96" xr:uid="{535FD42B-083F-4B59-9F76-C90E94D271FC}"/>
    <cellStyle name="Comma 12 2" xfId="170" xr:uid="{826E22F9-CDC1-4A67-B994-80D34E0886C7}"/>
    <cellStyle name="Comma 12 2 2" xfId="291" xr:uid="{C51F8D28-7D70-4881-A74F-D278E720B618}"/>
    <cellStyle name="Comma 12 3" xfId="219" xr:uid="{4DB194DA-486E-430F-99C8-474BA0B03531}"/>
    <cellStyle name="Comma 13" xfId="90" xr:uid="{93475A0A-245D-49B4-A5AC-5906B11D582D}"/>
    <cellStyle name="Comma 13 2" xfId="164" xr:uid="{727426A5-8707-4FA4-A64A-DC3B21983581}"/>
    <cellStyle name="Comma 13 2 2" xfId="285" xr:uid="{50A504CC-0D0C-47C9-8A7D-54FD1352D989}"/>
    <cellStyle name="Comma 13 3" xfId="213" xr:uid="{8B189B47-1BAA-4750-BDEA-0C0098C3398D}"/>
    <cellStyle name="Comma 14" xfId="98" xr:uid="{791F3048-10EC-45D8-A70A-91C94FDB8D82}"/>
    <cellStyle name="Comma 14 2" xfId="172" xr:uid="{F4BB7FFF-F13E-47E6-8DE5-C576ED8C5FAC}"/>
    <cellStyle name="Comma 14 2 2" xfId="293" xr:uid="{7C75A130-C12D-4942-9D2E-786E1D50FA25}"/>
    <cellStyle name="Comma 14 3" xfId="221" xr:uid="{49ED270E-D2BB-4463-8616-123EDFF89DC8}"/>
    <cellStyle name="Comma 15" xfId="95" xr:uid="{672C24B1-FACB-45A6-9EA5-3F3FFFAC8FB7}"/>
    <cellStyle name="Comma 15 2" xfId="169" xr:uid="{0C3FD6FD-8F6D-43BB-A3F5-055FD357FD28}"/>
    <cellStyle name="Comma 15 2 2" xfId="290" xr:uid="{58AB5D9D-698E-4B47-A9EE-709EBE77BD17}"/>
    <cellStyle name="Comma 15 3" xfId="218" xr:uid="{76F76DAF-8D24-4DC5-8B60-81288DA37122}"/>
    <cellStyle name="Comma 16" xfId="101" xr:uid="{CC8C7B50-BC65-4A85-BF40-0D662CA01DBE}"/>
    <cellStyle name="Comma 16 2" xfId="175" xr:uid="{57E04CD4-3626-46B7-B123-065076D6C5EF}"/>
    <cellStyle name="Comma 16 2 2" xfId="296" xr:uid="{6ADF071F-4C30-4D1E-B1A4-E57DC31569A5}"/>
    <cellStyle name="Comma 16 3" xfId="224" xr:uid="{5F276AE3-BF16-434B-9FDD-262B8885D506}"/>
    <cellStyle name="Comma 17" xfId="91" xr:uid="{8568FE40-8F6D-4212-9757-13CA2FD17E76}"/>
    <cellStyle name="Comma 17 2" xfId="165" xr:uid="{104F0CE7-A7AC-4CAE-8D92-C8C179189403}"/>
    <cellStyle name="Comma 17 2 2" xfId="286" xr:uid="{DEB6817D-FA3A-441E-AA6D-A0CDA4CD15C2}"/>
    <cellStyle name="Comma 17 3" xfId="214" xr:uid="{943B5E32-5B4D-4A24-992B-5E06F1E44B49}"/>
    <cellStyle name="Comma 18" xfId="103" xr:uid="{ED4D4B3A-1894-4D09-BC95-35038A4D990F}"/>
    <cellStyle name="Comma 18 2" xfId="177" xr:uid="{B6A52A23-135E-4EAD-A8D7-9E1F36B9B5B0}"/>
    <cellStyle name="Comma 18 2 2" xfId="298" xr:uid="{83EFAAEE-7EFD-4623-A6F7-4EE6FA3528A5}"/>
    <cellStyle name="Comma 18 3" xfId="226" xr:uid="{D533E213-257B-4392-A403-9FCA90D093B7}"/>
    <cellStyle name="Comma 19" xfId="105" xr:uid="{34042F09-512F-4995-A742-D7585CD9D271}"/>
    <cellStyle name="Comma 19 2" xfId="179" xr:uid="{25F0E2A9-BC79-40D7-A513-29187E32CA03}"/>
    <cellStyle name="Comma 19 2 2" xfId="300" xr:uid="{CB6FA68D-7EF1-49D7-B162-D102F073550A}"/>
    <cellStyle name="Comma 19 3" xfId="228" xr:uid="{9E1E76C8-DA66-4ECF-9FD7-234EB940DBD9}"/>
    <cellStyle name="Comma 2" xfId="52" xr:uid="{90DE0484-E220-494C-8D70-7C66F775B841}"/>
    <cellStyle name="Comma 2 2" xfId="142" xr:uid="{4D2E18CB-97E7-4AFF-A984-75F8B0326183}"/>
    <cellStyle name="Comma 2 2 2" xfId="263" xr:uid="{0D7232FA-E644-4E1B-ADB7-7A4BDF9CC9AD}"/>
    <cellStyle name="Comma 20" xfId="107" xr:uid="{F1419D1E-7061-4E64-A8E5-DCEA4923C61E}"/>
    <cellStyle name="Comma 20 2" xfId="181" xr:uid="{4EE577E9-F21E-4745-BBF7-90CA0B24BE73}"/>
    <cellStyle name="Comma 20 2 2" xfId="302" xr:uid="{E43C800C-FA5F-49F1-9277-181261A7BDC6}"/>
    <cellStyle name="Comma 20 3" xfId="230" xr:uid="{10576CD8-C5FB-4510-8E3F-E9569242B602}"/>
    <cellStyle name="Comma 21" xfId="110" xr:uid="{2A58FBF1-93E6-4957-A40F-7D6140A5BA17}"/>
    <cellStyle name="Comma 21 2" xfId="184" xr:uid="{A51A674E-01E4-4CBF-8168-D8E438B13C3C}"/>
    <cellStyle name="Comma 21 2 2" xfId="305" xr:uid="{6B6963D7-C6ED-4E06-984E-00D89F742BDB}"/>
    <cellStyle name="Comma 21 3" xfId="233" xr:uid="{5C36F227-4FFC-4765-8378-29CD26143E87}"/>
    <cellStyle name="Comma 22" xfId="114" xr:uid="{4E2A8D78-0F74-4FB3-A03C-D133C5782F83}"/>
    <cellStyle name="Comma 22 2" xfId="187" xr:uid="{C5E3B9BF-9811-4427-8169-FFBC27762061}"/>
    <cellStyle name="Comma 22 2 2" xfId="308" xr:uid="{F26A2DEF-DE32-40B0-B31C-BD3B87B9F56A}"/>
    <cellStyle name="Comma 22 3" xfId="236" xr:uid="{15F2C683-58B5-4E36-A962-C75D571957FE}"/>
    <cellStyle name="Comma 23" xfId="113" xr:uid="{4F454B85-A24C-41C1-9043-F1E2C0902169}"/>
    <cellStyle name="Comma 23 2" xfId="186" xr:uid="{3BBBF00B-A750-4600-9FAA-0622C96386BB}"/>
    <cellStyle name="Comma 23 2 2" xfId="307" xr:uid="{C167FB54-3105-4EAA-AF73-555E794E1F58}"/>
    <cellStyle name="Comma 23 3" xfId="235" xr:uid="{4A11C13C-DE7C-41ED-A7FF-ECAA83FA5804}"/>
    <cellStyle name="Comma 24" xfId="116" xr:uid="{AC5286A4-0F75-4490-802D-2DD1880401E0}"/>
    <cellStyle name="Comma 24 2" xfId="188" xr:uid="{5E6D528C-0D5E-4987-AE1A-9FDF8ED85385}"/>
    <cellStyle name="Comma 24 2 2" xfId="309" xr:uid="{D1603946-4B33-4F09-AF3D-B046C7EC11B7}"/>
    <cellStyle name="Comma 24 3" xfId="237" xr:uid="{54E76BD3-C1E7-4C23-B961-3F9D2F2FFF14}"/>
    <cellStyle name="Comma 25" xfId="117" xr:uid="{3C514A4D-1A13-43BF-BD91-87215B734953}"/>
    <cellStyle name="Comma 25 2" xfId="189" xr:uid="{9CB3936C-4953-4BD0-8B24-1CBC2EF1AE28}"/>
    <cellStyle name="Comma 25 2 2" xfId="310" xr:uid="{D0A0FD33-88E6-465A-BC8F-C276C4D70DF8}"/>
    <cellStyle name="Comma 25 3" xfId="238" xr:uid="{F7FC726F-0850-4BAC-8D0D-B0C9ED428E57}"/>
    <cellStyle name="Comma 26" xfId="118" xr:uid="{5A7C9F82-FF9C-48B5-96E6-38C52D869835}"/>
    <cellStyle name="Comma 26 2" xfId="190" xr:uid="{90F8D986-C894-464C-A2D7-AAE2E48D34EC}"/>
    <cellStyle name="Comma 26 2 2" xfId="311" xr:uid="{EDA44955-955F-4B0E-BDE5-11BD6F57F882}"/>
    <cellStyle name="Comma 26 3" xfId="239" xr:uid="{F3DF0E6C-8F33-4308-8306-8BE815652235}"/>
    <cellStyle name="Comma 27" xfId="206" xr:uid="{72D5C8FE-6D09-4890-B6A2-36F53DA27F05}"/>
    <cellStyle name="Comma 27 2" xfId="325" xr:uid="{9B4B87F5-8AED-489F-BE1F-FB1A707F4D0C}"/>
    <cellStyle name="Comma 28" xfId="207" xr:uid="{FF9740AA-86CF-4AF6-851E-193D8C5E20CA}"/>
    <cellStyle name="Comma 28 2" xfId="326" xr:uid="{1C990AAE-E703-442C-8EE9-08BDFCA8C12C}"/>
    <cellStyle name="Comma 29" xfId="208" xr:uid="{5EDFB395-A22B-4E0D-997E-BCAC3A32510C}"/>
    <cellStyle name="Comma 29 2" xfId="327" xr:uid="{B3687D61-F2C3-46D6-A494-2492B56DDEED}"/>
    <cellStyle name="Comma 3" xfId="59" xr:uid="{43C19D6C-DDB7-4755-8C37-607082F8D6AB}"/>
    <cellStyle name="Comma 3 2" xfId="147" xr:uid="{FBF40CAC-7C06-4F28-9FA0-2AB3B6D3D3CC}"/>
    <cellStyle name="Comma 3 2 2" xfId="268" xr:uid="{9BFF2F7C-FCC2-4A97-B10F-7C297750D5F0}"/>
    <cellStyle name="Comma 30" xfId="209" xr:uid="{0E433CB2-DCA7-4777-A2A6-34A3FFBEE0A8}"/>
    <cellStyle name="Comma 4" xfId="57" xr:uid="{01360A2E-7ED4-47E3-96CF-252AFC0FE472}"/>
    <cellStyle name="Comma 4 2" xfId="145" xr:uid="{EA8968CF-4F5E-4092-AF50-7498B2024E7C}"/>
    <cellStyle name="Comma 4 2 2" xfId="266" xr:uid="{7D21EB97-BC02-46AA-ACCE-2FB5D11E7535}"/>
    <cellStyle name="Comma 5" xfId="62" xr:uid="{03DFE750-FF50-4214-BC89-270E73E97853}"/>
    <cellStyle name="Comma 5 2" xfId="150" xr:uid="{9CBD0A3F-503C-4E7D-9835-0541CF4E5AF3}"/>
    <cellStyle name="Comma 5 2 2" xfId="271" xr:uid="{123B0AC5-1907-40A8-A2D8-DF9FBB1B3375}"/>
    <cellStyle name="Comma 6" xfId="71" xr:uid="{A1096669-CF74-4B35-9EBD-07333C20445D}"/>
    <cellStyle name="Comma 6 2" xfId="153" xr:uid="{CDD7CC99-F20C-48B3-A7D6-F051441D035F}"/>
    <cellStyle name="Comma 6 2 2" xfId="274" xr:uid="{7DFE5FEF-5AC3-4C0F-949E-49E8766C8822}"/>
    <cellStyle name="Comma 7" xfId="76" xr:uid="{360E2071-F5F8-4B10-B4D8-FF561E3C4355}"/>
    <cellStyle name="Comma 7 2" xfId="158" xr:uid="{A1D17D04-0D83-4801-AE70-B7B9198D655D}"/>
    <cellStyle name="Comma 7 2 2" xfId="279" xr:uid="{C3A27D71-53F0-4C49-A173-4E6A48549C74}"/>
    <cellStyle name="Comma 8" xfId="77" xr:uid="{ACCAD039-C98D-4D4A-99E9-D544FECE0BFD}"/>
    <cellStyle name="Comma 8 2" xfId="159" xr:uid="{5C7C0E95-1810-44C6-B066-CCB5A7E1CE26}"/>
    <cellStyle name="Comma 8 2 2" xfId="280" xr:uid="{0B54F606-E419-4254-B5AD-08BEA8C5C0B6}"/>
    <cellStyle name="Comma 9" xfId="79" xr:uid="{98D1102E-DA3F-44E3-8E0B-72F6F68F38C2}"/>
    <cellStyle name="Comma 9 2" xfId="161" xr:uid="{4C8912D7-4AEC-475F-BE22-C2AD4A22E6E5}"/>
    <cellStyle name="Comma 9 2 2" xfId="282" xr:uid="{05B3171F-E991-4787-9903-99160FA60E8E}"/>
    <cellStyle name="Currency" xfId="1" builtinId="4"/>
    <cellStyle name="Currency [0] 2" xfId="51" xr:uid="{EF212FAF-3E87-462F-8AA1-BC711443D287}"/>
    <cellStyle name="Currency [0] 2 2" xfId="141" xr:uid="{C76B4AB1-81E3-4280-9A7C-8E2BB8616663}"/>
    <cellStyle name="Currency [0] 2 2 2" xfId="262" xr:uid="{AFB4D065-B202-4B17-8EE4-52D251179F71}"/>
    <cellStyle name="Currency [0] 3" xfId="70" xr:uid="{6D021032-3AA2-4514-A52D-288F3271B6E2}"/>
    <cellStyle name="Currency [0] 3 2" xfId="152" xr:uid="{A2226311-69DD-4F35-8857-A9CC68F3E70C}"/>
    <cellStyle name="Currency [0] 3 2 2" xfId="273" xr:uid="{4FFEC280-DBCC-4689-BB71-6DBBA88D1275}"/>
    <cellStyle name="Currency 10" xfId="83" xr:uid="{ACB92303-5C4C-4157-978E-0602B5C7BC8A}"/>
    <cellStyle name="Currency 10 2" xfId="163" xr:uid="{00473C62-6F40-4F2E-86D6-807D14C6019B}"/>
    <cellStyle name="Currency 10 2 2" xfId="284" xr:uid="{3507EBBA-DA05-41E9-87A4-FAEF35DF7B6B}"/>
    <cellStyle name="Currency 10 3" xfId="211" xr:uid="{219A4D14-8413-46EF-B2DC-E8618D041647}"/>
    <cellStyle name="Currency 11" xfId="92" xr:uid="{194BA813-55CB-406A-9C1D-93885B51D693}"/>
    <cellStyle name="Currency 11 2" xfId="166" xr:uid="{46C13386-1C1C-454F-929C-7A56B244C58B}"/>
    <cellStyle name="Currency 11 2 2" xfId="287" xr:uid="{9D978C90-90F0-4349-840E-E040E4871A86}"/>
    <cellStyle name="Currency 11 3" xfId="215" xr:uid="{3659D110-F22D-4D16-9570-90440EBD2F81}"/>
    <cellStyle name="Currency 12" xfId="97" xr:uid="{1E89899D-569E-4A74-A256-4A248B877DCD}"/>
    <cellStyle name="Currency 12 2" xfId="171" xr:uid="{31E4B702-DBAA-4E8F-B597-F6499D73239F}"/>
    <cellStyle name="Currency 12 2 2" xfId="292" xr:uid="{3FEC5B18-73DE-46C0-AC07-AF600EF29A04}"/>
    <cellStyle name="Currency 12 3" xfId="220" xr:uid="{56817F41-092A-48D1-A0FA-0919573EDB19}"/>
    <cellStyle name="Currency 13" xfId="99" xr:uid="{2D6F5AE9-888D-4856-B8C6-645C38B036A6}"/>
    <cellStyle name="Currency 13 2" xfId="173" xr:uid="{AEBEBFC7-5B5E-4E65-BF50-E664643E4750}"/>
    <cellStyle name="Currency 13 2 2" xfId="294" xr:uid="{A4ADD2E5-69B1-47CB-B029-89351F1BDDDE}"/>
    <cellStyle name="Currency 13 3" xfId="222" xr:uid="{CA956785-563E-4BA4-BF6F-93AC63D73E86}"/>
    <cellStyle name="Currency 14" xfId="100" xr:uid="{31C88C09-A575-4C73-B9C3-10C14C9A5598}"/>
    <cellStyle name="Currency 14 2" xfId="174" xr:uid="{7E253B33-A714-470A-8D61-1151D04FE86D}"/>
    <cellStyle name="Currency 14 2 2" xfId="295" xr:uid="{FFC7F7A0-A9E7-40CD-BCAA-40E11985643B}"/>
    <cellStyle name="Currency 14 3" xfId="223" xr:uid="{A63C2458-7E28-4A5E-96D3-CBBD938589F2}"/>
    <cellStyle name="Currency 15" xfId="93" xr:uid="{B98D9F81-FECD-421A-96FF-8670FB2731DC}"/>
    <cellStyle name="Currency 15 2" xfId="167" xr:uid="{12C79FFC-611A-41E1-84D9-FFD25ACAD78D}"/>
    <cellStyle name="Currency 15 2 2" xfId="288" xr:uid="{16A05A73-A22A-4B69-A86E-58245B88BDB8}"/>
    <cellStyle name="Currency 15 3" xfId="216" xr:uid="{5003B374-DFE0-4CD1-86FC-A3B9D938E44D}"/>
    <cellStyle name="Currency 16" xfId="102" xr:uid="{018129A8-2B5E-4E02-91D3-AFDC30E592EC}"/>
    <cellStyle name="Currency 16 2" xfId="176" xr:uid="{5D341E9C-3C5D-491D-A2AF-E84A90C972B1}"/>
    <cellStyle name="Currency 16 2 2" xfId="297" xr:uid="{C9958FB8-A2E0-4CE7-BB0A-59718A3BB44B}"/>
    <cellStyle name="Currency 16 3" xfId="225" xr:uid="{4C995013-A3C4-483E-A939-E0CEAA2EF398}"/>
    <cellStyle name="Currency 17" xfId="104" xr:uid="{2F43D585-8F1D-4203-A29B-9823AB78A2FB}"/>
    <cellStyle name="Currency 17 2" xfId="178" xr:uid="{A0E2A121-0C05-43EF-A5CF-A165582B0883}"/>
    <cellStyle name="Currency 17 2 2" xfId="299" xr:uid="{B605B3FD-49F4-48F7-AF00-D0F6FAA256B3}"/>
    <cellStyle name="Currency 17 3" xfId="227" xr:uid="{FB58A797-EB50-43A2-83D5-EE322785B486}"/>
    <cellStyle name="Currency 18" xfId="106" xr:uid="{316F06F0-A75C-487D-9D41-0AA36702719A}"/>
    <cellStyle name="Currency 18 2" xfId="180" xr:uid="{FCE133EC-8A57-41C8-A75D-8EEE2C6972EF}"/>
    <cellStyle name="Currency 18 2 2" xfId="301" xr:uid="{24703098-D30D-46AA-BA6B-F643A838D472}"/>
    <cellStyle name="Currency 18 3" xfId="229" xr:uid="{6DF10A45-AC64-4FFA-80D3-8BBB6646D559}"/>
    <cellStyle name="Currency 19" xfId="108" xr:uid="{6C497AE4-76A2-4271-9C2E-DCA45B5E2548}"/>
    <cellStyle name="Currency 19 2" xfId="182" xr:uid="{D0584099-5DCD-4938-BEA4-D8FC640C801E}"/>
    <cellStyle name="Currency 19 2 2" xfId="303" xr:uid="{F274FED5-B25B-4394-B3C1-6406CD5A8816}"/>
    <cellStyle name="Currency 19 3" xfId="231" xr:uid="{4DBA94BD-DAB3-4F89-ABF5-09EC2383FEB4}"/>
    <cellStyle name="Currency 2" xfId="4" xr:uid="{7019825F-05D8-44C5-9E6C-077CC5C899AC}"/>
    <cellStyle name="Currency 2 2" xfId="135" xr:uid="{AD18AD63-577E-4B83-9A14-976EB26C8D85}"/>
    <cellStyle name="Currency 2 2 2" xfId="256" xr:uid="{EE8A7C81-1E55-4D3E-9C6F-3C614B719463}"/>
    <cellStyle name="Currency 2 3" xfId="203" xr:uid="{79707C72-4D6D-494B-93F6-D56624AC6D6F}"/>
    <cellStyle name="Currency 2 3 2" xfId="322" xr:uid="{6BD38903-82AE-4AAC-8066-3C14714C202A}"/>
    <cellStyle name="Currency 2 4" xfId="50" xr:uid="{EAE25144-C2A7-4894-A572-7FFE9452AAD2}"/>
    <cellStyle name="Currency 20" xfId="109" xr:uid="{BEC0E039-047F-4E05-BE87-122D4B7606D8}"/>
    <cellStyle name="Currency 20 2" xfId="183" xr:uid="{898D0722-A08B-447B-89EA-B7A4FAC6C2BB}"/>
    <cellStyle name="Currency 20 2 2" xfId="304" xr:uid="{BE81D12A-F043-45DD-84CE-B8D8F7E4916F}"/>
    <cellStyle name="Currency 20 3" xfId="232" xr:uid="{B0FE5824-405D-4F05-A497-1D8323ADAEFB}"/>
    <cellStyle name="Currency 21" xfId="111" xr:uid="{66FB626E-FFB6-423F-AA8C-0346D1192BA0}"/>
    <cellStyle name="Currency 21 2" xfId="185" xr:uid="{17C090E2-B190-4A33-BEC1-95C84F1DE7BE}"/>
    <cellStyle name="Currency 21 2 2" xfId="306" xr:uid="{E6881AA9-3638-4E1D-A6CF-269CCCCC4722}"/>
    <cellStyle name="Currency 21 3" xfId="234" xr:uid="{19C5F1ED-24DC-41A3-9F73-3F9FB1FF2243}"/>
    <cellStyle name="Currency 22" xfId="120" xr:uid="{B066AD23-A3FB-49F9-B8F9-A660BF8B3D10}"/>
    <cellStyle name="Currency 22 2" xfId="241" xr:uid="{1C08BE1C-FD3D-4E02-9F41-90AB556426A2}"/>
    <cellStyle name="Currency 23" xfId="119" xr:uid="{526F03C6-81E5-4D16-BDB7-D1A34BC5C794}"/>
    <cellStyle name="Currency 23 2" xfId="240" xr:uid="{8121BAFF-AE0E-40FC-AFFA-FFF8E770BACD}"/>
    <cellStyle name="Currency 24" xfId="121" xr:uid="{B674AC9E-9B31-49AB-8E77-F66DF21D44E4}"/>
    <cellStyle name="Currency 24 2" xfId="242" xr:uid="{1CB450E6-3416-4479-B76D-70C61205D659}"/>
    <cellStyle name="Currency 25" xfId="122" xr:uid="{4BC2BCDE-2FD5-404F-9D9C-82D023F113E1}"/>
    <cellStyle name="Currency 25 2" xfId="243" xr:uid="{050FA0FB-8860-45FB-80C9-2E00A3297CB8}"/>
    <cellStyle name="Currency 26" xfId="125" xr:uid="{1D296765-554C-4ED7-8BE4-E1E831914839}"/>
    <cellStyle name="Currency 26 2" xfId="246" xr:uid="{DD4720F8-931D-48A7-808A-3F4119802784}"/>
    <cellStyle name="Currency 27" xfId="124" xr:uid="{1F5255A6-0B7B-4851-94C8-C1ECF81D569A}"/>
    <cellStyle name="Currency 27 2" xfId="245" xr:uid="{E4DA9469-60B7-43A7-8B30-A8FE48E0B6C7}"/>
    <cellStyle name="Currency 28" xfId="126" xr:uid="{6EFD0CF0-0EBB-499D-BCB0-C3B104C2D142}"/>
    <cellStyle name="Currency 28 2" xfId="247" xr:uid="{EF3C15CE-C637-4251-9315-E2C5F9C91768}"/>
    <cellStyle name="Currency 29" xfId="127" xr:uid="{B60DB597-839A-4597-9612-AE4F3EC54FE5}"/>
    <cellStyle name="Currency 29 2" xfId="248" xr:uid="{3F0F708F-3C87-41DA-BD8C-12198AEA9EE5}"/>
    <cellStyle name="Currency 3" xfId="58" xr:uid="{E98F089F-0263-4B44-AFC0-DF924098D918}"/>
    <cellStyle name="Currency 3 2" xfId="146" xr:uid="{07EAAA4E-1F03-46EB-B927-506C2103FB02}"/>
    <cellStyle name="Currency 3 2 2" xfId="267" xr:uid="{688851F1-4C54-4659-A8C0-57F1FD916D3F}"/>
    <cellStyle name="Currency 30" xfId="128" xr:uid="{B6D4A0F2-46C5-4E3A-9DBC-FFCCA1F1C019}"/>
    <cellStyle name="Currency 30 2" xfId="249" xr:uid="{D73EC0EC-1C8C-4BAD-A0EC-AD6C14C0EAAF}"/>
    <cellStyle name="Currency 31" xfId="129" xr:uid="{F56717E9-B66C-4ABB-9423-0A8AB69613C1}"/>
    <cellStyle name="Currency 31 2" xfId="250" xr:uid="{B3D42E7D-6EE5-4D18-804A-0C9C11492113}"/>
    <cellStyle name="Currency 32" xfId="130" xr:uid="{A33A509F-EE60-49BE-B94A-5267F44E23C5}"/>
    <cellStyle name="Currency 32 2" xfId="251" xr:uid="{65D214D8-D80B-49C6-9B56-23BE0E2956C4}"/>
    <cellStyle name="Currency 33" xfId="131" xr:uid="{B527EC03-B132-456C-8B6F-36B5F85C19CB}"/>
    <cellStyle name="Currency 33 2" xfId="252" xr:uid="{9841EB60-C35F-4AAB-B93C-AF67EFB3B5F3}"/>
    <cellStyle name="Currency 34" xfId="133" xr:uid="{716A0CD7-23FE-43B6-A951-B3EF626CBC18}"/>
    <cellStyle name="Currency 34 2" xfId="254" xr:uid="{AAFD5251-03DE-4617-A0DE-02B44B436EF2}"/>
    <cellStyle name="Currency 35" xfId="136" xr:uid="{9F9A5C6E-B344-48A2-9B5F-A873F6082E03}"/>
    <cellStyle name="Currency 35 2" xfId="257" xr:uid="{E15AE9DF-B2BC-445E-8F26-6819FDEE761A}"/>
    <cellStyle name="Currency 36" xfId="134" xr:uid="{B28F6E2B-CBC0-4689-8B80-909D8AFEAE99}"/>
    <cellStyle name="Currency 36 2" xfId="255" xr:uid="{5014CE49-DFA8-4B78-9FB6-71CD243EF072}"/>
    <cellStyle name="Currency 37" xfId="132" xr:uid="{D6D95D45-B5A4-49F4-AB0B-71B03E80CF9F}"/>
    <cellStyle name="Currency 37 2" xfId="253" xr:uid="{876F568D-F1F7-43F3-AEF2-E811D0602E4D}"/>
    <cellStyle name="Currency 38" xfId="138" xr:uid="{C38C529E-71C6-412A-A6D4-CAE6DC55E87C}"/>
    <cellStyle name="Currency 38 2" xfId="259" xr:uid="{65B7DF6A-A343-4644-817A-D3759BAB4CD2}"/>
    <cellStyle name="Currency 39" xfId="137" xr:uid="{16A7C52E-C652-4D30-978E-DAB3EA411514}"/>
    <cellStyle name="Currency 39 2" xfId="258" xr:uid="{28E36827-623E-4259-AADA-41F42908523E}"/>
    <cellStyle name="Currency 4" xfId="60" xr:uid="{4B9F2173-D0E7-4DE9-A1B6-47D63C8968F1}"/>
    <cellStyle name="Currency 4 2" xfId="148" xr:uid="{9E7A3E76-64A9-42EC-8F76-E0D0F11284E4}"/>
    <cellStyle name="Currency 4 2 2" xfId="269" xr:uid="{B9A49CDF-BD06-40EE-8EA3-A45837C212BF}"/>
    <cellStyle name="Currency 40" xfId="162" xr:uid="{7B7C582D-577A-498A-98F2-FAB7C9B3E864}"/>
    <cellStyle name="Currency 40 2" xfId="283" xr:uid="{072AEBA4-CDB5-4444-8E26-60F6780A6B3B}"/>
    <cellStyle name="Currency 41" xfId="192" xr:uid="{A0E120C7-B83E-43F7-B469-66C1474EA443}"/>
    <cellStyle name="Currency 41 2" xfId="313" xr:uid="{3B0907D1-9F37-47D5-8DD9-78B1CD741120}"/>
    <cellStyle name="Currency 42" xfId="193" xr:uid="{1CB5B995-845A-47F0-BEB5-67E29A882ECC}"/>
    <cellStyle name="Currency 42 2" xfId="314" xr:uid="{751D2E87-BBE2-4514-8D75-13C64581C112}"/>
    <cellStyle name="Currency 43" xfId="140" xr:uid="{F07CB79B-FB16-43CF-99D6-65284BCE66C0}"/>
    <cellStyle name="Currency 43 2" xfId="261" xr:uid="{C673444E-3FE9-4351-BEDA-F5EFA7C55555}"/>
    <cellStyle name="Currency 44" xfId="139" xr:uid="{64554342-BCEE-4CD4-9E35-3B08EB8334B2}"/>
    <cellStyle name="Currency 44 2" xfId="260" xr:uid="{FD85681E-620D-4A5B-AA79-DC13FDAB258B}"/>
    <cellStyle name="Currency 45" xfId="155" xr:uid="{94276DB4-9660-4352-9C30-4F3893F57A86}"/>
    <cellStyle name="Currency 45 2" xfId="276" xr:uid="{1C5B0110-3B0A-4576-AC88-2A00594EE416}"/>
    <cellStyle name="Currency 46" xfId="191" xr:uid="{1E6AF9F5-A89B-47D9-8463-04BEE4D47029}"/>
    <cellStyle name="Currency 46 2" xfId="312" xr:uid="{F7990850-B2E3-404A-AF0B-D18055C2B1E7}"/>
    <cellStyle name="Currency 47" xfId="194" xr:uid="{4F6490A8-A90C-4416-BF04-9608A13E4509}"/>
    <cellStyle name="Currency 47 2" xfId="315" xr:uid="{1ACE9CBC-00FB-481D-965F-F0500932F51F}"/>
    <cellStyle name="Currency 48" xfId="144" xr:uid="{D09418E5-F296-49AD-90E4-4E0CAE689AED}"/>
    <cellStyle name="Currency 48 2" xfId="265" xr:uid="{55F92F35-7AD2-45D4-8197-F4C51DFB6B8A}"/>
    <cellStyle name="Currency 49" xfId="196" xr:uid="{4BFD0708-E142-4807-955A-855A6F79A2BA}"/>
    <cellStyle name="Currency 49 2" xfId="316" xr:uid="{9133EF62-35A5-46F7-9E8A-099AA6424051}"/>
    <cellStyle name="Currency 5" xfId="61" xr:uid="{C409E4FA-ABBC-48B3-934B-1DC857CA15A5}"/>
    <cellStyle name="Currency 5 2" xfId="149" xr:uid="{26C73EF2-2D30-4A44-9ED2-AE4AEF3DCDBA}"/>
    <cellStyle name="Currency 5 2 2" xfId="270" xr:uid="{0D457384-6850-49E0-89FE-EB56563494DE}"/>
    <cellStyle name="Currency 50" xfId="198" xr:uid="{AF17C07A-76AD-4CE0-870F-56E6D34620B0}"/>
    <cellStyle name="Currency 50 2" xfId="318" xr:uid="{EB9CB34C-D261-4C85-8F37-EE51B11E50CD}"/>
    <cellStyle name="Currency 51" xfId="199" xr:uid="{24587C17-1889-40CD-A20D-4530100B56FE}"/>
    <cellStyle name="Currency 51 2" xfId="319" xr:uid="{1374940C-4C06-4864-8A97-1482B1B46311}"/>
    <cellStyle name="Currency 52" xfId="197" xr:uid="{D0017721-3713-4C46-9470-9D68B14A07F4}"/>
    <cellStyle name="Currency 52 2" xfId="317" xr:uid="{A7CE8311-FE09-4F37-91C8-63B362FA3699}"/>
    <cellStyle name="Currency 53" xfId="201" xr:uid="{F8CE0234-25C0-4BC6-8D64-A192A676047C}"/>
    <cellStyle name="Currency 53 2" xfId="321" xr:uid="{94374A4A-26AE-4C84-B5FB-664245FC4580}"/>
    <cellStyle name="Currency 54" xfId="205" xr:uid="{1F758510-A1CB-4A44-ABEB-A6C1356F5452}"/>
    <cellStyle name="Currency 54 2" xfId="324" xr:uid="{C999D2AB-BAAE-4A69-B353-7FEFA609C7FE}"/>
    <cellStyle name="Currency 55" xfId="200" xr:uid="{29F3FCCF-6074-49CF-813E-BFAC76BED819}"/>
    <cellStyle name="Currency 55 2" xfId="320" xr:uid="{C4113AB3-7F15-46D9-8E16-8B74B81DEB12}"/>
    <cellStyle name="Currency 56" xfId="210" xr:uid="{533D26FC-1F8C-453F-83BD-B9DA5EAC6015}"/>
    <cellStyle name="Currency 57" xfId="82" xr:uid="{4F16AB4B-A1EB-424F-B70C-5DDD5ADB16C9}"/>
    <cellStyle name="Currency 58" xfId="195" xr:uid="{1D0DA9A1-FF56-41C2-96CF-44FAC4C8B833}"/>
    <cellStyle name="Currency 6" xfId="69" xr:uid="{4FE71BBB-1363-496C-8B9E-2FEF92C6D7D3}"/>
    <cellStyle name="Currency 6 2" xfId="151" xr:uid="{B1D58B8E-E2AA-465B-B671-C3811F1613F4}"/>
    <cellStyle name="Currency 6 2 2" xfId="272" xr:uid="{BDAEA0E4-3D0D-4110-874F-F8AA9905072E}"/>
    <cellStyle name="Currency 7" xfId="74" xr:uid="{6B3FE917-D6A6-443E-8652-1E0310B3CEB0}"/>
    <cellStyle name="Currency 7 2" xfId="156" xr:uid="{3ED28932-B738-49D9-90A2-5607C9DB6FCE}"/>
    <cellStyle name="Currency 7 2 2" xfId="277" xr:uid="{64CC17AD-B910-4E1F-B6C7-252CAF17C93F}"/>
    <cellStyle name="Currency 8" xfId="75" xr:uid="{D898D70A-57AE-4A4A-B709-FFCF61C8D084}"/>
    <cellStyle name="Currency 8 2" xfId="157" xr:uid="{DD053A47-6922-4652-9972-68481BABE7D3}"/>
    <cellStyle name="Currency 8 2 2" xfId="278" xr:uid="{1189D8A5-45FD-4309-BD0D-703B93F142AF}"/>
    <cellStyle name="Currency 9" xfId="78" xr:uid="{579F7AD0-E130-45E8-AD32-6E93781EC443}"/>
    <cellStyle name="Currency 9 2" xfId="160" xr:uid="{43983394-31BA-4C34-BEE1-5B0AAD71F7D8}"/>
    <cellStyle name="Currency 9 2 2" xfId="281" xr:uid="{F26CF8CF-C582-4132-90BE-ACD681E13FE2}"/>
    <cellStyle name="Explanatory Text" xfId="23" builtinId="53" customBuiltin="1"/>
    <cellStyle name="Good" xfId="13" builtinId="26" customBuiltin="1"/>
    <cellStyle name="Heading 1" xfId="9" builtinId="16" customBuiltin="1"/>
    <cellStyle name="Heading 1 2" xfId="64" xr:uid="{3EF9E2E2-419E-41CD-870D-111FAF5E4043}"/>
    <cellStyle name="Heading 2" xfId="10" builtinId="17" customBuiltin="1"/>
    <cellStyle name="Heading 2 2" xfId="65" xr:uid="{174578A1-5E76-46DB-9E96-2DF9975AD4D3}"/>
    <cellStyle name="Heading 3" xfId="11" builtinId="18" customBuiltin="1"/>
    <cellStyle name="Heading 3 2" xfId="66" xr:uid="{D49D6468-2B6F-4E82-B3B0-32BFA992CE55}"/>
    <cellStyle name="Heading 4" xfId="12" builtinId="19" customBuiltin="1"/>
    <cellStyle name="Heading 4 2" xfId="67" xr:uid="{08C8F24A-FA74-4E1E-8C5B-AD97690F26D2}"/>
    <cellStyle name="Hyperlink" xfId="328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12" xfId="80" xr:uid="{C4425002-AA9B-4883-AD39-9C2573CFDFB8}"/>
    <cellStyle name="Normal 2" xfId="54" xr:uid="{06CB5670-E0E8-4639-B65D-9B41508F1F36}"/>
    <cellStyle name="Normal 2 2" xfId="87" xr:uid="{AFEDC863-D9A2-41EB-8C54-F80CE00741D7}"/>
    <cellStyle name="Normal 2 2 3" xfId="81" xr:uid="{36B50FD2-1645-44B7-9F0A-843B35B1696C}"/>
    <cellStyle name="Normal 2 3" xfId="86" xr:uid="{7C542590-1303-40E3-B3FB-4526518C89B6}"/>
    <cellStyle name="Normal 2 4" xfId="84" xr:uid="{3C5C8DA6-4663-4C50-9E4C-69B71F1B42E4}"/>
    <cellStyle name="Normal 21" xfId="115" xr:uid="{493FFAC9-835B-4544-8522-456B819FF6FF}"/>
    <cellStyle name="Normal 3" xfId="55" xr:uid="{FD1D9324-ECA8-46E7-AA27-C644743282CE}"/>
    <cellStyle name="Normal 3 2" xfId="88" xr:uid="{FCED318B-E8B9-4C11-B34C-ED2FF5E1A36B}"/>
    <cellStyle name="Normal 4" xfId="6" xr:uid="{7411940D-89EE-4E51-A0EC-E1F9011EB76A}"/>
    <cellStyle name="Normal 5" xfId="63" xr:uid="{AE74AC2F-F50A-437B-9239-33E18331DAFA}"/>
    <cellStyle name="Normal 6" xfId="73" xr:uid="{732B2E91-8AD5-4BBB-8B38-573DD27FF1E8}"/>
    <cellStyle name="Normal 7" xfId="112" xr:uid="{44C5B5BB-83A6-4BC8-894D-2F3D062A0852}"/>
    <cellStyle name="Note" xfId="22" builtinId="10" customBuiltin="1"/>
    <cellStyle name="Output" xfId="17" builtinId="21" customBuiltin="1"/>
    <cellStyle name="Percent" xfId="2" builtinId="5"/>
    <cellStyle name="Percent 2" xfId="3" xr:uid="{482F37FC-3C4E-45D2-BC18-7FA39A4141D6}"/>
    <cellStyle name="Percent 2 2" xfId="89" xr:uid="{37F6F969-3592-446B-A0B0-1A40DD53B85A}"/>
    <cellStyle name="Percent 2 3" xfId="202" xr:uid="{11B77FB7-B947-4497-8D62-0117909FAFAD}"/>
    <cellStyle name="Percent 2 4" xfId="56" xr:uid="{F83AA70B-CD0E-4796-AFAA-9798C71000E5}"/>
    <cellStyle name="Percent 3" xfId="49" xr:uid="{A9EF0E4F-6E7E-4CF3-9510-0CF86191BCB1}"/>
    <cellStyle name="Percent 4" xfId="68" xr:uid="{870FC8E0-721F-432F-80AD-7BA75A3012D8}"/>
    <cellStyle name="Title" xfId="8" builtinId="15" customBuiltin="1"/>
    <cellStyle name="Total" xfId="24" builtinId="25" customBuiltin="1"/>
    <cellStyle name="Warning Text" xfId="21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4F5C"/>
      <color rgb="FFFF9999"/>
      <color rgb="FFD2F5FC"/>
      <color rgb="FFDED1FA"/>
      <color rgb="FF66FFCC"/>
      <color rgb="FF001E4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und-docs.vanguard.com/AU-PDS-Vanguard_Australian_Shares_Index_Fund.pdf" TargetMode="External"/><Relationship Id="rId2" Type="http://schemas.openxmlformats.org/officeDocument/2006/relationships/hyperlink" Target="https://www.orbis.com/au/investor/funds/orbis-global-equity-fund" TargetMode="External"/><Relationship Id="rId1" Type="http://schemas.openxmlformats.org/officeDocument/2006/relationships/hyperlink" Target="https://fund-ui.pimco.com/fund-detail-api/api/funds/documents/content/view?documentId=hy1jSu7qu_tgkxzWKGHUF1BXmUSpzIpDrzm2B6eHkmw" TargetMode="Externa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89D5-75BC-4D63-AB26-ACDF32FC2A0B}">
  <sheetPr codeName="Sheet4">
    <tabColor rgb="FF004F5C"/>
  </sheetPr>
  <dimension ref="A1:V108"/>
  <sheetViews>
    <sheetView topLeftCell="D1" workbookViewId="0">
      <selection activeCell="M18" sqref="M18"/>
    </sheetView>
  </sheetViews>
  <sheetFormatPr defaultColWidth="9.265625" defaultRowHeight="12.75" customHeight="1" x14ac:dyDescent="0.45"/>
  <cols>
    <col min="1" max="1" width="13.73046875" style="6" customWidth="1"/>
    <col min="2" max="2" width="13.265625" style="2" customWidth="1"/>
    <col min="3" max="3" width="62.86328125" style="2" customWidth="1"/>
    <col min="4" max="4" width="10.59765625" style="2" customWidth="1"/>
    <col min="5" max="5" width="14" style="7" customWidth="1"/>
    <col min="6" max="13" width="14" style="8" customWidth="1"/>
    <col min="14" max="14" width="15.86328125" style="2" customWidth="1"/>
    <col min="15" max="15" width="19.73046875" style="2" bestFit="1" customWidth="1"/>
    <col min="16" max="16" width="8.86328125" style="2" bestFit="1" customWidth="1"/>
    <col min="17" max="18" width="7" style="2" customWidth="1"/>
    <col min="19" max="19" width="19.73046875" style="2" customWidth="1"/>
    <col min="20" max="20" width="8.73046875" style="2" customWidth="1"/>
    <col min="21" max="21" width="10" style="2" customWidth="1"/>
    <col min="22" max="22" width="10.3984375" style="2" customWidth="1"/>
    <col min="23" max="16384" width="9.265625" style="2"/>
  </cols>
  <sheetData>
    <row r="1" spans="1:22" s="1" customFormat="1" ht="13.15" x14ac:dyDescent="0.45">
      <c r="A1" s="34" t="s">
        <v>0</v>
      </c>
      <c r="B1" s="35"/>
      <c r="C1" s="35"/>
      <c r="D1" s="35"/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/>
      <c r="M1" s="36"/>
    </row>
    <row r="2" spans="1:22" ht="13.15" x14ac:dyDescent="0.4">
      <c r="A2" s="14"/>
      <c r="B2" s="15"/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</row>
    <row r="3" spans="1:22" ht="13.15" x14ac:dyDescent="0.4">
      <c r="A3" s="14"/>
      <c r="B3" s="15"/>
      <c r="C3" s="15"/>
      <c r="D3" s="15"/>
      <c r="E3" s="16"/>
      <c r="F3" s="17"/>
      <c r="G3" s="17"/>
      <c r="H3" s="17"/>
      <c r="I3" s="17"/>
      <c r="J3" s="45"/>
      <c r="K3" s="46" t="s">
        <v>1</v>
      </c>
      <c r="L3" s="46"/>
      <c r="M3" s="46"/>
      <c r="O3" s="37" t="s">
        <v>2</v>
      </c>
      <c r="P3" s="38"/>
      <c r="Q3" s="39" t="s">
        <v>3</v>
      </c>
      <c r="R3" s="39"/>
      <c r="S3" s="39"/>
      <c r="T3" s="39"/>
      <c r="U3" s="39" t="s">
        <v>4</v>
      </c>
      <c r="V3" s="39"/>
    </row>
    <row r="4" spans="1:22" ht="12.75" customHeight="1" x14ac:dyDescent="0.4">
      <c r="A4" s="2"/>
      <c r="J4" s="31"/>
      <c r="K4" s="29" t="s">
        <v>5</v>
      </c>
      <c r="L4" s="53" t="s">
        <v>6</v>
      </c>
      <c r="M4" s="53" t="s">
        <v>6</v>
      </c>
      <c r="O4" s="41" t="s">
        <v>7</v>
      </c>
      <c r="P4" s="42" t="s">
        <v>8</v>
      </c>
      <c r="Q4" s="43" t="s">
        <v>9</v>
      </c>
      <c r="R4" s="43" t="s">
        <v>6</v>
      </c>
      <c r="S4" s="44" t="s">
        <v>10</v>
      </c>
      <c r="T4" s="44" t="s">
        <v>11</v>
      </c>
      <c r="U4" s="43" t="s">
        <v>9</v>
      </c>
      <c r="V4" s="43" t="s">
        <v>6</v>
      </c>
    </row>
    <row r="5" spans="1:22" ht="13.15" customHeight="1" x14ac:dyDescent="0.4">
      <c r="A5" s="14"/>
      <c r="B5" s="15"/>
      <c r="C5" s="15"/>
      <c r="D5" s="15"/>
      <c r="E5" s="16"/>
      <c r="F5" s="17"/>
      <c r="G5" s="17"/>
      <c r="H5" s="17"/>
      <c r="I5" s="17"/>
      <c r="J5" s="31"/>
      <c r="K5" s="29" t="s">
        <v>12</v>
      </c>
      <c r="L5" s="54">
        <v>250000</v>
      </c>
      <c r="M5" s="54">
        <v>250000</v>
      </c>
      <c r="O5" s="9" t="s">
        <v>13</v>
      </c>
      <c r="P5" s="23">
        <v>0</v>
      </c>
      <c r="Q5" s="10">
        <v>2E-3</v>
      </c>
      <c r="R5" s="10">
        <v>2.3E-3</v>
      </c>
      <c r="S5" s="10">
        <v>2.8E-3</v>
      </c>
      <c r="T5" s="10">
        <v>2.5000000000000001E-3</v>
      </c>
      <c r="U5" s="13">
        <v>0</v>
      </c>
      <c r="V5" s="13">
        <v>0</v>
      </c>
    </row>
    <row r="6" spans="1:22" ht="13.15" customHeight="1" x14ac:dyDescent="0.4">
      <c r="A6" s="14"/>
      <c r="B6" s="15"/>
      <c r="C6" s="15"/>
      <c r="D6" s="15"/>
      <c r="E6" s="16"/>
      <c r="F6" s="17"/>
      <c r="G6" s="17"/>
      <c r="H6" s="17"/>
      <c r="I6" s="17"/>
      <c r="J6" s="31"/>
      <c r="K6" s="29" t="s">
        <v>14</v>
      </c>
      <c r="L6" s="55">
        <v>0.96</v>
      </c>
      <c r="M6" s="55">
        <v>0.96</v>
      </c>
      <c r="O6" s="11" t="s">
        <v>15</v>
      </c>
      <c r="P6" s="23">
        <v>350000</v>
      </c>
      <c r="Q6" s="12">
        <v>1.1999999999999999E-3</v>
      </c>
      <c r="R6" s="12">
        <v>1.4E-3</v>
      </c>
      <c r="S6" s="12">
        <v>1.6999999999999999E-3</v>
      </c>
      <c r="T6" s="12">
        <v>1.5E-3</v>
      </c>
      <c r="U6" s="13">
        <f>Q5*($P6-$P5)</f>
        <v>700</v>
      </c>
      <c r="V6" s="13">
        <f>R5*($P6-$P5)</f>
        <v>805</v>
      </c>
    </row>
    <row r="7" spans="1:22" ht="13.15" customHeight="1" x14ac:dyDescent="0.4">
      <c r="A7" s="14"/>
      <c r="B7" s="15"/>
      <c r="C7" s="15"/>
      <c r="D7" s="15"/>
      <c r="E7" s="16"/>
      <c r="F7" s="17"/>
      <c r="G7" s="17"/>
      <c r="H7" s="17"/>
      <c r="I7" s="17"/>
      <c r="J7" s="31"/>
      <c r="K7" s="29" t="s">
        <v>16</v>
      </c>
      <c r="L7" s="33">
        <v>4.0000000000000036E-2</v>
      </c>
      <c r="M7" s="33">
        <v>4.0000000000000036E-2</v>
      </c>
      <c r="O7" s="11" t="s">
        <v>17</v>
      </c>
      <c r="P7" s="23">
        <v>750000</v>
      </c>
      <c r="Q7" s="12">
        <v>1E-3</v>
      </c>
      <c r="R7" s="12">
        <v>1.1000000000000001E-3</v>
      </c>
      <c r="S7" s="12">
        <v>1.1999999999999999E-3</v>
      </c>
      <c r="T7" s="12">
        <v>1E-3</v>
      </c>
      <c r="U7" s="13">
        <f t="shared" ref="U7:V9" si="0">U6+Q6*($P7-$P6)</f>
        <v>1180</v>
      </c>
      <c r="V7" s="13">
        <f t="shared" si="0"/>
        <v>1365</v>
      </c>
    </row>
    <row r="8" spans="1:22" ht="13.15" customHeight="1" x14ac:dyDescent="0.4">
      <c r="A8" s="14"/>
      <c r="B8" s="15"/>
      <c r="C8" s="15"/>
      <c r="D8" s="15"/>
      <c r="E8" s="16"/>
      <c r="F8" s="17"/>
      <c r="G8" s="17"/>
      <c r="H8" s="17"/>
      <c r="I8" s="17"/>
      <c r="J8" s="31"/>
      <c r="K8" s="29" t="s">
        <v>18</v>
      </c>
      <c r="L8" s="56">
        <v>180</v>
      </c>
      <c r="M8" s="56">
        <v>180</v>
      </c>
      <c r="O8" s="11" t="s">
        <v>19</v>
      </c>
      <c r="P8" s="23">
        <v>1000000</v>
      </c>
      <c r="Q8" s="12">
        <v>8.0000000000000004E-4</v>
      </c>
      <c r="R8" s="12">
        <v>8.0000000000000004E-4</v>
      </c>
      <c r="S8" s="12">
        <v>8.0000000000000004E-4</v>
      </c>
      <c r="T8" s="12">
        <v>8.0000000000000004E-4</v>
      </c>
      <c r="U8" s="13">
        <f t="shared" si="0"/>
        <v>1430</v>
      </c>
      <c r="V8" s="13">
        <f t="shared" si="0"/>
        <v>1640</v>
      </c>
    </row>
    <row r="9" spans="1:22" ht="13.15" customHeight="1" x14ac:dyDescent="0.4">
      <c r="A9" s="14"/>
      <c r="B9" s="15"/>
      <c r="C9" s="15"/>
      <c r="D9" s="15"/>
      <c r="E9" s="16"/>
      <c r="F9" s="17"/>
      <c r="G9" s="17"/>
      <c r="H9" s="17"/>
      <c r="I9" s="17"/>
      <c r="J9" s="31"/>
      <c r="K9" s="29" t="s">
        <v>20</v>
      </c>
      <c r="L9" s="57">
        <v>7.4999999999999997E-3</v>
      </c>
      <c r="M9" s="57">
        <v>7.4999999999999997E-3</v>
      </c>
      <c r="O9" s="11" t="s">
        <v>21</v>
      </c>
      <c r="P9" s="23">
        <v>1250000</v>
      </c>
      <c r="Q9" s="12">
        <v>0</v>
      </c>
      <c r="R9" s="12">
        <v>0</v>
      </c>
      <c r="S9" s="12">
        <v>0</v>
      </c>
      <c r="T9" s="12">
        <v>0</v>
      </c>
      <c r="U9" s="13">
        <f t="shared" si="0"/>
        <v>1630</v>
      </c>
      <c r="V9" s="13">
        <f t="shared" si="0"/>
        <v>1840</v>
      </c>
    </row>
    <row r="10" spans="1:22" ht="13.15" customHeight="1" x14ac:dyDescent="0.4">
      <c r="A10" s="14"/>
      <c r="B10" s="15"/>
      <c r="C10" s="15"/>
      <c r="D10" s="15"/>
      <c r="E10" s="16"/>
      <c r="F10" s="17"/>
      <c r="G10" s="17"/>
      <c r="H10" s="17"/>
      <c r="I10" s="17"/>
      <c r="J10" s="31"/>
      <c r="K10" s="29" t="s">
        <v>22</v>
      </c>
      <c r="L10" s="57">
        <v>1E-3</v>
      </c>
      <c r="M10" s="57">
        <v>1E-3</v>
      </c>
    </row>
    <row r="11" spans="1:22" ht="13.15" customHeight="1" x14ac:dyDescent="0.4">
      <c r="A11" s="14"/>
      <c r="B11" s="15"/>
      <c r="C11" s="15"/>
      <c r="D11" s="15"/>
      <c r="E11" s="16"/>
      <c r="F11" s="17"/>
      <c r="G11" s="17"/>
      <c r="H11" s="17"/>
      <c r="I11" s="17"/>
      <c r="J11" s="31"/>
      <c r="K11" s="29" t="s">
        <v>23</v>
      </c>
      <c r="L11" s="58">
        <v>0.3</v>
      </c>
      <c r="M11" s="58">
        <v>0.3</v>
      </c>
    </row>
    <row r="12" spans="1:22" ht="13.15" customHeight="1" x14ac:dyDescent="0.4">
      <c r="A12" s="14"/>
      <c r="B12" s="15"/>
      <c r="C12" s="15"/>
      <c r="D12" s="15"/>
      <c r="E12" s="16"/>
      <c r="F12" s="17"/>
      <c r="G12" s="17"/>
      <c r="H12" s="17"/>
      <c r="I12" s="17"/>
      <c r="J12" s="31"/>
      <c r="K12" s="29" t="s">
        <v>24</v>
      </c>
      <c r="L12" s="59">
        <v>1.4999999999999999E-4</v>
      </c>
      <c r="M12" s="59">
        <v>1.4999999999999999E-4</v>
      </c>
    </row>
    <row r="13" spans="1:22" ht="13.15" customHeight="1" x14ac:dyDescent="0.4">
      <c r="A13" s="14"/>
      <c r="B13" s="15"/>
      <c r="C13" s="15"/>
      <c r="D13" s="15"/>
      <c r="E13" s="16"/>
      <c r="F13" s="17"/>
      <c r="G13" s="17"/>
      <c r="H13" s="17"/>
      <c r="I13" s="17"/>
      <c r="J13" s="31"/>
      <c r="K13" s="29" t="s">
        <v>25</v>
      </c>
      <c r="L13" s="57">
        <v>0</v>
      </c>
      <c r="M13" s="57">
        <v>0</v>
      </c>
    </row>
    <row r="14" spans="1:22" ht="13.15" customHeight="1" x14ac:dyDescent="0.45">
      <c r="A14" s="14"/>
      <c r="B14" s="30"/>
      <c r="C14" s="30"/>
      <c r="D14" s="30"/>
      <c r="E14" s="30"/>
      <c r="F14" s="30"/>
      <c r="G14" s="17"/>
      <c r="H14" s="17"/>
      <c r="I14" s="17"/>
      <c r="J14" s="31"/>
      <c r="K14" s="29" t="s">
        <v>26</v>
      </c>
      <c r="L14" s="59">
        <f>SUMIF(Component!$A$2:$A$452,L17,Component!$G$2:$G$452)</f>
        <v>0</v>
      </c>
      <c r="M14" s="59">
        <f>SUMIF(Component!$A$2:$A$452,M17,Component!$G$2:$G$452)</f>
        <v>2.1000000000000005E-2</v>
      </c>
      <c r="O14" s="2" t="s">
        <v>27</v>
      </c>
    </row>
    <row r="15" spans="1:22" ht="13.15" customHeight="1" x14ac:dyDescent="0.45">
      <c r="A15" s="14"/>
      <c r="B15" s="30"/>
      <c r="C15" s="30"/>
      <c r="D15" s="30"/>
      <c r="E15" s="30"/>
      <c r="F15" s="30"/>
      <c r="G15" s="17"/>
      <c r="H15" s="17"/>
      <c r="I15" s="17"/>
      <c r="J15" s="17"/>
      <c r="K15" s="17"/>
      <c r="L15" s="111"/>
      <c r="M15" s="111"/>
    </row>
    <row r="16" spans="1:22" ht="13.15" customHeight="1" x14ac:dyDescent="0.45">
      <c r="A16" s="14"/>
      <c r="B16" s="30"/>
      <c r="C16" s="30"/>
      <c r="D16" s="30"/>
      <c r="E16" s="30"/>
      <c r="F16" s="30"/>
      <c r="G16" s="17"/>
      <c r="H16" s="17"/>
      <c r="I16" s="40" t="s">
        <v>28</v>
      </c>
      <c r="J16" s="47"/>
      <c r="K16" s="47"/>
      <c r="L16" s="47"/>
      <c r="M16" s="47"/>
    </row>
    <row r="17" spans="1:13" ht="14.25" x14ac:dyDescent="0.45">
      <c r="A17" s="21"/>
      <c r="B17" s="30"/>
      <c r="C17" s="30"/>
      <c r="D17" s="30"/>
      <c r="E17" s="30"/>
      <c r="F17" s="30"/>
      <c r="G17" s="19"/>
      <c r="H17" s="19"/>
      <c r="I17" s="19"/>
      <c r="J17" s="19"/>
      <c r="K17" s="19"/>
      <c r="L17" s="99" t="s">
        <v>162</v>
      </c>
      <c r="M17" s="99" t="s">
        <v>163</v>
      </c>
    </row>
    <row r="18" spans="1:13" ht="42" customHeight="1" x14ac:dyDescent="0.45">
      <c r="A18" s="14"/>
      <c r="B18" s="30"/>
      <c r="C18" s="30"/>
      <c r="D18" s="30"/>
      <c r="E18" s="30"/>
      <c r="F18" s="30"/>
      <c r="G18" s="20"/>
      <c r="H18" s="28"/>
      <c r="I18" s="49"/>
      <c r="J18" s="50"/>
      <c r="K18" s="74" t="s">
        <v>29</v>
      </c>
      <c r="L18" s="51" t="str">
        <f>VLOOKUP(L17,IMFee!$A:$B,2,FALSE)</f>
        <v>Aurora Defensive Managed Portfolio</v>
      </c>
      <c r="M18" s="51" t="str">
        <f>VLOOKUP(M17,IMFee!$A:$B,2,FALSE)</f>
        <v>Aurora Growth Managed Portfolio</v>
      </c>
    </row>
    <row r="19" spans="1:13" ht="13.15" customHeight="1" x14ac:dyDescent="0.45">
      <c r="A19" s="14"/>
      <c r="B19" s="30"/>
      <c r="C19" s="30"/>
      <c r="D19" s="30"/>
      <c r="E19" s="30"/>
      <c r="F19" s="30"/>
      <c r="G19" s="17"/>
      <c r="H19" s="6"/>
      <c r="I19" s="3"/>
      <c r="J19" s="26"/>
      <c r="K19" s="24" t="s">
        <v>84</v>
      </c>
      <c r="L19" s="4">
        <f>VLOOKUP(L17,IMFee!$A:$K,11,FALSE)</f>
        <v>1.6000000000000001E-3</v>
      </c>
      <c r="M19" s="4">
        <f>VLOOKUP(M17,IMFee!$A:$K,11,FALSE)</f>
        <v>1.6999999999999999E-3</v>
      </c>
    </row>
    <row r="20" spans="1:13" ht="13.15" customHeight="1" x14ac:dyDescent="0.45">
      <c r="B20" s="30"/>
      <c r="C20" s="30"/>
      <c r="D20" s="30"/>
      <c r="E20" s="30"/>
      <c r="F20" s="30"/>
      <c r="H20" s="6"/>
      <c r="I20" s="3"/>
      <c r="J20" s="27"/>
      <c r="K20" s="25" t="s">
        <v>85</v>
      </c>
      <c r="L20" s="4">
        <f>ROUND(SUMPRODUCT(L$58:L$81,$F$58:$F$81)-L14,4)</f>
        <v>0</v>
      </c>
      <c r="M20" s="4">
        <f>ROUND(SUMPRODUCT(M$58:M$81,$F$58:$F$81)-M14,4)</f>
        <v>-1.37E-2</v>
      </c>
    </row>
    <row r="21" spans="1:13" ht="13.15" customHeight="1" x14ac:dyDescent="0.45">
      <c r="B21" s="30"/>
      <c r="C21" s="30"/>
      <c r="D21" s="30"/>
      <c r="E21" s="30"/>
      <c r="F21" s="30"/>
      <c r="H21" s="6"/>
      <c r="I21" s="3"/>
      <c r="J21" s="27"/>
      <c r="K21" s="25" t="s">
        <v>86</v>
      </c>
      <c r="L21" s="18">
        <f>ROUND(SUMPRODUCT(L$58:L$951,$G$58:$G$951),6)</f>
        <v>0</v>
      </c>
      <c r="M21" s="18">
        <f>ROUND(SUMPRODUCT(M$58:M$951,$G$58:$G$951),6)</f>
        <v>1.4999999999999999E-4</v>
      </c>
    </row>
    <row r="22" spans="1:13" ht="13.15" customHeight="1" x14ac:dyDescent="0.45">
      <c r="B22" s="30"/>
      <c r="C22" s="30"/>
      <c r="D22" s="30"/>
      <c r="E22" s="30"/>
      <c r="F22" s="30"/>
      <c r="H22" s="6"/>
      <c r="I22" s="3"/>
      <c r="J22" s="27"/>
      <c r="K22" s="25" t="s">
        <v>87</v>
      </c>
      <c r="L22" s="4">
        <f>L$13</f>
        <v>0</v>
      </c>
      <c r="M22" s="4">
        <f>M$13</f>
        <v>0</v>
      </c>
    </row>
    <row r="23" spans="1:13" ht="13.15" customHeight="1" x14ac:dyDescent="0.45">
      <c r="B23" s="30"/>
      <c r="C23" s="30"/>
      <c r="D23" s="30"/>
      <c r="E23" s="30"/>
      <c r="F23" s="30"/>
      <c r="H23" s="6"/>
      <c r="I23" s="3"/>
      <c r="J23" s="27"/>
      <c r="K23" s="25" t="s">
        <v>88</v>
      </c>
      <c r="L23" s="4">
        <f>ROUND(SUMPRODUCT(L$58:L$951,$H$58:$H$951),4)</f>
        <v>0</v>
      </c>
      <c r="M23" s="4">
        <f>ROUND(SUMPRODUCT(M$58:M$951,$H$58:$H$951),4)</f>
        <v>2E-3</v>
      </c>
    </row>
    <row r="24" spans="1:13" ht="13.15" customHeight="1" x14ac:dyDescent="0.45">
      <c r="B24" s="30"/>
      <c r="C24" s="30"/>
      <c r="D24" s="30"/>
      <c r="E24" s="30"/>
      <c r="F24" s="30"/>
      <c r="H24" s="6"/>
      <c r="I24" s="3"/>
      <c r="J24" s="27"/>
      <c r="K24" s="25" t="s">
        <v>30</v>
      </c>
      <c r="L24" s="4">
        <f>ROUND(SUMPRODUCT(L$58:L$951,$I$58:$I$951),4)</f>
        <v>0</v>
      </c>
      <c r="M24" s="4">
        <f>ROUND(SUMPRODUCT(M$58:M$951,$I$58:$I$951),4)</f>
        <v>8.9999999999999998E-4</v>
      </c>
    </row>
    <row r="25" spans="1:13" ht="13.15" customHeight="1" x14ac:dyDescent="0.45">
      <c r="B25" s="30"/>
      <c r="C25" s="30"/>
      <c r="D25" s="30"/>
      <c r="E25" s="30"/>
      <c r="F25" s="30"/>
      <c r="H25" s="6"/>
      <c r="I25" s="3"/>
      <c r="J25" s="27"/>
      <c r="K25" s="25" t="s">
        <v>212</v>
      </c>
      <c r="L25" s="4">
        <f>ROUND(SUMPRODUCT(L$58:L$951,$J$58:$J$951),4)</f>
        <v>0</v>
      </c>
      <c r="M25" s="4">
        <f>ROUND(SUMPRODUCT(M$58:M$951,$J$58:$J$951),4)</f>
        <v>1.6000000000000001E-3</v>
      </c>
    </row>
    <row r="26" spans="1:13" ht="13.15" customHeight="1" x14ac:dyDescent="0.45">
      <c r="B26" s="30"/>
      <c r="C26" s="30"/>
      <c r="D26" s="30"/>
      <c r="E26" s="30"/>
      <c r="F26" s="30"/>
      <c r="H26" s="6"/>
      <c r="I26" s="3"/>
      <c r="J26" s="27"/>
      <c r="K26" s="25" t="s">
        <v>211</v>
      </c>
      <c r="L26" s="4">
        <f>ROUND(SUMPRODUCT(L$58:L$951,$K$58:$K$951),4)</f>
        <v>0</v>
      </c>
      <c r="M26" s="4">
        <f>ROUND(SUMPRODUCT(M$58:M$951,$K$58:$K$951),4)</f>
        <v>1.6000000000000001E-3</v>
      </c>
    </row>
    <row r="27" spans="1:13" ht="13.15" customHeight="1" x14ac:dyDescent="0.45">
      <c r="B27" s="30"/>
      <c r="C27" s="30"/>
      <c r="D27" s="30"/>
      <c r="E27" s="30"/>
      <c r="F27" s="30"/>
      <c r="H27" s="6"/>
      <c r="I27" s="3"/>
      <c r="J27" s="27"/>
      <c r="K27" s="25" t="s">
        <v>83</v>
      </c>
      <c r="L27" s="76">
        <f>L19+L20+L21+L22+L23+L24</f>
        <v>1.6000000000000001E-3</v>
      </c>
      <c r="M27" s="76">
        <f>M19+M20+M21+M22+M23+M24</f>
        <v>-8.9499999999999996E-3</v>
      </c>
    </row>
    <row r="28" spans="1:13" ht="12.75" customHeight="1" x14ac:dyDescent="0.45">
      <c r="A28" s="2"/>
      <c r="L28" s="2"/>
      <c r="M28" s="2"/>
    </row>
    <row r="29" spans="1:13" ht="12.75" customHeight="1" x14ac:dyDescent="0.45">
      <c r="A29" s="2"/>
      <c r="H29" s="32" t="s">
        <v>33</v>
      </c>
      <c r="I29" s="32"/>
      <c r="J29" s="32"/>
      <c r="K29" s="32"/>
      <c r="L29" s="32"/>
      <c r="M29" s="32"/>
    </row>
    <row r="30" spans="1:13" ht="13.15" x14ac:dyDescent="0.45">
      <c r="A30" s="2"/>
      <c r="H30" s="19"/>
      <c r="I30" s="19"/>
      <c r="J30" s="19"/>
      <c r="K30" s="19"/>
      <c r="L30" s="48" t="str">
        <f>L17</f>
        <v>NTH0619</v>
      </c>
      <c r="M30" s="48" t="str">
        <f>M17</f>
        <v>NTH0620</v>
      </c>
    </row>
    <row r="31" spans="1:13" ht="41.25" customHeight="1" x14ac:dyDescent="0.45">
      <c r="A31" s="2"/>
      <c r="H31" s="49"/>
      <c r="I31" s="49"/>
      <c r="J31" s="49"/>
      <c r="K31" s="49" t="s">
        <v>29</v>
      </c>
      <c r="L31" s="52" t="str">
        <f>L18</f>
        <v>Aurora Defensive Managed Portfolio</v>
      </c>
      <c r="M31" s="52" t="str">
        <f>M18</f>
        <v>Aurora Growth Managed Portfolio</v>
      </c>
    </row>
    <row r="32" spans="1:13" ht="12.75" customHeight="1" x14ac:dyDescent="0.45">
      <c r="A32" s="2"/>
      <c r="H32" s="5"/>
      <c r="I32" s="5"/>
      <c r="J32" s="5"/>
      <c r="K32" s="22" t="s">
        <v>34</v>
      </c>
      <c r="L32" s="4">
        <f>SUM(L36:L42)/L$5</f>
        <v>1.536E-3</v>
      </c>
      <c r="M32" s="4">
        <f t="shared" ref="M32" si="1">SUM(M36:M42)/M$5</f>
        <v>-8.5920000000000007E-3</v>
      </c>
    </row>
    <row r="33" spans="1:13" ht="12.75" customHeight="1" x14ac:dyDescent="0.45">
      <c r="A33" s="2"/>
      <c r="H33" s="5"/>
      <c r="I33" s="5"/>
      <c r="J33" s="5"/>
      <c r="K33" s="22" t="s">
        <v>35</v>
      </c>
      <c r="L33" s="4">
        <f>SUM(L44:L48)/L$5</f>
        <v>3.4580000000000006E-3</v>
      </c>
      <c r="M33" s="4">
        <f t="shared" ref="M33" si="2">SUM(M44:M48)/M$5</f>
        <v>3.4580000000000006E-3</v>
      </c>
    </row>
    <row r="34" spans="1:13" ht="12.75" customHeight="1" x14ac:dyDescent="0.45">
      <c r="A34" s="2"/>
      <c r="H34" s="68"/>
      <c r="I34" s="68"/>
      <c r="J34" s="68"/>
      <c r="K34" s="69" t="s">
        <v>36</v>
      </c>
      <c r="L34" s="70">
        <f t="shared" ref="L34:M34" si="3">L32+L33</f>
        <v>4.9940000000000002E-3</v>
      </c>
      <c r="M34" s="70">
        <f t="shared" si="3"/>
        <v>-5.1339999999999997E-3</v>
      </c>
    </row>
    <row r="35" spans="1:13" ht="12.75" customHeight="1" x14ac:dyDescent="0.45">
      <c r="A35" s="2"/>
      <c r="H35" s="5"/>
      <c r="I35" s="5"/>
      <c r="J35" s="5"/>
      <c r="K35" s="22"/>
      <c r="L35" s="63"/>
      <c r="M35" s="63"/>
    </row>
    <row r="36" spans="1:13" ht="12.75" customHeight="1" x14ac:dyDescent="0.45">
      <c r="A36" s="2"/>
      <c r="H36" s="5"/>
      <c r="I36" s="5"/>
      <c r="J36" s="5"/>
      <c r="K36" s="22" t="s">
        <v>37</v>
      </c>
      <c r="L36" s="77">
        <f t="shared" ref="L36:M40" si="4">L$5*L$6*L19</f>
        <v>384</v>
      </c>
      <c r="M36" s="77">
        <f t="shared" si="4"/>
        <v>408</v>
      </c>
    </row>
    <row r="37" spans="1:13" ht="12.6" customHeight="1" x14ac:dyDescent="0.45">
      <c r="H37" s="5"/>
      <c r="I37" s="5"/>
      <c r="J37" s="5"/>
      <c r="K37" s="22" t="s">
        <v>38</v>
      </c>
      <c r="L37" s="77">
        <f t="shared" si="4"/>
        <v>0</v>
      </c>
      <c r="M37" s="77">
        <f t="shared" si="4"/>
        <v>-3288</v>
      </c>
    </row>
    <row r="38" spans="1:13" ht="12.75" customHeight="1" x14ac:dyDescent="0.45">
      <c r="H38" s="5"/>
      <c r="I38" s="5"/>
      <c r="J38" s="5"/>
      <c r="K38" s="22" t="s">
        <v>39</v>
      </c>
      <c r="L38" s="77">
        <f t="shared" si="4"/>
        <v>0</v>
      </c>
      <c r="M38" s="77">
        <f t="shared" si="4"/>
        <v>36</v>
      </c>
    </row>
    <row r="39" spans="1:13" ht="12.75" customHeight="1" x14ac:dyDescent="0.45">
      <c r="H39" s="5"/>
      <c r="I39" s="5"/>
      <c r="J39" s="5"/>
      <c r="K39" s="22" t="s">
        <v>40</v>
      </c>
      <c r="L39" s="77">
        <f t="shared" si="4"/>
        <v>0</v>
      </c>
      <c r="M39" s="77">
        <f t="shared" si="4"/>
        <v>0</v>
      </c>
    </row>
    <row r="40" spans="1:13" ht="12.75" customHeight="1" x14ac:dyDescent="0.45">
      <c r="H40" s="5"/>
      <c r="I40" s="5"/>
      <c r="J40" s="5"/>
      <c r="K40" s="22" t="s">
        <v>41</v>
      </c>
      <c r="L40" s="77">
        <f t="shared" si="4"/>
        <v>0</v>
      </c>
      <c r="M40" s="77">
        <f t="shared" si="4"/>
        <v>480</v>
      </c>
    </row>
    <row r="41" spans="1:13" ht="12.75" customHeight="1" x14ac:dyDescent="0.45">
      <c r="H41" s="5"/>
      <c r="I41" s="5"/>
      <c r="J41" s="5"/>
      <c r="K41" s="22" t="s">
        <v>207</v>
      </c>
      <c r="L41" s="77">
        <f>L$5*L$6*ROUND(SUMPRODUCT(L$58:L$951,$I$58:$I$951),4)</f>
        <v>0</v>
      </c>
      <c r="M41" s="77">
        <f>M$5*M$6*ROUND(SUMPRODUCT(M$58:M$951,$I$58:$I$951),4)</f>
        <v>216</v>
      </c>
    </row>
    <row r="42" spans="1:13" ht="12.75" customHeight="1" x14ac:dyDescent="0.45">
      <c r="H42" s="5"/>
      <c r="I42" s="5"/>
      <c r="J42" s="5"/>
      <c r="K42" s="22" t="s">
        <v>42</v>
      </c>
      <c r="L42" s="77">
        <f>L$5*L$6*L$10*L$11*L53</f>
        <v>0</v>
      </c>
      <c r="M42" s="77">
        <f t="shared" ref="M42" si="5">M$5*M$6*M$10*M$11*M53</f>
        <v>0</v>
      </c>
    </row>
    <row r="43" spans="1:13" ht="12.75" customHeight="1" x14ac:dyDescent="0.45">
      <c r="H43" s="64"/>
      <c r="I43" s="64"/>
      <c r="J43" s="64"/>
      <c r="K43" s="65" t="s">
        <v>43</v>
      </c>
      <c r="L43" s="78">
        <f>SUM(L36:L42)</f>
        <v>384</v>
      </c>
      <c r="M43" s="78">
        <f t="shared" ref="M43" si="6">SUM(M36:M42)</f>
        <v>-2148</v>
      </c>
    </row>
    <row r="44" spans="1:13" ht="12.75" customHeight="1" x14ac:dyDescent="0.45">
      <c r="A44" s="2"/>
      <c r="H44" s="5"/>
      <c r="I44" s="5"/>
      <c r="J44" s="5"/>
      <c r="K44" s="22" t="s">
        <v>44</v>
      </c>
      <c r="L44" s="77">
        <f>L$8</f>
        <v>180</v>
      </c>
      <c r="M44" s="77">
        <f t="shared" ref="M44" si="7">M$8</f>
        <v>180</v>
      </c>
    </row>
    <row r="45" spans="1:13" ht="12.75" customHeight="1" x14ac:dyDescent="0.45">
      <c r="A45" s="2"/>
      <c r="H45" s="5"/>
      <c r="I45" s="5"/>
      <c r="J45" s="5"/>
      <c r="K45" s="22" t="s">
        <v>45</v>
      </c>
      <c r="L45" s="77">
        <f>L$6*(
IF(L4="Select",VLOOKUP(L$5,$P$5:$V$9,6,TRUE)+VLOOKUP(L$5,$P$5:$V$9,2,TRUE)*(L$5-VLOOKUP(L$5,$P$5:$V$9,1,TRUE)),
IF(L4="Partner",VLOOKUP(L$5,$P$5:$V$9,7,TRUE)+VLOOKUP(L$5,$P$5:$V$9,3,TRUE)*(L$5-VLOOKUP(L$5,$P$5:$V$9,1,TRUE)),
IF(L4="Choice SP",VLOOKUP(L$5,$P$5:$V$9,8,TRUE)+VLOOKUP(L$5,$P$5:$V$9,4,TRUE)*(L$5-VLOOKUP(L$5,$P$5:$V$9,1,TRUE)),
IF(L4="Choice IDPS",VLOOKUP(L$5,$P$5:$V$9,9,TRUE)+VLOOKUP(L$5,$P$5:$V$9,5,TRUE)*(L$5-VLOOKUP(L$5,$P$5:$V$9,1,TRUE)))))))</f>
        <v>552</v>
      </c>
      <c r="M45" s="77">
        <f>M$6*(
IF(M4="Select",VLOOKUP(M$5,$P$5:$V$9,6,TRUE)+VLOOKUP(M$5,$P$5:$V$9,2,TRUE)*(M$5-VLOOKUP(M$5,$P$5:$V$9,1,TRUE)),
IF(M4="Partner",VLOOKUP(M$5,$P$5:$V$9,7,TRUE)+VLOOKUP(M$5,$P$5:$V$9,3,TRUE)*(M$5-VLOOKUP(M$5,$P$5:$V$9,1,TRUE)),
IF(M4="Choice SP",VLOOKUP(M$5,$P$5:$V$9,8,TRUE)+VLOOKUP(M$5,$P$5:$V$9,4,TRUE)*(M$5-VLOOKUP(M$5,$P$5:$V$9,1,TRUE)),
IF(M4="Choice IDPS",VLOOKUP(M$5,$P$5:$V$9,9,TRUE)+VLOOKUP(M$5,$P$5:$V$9,5,TRUE)*(M$5-VLOOKUP(M$5,$P$5:$V$9,1,TRUE)))))))</f>
        <v>552</v>
      </c>
    </row>
    <row r="46" spans="1:13" ht="12.75" customHeight="1" x14ac:dyDescent="0.45">
      <c r="A46" s="2"/>
      <c r="H46" s="5"/>
      <c r="I46" s="5"/>
      <c r="J46" s="5"/>
      <c r="K46" s="22" t="s">
        <v>46</v>
      </c>
      <c r="L46" s="77">
        <f>L$7*(VLOOKUP(L$5,$P$5:$V$9,6,TRUE)+VLOOKUP(L$5,$P$5:$V$9,2,TRUE)*(L$5-VLOOKUP(L$5,$P$5:$V$9,1,TRUE)))</f>
        <v>20.000000000000018</v>
      </c>
      <c r="M46" s="77">
        <f>M$7*(VLOOKUP(M$5,$P$5:$V$9,6,TRUE)+VLOOKUP(M$5,$P$5:$V$9,2,TRUE)*(M$5-VLOOKUP(M$5,$P$5:$V$9,1,TRUE)))</f>
        <v>20.000000000000018</v>
      </c>
    </row>
    <row r="47" spans="1:13" ht="12.75" customHeight="1" x14ac:dyDescent="0.45">
      <c r="A47" s="2"/>
      <c r="H47" s="5"/>
      <c r="I47" s="5"/>
      <c r="J47" s="5"/>
      <c r="K47" s="22" t="s">
        <v>47</v>
      </c>
      <c r="L47" s="77">
        <f>L$5*L$7*L$9</f>
        <v>75.000000000000071</v>
      </c>
      <c r="M47" s="77">
        <f t="shared" ref="M47" si="8">M$5*M$7*M$9</f>
        <v>75.000000000000071</v>
      </c>
    </row>
    <row r="48" spans="1:13" ht="12.75" customHeight="1" x14ac:dyDescent="0.45">
      <c r="A48" s="2"/>
      <c r="H48" s="5"/>
      <c r="I48" s="5"/>
      <c r="J48" s="5"/>
      <c r="K48" s="22" t="s">
        <v>48</v>
      </c>
      <c r="L48" s="77">
        <f>L$5*L$12</f>
        <v>37.5</v>
      </c>
      <c r="M48" s="77">
        <f t="shared" ref="M48" si="9">M$5*M$12</f>
        <v>37.5</v>
      </c>
    </row>
    <row r="49" spans="1:13" ht="12.75" customHeight="1" x14ac:dyDescent="0.45">
      <c r="A49" s="2"/>
      <c r="H49" s="64"/>
      <c r="I49" s="64"/>
      <c r="J49" s="64"/>
      <c r="K49" s="65" t="s">
        <v>49</v>
      </c>
      <c r="L49" s="78">
        <f>L44+MAX(180,SUM(L45:L46))+SUM(L47:L48)</f>
        <v>864.50000000000011</v>
      </c>
      <c r="M49" s="78">
        <f t="shared" ref="M49" si="10">M44+MAX(180,SUM(M45:M46))+SUM(M47:M48)</f>
        <v>864.50000000000011</v>
      </c>
    </row>
    <row r="50" spans="1:13" ht="12.75" customHeight="1" x14ac:dyDescent="0.45">
      <c r="H50" s="66"/>
      <c r="I50" s="66"/>
      <c r="J50" s="66"/>
      <c r="K50" s="67" t="s">
        <v>50</v>
      </c>
      <c r="L50" s="79">
        <f t="shared" ref="L50:M50" si="11">L43+L49</f>
        <v>1248.5</v>
      </c>
      <c r="M50" s="79">
        <f t="shared" si="11"/>
        <v>-1283.5</v>
      </c>
    </row>
    <row r="52" spans="1:13" ht="12.75" customHeight="1" x14ac:dyDescent="0.45">
      <c r="L52" s="60" t="s">
        <v>51</v>
      </c>
      <c r="M52" s="60" t="s">
        <v>51</v>
      </c>
    </row>
    <row r="53" spans="1:13" ht="12.75" customHeight="1" x14ac:dyDescent="0.45">
      <c r="L53" s="62">
        <f>SUMIFS(Component!$D:$D,Component!$A:$A,L56,Component!$E:$E,"EXCHG")</f>
        <v>0</v>
      </c>
      <c r="M53" s="62">
        <f>SUMIFS(Component!$D:$D,Component!$A:$A,M56,Component!$E:$E,"EXCHG")</f>
        <v>0</v>
      </c>
    </row>
    <row r="54" spans="1:13" ht="12.75" customHeight="1" x14ac:dyDescent="0.45">
      <c r="L54" s="60" t="s">
        <v>52</v>
      </c>
      <c r="M54" s="60" t="s">
        <v>52</v>
      </c>
    </row>
    <row r="55" spans="1:13" ht="12.75" customHeight="1" x14ac:dyDescent="0.45">
      <c r="L55" s="62">
        <f>SUM(L58:L967)</f>
        <v>0</v>
      </c>
      <c r="M55" s="62">
        <f>SUM(M58:M967)</f>
        <v>1</v>
      </c>
    </row>
    <row r="56" spans="1:13" ht="13.15" x14ac:dyDescent="0.45">
      <c r="E56" s="48"/>
      <c r="F56" s="48"/>
      <c r="G56" s="48"/>
      <c r="H56" s="48"/>
      <c r="I56" s="48"/>
      <c r="J56" s="48"/>
      <c r="K56" s="48"/>
      <c r="L56" s="48" t="str">
        <f>L17</f>
        <v>NTH0619</v>
      </c>
      <c r="M56" s="48" t="str">
        <f>M17</f>
        <v>NTH0620</v>
      </c>
    </row>
    <row r="57" spans="1:13" ht="65.650000000000006" x14ac:dyDescent="0.45">
      <c r="B57" s="61" t="s">
        <v>53</v>
      </c>
      <c r="C57" s="61" t="s">
        <v>54</v>
      </c>
      <c r="D57" s="61" t="s">
        <v>209</v>
      </c>
      <c r="E57" s="61" t="s">
        <v>204</v>
      </c>
      <c r="F57" s="52" t="s">
        <v>55</v>
      </c>
      <c r="G57" s="52" t="s">
        <v>56</v>
      </c>
      <c r="H57" s="52" t="s">
        <v>57</v>
      </c>
      <c r="I57" s="52" t="s">
        <v>206</v>
      </c>
      <c r="J57" s="52" t="s">
        <v>31</v>
      </c>
      <c r="K57" s="52" t="s">
        <v>32</v>
      </c>
      <c r="L57" s="52" t="str">
        <f>L18</f>
        <v>Aurora Defensive Managed Portfolio</v>
      </c>
      <c r="M57" s="52" t="str">
        <f>M18</f>
        <v>Aurora Growth Managed Portfolio</v>
      </c>
    </row>
    <row r="58" spans="1:13" ht="13.15" x14ac:dyDescent="0.45">
      <c r="B58" s="97" t="str" cm="1">
        <f t="array" ref="B58:C81">ComponentFee!D3:E26</f>
        <v>AAP0103</v>
      </c>
      <c r="C58" s="97" t="str">
        <v xml:space="preserve">Ausbil Australian Active Equity Fund </v>
      </c>
      <c r="D58" s="97" t="s">
        <v>74</v>
      </c>
      <c r="E58" s="112" t="str" cm="1">
        <f t="array" ref="E58:E81">ComponentFee!F3:F26</f>
        <v>OPEN</v>
      </c>
      <c r="F58" s="112" cm="1">
        <f t="array" ref="F58:K81">ComponentFee!G3:L26</f>
        <v>9.0000000000000011E-3</v>
      </c>
      <c r="G58" s="112">
        <v>0</v>
      </c>
      <c r="H58" s="112">
        <v>0</v>
      </c>
      <c r="I58" s="112">
        <v>5.9999999999999995E-4</v>
      </c>
      <c r="J58" s="112">
        <v>2E-3</v>
      </c>
      <c r="K58" s="112">
        <v>2E-3</v>
      </c>
      <c r="L58" s="4">
        <f>SUMIFS(Component!$D:$D,Component!$A:$A,L$56,Component!$C:$C,$B58)</f>
        <v>0</v>
      </c>
      <c r="M58" s="4">
        <f>SUMIFS(Component!$D:$D,Component!$A:$A,M$56,Component!$C:$C,$B58)</f>
        <v>0.11</v>
      </c>
    </row>
    <row r="59" spans="1:13" ht="13.15" x14ac:dyDescent="0.4">
      <c r="B59" s="113" t="str">
        <v>BFL0020</v>
      </c>
      <c r="C59" s="97" t="str">
        <v>Quay Global Real Estate-Daily Series</v>
      </c>
      <c r="D59" s="94" t="str">
        <f>B59&amp;"AU"</f>
        <v>BFL0020AU</v>
      </c>
      <c r="E59" s="112" t="str">
        <v>OPEN</v>
      </c>
      <c r="F59" s="112">
        <v>8.8000000000000005E-3</v>
      </c>
      <c r="G59" s="112">
        <v>0</v>
      </c>
      <c r="H59" s="112">
        <v>3.7000000000000002E-3</v>
      </c>
      <c r="I59" s="112">
        <v>1.1000000000000001E-3</v>
      </c>
      <c r="J59" s="112">
        <v>2E-3</v>
      </c>
      <c r="K59" s="112">
        <v>2E-3</v>
      </c>
      <c r="L59" s="4">
        <f>SUMIFS(Component!$D:$D,Component!$A:$A,L$56,Component!$C:$C,$B59)</f>
        <v>0</v>
      </c>
      <c r="M59" s="4">
        <f>SUMIFS(Component!$D:$D,Component!$A:$A,M$56,Component!$C:$C,$B59)</f>
        <v>0.05</v>
      </c>
    </row>
    <row r="60" spans="1:13" ht="13.15" x14ac:dyDescent="0.4">
      <c r="B60" s="113" t="str">
        <v>BTA0313</v>
      </c>
      <c r="C60" s="97" t="str">
        <v>Pendal MidCap Fund</v>
      </c>
      <c r="D60" s="94" t="str">
        <f t="shared" ref="D60:D81" si="12">B60&amp;"AU"</f>
        <v>BTA0313AU</v>
      </c>
      <c r="E60" s="112" t="str">
        <v>OPEN</v>
      </c>
      <c r="F60" s="112">
        <v>9.0000000000000011E-3</v>
      </c>
      <c r="G60" s="112">
        <v>0</v>
      </c>
      <c r="H60" s="112">
        <v>0</v>
      </c>
      <c r="I60" s="112">
        <v>2E-3</v>
      </c>
      <c r="J60" s="112">
        <v>2.5000000000000001E-3</v>
      </c>
      <c r="K60" s="112">
        <v>2.5000000000000001E-3</v>
      </c>
      <c r="L60" s="4">
        <f>SUMIFS(Component!$D:$D,Component!$A:$A,L$56,Component!$C:$C,$B60)</f>
        <v>0</v>
      </c>
      <c r="M60" s="4">
        <f>SUMIFS(Component!$D:$D,Component!$A:$A,M$56,Component!$C:$C,$B60)</f>
        <v>0.04</v>
      </c>
    </row>
    <row r="61" spans="1:13" ht="13.15" x14ac:dyDescent="0.45">
      <c r="B61" s="72" t="str">
        <v>BTA8657</v>
      </c>
      <c r="C61" s="97" t="str">
        <v>Pendal Dynamic Income Fund</v>
      </c>
      <c r="D61" s="94" t="str">
        <f t="shared" si="12"/>
        <v>BTA8657AU</v>
      </c>
      <c r="E61" s="112" t="str">
        <v>OPEN</v>
      </c>
      <c r="F61" s="112">
        <v>5.5000000000000005E-3</v>
      </c>
      <c r="G61" s="112">
        <v>0</v>
      </c>
      <c r="H61" s="112">
        <v>0</v>
      </c>
      <c r="I61" s="112">
        <v>1.6000000000000001E-3</v>
      </c>
      <c r="J61" s="112">
        <v>1.1999999999999999E-3</v>
      </c>
      <c r="K61" s="112">
        <v>1.1999999999999999E-3</v>
      </c>
      <c r="L61" s="4">
        <f>SUMIFS(Component!$D:$D,Component!$A:$A,L$56,Component!$C:$C,$B61)</f>
        <v>0</v>
      </c>
      <c r="M61" s="4">
        <f>SUMIFS(Component!$D:$D,Component!$A:$A,M$56,Component!$C:$C,$B61)</f>
        <v>0</v>
      </c>
    </row>
    <row r="62" spans="1:13" ht="13.15" x14ac:dyDescent="0.4">
      <c r="B62" s="110" t="str">
        <v>CASHACCT</v>
      </c>
      <c r="C62" s="97" t="str">
        <v>Cash Account</v>
      </c>
      <c r="D62" s="94" t="str">
        <f t="shared" si="12"/>
        <v>CASHACCTAU</v>
      </c>
      <c r="E62" s="112" t="str">
        <v>OPEN</v>
      </c>
      <c r="F62" s="112">
        <v>0</v>
      </c>
      <c r="G62" s="112">
        <v>7.4999999999999997E-3</v>
      </c>
      <c r="H62" s="112">
        <v>0</v>
      </c>
      <c r="I62" s="112">
        <v>0</v>
      </c>
      <c r="J62" s="112">
        <v>0</v>
      </c>
      <c r="K62" s="112">
        <v>0</v>
      </c>
      <c r="L62" s="4">
        <f>SUMIFS(Component!$D:$D,Component!$A:$A,L$56,Component!$C:$C,$B62)</f>
        <v>0</v>
      </c>
      <c r="M62" s="4">
        <f>SUMIFS(Component!$D:$D,Component!$A:$A,M$56,Component!$C:$C,$B62)</f>
        <v>0.02</v>
      </c>
    </row>
    <row r="63" spans="1:13" ht="13.15" x14ac:dyDescent="0.45">
      <c r="B63" s="72" t="str">
        <v>CSA0038</v>
      </c>
      <c r="C63" s="97" t="str">
        <v xml:space="preserve">Bentham Global Income Fund (W) </v>
      </c>
      <c r="D63" s="94" t="str">
        <f t="shared" si="12"/>
        <v>CSA0038AU</v>
      </c>
      <c r="E63" s="112" t="str">
        <v>OPEN</v>
      </c>
      <c r="F63" s="112">
        <v>7.7000000000000002E-3</v>
      </c>
      <c r="G63" s="112">
        <v>0</v>
      </c>
      <c r="H63" s="112">
        <v>0</v>
      </c>
      <c r="I63" s="112">
        <v>1E-4</v>
      </c>
      <c r="J63" s="112">
        <v>2E-3</v>
      </c>
      <c r="K63" s="112">
        <v>2E-3</v>
      </c>
      <c r="L63" s="4">
        <f>SUMIFS(Component!$D:$D,Component!$A:$A,L$56,Component!$C:$C,$B63)</f>
        <v>0</v>
      </c>
      <c r="M63" s="4">
        <f>SUMIFS(Component!$D:$D,Component!$A:$A,M$56,Component!$C:$C,$B63)</f>
        <v>0</v>
      </c>
    </row>
    <row r="64" spans="1:13" ht="13.15" x14ac:dyDescent="0.4">
      <c r="B64" s="110" t="str">
        <v>ETL0016</v>
      </c>
      <c r="C64" s="97" t="str">
        <v>PIMCO Diversified Fixed Interest Fund — Wholesale Class</v>
      </c>
      <c r="D64" s="94" t="str">
        <f t="shared" si="12"/>
        <v>ETL0016AU</v>
      </c>
      <c r="E64" s="112" t="str">
        <v>OPEN</v>
      </c>
      <c r="F64" s="112">
        <v>5.5999999999999999E-3</v>
      </c>
      <c r="G64" s="112">
        <v>0</v>
      </c>
      <c r="H64" s="112">
        <v>0</v>
      </c>
      <c r="I64" s="112">
        <v>4.0000000000000002E-4</v>
      </c>
      <c r="J64" s="112">
        <v>0</v>
      </c>
      <c r="K64" s="112">
        <v>1E-3</v>
      </c>
      <c r="L64" s="4">
        <f>SUMIFS(Component!$D:$D,Component!$A:$A,L$56,Component!$C:$C,$B64)</f>
        <v>0</v>
      </c>
      <c r="M64" s="4">
        <f>SUMIFS(Component!$D:$D,Component!$A:$A,M$56,Component!$C:$C,$B64)</f>
        <v>0</v>
      </c>
    </row>
    <row r="65" spans="2:13" ht="13.15" x14ac:dyDescent="0.45">
      <c r="B65" s="72" t="str">
        <v>ETL0060</v>
      </c>
      <c r="C65" s="97" t="str">
        <v>Allan Gray Australia Equity Fund - Class A</v>
      </c>
      <c r="D65" s="94" t="str">
        <f t="shared" si="12"/>
        <v>ETL0060AU</v>
      </c>
      <c r="E65" s="112" t="str">
        <v>OPEN</v>
      </c>
      <c r="F65" s="112">
        <v>2.0999999999999999E-3</v>
      </c>
      <c r="G65" s="112">
        <v>0</v>
      </c>
      <c r="H65" s="112">
        <v>0</v>
      </c>
      <c r="I65" s="112">
        <v>2.0000000000000001E-4</v>
      </c>
      <c r="J65" s="112">
        <v>2E-3</v>
      </c>
      <c r="K65" s="112">
        <v>2E-3</v>
      </c>
      <c r="L65" s="4">
        <f>SUMIFS(Component!$D:$D,Component!$A:$A,L$56,Component!$C:$C,$B65)</f>
        <v>0</v>
      </c>
      <c r="M65" s="4">
        <f>SUMIFS(Component!$D:$D,Component!$A:$A,M$56,Component!$C:$C,$B65)</f>
        <v>7.0000000000000007E-2</v>
      </c>
    </row>
    <row r="66" spans="2:13" ht="13.15" x14ac:dyDescent="0.45">
      <c r="B66" s="72" t="str">
        <v>ETL0463</v>
      </c>
      <c r="C66" s="97" t="str">
        <v>Orbis Global Equity Fund</v>
      </c>
      <c r="D66" s="94" t="str">
        <f t="shared" si="12"/>
        <v>ETL0463AU</v>
      </c>
      <c r="E66" s="112" t="str">
        <v>OPEN</v>
      </c>
      <c r="F66" s="112">
        <v>1.0699999999999999E-2</v>
      </c>
      <c r="G66" s="112">
        <v>0</v>
      </c>
      <c r="H66" s="112">
        <v>0</v>
      </c>
      <c r="I66" s="112">
        <v>8.9999999999999998E-4</v>
      </c>
      <c r="J66" s="112">
        <v>2.5000000000000001E-3</v>
      </c>
      <c r="K66" s="112">
        <v>2.5000000000000001E-3</v>
      </c>
      <c r="L66" s="4">
        <f>SUMIFS(Component!$D:$D,Component!$A:$A,L$56,Component!$C:$C,$B66)</f>
        <v>0</v>
      </c>
      <c r="M66" s="4">
        <f>SUMIFS(Component!$D:$D,Component!$A:$A,M$56,Component!$C:$C,$B66)</f>
        <v>0.06</v>
      </c>
    </row>
    <row r="67" spans="2:13" ht="13.15" x14ac:dyDescent="0.4">
      <c r="B67" s="110" t="str">
        <v>FID0010</v>
      </c>
      <c r="C67" s="97" t="str">
        <v>Fidelity Asia Fund</v>
      </c>
      <c r="D67" s="94" t="str">
        <f t="shared" si="12"/>
        <v>FID0010AU</v>
      </c>
      <c r="E67" s="112" t="str">
        <v>OPEN</v>
      </c>
      <c r="F67" s="112">
        <v>1.15E-2</v>
      </c>
      <c r="G67" s="112">
        <v>0</v>
      </c>
      <c r="H67" s="112">
        <v>0</v>
      </c>
      <c r="I67" s="112">
        <v>1.9E-3</v>
      </c>
      <c r="J67" s="112">
        <v>3.0000000000000001E-3</v>
      </c>
      <c r="K67" s="112">
        <v>3.0000000000000001E-3</v>
      </c>
      <c r="L67" s="4">
        <f>SUMIFS(Component!$D:$D,Component!$A:$A,L$56,Component!$C:$C,$B67)</f>
        <v>0</v>
      </c>
      <c r="M67" s="4">
        <f>SUMIFS(Component!$D:$D,Component!$A:$A,M$56,Component!$C:$C,$B67)</f>
        <v>7.0000000000000007E-2</v>
      </c>
    </row>
    <row r="68" spans="2:13" ht="13.15" x14ac:dyDescent="0.45">
      <c r="B68" s="72" t="str">
        <v>FRT0027</v>
      </c>
      <c r="C68" s="97" t="str">
        <v>Franklin Australian Absolute Return Bond Fund</v>
      </c>
      <c r="D68" s="94" t="str">
        <f t="shared" si="12"/>
        <v>FRT0027AU</v>
      </c>
      <c r="E68" s="112" t="str">
        <v>OPEN</v>
      </c>
      <c r="F68" s="112">
        <v>5.0000000000000001E-3</v>
      </c>
      <c r="G68" s="112">
        <v>0</v>
      </c>
      <c r="H68" s="112">
        <v>0</v>
      </c>
      <c r="I68" s="112">
        <v>8.0000000000000004E-4</v>
      </c>
      <c r="J68" s="112">
        <v>0</v>
      </c>
      <c r="K68" s="112">
        <v>0</v>
      </c>
      <c r="L68" s="4">
        <f>SUMIFS(Component!$D:$D,Component!$A:$A,L$56,Component!$C:$C,$B68)</f>
        <v>0</v>
      </c>
      <c r="M68" s="4">
        <f>SUMIFS(Component!$D:$D,Component!$A:$A,M$56,Component!$C:$C,$B68)</f>
        <v>0</v>
      </c>
    </row>
    <row r="69" spans="2:13" ht="13.15" x14ac:dyDescent="0.45">
      <c r="B69" s="72" t="str">
        <v>GSF0874</v>
      </c>
      <c r="C69" s="97" t="str">
        <v>Munro Global Growth Small&amp;Mid Cap Fund - Class A</v>
      </c>
      <c r="D69" s="94" t="str">
        <f t="shared" si="12"/>
        <v>GSF0874AU</v>
      </c>
      <c r="E69" s="112" t="str">
        <v>OPEN</v>
      </c>
      <c r="F69" s="112">
        <v>1.0999999999999999E-2</v>
      </c>
      <c r="G69" s="112">
        <v>0</v>
      </c>
      <c r="H69" s="112">
        <v>1.83E-2</v>
      </c>
      <c r="I69" s="112">
        <v>0</v>
      </c>
      <c r="J69" s="112">
        <v>0</v>
      </c>
      <c r="K69" s="112">
        <v>1.5E-3</v>
      </c>
      <c r="L69" s="4">
        <f>SUMIFS(Component!$D:$D,Component!$A:$A,L$56,Component!$C:$C,$B69)</f>
        <v>0</v>
      </c>
      <c r="M69" s="4">
        <f>SUMIFS(Component!$D:$D,Component!$A:$A,M$56,Component!$C:$C,$B69)</f>
        <v>0.03</v>
      </c>
    </row>
    <row r="70" spans="2:13" ht="12.75" customHeight="1" x14ac:dyDescent="0.45">
      <c r="B70" s="72" t="str">
        <v>MAQ0464</v>
      </c>
      <c r="C70" s="97" t="str">
        <v xml:space="preserve">Arrowstreet Global Equity Fund </v>
      </c>
      <c r="D70" s="94" t="str">
        <f t="shared" si="12"/>
        <v>MAQ0464AU</v>
      </c>
      <c r="E70" s="112" t="str">
        <v>OPEN</v>
      </c>
      <c r="F70" s="112">
        <v>1.2800000000000001E-2</v>
      </c>
      <c r="G70" s="112">
        <v>0</v>
      </c>
      <c r="H70" s="112">
        <v>0</v>
      </c>
      <c r="I70" s="112">
        <v>6.2E-4</v>
      </c>
      <c r="J70" s="112">
        <v>1.6000000000000001E-3</v>
      </c>
      <c r="K70" s="112">
        <v>1.6999999999999999E-3</v>
      </c>
      <c r="L70" s="4">
        <f>SUMIFS(Component!$D:$D,Component!$A:$A,L$56,Component!$C:$C,$B70)</f>
        <v>0</v>
      </c>
      <c r="M70" s="4">
        <f>SUMIFS(Component!$D:$D,Component!$A:$A,M$56,Component!$C:$C,$B70)</f>
        <v>0.08</v>
      </c>
    </row>
    <row r="71" spans="2:13" ht="12.75" customHeight="1" x14ac:dyDescent="0.45">
      <c r="B71" s="72" t="str">
        <v>MAQ3897</v>
      </c>
      <c r="C71" s="97" t="str">
        <v>Macquarie Dynamic Bond No. 1 Fund - Class W</v>
      </c>
      <c r="D71" s="94" t="str">
        <f t="shared" si="12"/>
        <v>MAQ3897AU</v>
      </c>
      <c r="E71" s="112" t="str">
        <v>OPEN</v>
      </c>
      <c r="F71" s="112">
        <v>4.8999999999999998E-3</v>
      </c>
      <c r="G71" s="112">
        <v>0</v>
      </c>
      <c r="H71" s="112">
        <v>4.0000000000000003E-5</v>
      </c>
      <c r="I71" s="112">
        <v>1.41E-3</v>
      </c>
      <c r="J71" s="112">
        <v>1E-3</v>
      </c>
      <c r="K71" s="112">
        <v>1.6999999999999999E-3</v>
      </c>
      <c r="L71" s="4">
        <f>SUMIFS(Component!$D:$D,Component!$A:$A,L$56,Component!$C:$C,$B71)</f>
        <v>0</v>
      </c>
      <c r="M71" s="4">
        <f>SUMIFS(Component!$D:$D,Component!$A:$A,M$56,Component!$C:$C,$B71)</f>
        <v>0</v>
      </c>
    </row>
    <row r="72" spans="2:13" ht="12.75" customHeight="1" x14ac:dyDescent="0.45">
      <c r="B72" s="72" t="str">
        <v>MGE0005</v>
      </c>
      <c r="C72" s="97" t="str">
        <v>Magellan Global Opportunities Fund No. 2 - Class A</v>
      </c>
      <c r="D72" s="94" t="str">
        <f t="shared" si="12"/>
        <v>MGE0005AU</v>
      </c>
      <c r="E72" s="112" t="str">
        <v>OPEN</v>
      </c>
      <c r="F72" s="112">
        <v>7.4999999999999997E-3</v>
      </c>
      <c r="G72" s="112">
        <v>0</v>
      </c>
      <c r="H72" s="112">
        <v>0</v>
      </c>
      <c r="I72" s="112">
        <v>2.9999999999999997E-4</v>
      </c>
      <c r="J72" s="112">
        <v>1E-3</v>
      </c>
      <c r="K72" s="112">
        <v>1E-3</v>
      </c>
      <c r="L72" s="4">
        <f>SUMIFS(Component!$D:$D,Component!$A:$A,L$56,Component!$C:$C,$B72)</f>
        <v>0</v>
      </c>
      <c r="M72" s="4">
        <f>SUMIFS(Component!$D:$D,Component!$A:$A,M$56,Component!$C:$C,$B72)</f>
        <v>0.05</v>
      </c>
    </row>
    <row r="73" spans="2:13" ht="12.75" customHeight="1" x14ac:dyDescent="0.45">
      <c r="B73" s="72" t="str">
        <v>SCH0028</v>
      </c>
      <c r="C73" s="97" t="str">
        <v xml:space="preserve">Schroder Fixed Income Fund (W) </v>
      </c>
      <c r="D73" s="94" t="str">
        <f t="shared" si="12"/>
        <v>SCH0028AU</v>
      </c>
      <c r="E73" s="112" t="str">
        <v>OPEN</v>
      </c>
      <c r="F73" s="112">
        <v>4.4999999999999997E-3</v>
      </c>
      <c r="G73" s="112">
        <v>0</v>
      </c>
      <c r="H73" s="112">
        <v>0</v>
      </c>
      <c r="I73" s="112">
        <v>5.9999999999999995E-4</v>
      </c>
      <c r="J73" s="112">
        <v>1.1999999999999999E-3</v>
      </c>
      <c r="K73" s="112">
        <v>1.1999999999999999E-3</v>
      </c>
      <c r="L73" s="4">
        <f>SUMIFS(Component!$D:$D,Component!$A:$A,L$56,Component!$C:$C,$B73)</f>
        <v>0</v>
      </c>
      <c r="M73" s="4">
        <f>SUMIFS(Component!$D:$D,Component!$A:$A,M$56,Component!$C:$C,$B73)</f>
        <v>0</v>
      </c>
    </row>
    <row r="74" spans="2:13" ht="12.75" customHeight="1" x14ac:dyDescent="0.45">
      <c r="B74" s="72" t="str">
        <v>TGP0034</v>
      </c>
      <c r="C74" s="97" t="str">
        <v>ClearBridge RARE Infrastructure Value Fund – Unhedged</v>
      </c>
      <c r="D74" s="94" t="str">
        <f t="shared" si="12"/>
        <v>TGP0034AU</v>
      </c>
      <c r="E74" s="112" t="str">
        <v>OPEN</v>
      </c>
      <c r="F74" s="112">
        <v>9.7000000000000003E-3</v>
      </c>
      <c r="G74" s="112">
        <v>0</v>
      </c>
      <c r="H74" s="112">
        <v>0</v>
      </c>
      <c r="I74" s="112">
        <v>6.9999999999999999E-4</v>
      </c>
      <c r="J74" s="112">
        <v>1E-3</v>
      </c>
      <c r="K74" s="112">
        <v>1E-3</v>
      </c>
      <c r="L74" s="4">
        <f>SUMIFS(Component!$D:$D,Component!$A:$A,L$56,Component!$C:$C,$B74)</f>
        <v>0</v>
      </c>
      <c r="M74" s="4">
        <f>SUMIFS(Component!$D:$D,Component!$A:$A,M$56,Component!$C:$C,$B74)</f>
        <v>0.09</v>
      </c>
    </row>
    <row r="75" spans="2:13" ht="12.75" customHeight="1" x14ac:dyDescent="0.45">
      <c r="B75" s="72" t="str">
        <v>UBS0003</v>
      </c>
      <c r="C75" s="97" t="str">
        <v>UBS Income Solution Fund</v>
      </c>
      <c r="D75" s="94" t="str">
        <f t="shared" si="12"/>
        <v>UBS0003AU</v>
      </c>
      <c r="E75" s="112" t="str">
        <v>OPEN</v>
      </c>
      <c r="F75" s="112">
        <v>6.0000000000000001E-3</v>
      </c>
      <c r="G75" s="112">
        <v>0</v>
      </c>
      <c r="H75" s="112">
        <v>0</v>
      </c>
      <c r="I75" s="112">
        <v>0</v>
      </c>
      <c r="J75" s="112">
        <v>1E-3</v>
      </c>
      <c r="K75" s="112">
        <v>2E-3</v>
      </c>
      <c r="L75" s="4">
        <f>SUMIFS(Component!$D:$D,Component!$A:$A,L$56,Component!$C:$C,$B75)</f>
        <v>0</v>
      </c>
      <c r="M75" s="4">
        <f>SUMIFS(Component!$D:$D,Component!$A:$A,M$56,Component!$C:$C,$B75)</f>
        <v>0</v>
      </c>
    </row>
    <row r="76" spans="2:13" ht="12.75" customHeight="1" x14ac:dyDescent="0.45">
      <c r="B76" s="72" t="str">
        <v>VAN0002</v>
      </c>
      <c r="C76" s="97" t="str">
        <v xml:space="preserve">Vanguard Australian Shares Index Fund (W) </v>
      </c>
      <c r="D76" s="94" t="str">
        <f t="shared" si="12"/>
        <v>VAN0002AU</v>
      </c>
      <c r="E76" s="112" t="str">
        <v>OPEN</v>
      </c>
      <c r="F76" s="112">
        <v>1.6000000000000001E-3</v>
      </c>
      <c r="G76" s="112">
        <v>0</v>
      </c>
      <c r="H76" s="112">
        <v>0</v>
      </c>
      <c r="I76" s="112">
        <v>0</v>
      </c>
      <c r="J76" s="112">
        <v>4.0000000000000002E-4</v>
      </c>
      <c r="K76" s="112">
        <v>4.0000000000000002E-4</v>
      </c>
      <c r="L76" s="4">
        <f>SUMIFS(Component!$D:$D,Component!$A:$A,L$56,Component!$C:$C,$B76)</f>
        <v>0</v>
      </c>
      <c r="M76" s="4">
        <f>SUMIFS(Component!$D:$D,Component!$A:$A,M$56,Component!$C:$C,$B76)</f>
        <v>0.1</v>
      </c>
    </row>
    <row r="77" spans="2:13" ht="12.75" customHeight="1" x14ac:dyDescent="0.45">
      <c r="B77" s="72" t="str">
        <v>VAN0003</v>
      </c>
      <c r="C77" s="97" t="str">
        <v xml:space="preserve">Vanguard International Shares Index Fund </v>
      </c>
      <c r="D77" s="94" t="str">
        <f t="shared" si="12"/>
        <v>VAN0003AU</v>
      </c>
      <c r="E77" s="112" t="str">
        <v>OPEN</v>
      </c>
      <c r="F77" s="112">
        <v>1.8E-3</v>
      </c>
      <c r="G77" s="112">
        <v>0</v>
      </c>
      <c r="H77" s="112">
        <v>0</v>
      </c>
      <c r="I77" s="112">
        <v>1E-4</v>
      </c>
      <c r="J77" s="112">
        <v>5.0000000000000001E-4</v>
      </c>
      <c r="K77" s="112">
        <v>5.0000000000000001E-4</v>
      </c>
      <c r="L77" s="4">
        <f>SUMIFS(Component!$D:$D,Component!$A:$A,L$56,Component!$C:$C,$B77)</f>
        <v>0</v>
      </c>
      <c r="M77" s="4">
        <f>SUMIFS(Component!$D:$D,Component!$A:$A,M$56,Component!$C:$C,$B77)</f>
        <v>0.1</v>
      </c>
    </row>
    <row r="78" spans="2:13" ht="12.75" customHeight="1" x14ac:dyDescent="0.45">
      <c r="B78" s="72" t="str">
        <v>VAN0004</v>
      </c>
      <c r="C78" s="97" t="str">
        <v xml:space="preserve">Vanguard Australian Property Securities Index Fund (W) </v>
      </c>
      <c r="D78" s="94" t="str">
        <f t="shared" si="12"/>
        <v>VAN0004AU</v>
      </c>
      <c r="E78" s="112" t="str">
        <v>OPEN</v>
      </c>
      <c r="F78" s="112">
        <v>2.3E-3</v>
      </c>
      <c r="G78" s="112">
        <v>0</v>
      </c>
      <c r="H78" s="112">
        <v>0</v>
      </c>
      <c r="I78" s="112">
        <v>1E-4</v>
      </c>
      <c r="J78" s="112">
        <v>5.0000000000000001E-4</v>
      </c>
      <c r="K78" s="112">
        <v>5.0000000000000001E-4</v>
      </c>
      <c r="L78" s="4">
        <f>SUMIFS(Component!$D:$D,Component!$A:$A,L$56,Component!$C:$C,$B78)</f>
        <v>0</v>
      </c>
      <c r="M78" s="4">
        <f>SUMIFS(Component!$D:$D,Component!$A:$A,M$56,Component!$C:$C,$B78)</f>
        <v>0.03</v>
      </c>
    </row>
    <row r="79" spans="2:13" ht="12.75" customHeight="1" x14ac:dyDescent="0.45">
      <c r="B79" s="72" t="str">
        <v>WHT1465</v>
      </c>
      <c r="C79" s="97" t="str">
        <v>Plato Global Alpha Fund</v>
      </c>
      <c r="D79" s="94" t="str">
        <f t="shared" si="12"/>
        <v>WHT1465AU</v>
      </c>
      <c r="E79" s="112" t="str">
        <v>OPEN</v>
      </c>
      <c r="F79" s="112">
        <v>8.8000000000000005E-3</v>
      </c>
      <c r="G79" s="112">
        <v>0</v>
      </c>
      <c r="H79" s="112">
        <v>1.18E-2</v>
      </c>
      <c r="I79" s="112">
        <v>4.1000000000000003E-3</v>
      </c>
      <c r="J79" s="112">
        <v>3.0000000000000001E-3</v>
      </c>
      <c r="K79" s="112">
        <v>3.0000000000000001E-3</v>
      </c>
      <c r="L79" s="4">
        <f>SUMIFS(Component!$D:$D,Component!$A:$A,L$56,Component!$C:$C,$B79)</f>
        <v>0</v>
      </c>
      <c r="M79" s="4">
        <f>SUMIFS(Component!$D:$D,Component!$A:$A,M$56,Component!$C:$C,$B79)</f>
        <v>0.06</v>
      </c>
    </row>
    <row r="80" spans="2:13" ht="12.75" customHeight="1" x14ac:dyDescent="0.45">
      <c r="B80" s="72" t="str">
        <v>WHT3093</v>
      </c>
      <c r="C80" s="97" t="str">
        <v>Firetrail Australian Small Companies Fund</v>
      </c>
      <c r="D80" s="94" t="str">
        <f t="shared" si="12"/>
        <v>WHT3093AU</v>
      </c>
      <c r="E80" s="112" t="str">
        <v>OPEN</v>
      </c>
      <c r="F80" s="112">
        <v>8.5000000000000006E-3</v>
      </c>
      <c r="G80" s="112">
        <v>0</v>
      </c>
      <c r="H80" s="112">
        <v>1.41E-2</v>
      </c>
      <c r="I80" s="112">
        <v>2.7000000000000001E-3</v>
      </c>
      <c r="J80" s="112">
        <v>3.0000000000000001E-3</v>
      </c>
      <c r="K80" s="112">
        <v>3.0000000000000001E-3</v>
      </c>
      <c r="L80" s="4">
        <f>SUMIFS(Component!$D:$D,Component!$A:$A,L$56,Component!$C:$C,$B80)</f>
        <v>0</v>
      </c>
      <c r="M80" s="4">
        <f>SUMIFS(Component!$D:$D,Component!$A:$A,M$56,Component!$C:$C,$B80)</f>
        <v>0.04</v>
      </c>
    </row>
    <row r="81" spans="1:14" ht="12.75" customHeight="1" x14ac:dyDescent="0.45">
      <c r="B81" s="72" t="str">
        <v>WPC1583</v>
      </c>
      <c r="C81" s="97" t="str">
        <v>Daintree High Income Trust</v>
      </c>
      <c r="D81" s="94" t="str">
        <f t="shared" si="12"/>
        <v>WPC1583AU</v>
      </c>
      <c r="E81" s="112" t="str">
        <v>OPEN</v>
      </c>
      <c r="F81" s="112">
        <v>7.4999999999999997E-3</v>
      </c>
      <c r="G81" s="112">
        <v>0</v>
      </c>
      <c r="H81" s="112">
        <v>0</v>
      </c>
      <c r="I81" s="112">
        <v>1.5E-3</v>
      </c>
      <c r="J81" s="112">
        <v>1.5E-3</v>
      </c>
      <c r="K81" s="112">
        <v>1.5E-3</v>
      </c>
      <c r="L81" s="4">
        <f>SUMIFS(Component!$D:$D,Component!$A:$A,L$56,Component!$C:$C,$B81)</f>
        <v>0</v>
      </c>
      <c r="M81" s="4">
        <f>SUMIFS(Component!$D:$D,Component!$A:$A,M$56,Component!$C:$C,$B81)</f>
        <v>0</v>
      </c>
    </row>
    <row r="82" spans="1:14" ht="12.75" customHeight="1" x14ac:dyDescent="0.45">
      <c r="N82" s="8"/>
    </row>
    <row r="84" spans="1:14" ht="12.75" customHeight="1" x14ac:dyDescent="0.45">
      <c r="A84" s="2"/>
    </row>
    <row r="85" spans="1:14" ht="12.75" customHeight="1" x14ac:dyDescent="0.45">
      <c r="A85" s="2"/>
    </row>
    <row r="86" spans="1:14" ht="12.75" customHeight="1" x14ac:dyDescent="0.45">
      <c r="A86" s="2"/>
    </row>
    <row r="87" spans="1:14" ht="12.75" customHeight="1" x14ac:dyDescent="0.45">
      <c r="A87" s="2"/>
    </row>
    <row r="88" spans="1:14" ht="12.75" customHeight="1" x14ac:dyDescent="0.45">
      <c r="A88" s="2"/>
    </row>
    <row r="89" spans="1:14" ht="12.75" customHeight="1" x14ac:dyDescent="0.45">
      <c r="A89" s="2"/>
    </row>
    <row r="90" spans="1:14" ht="12.75" customHeight="1" x14ac:dyDescent="0.45">
      <c r="A90" s="2"/>
    </row>
    <row r="91" spans="1:14" ht="12.75" customHeight="1" x14ac:dyDescent="0.45">
      <c r="A91" s="2"/>
    </row>
    <row r="92" spans="1:14" ht="12.75" customHeight="1" x14ac:dyDescent="0.45">
      <c r="A92" s="2"/>
    </row>
    <row r="93" spans="1:14" ht="12.75" customHeight="1" x14ac:dyDescent="0.45">
      <c r="A93" s="2"/>
    </row>
    <row r="94" spans="1:14" ht="12.75" customHeight="1" x14ac:dyDescent="0.45">
      <c r="A94" s="2"/>
    </row>
    <row r="95" spans="1:14" ht="12.75" customHeight="1" x14ac:dyDescent="0.45">
      <c r="A95" s="2"/>
    </row>
    <row r="96" spans="1:14" ht="12.75" customHeight="1" x14ac:dyDescent="0.45">
      <c r="A96" s="2"/>
    </row>
    <row r="97" spans="1:1" ht="12.75" customHeight="1" x14ac:dyDescent="0.45">
      <c r="A97" s="2"/>
    </row>
    <row r="98" spans="1:1" ht="12.75" customHeight="1" x14ac:dyDescent="0.45">
      <c r="A98" s="2"/>
    </row>
    <row r="99" spans="1:1" ht="12.75" customHeight="1" x14ac:dyDescent="0.45">
      <c r="A99" s="2"/>
    </row>
    <row r="100" spans="1:1" ht="12.75" customHeight="1" x14ac:dyDescent="0.45">
      <c r="A100" s="2"/>
    </row>
    <row r="101" spans="1:1" ht="12.75" customHeight="1" x14ac:dyDescent="0.45">
      <c r="A101" s="2"/>
    </row>
    <row r="102" spans="1:1" ht="12.75" customHeight="1" x14ac:dyDescent="0.45">
      <c r="A102" s="2"/>
    </row>
    <row r="103" spans="1:1" ht="12.75" customHeight="1" x14ac:dyDescent="0.45">
      <c r="A103" s="2"/>
    </row>
    <row r="104" spans="1:1" ht="12.75" customHeight="1" x14ac:dyDescent="0.45">
      <c r="A104" s="2"/>
    </row>
    <row r="105" spans="1:1" ht="12.75" customHeight="1" x14ac:dyDescent="0.45">
      <c r="A105" s="2"/>
    </row>
    <row r="106" spans="1:1" ht="12.75" customHeight="1" x14ac:dyDescent="0.45">
      <c r="A106" s="2"/>
    </row>
    <row r="107" spans="1:1" ht="12.75" customHeight="1" x14ac:dyDescent="0.45">
      <c r="A107" s="2"/>
    </row>
    <row r="108" spans="1:1" ht="12.75" customHeight="1" x14ac:dyDescent="0.45">
      <c r="A108" s="2"/>
    </row>
  </sheetData>
  <phoneticPr fontId="2" type="noConversion"/>
  <conditionalFormatting sqref="A57:A69">
    <cfRule type="duplicateValues" dxfId="1" priority="5"/>
  </conditionalFormatting>
  <conditionalFormatting sqref="A109:A1048576 A1:A8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9617-335D-4D9A-B430-6EAD64966A61}">
  <sheetPr codeName="Sheet1">
    <tabColor rgb="FF004F5C"/>
  </sheetPr>
  <dimension ref="A1:K7"/>
  <sheetViews>
    <sheetView zoomScale="110" workbookViewId="0">
      <selection activeCell="A3" sqref="A3:C4"/>
    </sheetView>
  </sheetViews>
  <sheetFormatPr defaultColWidth="8.73046875" defaultRowHeight="13.15" x14ac:dyDescent="0.45"/>
  <cols>
    <col min="1" max="1" width="10.59765625" style="99" customWidth="1"/>
    <col min="2" max="2" width="33.73046875" style="99" customWidth="1"/>
    <col min="3" max="10" width="9.59765625" style="99" customWidth="1"/>
    <col min="11" max="11" width="23.59765625" style="99" bestFit="1" customWidth="1"/>
    <col min="12" max="16384" width="8.73046875" style="99"/>
  </cols>
  <sheetData>
    <row r="1" spans="1:11" x14ac:dyDescent="0.45">
      <c r="A1" s="98" t="s">
        <v>58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39.4" x14ac:dyDescent="0.45">
      <c r="A2" s="100" t="s">
        <v>59</v>
      </c>
      <c r="B2" s="100" t="s">
        <v>60</v>
      </c>
      <c r="C2" s="101" t="s">
        <v>61</v>
      </c>
      <c r="D2" s="101" t="s">
        <v>62</v>
      </c>
      <c r="E2" s="101" t="s">
        <v>63</v>
      </c>
      <c r="F2" s="101" t="s">
        <v>64</v>
      </c>
      <c r="G2" s="102" t="s">
        <v>65</v>
      </c>
      <c r="H2" s="102" t="s">
        <v>66</v>
      </c>
      <c r="I2" s="102" t="s">
        <v>67</v>
      </c>
      <c r="J2" s="102" t="s">
        <v>68</v>
      </c>
      <c r="K2" s="103" t="s">
        <v>69</v>
      </c>
    </row>
    <row r="3" spans="1:11" ht="14.25" x14ac:dyDescent="0.45">
      <c r="A3" s="99" t="s">
        <v>162</v>
      </c>
      <c r="B3" t="s">
        <v>158</v>
      </c>
      <c r="C3" s="104">
        <v>7.5000000000000002E-4</v>
      </c>
      <c r="D3" s="105">
        <f t="shared" ref="D3:D4" si="0">C3*0.1</f>
        <v>7.5000000000000007E-5</v>
      </c>
      <c r="E3" s="105">
        <f>D3*0.75</f>
        <v>5.6250000000000005E-5</v>
      </c>
      <c r="F3" s="105">
        <f>C3+D3-E3</f>
        <v>7.6875000000000001E-4</v>
      </c>
      <c r="G3" s="104">
        <v>8.0000000000000004E-4</v>
      </c>
      <c r="H3" s="105">
        <f t="shared" ref="H3:H4" si="1">G3*0.1</f>
        <v>8.0000000000000007E-5</v>
      </c>
      <c r="I3" s="105">
        <f t="shared" ref="I3:I4" si="2">H3*0.55</f>
        <v>4.4000000000000006E-5</v>
      </c>
      <c r="J3" s="105">
        <f t="shared" ref="J3:J4" si="3">G3+H3-I3</f>
        <v>8.3600000000000005E-4</v>
      </c>
      <c r="K3" s="105">
        <f t="shared" ref="K3:K4" si="4">ROUND(F3+J3,4)</f>
        <v>1.6000000000000001E-3</v>
      </c>
    </row>
    <row r="4" spans="1:11" ht="14.25" x14ac:dyDescent="0.45">
      <c r="A4" s="99" t="s">
        <v>163</v>
      </c>
      <c r="B4" t="s">
        <v>159</v>
      </c>
      <c r="C4" s="104">
        <v>8.0000000000000004E-4</v>
      </c>
      <c r="D4" s="105">
        <f t="shared" si="0"/>
        <v>8.0000000000000007E-5</v>
      </c>
      <c r="E4" s="105">
        <f>D4*0.75</f>
        <v>6.0000000000000008E-5</v>
      </c>
      <c r="F4" s="105">
        <f t="shared" ref="F4" si="5">C4+D4-E4</f>
        <v>8.1999999999999998E-4</v>
      </c>
      <c r="G4" s="104">
        <v>8.0000000000000004E-4</v>
      </c>
      <c r="H4" s="105">
        <f t="shared" si="1"/>
        <v>8.0000000000000007E-5</v>
      </c>
      <c r="I4" s="105">
        <f t="shared" si="2"/>
        <v>4.4000000000000006E-5</v>
      </c>
      <c r="J4" s="105">
        <f t="shared" si="3"/>
        <v>8.3600000000000005E-4</v>
      </c>
      <c r="K4" s="105">
        <f t="shared" si="4"/>
        <v>1.6999999999999999E-3</v>
      </c>
    </row>
    <row r="5" spans="1:11" x14ac:dyDescent="0.45">
      <c r="C5" s="104"/>
    </row>
    <row r="6" spans="1:11" x14ac:dyDescent="0.45">
      <c r="C6" s="104"/>
    </row>
    <row r="7" spans="1:11" x14ac:dyDescent="0.45">
      <c r="C7" s="104"/>
    </row>
  </sheetData>
  <autoFilter ref="A2:K2" xr:uid="{1C409617-335D-4D9A-B430-6EAD64966A61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2292-B398-4F20-B4AF-8FF4362E03C9}">
  <sheetPr codeName="Sheet5">
    <tabColor rgb="FF004F5C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AEA0-863C-4964-8956-81E7D9FB58B4}">
  <sheetPr codeName="Sheet2">
    <tabColor rgb="FF004F5C"/>
  </sheetPr>
  <dimension ref="A1:N61"/>
  <sheetViews>
    <sheetView topLeftCell="C1" zoomScaleNormal="100" workbookViewId="0">
      <selection activeCell="J35" sqref="J35"/>
    </sheetView>
  </sheetViews>
  <sheetFormatPr defaultColWidth="9.265625" defaultRowHeight="13.15" x14ac:dyDescent="0.4"/>
  <cols>
    <col min="1" max="2" width="10.59765625" style="93" hidden="1" customWidth="1"/>
    <col min="3" max="3" width="10.59765625" style="93" customWidth="1" collapsed="1"/>
    <col min="4" max="4" width="10.59765625" style="95" customWidth="1"/>
    <col min="5" max="5" width="52.59765625" style="93" customWidth="1"/>
    <col min="6" max="6" width="7.1328125" style="93" customWidth="1"/>
    <col min="7" max="8" width="15.265625" style="94" customWidth="1"/>
    <col min="9" max="12" width="13.265625" style="94" customWidth="1"/>
    <col min="13" max="13" width="177.86328125" style="93" bestFit="1" customWidth="1"/>
    <col min="14" max="14" width="10.59765625" style="93" bestFit="1" customWidth="1"/>
    <col min="15" max="16384" width="9.265625" style="93"/>
  </cols>
  <sheetData>
    <row r="1" spans="1:14" s="89" customFormat="1" x14ac:dyDescent="0.45">
      <c r="A1" s="88"/>
      <c r="B1" s="88"/>
      <c r="C1" s="88"/>
      <c r="D1" s="80" t="s">
        <v>70</v>
      </c>
      <c r="E1" s="80"/>
      <c r="F1" s="80"/>
      <c r="G1" s="81"/>
      <c r="H1" s="81"/>
      <c r="I1" s="81"/>
      <c r="J1" s="81"/>
      <c r="K1" s="81"/>
      <c r="L1" s="81"/>
    </row>
    <row r="2" spans="1:14" s="92" customFormat="1" ht="52.5" x14ac:dyDescent="0.45">
      <c r="A2" s="90" t="s">
        <v>71</v>
      </c>
      <c r="B2" s="90" t="s">
        <v>72</v>
      </c>
      <c r="C2" s="90" t="s">
        <v>73</v>
      </c>
      <c r="D2" s="90" t="s">
        <v>53</v>
      </c>
      <c r="E2" s="90" t="s">
        <v>54</v>
      </c>
      <c r="F2" s="90" t="s">
        <v>204</v>
      </c>
      <c r="G2" s="91" t="s">
        <v>55</v>
      </c>
      <c r="H2" s="91" t="s">
        <v>56</v>
      </c>
      <c r="I2" s="91" t="s">
        <v>57</v>
      </c>
      <c r="J2" s="91" t="s">
        <v>30</v>
      </c>
      <c r="K2" s="91" t="s">
        <v>31</v>
      </c>
      <c r="L2" s="91" t="s">
        <v>32</v>
      </c>
      <c r="M2" s="92" t="s">
        <v>185</v>
      </c>
      <c r="N2" s="92" t="s">
        <v>197</v>
      </c>
    </row>
    <row r="3" spans="1:14" ht="14.25" x14ac:dyDescent="0.45">
      <c r="C3" s="93" t="s">
        <v>111</v>
      </c>
      <c r="D3" s="97" t="s">
        <v>90</v>
      </c>
      <c r="E3" s="97" t="s">
        <v>172</v>
      </c>
      <c r="F3" s="93" t="s">
        <v>205</v>
      </c>
      <c r="G3" s="112">
        <v>9.0000000000000011E-3</v>
      </c>
      <c r="H3" s="112">
        <v>0</v>
      </c>
      <c r="I3" s="112">
        <v>0</v>
      </c>
      <c r="J3" s="112">
        <v>5.9999999999999995E-4</v>
      </c>
      <c r="K3" s="112">
        <v>2E-3</v>
      </c>
      <c r="L3" s="112">
        <v>2E-3</v>
      </c>
      <c r="M3" t="s">
        <v>191</v>
      </c>
      <c r="N3" s="117"/>
    </row>
    <row r="4" spans="1:14" ht="14.25" x14ac:dyDescent="0.45">
      <c r="C4" s="93" t="s">
        <v>111</v>
      </c>
      <c r="D4" s="97" t="s">
        <v>101</v>
      </c>
      <c r="E4" s="97" t="s">
        <v>183</v>
      </c>
      <c r="F4" s="93" t="s">
        <v>205</v>
      </c>
      <c r="G4" s="112">
        <v>8.8000000000000005E-3</v>
      </c>
      <c r="H4" s="112">
        <v>0</v>
      </c>
      <c r="I4" s="112">
        <v>3.7000000000000002E-3</v>
      </c>
      <c r="J4" s="112">
        <v>1.1000000000000001E-3</v>
      </c>
      <c r="K4" s="112">
        <v>2E-3</v>
      </c>
      <c r="L4" s="112">
        <v>2E-3</v>
      </c>
      <c r="M4" t="s">
        <v>195</v>
      </c>
      <c r="N4" s="117">
        <v>45631</v>
      </c>
    </row>
    <row r="5" spans="1:14" ht="14.25" x14ac:dyDescent="0.45">
      <c r="A5" s="96"/>
      <c r="B5" s="96"/>
      <c r="C5" s="93" t="s">
        <v>111</v>
      </c>
      <c r="D5" s="113" t="s">
        <v>89</v>
      </c>
      <c r="E5" s="97" t="s">
        <v>171</v>
      </c>
      <c r="F5" s="93" t="s">
        <v>205</v>
      </c>
      <c r="G5" s="112">
        <v>9.0000000000000011E-3</v>
      </c>
      <c r="H5" s="112">
        <v>0</v>
      </c>
      <c r="I5" s="112">
        <v>0</v>
      </c>
      <c r="J5" s="112">
        <v>2E-3</v>
      </c>
      <c r="K5" s="112">
        <v>2.5000000000000001E-3</v>
      </c>
      <c r="L5" s="112">
        <v>2.5000000000000001E-3</v>
      </c>
      <c r="M5" t="s">
        <v>190</v>
      </c>
      <c r="N5" s="117">
        <v>45761</v>
      </c>
    </row>
    <row r="6" spans="1:14" ht="14.25" x14ac:dyDescent="0.45">
      <c r="C6" s="93" t="s">
        <v>111</v>
      </c>
      <c r="D6" s="110" t="s">
        <v>103</v>
      </c>
      <c r="E6" s="97" t="s">
        <v>164</v>
      </c>
      <c r="F6" s="93" t="s">
        <v>205</v>
      </c>
      <c r="G6" s="112">
        <v>5.5000000000000005E-3</v>
      </c>
      <c r="H6" s="112">
        <v>0</v>
      </c>
      <c r="I6" s="112">
        <v>0</v>
      </c>
      <c r="J6" s="112">
        <v>1.6000000000000001E-3</v>
      </c>
      <c r="K6" s="112">
        <v>1.1999999999999999E-3</v>
      </c>
      <c r="L6" s="112">
        <v>1.1999999999999999E-3</v>
      </c>
      <c r="M6" t="s">
        <v>186</v>
      </c>
      <c r="N6" s="117">
        <v>45555</v>
      </c>
    </row>
    <row r="7" spans="1:14" ht="14.25" x14ac:dyDescent="0.45">
      <c r="C7" s="93" t="s">
        <v>111</v>
      </c>
      <c r="D7" s="72" t="s">
        <v>74</v>
      </c>
      <c r="E7" s="97" t="s">
        <v>82</v>
      </c>
      <c r="F7" s="93" t="s">
        <v>205</v>
      </c>
      <c r="G7" s="112">
        <v>0</v>
      </c>
      <c r="H7" s="112">
        <v>7.4999999999999997E-3</v>
      </c>
      <c r="I7" s="112">
        <v>0</v>
      </c>
      <c r="J7" s="112">
        <v>0</v>
      </c>
      <c r="K7" s="112">
        <v>0</v>
      </c>
      <c r="L7" s="112">
        <v>0</v>
      </c>
      <c r="M7"/>
      <c r="N7" s="117">
        <v>45537</v>
      </c>
    </row>
    <row r="8" spans="1:14" ht="14.25" x14ac:dyDescent="0.45">
      <c r="A8" s="96"/>
      <c r="B8" s="96"/>
      <c r="C8" s="93" t="s">
        <v>111</v>
      </c>
      <c r="D8" s="72" t="s">
        <v>109</v>
      </c>
      <c r="E8" s="97" t="s">
        <v>170</v>
      </c>
      <c r="F8" s="93" t="s">
        <v>205</v>
      </c>
      <c r="G8" s="112">
        <v>7.7000000000000002E-3</v>
      </c>
      <c r="H8" s="112">
        <v>0</v>
      </c>
      <c r="I8" s="112">
        <v>0</v>
      </c>
      <c r="J8" s="112">
        <v>1E-4</v>
      </c>
      <c r="K8" s="112">
        <v>2E-3</v>
      </c>
      <c r="L8" s="112">
        <v>2E-3</v>
      </c>
      <c r="M8" t="s">
        <v>189</v>
      </c>
      <c r="N8" s="117">
        <v>45643</v>
      </c>
    </row>
    <row r="9" spans="1:14" ht="14.25" x14ac:dyDescent="0.45">
      <c r="A9" s="96"/>
      <c r="B9" s="96"/>
      <c r="C9" s="93" t="s">
        <v>111</v>
      </c>
      <c r="D9" s="72" t="s">
        <v>107</v>
      </c>
      <c r="E9" s="120" t="s">
        <v>168</v>
      </c>
      <c r="F9" s="89" t="s">
        <v>205</v>
      </c>
      <c r="G9" s="121">
        <v>5.5999999999999999E-3</v>
      </c>
      <c r="H9" s="112">
        <v>0</v>
      </c>
      <c r="I9" s="112">
        <v>0</v>
      </c>
      <c r="J9" s="112">
        <v>4.0000000000000002E-4</v>
      </c>
      <c r="K9" s="112">
        <v>0</v>
      </c>
      <c r="L9" s="112">
        <v>1E-3</v>
      </c>
      <c r="M9" s="118" t="s">
        <v>199</v>
      </c>
      <c r="N9" s="117">
        <v>45789</v>
      </c>
    </row>
    <row r="10" spans="1:14" ht="14.25" x14ac:dyDescent="0.45">
      <c r="A10" s="96"/>
      <c r="B10" s="96"/>
      <c r="C10" s="93" t="s">
        <v>111</v>
      </c>
      <c r="D10" s="72" t="s">
        <v>208</v>
      </c>
      <c r="E10" s="97" t="s">
        <v>210</v>
      </c>
      <c r="F10" s="93" t="s">
        <v>205</v>
      </c>
      <c r="G10" s="112">
        <v>2.0999999999999999E-3</v>
      </c>
      <c r="H10" s="112">
        <v>0</v>
      </c>
      <c r="I10" s="112">
        <v>0</v>
      </c>
      <c r="J10" s="112">
        <v>2.0000000000000001E-4</v>
      </c>
      <c r="K10" s="112">
        <v>2E-3</v>
      </c>
      <c r="L10" s="112">
        <v>2E-3</v>
      </c>
      <c r="M10" t="s">
        <v>192</v>
      </c>
      <c r="N10" s="117">
        <v>45617</v>
      </c>
    </row>
    <row r="11" spans="1:14" ht="14.25" x14ac:dyDescent="0.45">
      <c r="C11" s="93" t="s">
        <v>111</v>
      </c>
      <c r="D11" s="72" t="s">
        <v>97</v>
      </c>
      <c r="E11" s="97" t="s">
        <v>179</v>
      </c>
      <c r="F11" s="93" t="s">
        <v>205</v>
      </c>
      <c r="G11" s="112">
        <v>1.0699999999999999E-2</v>
      </c>
      <c r="H11" s="112">
        <v>0</v>
      </c>
      <c r="I11" s="112">
        <v>0</v>
      </c>
      <c r="J11" s="112">
        <v>8.9999999999999998E-4</v>
      </c>
      <c r="K11" s="112">
        <v>2.5000000000000001E-3</v>
      </c>
      <c r="L11" s="112">
        <v>2.5000000000000001E-3</v>
      </c>
      <c r="M11" s="118" t="s">
        <v>194</v>
      </c>
      <c r="N11" s="117">
        <v>45164</v>
      </c>
    </row>
    <row r="12" spans="1:14" ht="14.25" x14ac:dyDescent="0.45">
      <c r="C12" s="93" t="s">
        <v>111</v>
      </c>
      <c r="D12" s="72" t="s">
        <v>98</v>
      </c>
      <c r="E12" s="97" t="s">
        <v>180</v>
      </c>
      <c r="F12" s="93" t="s">
        <v>205</v>
      </c>
      <c r="G12" s="112">
        <v>1.15E-2</v>
      </c>
      <c r="H12" s="112">
        <v>0</v>
      </c>
      <c r="I12" s="112">
        <v>0</v>
      </c>
      <c r="J12" s="112">
        <v>1.9E-3</v>
      </c>
      <c r="K12" s="112">
        <v>3.0000000000000001E-3</v>
      </c>
      <c r="L12" s="112">
        <v>3.0000000000000001E-3</v>
      </c>
      <c r="M12" t="s">
        <v>201</v>
      </c>
      <c r="N12" s="117">
        <v>45449</v>
      </c>
    </row>
    <row r="13" spans="1:14" ht="14.25" x14ac:dyDescent="0.45">
      <c r="C13" s="93" t="s">
        <v>111</v>
      </c>
      <c r="D13" s="110" t="s">
        <v>104</v>
      </c>
      <c r="E13" s="97" t="s">
        <v>165</v>
      </c>
      <c r="F13" s="93" t="s">
        <v>205</v>
      </c>
      <c r="G13" s="112">
        <v>5.0000000000000001E-3</v>
      </c>
      <c r="H13" s="112">
        <v>0</v>
      </c>
      <c r="I13" s="112">
        <v>0</v>
      </c>
      <c r="J13" s="112">
        <v>8.0000000000000004E-4</v>
      </c>
      <c r="K13" s="112">
        <v>0</v>
      </c>
      <c r="L13" s="112">
        <v>0</v>
      </c>
      <c r="M13" t="s">
        <v>187</v>
      </c>
      <c r="N13" s="117">
        <v>45565</v>
      </c>
    </row>
    <row r="14" spans="1:14" x14ac:dyDescent="0.45">
      <c r="C14" s="93" t="s">
        <v>111</v>
      </c>
      <c r="D14" s="72" t="s">
        <v>95</v>
      </c>
      <c r="E14" s="97" t="s">
        <v>177</v>
      </c>
      <c r="F14" s="93" t="s">
        <v>205</v>
      </c>
      <c r="G14" s="112">
        <v>1.0999999999999999E-2</v>
      </c>
      <c r="H14" s="112">
        <v>0</v>
      </c>
      <c r="I14" s="112">
        <v>1.83E-2</v>
      </c>
      <c r="J14" s="112">
        <v>0</v>
      </c>
      <c r="K14" s="112">
        <v>0</v>
      </c>
      <c r="L14" s="112">
        <v>1.5E-3</v>
      </c>
      <c r="M14" s="75" t="s">
        <v>160</v>
      </c>
      <c r="N14" s="117">
        <v>45573</v>
      </c>
    </row>
    <row r="15" spans="1:14" ht="14.25" x14ac:dyDescent="0.45">
      <c r="C15" s="93" t="s">
        <v>111</v>
      </c>
      <c r="D15" s="72" t="s">
        <v>94</v>
      </c>
      <c r="E15" s="97" t="s">
        <v>176</v>
      </c>
      <c r="F15" s="93" t="s">
        <v>205</v>
      </c>
      <c r="G15" s="112">
        <v>1.2800000000000001E-2</v>
      </c>
      <c r="H15" s="112">
        <v>0</v>
      </c>
      <c r="I15" s="112">
        <v>0</v>
      </c>
      <c r="J15" s="112">
        <v>6.2E-4</v>
      </c>
      <c r="K15" s="112">
        <v>1.6000000000000001E-3</v>
      </c>
      <c r="L15" s="112">
        <v>1.6999999999999999E-3</v>
      </c>
      <c r="M15" t="s">
        <v>193</v>
      </c>
      <c r="N15" s="117">
        <v>45611</v>
      </c>
    </row>
    <row r="16" spans="1:14" ht="14.25" x14ac:dyDescent="0.45">
      <c r="C16" s="93" t="s">
        <v>111</v>
      </c>
      <c r="D16" s="110" t="s">
        <v>108</v>
      </c>
      <c r="E16" s="97" t="s">
        <v>169</v>
      </c>
      <c r="F16" s="93" t="s">
        <v>205</v>
      </c>
      <c r="G16" s="112">
        <v>4.8999999999999998E-3</v>
      </c>
      <c r="H16" s="112">
        <v>0</v>
      </c>
      <c r="I16" s="112">
        <v>4.0000000000000003E-5</v>
      </c>
      <c r="J16" s="112">
        <v>1.41E-3</v>
      </c>
      <c r="K16" s="112">
        <v>1E-3</v>
      </c>
      <c r="L16" s="112">
        <v>1.6999999999999999E-3</v>
      </c>
      <c r="M16" t="s">
        <v>188</v>
      </c>
      <c r="N16" s="117">
        <v>45901</v>
      </c>
    </row>
    <row r="17" spans="3:14" x14ac:dyDescent="0.45">
      <c r="C17" s="93" t="s">
        <v>111</v>
      </c>
      <c r="D17" s="72" t="s">
        <v>96</v>
      </c>
      <c r="E17" s="97" t="s">
        <v>178</v>
      </c>
      <c r="F17" s="93" t="s">
        <v>205</v>
      </c>
      <c r="G17" s="112">
        <v>7.4999999999999997E-3</v>
      </c>
      <c r="H17" s="112">
        <v>0</v>
      </c>
      <c r="I17" s="112">
        <v>0</v>
      </c>
      <c r="J17" s="112">
        <v>2.9999999999999997E-4</v>
      </c>
      <c r="K17" s="112">
        <v>1E-3</v>
      </c>
      <c r="L17" s="112">
        <v>1E-3</v>
      </c>
      <c r="M17" s="75" t="s">
        <v>161</v>
      </c>
      <c r="N17" s="117">
        <v>45838</v>
      </c>
    </row>
    <row r="18" spans="3:14" ht="14.25" x14ac:dyDescent="0.45">
      <c r="C18" s="93" t="s">
        <v>111</v>
      </c>
      <c r="D18" s="110" t="s">
        <v>106</v>
      </c>
      <c r="E18" s="97" t="s">
        <v>167</v>
      </c>
      <c r="F18" s="93" t="s">
        <v>205</v>
      </c>
      <c r="G18" s="112">
        <v>4.4999999999999997E-3</v>
      </c>
      <c r="H18" s="112">
        <v>0</v>
      </c>
      <c r="I18" s="112">
        <v>0</v>
      </c>
      <c r="J18" s="112">
        <v>5.9999999999999995E-4</v>
      </c>
      <c r="K18" s="112">
        <v>1.1999999999999999E-3</v>
      </c>
      <c r="L18" s="112">
        <v>1.1999999999999999E-3</v>
      </c>
      <c r="M18"/>
      <c r="N18" s="117">
        <v>45789</v>
      </c>
    </row>
    <row r="19" spans="3:14" ht="14.25" x14ac:dyDescent="0.45">
      <c r="C19" s="93" t="s">
        <v>111</v>
      </c>
      <c r="D19" s="72" t="s">
        <v>102</v>
      </c>
      <c r="E19" s="97" t="s">
        <v>184</v>
      </c>
      <c r="F19" s="93" t="s">
        <v>205</v>
      </c>
      <c r="G19" s="112">
        <v>9.7000000000000003E-3</v>
      </c>
      <c r="H19" s="112">
        <v>0</v>
      </c>
      <c r="I19" s="112">
        <v>0</v>
      </c>
      <c r="J19" s="112">
        <v>6.9999999999999999E-4</v>
      </c>
      <c r="K19" s="112">
        <v>1E-3</v>
      </c>
      <c r="L19" s="112">
        <v>1E-3</v>
      </c>
      <c r="M19" s="116" t="s">
        <v>196</v>
      </c>
      <c r="N19" s="117">
        <v>46008</v>
      </c>
    </row>
    <row r="20" spans="3:14" ht="14.25" x14ac:dyDescent="0.45">
      <c r="C20" s="93" t="s">
        <v>111</v>
      </c>
      <c r="D20" s="72" t="s">
        <v>105</v>
      </c>
      <c r="E20" s="97" t="s">
        <v>166</v>
      </c>
      <c r="F20" s="93" t="s">
        <v>205</v>
      </c>
      <c r="G20" s="112">
        <v>6.0000000000000001E-3</v>
      </c>
      <c r="H20" s="112">
        <v>0</v>
      </c>
      <c r="I20" s="112">
        <v>0</v>
      </c>
      <c r="J20" s="112">
        <v>0</v>
      </c>
      <c r="K20" s="112">
        <v>1E-3</v>
      </c>
      <c r="L20" s="112">
        <v>2E-3</v>
      </c>
      <c r="M20" s="116"/>
      <c r="N20" s="117">
        <v>45849</v>
      </c>
    </row>
    <row r="21" spans="3:14" ht="14.25" x14ac:dyDescent="0.45">
      <c r="C21" s="93" t="s">
        <v>111</v>
      </c>
      <c r="D21" s="72" t="s">
        <v>92</v>
      </c>
      <c r="E21" s="97" t="s">
        <v>174</v>
      </c>
      <c r="F21" s="93" t="s">
        <v>205</v>
      </c>
      <c r="G21" s="112">
        <v>1.6000000000000001E-3</v>
      </c>
      <c r="H21" s="112">
        <v>0</v>
      </c>
      <c r="I21" s="112">
        <v>0</v>
      </c>
      <c r="J21" s="112">
        <v>0</v>
      </c>
      <c r="K21" s="112">
        <v>4.0000000000000002E-4</v>
      </c>
      <c r="L21" s="112">
        <v>4.0000000000000002E-4</v>
      </c>
      <c r="M21" s="122" t="s">
        <v>216</v>
      </c>
      <c r="N21" s="117">
        <v>45901</v>
      </c>
    </row>
    <row r="22" spans="3:14" ht="14.25" x14ac:dyDescent="0.45">
      <c r="C22" s="93" t="s">
        <v>111</v>
      </c>
      <c r="D22" s="72" t="s">
        <v>99</v>
      </c>
      <c r="E22" s="97" t="s">
        <v>181</v>
      </c>
      <c r="F22" s="93" t="s">
        <v>205</v>
      </c>
      <c r="G22" s="112">
        <v>1.8E-3</v>
      </c>
      <c r="H22" s="112">
        <v>0</v>
      </c>
      <c r="I22" s="112">
        <v>0</v>
      </c>
      <c r="J22" s="112">
        <v>1E-4</v>
      </c>
      <c r="K22" s="112">
        <v>5.0000000000000001E-4</v>
      </c>
      <c r="L22" s="112">
        <v>5.0000000000000001E-4</v>
      </c>
      <c r="M22" t="s">
        <v>202</v>
      </c>
      <c r="N22" s="117">
        <v>45764</v>
      </c>
    </row>
    <row r="23" spans="3:14" ht="14.25" x14ac:dyDescent="0.45">
      <c r="C23" s="93" t="s">
        <v>111</v>
      </c>
      <c r="D23" s="72" t="s">
        <v>100</v>
      </c>
      <c r="E23" s="97" t="s">
        <v>182</v>
      </c>
      <c r="F23" s="93" t="s">
        <v>205</v>
      </c>
      <c r="G23" s="112">
        <v>2.3E-3</v>
      </c>
      <c r="H23" s="112">
        <v>0</v>
      </c>
      <c r="I23" s="112">
        <v>0</v>
      </c>
      <c r="J23" s="112">
        <v>1E-4</v>
      </c>
      <c r="K23" s="112">
        <v>5.0000000000000001E-4</v>
      </c>
      <c r="L23" s="112">
        <v>5.0000000000000001E-4</v>
      </c>
      <c r="M23" t="s">
        <v>203</v>
      </c>
      <c r="N23" s="117">
        <v>45901</v>
      </c>
    </row>
    <row r="24" spans="3:14" ht="14.25" x14ac:dyDescent="0.45">
      <c r="C24" s="93" t="s">
        <v>111</v>
      </c>
      <c r="D24" s="72" t="s">
        <v>93</v>
      </c>
      <c r="E24" s="97" t="s">
        <v>175</v>
      </c>
      <c r="F24" s="93" t="s">
        <v>205</v>
      </c>
      <c r="G24" s="112">
        <v>8.8000000000000005E-3</v>
      </c>
      <c r="H24" s="112">
        <v>0</v>
      </c>
      <c r="I24" s="112">
        <v>1.18E-2</v>
      </c>
      <c r="J24" s="112">
        <v>4.1000000000000003E-3</v>
      </c>
      <c r="K24" s="112">
        <v>3.0000000000000001E-3</v>
      </c>
      <c r="L24" s="112">
        <v>3.0000000000000001E-3</v>
      </c>
      <c r="M24" t="s">
        <v>200</v>
      </c>
      <c r="N24" s="117">
        <v>45901</v>
      </c>
    </row>
    <row r="25" spans="3:14" ht="14.25" x14ac:dyDescent="0.45">
      <c r="C25" s="93" t="s">
        <v>111</v>
      </c>
      <c r="D25" s="72" t="s">
        <v>91</v>
      </c>
      <c r="E25" s="97" t="s">
        <v>173</v>
      </c>
      <c r="F25" s="93" t="s">
        <v>205</v>
      </c>
      <c r="G25" s="112">
        <v>8.5000000000000006E-3</v>
      </c>
      <c r="H25" s="112">
        <v>0</v>
      </c>
      <c r="I25" s="112">
        <v>1.41E-2</v>
      </c>
      <c r="J25" s="112">
        <v>2.7000000000000001E-3</v>
      </c>
      <c r="K25" s="112">
        <v>3.0000000000000001E-3</v>
      </c>
      <c r="L25" s="112">
        <v>3.0000000000000001E-3</v>
      </c>
      <c r="M25">
        <v>0</v>
      </c>
      <c r="N25" s="117">
        <v>45596</v>
      </c>
    </row>
    <row r="26" spans="3:14" ht="14.25" x14ac:dyDescent="0.45">
      <c r="C26" s="93" t="s">
        <v>111</v>
      </c>
      <c r="D26" s="72" t="s">
        <v>110</v>
      </c>
      <c r="E26" s="97" t="s">
        <v>157</v>
      </c>
      <c r="F26" s="93" t="s">
        <v>205</v>
      </c>
      <c r="G26" s="112">
        <v>7.4999999999999997E-3</v>
      </c>
      <c r="H26" s="112">
        <v>0</v>
      </c>
      <c r="I26" s="112">
        <v>0</v>
      </c>
      <c r="J26" s="112">
        <v>1.5E-3</v>
      </c>
      <c r="K26" s="112">
        <v>1.5E-3</v>
      </c>
      <c r="L26" s="112">
        <v>1.5E-3</v>
      </c>
      <c r="M26" t="s">
        <v>198</v>
      </c>
      <c r="N26" s="117">
        <v>45751</v>
      </c>
    </row>
    <row r="27" spans="3:14" ht="14.25" x14ac:dyDescent="0.45">
      <c r="D27"/>
      <c r="E27"/>
      <c r="G27"/>
      <c r="H27"/>
      <c r="I27"/>
      <c r="J27"/>
      <c r="K27"/>
      <c r="L27"/>
    </row>
    <row r="28" spans="3:14" ht="14.25" x14ac:dyDescent="0.45">
      <c r="D28" s="116"/>
      <c r="E28"/>
      <c r="G28"/>
      <c r="H28"/>
      <c r="I28"/>
      <c r="J28"/>
      <c r="K28"/>
      <c r="L28"/>
    </row>
    <row r="29" spans="3:14" ht="14.25" x14ac:dyDescent="0.45">
      <c r="D29"/>
      <c r="E29"/>
    </row>
    <row r="30" spans="3:14" ht="14.25" x14ac:dyDescent="0.45">
      <c r="D30"/>
      <c r="E30"/>
    </row>
    <row r="31" spans="3:14" ht="14.25" x14ac:dyDescent="0.45">
      <c r="D31"/>
      <c r="E31"/>
    </row>
    <row r="32" spans="3:14" ht="14.25" x14ac:dyDescent="0.45">
      <c r="D32"/>
      <c r="E32"/>
    </row>
    <row r="33" spans="4:5" ht="14.25" x14ac:dyDescent="0.45">
      <c r="D33"/>
      <c r="E33"/>
    </row>
    <row r="34" spans="4:5" ht="14.25" x14ac:dyDescent="0.45">
      <c r="D34"/>
      <c r="E34"/>
    </row>
    <row r="35" spans="4:5" ht="14.25" x14ac:dyDescent="0.45">
      <c r="D35"/>
      <c r="E35"/>
    </row>
    <row r="36" spans="4:5" ht="14.25" x14ac:dyDescent="0.45">
      <c r="D36"/>
      <c r="E36"/>
    </row>
    <row r="37" spans="4:5" ht="14.25" x14ac:dyDescent="0.45">
      <c r="D37"/>
      <c r="E37"/>
    </row>
    <row r="38" spans="4:5" ht="14.25" x14ac:dyDescent="0.45">
      <c r="D38"/>
      <c r="E38"/>
    </row>
    <row r="39" spans="4:5" ht="14.25" x14ac:dyDescent="0.45">
      <c r="D39"/>
      <c r="E39"/>
    </row>
    <row r="40" spans="4:5" ht="14.25" x14ac:dyDescent="0.45">
      <c r="D40"/>
      <c r="E40"/>
    </row>
    <row r="41" spans="4:5" ht="14.25" x14ac:dyDescent="0.45">
      <c r="D41"/>
      <c r="E41"/>
    </row>
    <row r="42" spans="4:5" ht="14.25" x14ac:dyDescent="0.45">
      <c r="D42"/>
      <c r="E42"/>
    </row>
    <row r="43" spans="4:5" ht="14.25" x14ac:dyDescent="0.45">
      <c r="D43"/>
      <c r="E43"/>
    </row>
    <row r="44" spans="4:5" ht="14.25" x14ac:dyDescent="0.45">
      <c r="D44"/>
      <c r="E44"/>
    </row>
    <row r="45" spans="4:5" ht="14.25" x14ac:dyDescent="0.45">
      <c r="D45"/>
      <c r="E45"/>
    </row>
    <row r="46" spans="4:5" ht="14.25" x14ac:dyDescent="0.45">
      <c r="D46"/>
      <c r="E46"/>
    </row>
    <row r="47" spans="4:5" ht="14.25" x14ac:dyDescent="0.45">
      <c r="D47"/>
      <c r="E47"/>
    </row>
    <row r="48" spans="4:5" ht="14.25" x14ac:dyDescent="0.45">
      <c r="D48"/>
      <c r="E48"/>
    </row>
    <row r="49" spans="4:5" ht="14.25" x14ac:dyDescent="0.45">
      <c r="D49"/>
      <c r="E49"/>
    </row>
    <row r="50" spans="4:5" ht="14.25" x14ac:dyDescent="0.45">
      <c r="D50"/>
      <c r="E50"/>
    </row>
    <row r="51" spans="4:5" ht="14.25" x14ac:dyDescent="0.45">
      <c r="D51"/>
      <c r="E51"/>
    </row>
    <row r="52" spans="4:5" ht="14.25" x14ac:dyDescent="0.45">
      <c r="D52"/>
      <c r="E52"/>
    </row>
    <row r="53" spans="4:5" ht="14.25" x14ac:dyDescent="0.45">
      <c r="D53"/>
      <c r="E53"/>
    </row>
    <row r="54" spans="4:5" ht="14.25" x14ac:dyDescent="0.45">
      <c r="D54"/>
      <c r="E54"/>
    </row>
    <row r="55" spans="4:5" ht="14.25" x14ac:dyDescent="0.45">
      <c r="D55"/>
      <c r="E55"/>
    </row>
    <row r="56" spans="4:5" ht="14.25" x14ac:dyDescent="0.45">
      <c r="D56"/>
      <c r="E56"/>
    </row>
    <row r="57" spans="4:5" ht="14.25" x14ac:dyDescent="0.45">
      <c r="D57"/>
      <c r="E57"/>
    </row>
    <row r="58" spans="4:5" ht="14.25" x14ac:dyDescent="0.45">
      <c r="D58"/>
      <c r="E58"/>
    </row>
    <row r="59" spans="4:5" ht="14.25" x14ac:dyDescent="0.45">
      <c r="D59"/>
      <c r="E59"/>
    </row>
    <row r="60" spans="4:5" ht="14.25" x14ac:dyDescent="0.45">
      <c r="D60"/>
      <c r="E60"/>
    </row>
    <row r="61" spans="4:5" ht="14.25" x14ac:dyDescent="0.45">
      <c r="D61"/>
      <c r="E61"/>
    </row>
  </sheetData>
  <autoFilter ref="D2:M26" xr:uid="{E949AEA0-863C-4964-8956-81E7D9FB58B4}">
    <sortState xmlns:xlrd2="http://schemas.microsoft.com/office/spreadsheetml/2017/richdata2" ref="D3:M26">
      <sortCondition ref="D2:D26"/>
    </sortState>
  </autoFilter>
  <sortState xmlns:xlrd2="http://schemas.microsoft.com/office/spreadsheetml/2017/richdata2" ref="A3:L10">
    <sortCondition ref="D3:D10"/>
  </sortState>
  <hyperlinks>
    <hyperlink ref="M9" r:id="rId1" xr:uid="{4BD3106E-6D07-4710-86FF-F5C4CBDF725C}"/>
    <hyperlink ref="M11" r:id="rId2" location="downloads" xr:uid="{E2AD3C28-E1FB-4AAC-8789-CABB54873E12}"/>
    <hyperlink ref="M21" r:id="rId3" xr:uid="{85999492-DD75-4F07-9146-941F4CDBC619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23C3-9349-4D0D-909D-B1F7BF18C9BC}">
  <sheetPr codeName="Sheet6">
    <tabColor rgb="FF004F5C"/>
  </sheetPr>
  <dimension ref="A1:D24"/>
  <sheetViews>
    <sheetView zoomScale="175" zoomScaleNormal="175" workbookViewId="0">
      <selection activeCell="C29" sqref="C29"/>
    </sheetView>
  </sheetViews>
  <sheetFormatPr defaultRowHeight="14.25" x14ac:dyDescent="0.45"/>
  <cols>
    <col min="1" max="1" width="9.265625" bestFit="1" customWidth="1"/>
    <col min="2" max="2" width="11.73046875" bestFit="1" customWidth="1"/>
    <col min="3" max="3" width="55.73046875" bestFit="1" customWidth="1"/>
    <col min="4" max="4" width="7.06640625" style="109" customWidth="1"/>
  </cols>
  <sheetData>
    <row r="1" spans="1:4" x14ac:dyDescent="0.45">
      <c r="A1" s="100" t="s">
        <v>75</v>
      </c>
      <c r="B1" s="100" t="s">
        <v>76</v>
      </c>
      <c r="C1" s="100" t="s">
        <v>77</v>
      </c>
      <c r="D1" s="108" t="s">
        <v>78</v>
      </c>
    </row>
    <row r="2" spans="1:4" x14ac:dyDescent="0.45">
      <c r="A2" t="str">
        <f t="shared" ref="A2:A24" si="0">LEFT(B2,7)</f>
        <v>AAP0103</v>
      </c>
      <c r="B2" t="s">
        <v>113</v>
      </c>
      <c r="C2" t="s">
        <v>136</v>
      </c>
      <c r="D2" s="109">
        <v>2E-3</v>
      </c>
    </row>
    <row r="3" spans="1:4" x14ac:dyDescent="0.45">
      <c r="A3" t="str">
        <f t="shared" si="0"/>
        <v>BFL0020</v>
      </c>
      <c r="B3" t="s">
        <v>125</v>
      </c>
      <c r="C3" t="s">
        <v>148</v>
      </c>
      <c r="D3" s="109">
        <v>1.1999999999999999E-3</v>
      </c>
    </row>
    <row r="4" spans="1:4" x14ac:dyDescent="0.45">
      <c r="A4" t="str">
        <f t="shared" si="0"/>
        <v>BTA0313</v>
      </c>
      <c r="B4" t="s">
        <v>112</v>
      </c>
      <c r="C4" t="s">
        <v>135</v>
      </c>
      <c r="D4" s="109">
        <v>1.5E-3</v>
      </c>
    </row>
    <row r="5" spans="1:4" x14ac:dyDescent="0.45">
      <c r="A5" t="str">
        <f t="shared" si="0"/>
        <v>BTA8657</v>
      </c>
      <c r="B5" t="s">
        <v>127</v>
      </c>
      <c r="C5" t="s">
        <v>150</v>
      </c>
      <c r="D5" s="109">
        <v>1.5E-3</v>
      </c>
    </row>
    <row r="6" spans="1:4" x14ac:dyDescent="0.45">
      <c r="A6" t="str">
        <f t="shared" si="0"/>
        <v>CSA0038</v>
      </c>
      <c r="B6" t="s">
        <v>133</v>
      </c>
      <c r="C6" t="s">
        <v>156</v>
      </c>
      <c r="D6" s="109">
        <v>2.5000000000000001E-3</v>
      </c>
    </row>
    <row r="7" spans="1:4" x14ac:dyDescent="0.45">
      <c r="A7" t="str">
        <f t="shared" si="0"/>
        <v>ETL0016</v>
      </c>
      <c r="B7" t="s">
        <v>131</v>
      </c>
      <c r="C7" t="s">
        <v>154</v>
      </c>
      <c r="D7" s="109">
        <v>5.0000000000000001E-4</v>
      </c>
    </row>
    <row r="8" spans="1:4" x14ac:dyDescent="0.45">
      <c r="A8" t="str">
        <f t="shared" si="0"/>
        <v>ETL0060</v>
      </c>
      <c r="B8" t="s">
        <v>114</v>
      </c>
      <c r="C8" t="s">
        <v>137</v>
      </c>
      <c r="D8" s="109">
        <v>0</v>
      </c>
    </row>
    <row r="9" spans="1:4" x14ac:dyDescent="0.45">
      <c r="A9" t="str">
        <f t="shared" si="0"/>
        <v>ETL0463</v>
      </c>
      <c r="B9" t="s">
        <v>121</v>
      </c>
      <c r="C9" t="s">
        <v>144</v>
      </c>
      <c r="D9" s="109">
        <v>2E-3</v>
      </c>
    </row>
    <row r="10" spans="1:4" x14ac:dyDescent="0.45">
      <c r="A10" t="str">
        <f t="shared" si="0"/>
        <v>FID0010</v>
      </c>
      <c r="B10" t="s">
        <v>122</v>
      </c>
      <c r="C10" t="s">
        <v>145</v>
      </c>
      <c r="D10" s="109">
        <v>2E-3</v>
      </c>
    </row>
    <row r="11" spans="1:4" x14ac:dyDescent="0.45">
      <c r="A11" t="str">
        <f t="shared" si="0"/>
        <v>FRT0027</v>
      </c>
      <c r="B11" t="s">
        <v>128</v>
      </c>
      <c r="C11" t="s">
        <v>151</v>
      </c>
      <c r="D11" s="109">
        <v>1E-3</v>
      </c>
    </row>
    <row r="12" spans="1:4" x14ac:dyDescent="0.45">
      <c r="A12" t="str">
        <f t="shared" si="0"/>
        <v>GSF0874</v>
      </c>
      <c r="B12" t="s">
        <v>119</v>
      </c>
      <c r="C12" t="s">
        <v>142</v>
      </c>
      <c r="D12" s="109">
        <v>0</v>
      </c>
    </row>
    <row r="13" spans="1:4" x14ac:dyDescent="0.45">
      <c r="A13" t="str">
        <f t="shared" si="0"/>
        <v>MAQ0464</v>
      </c>
      <c r="B13" t="s">
        <v>118</v>
      </c>
      <c r="C13" t="s">
        <v>141</v>
      </c>
      <c r="D13" s="109">
        <v>5.3E-3</v>
      </c>
    </row>
    <row r="14" spans="1:4" x14ac:dyDescent="0.45">
      <c r="A14" t="str">
        <f t="shared" si="0"/>
        <v>MAQ3897</v>
      </c>
      <c r="B14" t="s">
        <v>132</v>
      </c>
      <c r="C14" t="s">
        <v>155</v>
      </c>
      <c r="D14" s="109">
        <v>0</v>
      </c>
    </row>
    <row r="15" spans="1:4" x14ac:dyDescent="0.45">
      <c r="A15" t="str">
        <f t="shared" si="0"/>
        <v>MGE0005</v>
      </c>
      <c r="B15" t="s">
        <v>120</v>
      </c>
      <c r="C15" t="s">
        <v>143</v>
      </c>
      <c r="D15" s="109">
        <v>1E-3</v>
      </c>
    </row>
    <row r="16" spans="1:4" x14ac:dyDescent="0.45">
      <c r="A16" t="str">
        <f t="shared" si="0"/>
        <v>SCH0028</v>
      </c>
      <c r="B16" t="s">
        <v>130</v>
      </c>
      <c r="C16" t="s">
        <v>153</v>
      </c>
      <c r="D16" s="109">
        <v>1.6999999999999999E-3</v>
      </c>
    </row>
    <row r="17" spans="1:4" x14ac:dyDescent="0.45">
      <c r="A17" t="str">
        <f t="shared" si="0"/>
        <v>TGP0034</v>
      </c>
      <c r="B17" t="s">
        <v>126</v>
      </c>
      <c r="C17" t="s">
        <v>149</v>
      </c>
      <c r="D17" s="109">
        <v>1.5E-3</v>
      </c>
    </row>
    <row r="18" spans="1:4" x14ac:dyDescent="0.45">
      <c r="A18" t="str">
        <f t="shared" si="0"/>
        <v>UBS0003</v>
      </c>
      <c r="B18" t="s">
        <v>129</v>
      </c>
      <c r="C18" t="s">
        <v>152</v>
      </c>
      <c r="D18" s="109">
        <v>1.5E-3</v>
      </c>
    </row>
    <row r="19" spans="1:4" x14ac:dyDescent="0.45">
      <c r="A19" t="str">
        <f t="shared" si="0"/>
        <v>VAN0002</v>
      </c>
      <c r="B19" t="s">
        <v>116</v>
      </c>
      <c r="C19" t="s">
        <v>139</v>
      </c>
      <c r="D19" s="109">
        <v>0</v>
      </c>
    </row>
    <row r="20" spans="1:4" x14ac:dyDescent="0.45">
      <c r="A20" t="str">
        <f t="shared" si="0"/>
        <v>VAN0003</v>
      </c>
      <c r="B20" t="s">
        <v>123</v>
      </c>
      <c r="C20" t="s">
        <v>146</v>
      </c>
      <c r="D20" s="109">
        <v>0</v>
      </c>
    </row>
    <row r="21" spans="1:4" x14ac:dyDescent="0.45">
      <c r="A21" t="str">
        <f t="shared" si="0"/>
        <v>VAN0004</v>
      </c>
      <c r="B21" t="s">
        <v>124</v>
      </c>
      <c r="C21" t="s">
        <v>147</v>
      </c>
      <c r="D21" s="109">
        <v>0</v>
      </c>
    </row>
    <row r="22" spans="1:4" x14ac:dyDescent="0.45">
      <c r="A22" t="str">
        <f t="shared" si="0"/>
        <v>WHT1465</v>
      </c>
      <c r="B22" t="s">
        <v>117</v>
      </c>
      <c r="C22" t="s">
        <v>140</v>
      </c>
      <c r="D22" s="109">
        <v>1E-3</v>
      </c>
    </row>
    <row r="23" spans="1:4" x14ac:dyDescent="0.45">
      <c r="A23" t="str">
        <f t="shared" si="0"/>
        <v>WHT3093</v>
      </c>
      <c r="B23" t="s">
        <v>115</v>
      </c>
      <c r="C23" t="s">
        <v>138</v>
      </c>
      <c r="D23" s="109">
        <v>2E-3</v>
      </c>
    </row>
    <row r="24" spans="1:4" x14ac:dyDescent="0.45">
      <c r="A24" t="str">
        <f t="shared" si="0"/>
        <v>WPC1583</v>
      </c>
      <c r="B24" t="s">
        <v>134</v>
      </c>
      <c r="C24" t="s">
        <v>157</v>
      </c>
      <c r="D24" s="109">
        <v>1.5E-3</v>
      </c>
    </row>
  </sheetData>
  <autoFilter ref="A1:D1" xr:uid="{A33A23C3-9349-4D0D-909D-B1F7BF18C9BC}">
    <sortState xmlns:xlrd2="http://schemas.microsoft.com/office/spreadsheetml/2017/richdata2" ref="A2:D24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ECA5-54DE-41FC-B0AB-DEFFF5433C16}">
  <sheetPr codeName="Sheet3">
    <tabColor rgb="FF004F5C"/>
  </sheetPr>
  <dimension ref="A1:H134"/>
  <sheetViews>
    <sheetView tabSelected="1" zoomScale="145" zoomScaleNormal="145" workbookViewId="0">
      <selection activeCell="F12" sqref="F12"/>
    </sheetView>
  </sheetViews>
  <sheetFormatPr defaultColWidth="8.73046875" defaultRowHeight="13.15" x14ac:dyDescent="0.45"/>
  <cols>
    <col min="1" max="1" width="11.265625" style="84" bestFit="1" customWidth="1"/>
    <col min="2" max="2" width="38.33203125" style="84" customWidth="1"/>
    <col min="3" max="3" width="9" style="84" bestFit="1" customWidth="1"/>
    <col min="4" max="4" width="12.265625" style="4" bestFit="1" customWidth="1"/>
    <col min="5" max="5" width="11.59765625" style="75" customWidth="1"/>
    <col min="6" max="6" width="16.86328125" style="87" customWidth="1"/>
    <col min="7" max="16384" width="8.73046875" style="72"/>
  </cols>
  <sheetData>
    <row r="1" spans="1:8" s="73" customFormat="1" x14ac:dyDescent="0.45">
      <c r="A1" s="80" t="s">
        <v>79</v>
      </c>
      <c r="B1" s="80"/>
      <c r="C1" s="80"/>
      <c r="D1" s="81"/>
      <c r="E1" s="81"/>
      <c r="F1" s="85"/>
      <c r="G1" s="85"/>
    </row>
    <row r="2" spans="1:8" s="71" customFormat="1" x14ac:dyDescent="0.45">
      <c r="A2" s="82" t="s">
        <v>59</v>
      </c>
      <c r="B2" s="82" t="s">
        <v>60</v>
      </c>
      <c r="C2" s="82" t="s">
        <v>53</v>
      </c>
      <c r="D2" s="83" t="s">
        <v>80</v>
      </c>
      <c r="E2" s="83" t="s">
        <v>73</v>
      </c>
      <c r="F2" s="86" t="s">
        <v>81</v>
      </c>
      <c r="G2" s="86" t="s">
        <v>78</v>
      </c>
    </row>
    <row r="3" spans="1:8" ht="14.25" x14ac:dyDescent="0.45">
      <c r="A3" s="84" t="s">
        <v>163</v>
      </c>
      <c r="B3" t="s">
        <v>214</v>
      </c>
      <c r="C3" t="s">
        <v>90</v>
      </c>
      <c r="D3" s="4">
        <v>0.11</v>
      </c>
      <c r="E3" s="75" t="str">
        <f>INDEX(ComponentFee!C:C,MATCH(C3,ComponentFee!D:D,0))</f>
        <v>NONEXCHG</v>
      </c>
      <c r="F3" s="115">
        <f t="shared" ref="F3" si="0">D3*100</f>
        <v>11</v>
      </c>
      <c r="G3" s="107">
        <f>VLOOKUP(C3,Rebate!A:D,4)</f>
        <v>2E-3</v>
      </c>
      <c r="H3" s="119"/>
    </row>
    <row r="4" spans="1:8" ht="14.25" x14ac:dyDescent="0.45">
      <c r="A4" s="84" t="s">
        <v>163</v>
      </c>
      <c r="B4" t="s">
        <v>214</v>
      </c>
      <c r="C4" t="s">
        <v>92</v>
      </c>
      <c r="D4" s="4">
        <v>0.1</v>
      </c>
      <c r="E4" s="75" t="str">
        <f>INDEX(ComponentFee!C:C,MATCH(C4,ComponentFee!D:D,0))</f>
        <v>NONEXCHG</v>
      </c>
      <c r="F4" s="115">
        <f t="shared" ref="F4:F18" si="1">D4*100</f>
        <v>10</v>
      </c>
      <c r="G4" s="107">
        <f>VLOOKUP(C4,Rebate!A:D,4)</f>
        <v>0</v>
      </c>
      <c r="H4" s="119"/>
    </row>
    <row r="5" spans="1:8" ht="14.25" x14ac:dyDescent="0.45">
      <c r="A5" s="84" t="s">
        <v>163</v>
      </c>
      <c r="B5" t="s">
        <v>214</v>
      </c>
      <c r="C5" t="s">
        <v>99</v>
      </c>
      <c r="D5" s="4">
        <v>0.1</v>
      </c>
      <c r="E5" s="75" t="str">
        <f>INDEX(ComponentFee!C:C,MATCH(C5,ComponentFee!D:D,0))</f>
        <v>NONEXCHG</v>
      </c>
      <c r="F5" s="115">
        <f t="shared" si="1"/>
        <v>10</v>
      </c>
      <c r="G5" s="107">
        <f>VLOOKUP(C5,Rebate!A:D,4)</f>
        <v>0</v>
      </c>
      <c r="H5" s="119"/>
    </row>
    <row r="6" spans="1:8" ht="14.25" x14ac:dyDescent="0.45">
      <c r="A6" s="84" t="s">
        <v>163</v>
      </c>
      <c r="B6" t="s">
        <v>214</v>
      </c>
      <c r="C6" t="s">
        <v>102</v>
      </c>
      <c r="D6" s="4">
        <v>0.09</v>
      </c>
      <c r="E6" s="75" t="str">
        <f>INDEX(ComponentFee!C:C,MATCH(C6,ComponentFee!D:D,0))</f>
        <v>NONEXCHG</v>
      </c>
      <c r="F6" s="115">
        <f t="shared" si="1"/>
        <v>9</v>
      </c>
      <c r="G6" s="107">
        <f>VLOOKUP(C6,Rebate!A:D,4)</f>
        <v>1.5E-3</v>
      </c>
      <c r="H6" s="119"/>
    </row>
    <row r="7" spans="1:8" ht="14.25" x14ac:dyDescent="0.45">
      <c r="A7" s="84" t="s">
        <v>163</v>
      </c>
      <c r="B7" t="s">
        <v>214</v>
      </c>
      <c r="C7" t="s">
        <v>94</v>
      </c>
      <c r="D7" s="4">
        <v>0.08</v>
      </c>
      <c r="E7" s="75" t="str">
        <f>INDEX(ComponentFee!C:C,MATCH(C7,ComponentFee!D:D,0))</f>
        <v>NONEXCHG</v>
      </c>
      <c r="F7" s="115">
        <f t="shared" si="1"/>
        <v>8</v>
      </c>
      <c r="G7" s="107">
        <f>VLOOKUP(C7,Rebate!A:D,4)</f>
        <v>5.3E-3</v>
      </c>
      <c r="H7" s="119"/>
    </row>
    <row r="8" spans="1:8" ht="14.25" x14ac:dyDescent="0.45">
      <c r="A8" s="84" t="s">
        <v>163</v>
      </c>
      <c r="B8" t="s">
        <v>214</v>
      </c>
      <c r="C8" t="s">
        <v>208</v>
      </c>
      <c r="D8" s="4">
        <v>7.0000000000000007E-2</v>
      </c>
      <c r="E8" s="75" t="str">
        <f>INDEX(ComponentFee!C:C,MATCH(C8,ComponentFee!D:D,0))</f>
        <v>NONEXCHG</v>
      </c>
      <c r="F8" s="115">
        <f t="shared" si="1"/>
        <v>7.0000000000000009</v>
      </c>
      <c r="G8" s="107">
        <f>VLOOKUP(C8,Rebate!A:D,4)</f>
        <v>0</v>
      </c>
      <c r="H8" s="119"/>
    </row>
    <row r="9" spans="1:8" ht="14.25" x14ac:dyDescent="0.45">
      <c r="A9" s="84" t="s">
        <v>163</v>
      </c>
      <c r="B9" t="s">
        <v>214</v>
      </c>
      <c r="C9" t="s">
        <v>98</v>
      </c>
      <c r="D9" s="4">
        <v>7.0000000000000007E-2</v>
      </c>
      <c r="E9" s="75" t="str">
        <f>INDEX(ComponentFee!C:C,MATCH(C9,ComponentFee!D:D,0))</f>
        <v>NONEXCHG</v>
      </c>
      <c r="F9" s="115">
        <f t="shared" si="1"/>
        <v>7.0000000000000009</v>
      </c>
      <c r="G9" s="107">
        <f>VLOOKUP(C9,Rebate!A:D,4)</f>
        <v>2E-3</v>
      </c>
      <c r="H9" s="119"/>
    </row>
    <row r="10" spans="1:8" ht="14.25" x14ac:dyDescent="0.45">
      <c r="A10" s="84" t="s">
        <v>163</v>
      </c>
      <c r="B10" t="s">
        <v>214</v>
      </c>
      <c r="C10" t="s">
        <v>93</v>
      </c>
      <c r="D10" s="4">
        <v>0.06</v>
      </c>
      <c r="E10" s="75" t="str">
        <f>INDEX(ComponentFee!C:C,MATCH(C10,ComponentFee!D:D,0))</f>
        <v>NONEXCHG</v>
      </c>
      <c r="F10" s="115">
        <f t="shared" si="1"/>
        <v>6</v>
      </c>
      <c r="G10" s="107">
        <f>VLOOKUP(C10,Rebate!A:D,4)</f>
        <v>1E-3</v>
      </c>
      <c r="H10" s="119"/>
    </row>
    <row r="11" spans="1:8" ht="14.25" x14ac:dyDescent="0.45">
      <c r="A11" s="84" t="s">
        <v>163</v>
      </c>
      <c r="B11" t="s">
        <v>214</v>
      </c>
      <c r="C11" t="s">
        <v>97</v>
      </c>
      <c r="D11" s="4">
        <v>0.06</v>
      </c>
      <c r="E11" s="75" t="str">
        <f>INDEX(ComponentFee!C:C,MATCH(C11,ComponentFee!D:D,0))</f>
        <v>NONEXCHG</v>
      </c>
      <c r="F11" s="115">
        <f t="shared" si="1"/>
        <v>6</v>
      </c>
      <c r="G11" s="107">
        <f>VLOOKUP(C11,Rebate!A:D,4)</f>
        <v>2E-3</v>
      </c>
      <c r="H11" s="119"/>
    </row>
    <row r="12" spans="1:8" ht="14.25" x14ac:dyDescent="0.45">
      <c r="A12" s="84" t="s">
        <v>163</v>
      </c>
      <c r="B12" t="s">
        <v>214</v>
      </c>
      <c r="C12" t="s">
        <v>96</v>
      </c>
      <c r="D12" s="4">
        <v>0.05</v>
      </c>
      <c r="E12" s="75" t="str">
        <f>INDEX(ComponentFee!C:C,MATCH(C12,ComponentFee!D:D,0))</f>
        <v>NONEXCHG</v>
      </c>
      <c r="F12" s="115">
        <f t="shared" si="1"/>
        <v>5</v>
      </c>
      <c r="G12" s="107">
        <f>VLOOKUP(C12,Rebate!A:D,4)</f>
        <v>1E-3</v>
      </c>
      <c r="H12" s="119"/>
    </row>
    <row r="13" spans="1:8" ht="14.25" x14ac:dyDescent="0.45">
      <c r="A13" s="84" t="s">
        <v>163</v>
      </c>
      <c r="B13" t="s">
        <v>214</v>
      </c>
      <c r="C13" t="s">
        <v>101</v>
      </c>
      <c r="D13" s="4">
        <v>0.05</v>
      </c>
      <c r="E13" s="75" t="str">
        <f>INDEX(ComponentFee!C:C,MATCH(C13,ComponentFee!D:D,0))</f>
        <v>NONEXCHG</v>
      </c>
      <c r="F13" s="115">
        <f t="shared" si="1"/>
        <v>5</v>
      </c>
      <c r="G13" s="107">
        <f>VLOOKUP(C13,Rebate!A:D,4)</f>
        <v>1.1999999999999999E-3</v>
      </c>
      <c r="H13" s="119"/>
    </row>
    <row r="14" spans="1:8" ht="14.25" x14ac:dyDescent="0.45">
      <c r="A14" s="84" t="s">
        <v>163</v>
      </c>
      <c r="B14" t="s">
        <v>214</v>
      </c>
      <c r="C14" t="s">
        <v>89</v>
      </c>
      <c r="D14" s="4">
        <v>0.04</v>
      </c>
      <c r="E14" s="75" t="str">
        <f>INDEX(ComponentFee!C:C,MATCH(C14,ComponentFee!D:D,0))</f>
        <v>NONEXCHG</v>
      </c>
      <c r="F14" s="115">
        <f t="shared" si="1"/>
        <v>4</v>
      </c>
      <c r="G14" s="107">
        <f>VLOOKUP(C14,Rebate!A:D,4)</f>
        <v>1.5E-3</v>
      </c>
      <c r="H14" s="119"/>
    </row>
    <row r="15" spans="1:8" ht="14.25" x14ac:dyDescent="0.45">
      <c r="A15" s="84" t="s">
        <v>163</v>
      </c>
      <c r="B15" t="s">
        <v>214</v>
      </c>
      <c r="C15" t="s">
        <v>91</v>
      </c>
      <c r="D15" s="4">
        <v>0.04</v>
      </c>
      <c r="E15" s="75" t="str">
        <f>INDEX(ComponentFee!C:C,MATCH(C15,ComponentFee!D:D,0))</f>
        <v>NONEXCHG</v>
      </c>
      <c r="F15" s="115">
        <f t="shared" si="1"/>
        <v>4</v>
      </c>
      <c r="G15" s="107">
        <f>VLOOKUP(C15,Rebate!A:D,4)</f>
        <v>2E-3</v>
      </c>
      <c r="H15" s="119"/>
    </row>
    <row r="16" spans="1:8" ht="14.25" x14ac:dyDescent="0.45">
      <c r="A16" s="84" t="s">
        <v>163</v>
      </c>
      <c r="B16" t="s">
        <v>214</v>
      </c>
      <c r="C16" t="s">
        <v>95</v>
      </c>
      <c r="D16" s="4">
        <v>0.03</v>
      </c>
      <c r="E16" s="75" t="str">
        <f>INDEX(ComponentFee!C:C,MATCH(C16,ComponentFee!D:D,0))</f>
        <v>NONEXCHG</v>
      </c>
      <c r="F16" s="115">
        <f t="shared" si="1"/>
        <v>3</v>
      </c>
      <c r="G16" s="107">
        <f>VLOOKUP(C16,Rebate!A:D,4)</f>
        <v>0</v>
      </c>
      <c r="H16" s="119"/>
    </row>
    <row r="17" spans="1:8" ht="14.25" x14ac:dyDescent="0.45">
      <c r="A17" s="84" t="s">
        <v>163</v>
      </c>
      <c r="B17" t="s">
        <v>214</v>
      </c>
      <c r="C17" t="s">
        <v>100</v>
      </c>
      <c r="D17" s="4">
        <v>0.03</v>
      </c>
      <c r="E17" s="75" t="str">
        <f>INDEX(ComponentFee!C:C,MATCH(C17,ComponentFee!D:D,0))</f>
        <v>NONEXCHG</v>
      </c>
      <c r="F17" s="115">
        <f t="shared" si="1"/>
        <v>3</v>
      </c>
      <c r="G17" s="107">
        <f>VLOOKUP(C17,Rebate!A:D,4)</f>
        <v>0</v>
      </c>
      <c r="H17" s="119"/>
    </row>
    <row r="18" spans="1:8" ht="14.25" x14ac:dyDescent="0.45">
      <c r="A18" s="84" t="s">
        <v>163</v>
      </c>
      <c r="B18" t="s">
        <v>214</v>
      </c>
      <c r="C18" t="s">
        <v>74</v>
      </c>
      <c r="D18" s="4">
        <v>0.02</v>
      </c>
      <c r="E18" s="75" t="str">
        <f>INDEX(ComponentFee!C:C,MATCH(C18,ComponentFee!D:D,0))</f>
        <v>NONEXCHG</v>
      </c>
      <c r="F18" s="115">
        <f t="shared" si="1"/>
        <v>2</v>
      </c>
      <c r="G18" s="107">
        <f>VLOOKUP(C18,Rebate!A:D,4)</f>
        <v>1.5E-3</v>
      </c>
      <c r="H18" s="119"/>
    </row>
    <row r="19" spans="1:8" ht="14.25" x14ac:dyDescent="0.45">
      <c r="A19" s="84" t="s">
        <v>215</v>
      </c>
      <c r="B19" t="s">
        <v>213</v>
      </c>
      <c r="C19" t="s">
        <v>103</v>
      </c>
      <c r="D19" s="4">
        <v>0.11</v>
      </c>
      <c r="E19" s="75" t="str">
        <f>INDEX(ComponentFee!C:C,MATCH(C19,ComponentFee!D:D,0))</f>
        <v>NONEXCHG</v>
      </c>
      <c r="F19" s="115">
        <f t="shared" ref="F19:F27" si="2">D19*100</f>
        <v>11</v>
      </c>
      <c r="G19" s="107">
        <f>VLOOKUP(C19,Rebate!A:D,4)</f>
        <v>1.5E-3</v>
      </c>
    </row>
    <row r="20" spans="1:8" ht="14.25" x14ac:dyDescent="0.45">
      <c r="A20" s="84" t="s">
        <v>215</v>
      </c>
      <c r="B20" t="s">
        <v>213</v>
      </c>
      <c r="C20" t="s">
        <v>104</v>
      </c>
      <c r="D20" s="4">
        <v>0.13</v>
      </c>
      <c r="E20" s="75" t="str">
        <f>INDEX(ComponentFee!C:C,MATCH(C20,ComponentFee!D:D,0))</f>
        <v>NONEXCHG</v>
      </c>
      <c r="F20" s="115">
        <f t="shared" si="2"/>
        <v>13</v>
      </c>
      <c r="G20" s="107">
        <f>VLOOKUP(C20,Rebate!A:D,4)</f>
        <v>1E-3</v>
      </c>
    </row>
    <row r="21" spans="1:8" ht="14.25" x14ac:dyDescent="0.45">
      <c r="A21" s="84" t="s">
        <v>215</v>
      </c>
      <c r="B21" t="s">
        <v>213</v>
      </c>
      <c r="C21" t="s">
        <v>105</v>
      </c>
      <c r="D21" s="4">
        <v>0.11</v>
      </c>
      <c r="E21" s="75" t="str">
        <f>INDEX(ComponentFee!C:C,MATCH(C21,ComponentFee!D:D,0))</f>
        <v>NONEXCHG</v>
      </c>
      <c r="F21" s="115">
        <f t="shared" si="2"/>
        <v>11</v>
      </c>
      <c r="G21" s="107">
        <f>VLOOKUP(C21,Rebate!A:D,4)</f>
        <v>1.5E-3</v>
      </c>
    </row>
    <row r="22" spans="1:8" ht="14.25" x14ac:dyDescent="0.45">
      <c r="A22" s="84" t="s">
        <v>215</v>
      </c>
      <c r="B22" t="s">
        <v>213</v>
      </c>
      <c r="C22" t="s">
        <v>106</v>
      </c>
      <c r="D22" s="4">
        <v>0.13</v>
      </c>
      <c r="E22" s="75" t="str">
        <f>INDEX(ComponentFee!C:C,MATCH(C22,ComponentFee!D:D,0))</f>
        <v>NONEXCHG</v>
      </c>
      <c r="F22" s="115">
        <f t="shared" si="2"/>
        <v>13</v>
      </c>
      <c r="G22" s="107">
        <f>VLOOKUP(C22,Rebate!A:D,4)</f>
        <v>1.6999999999999999E-3</v>
      </c>
    </row>
    <row r="23" spans="1:8" ht="14.25" x14ac:dyDescent="0.45">
      <c r="A23" s="84" t="s">
        <v>215</v>
      </c>
      <c r="B23" t="s">
        <v>213</v>
      </c>
      <c r="C23" t="s">
        <v>107</v>
      </c>
      <c r="D23" s="4">
        <v>0.2</v>
      </c>
      <c r="E23" s="75" t="str">
        <f>INDEX(ComponentFee!C:C,MATCH(C23,ComponentFee!D:D,0))</f>
        <v>NONEXCHG</v>
      </c>
      <c r="F23" s="115">
        <f t="shared" si="2"/>
        <v>20</v>
      </c>
      <c r="G23" s="107">
        <f>VLOOKUP(C23,Rebate!A:D,4)</f>
        <v>5.0000000000000001E-4</v>
      </c>
    </row>
    <row r="24" spans="1:8" ht="14.25" x14ac:dyDescent="0.45">
      <c r="A24" s="84" t="s">
        <v>215</v>
      </c>
      <c r="B24" t="s">
        <v>213</v>
      </c>
      <c r="C24" t="s">
        <v>108</v>
      </c>
      <c r="D24" s="4">
        <v>7.0000000000000007E-2</v>
      </c>
      <c r="E24" s="75" t="str">
        <f>INDEX(ComponentFee!C:C,MATCH(C24,ComponentFee!D:D,0))</f>
        <v>NONEXCHG</v>
      </c>
      <c r="F24" s="115">
        <f t="shared" si="2"/>
        <v>7.0000000000000009</v>
      </c>
      <c r="G24" s="107">
        <f>VLOOKUP(C24,Rebate!A:D,4)</f>
        <v>0</v>
      </c>
    </row>
    <row r="25" spans="1:8" ht="14.25" x14ac:dyDescent="0.45">
      <c r="A25" s="84" t="s">
        <v>215</v>
      </c>
      <c r="B25" t="s">
        <v>213</v>
      </c>
      <c r="C25" t="s">
        <v>109</v>
      </c>
      <c r="D25" s="4">
        <v>0.11</v>
      </c>
      <c r="E25" s="75" t="str">
        <f>INDEX(ComponentFee!C:C,MATCH(C25,ComponentFee!D:D,0))</f>
        <v>NONEXCHG</v>
      </c>
      <c r="F25" s="115">
        <f t="shared" si="2"/>
        <v>11</v>
      </c>
      <c r="G25" s="107">
        <f>VLOOKUP(C25,Rebate!A:D,4)</f>
        <v>2.5000000000000001E-3</v>
      </c>
    </row>
    <row r="26" spans="1:8" ht="14.25" x14ac:dyDescent="0.45">
      <c r="A26" s="84" t="s">
        <v>215</v>
      </c>
      <c r="B26" t="s">
        <v>213</v>
      </c>
      <c r="C26" t="s">
        <v>110</v>
      </c>
      <c r="D26" s="4">
        <v>0.12</v>
      </c>
      <c r="E26" s="75" t="str">
        <f>INDEX(ComponentFee!C:C,MATCH(C26,ComponentFee!D:D,0))</f>
        <v>NONEXCHG</v>
      </c>
      <c r="F26" s="115">
        <f t="shared" si="2"/>
        <v>12</v>
      </c>
      <c r="G26" s="107">
        <f>VLOOKUP(C26,Rebate!A:D,4)</f>
        <v>1.5E-3</v>
      </c>
    </row>
    <row r="27" spans="1:8" ht="14.25" x14ac:dyDescent="0.45">
      <c r="A27" s="84" t="s">
        <v>215</v>
      </c>
      <c r="B27" t="s">
        <v>213</v>
      </c>
      <c r="C27" t="s">
        <v>74</v>
      </c>
      <c r="D27" s="4">
        <v>0.02</v>
      </c>
      <c r="E27" s="75" t="str">
        <f>INDEX(ComponentFee!C:C,MATCH(C27,ComponentFee!D:D,0))</f>
        <v>NONEXCHG</v>
      </c>
      <c r="F27" s="115">
        <f t="shared" si="2"/>
        <v>2</v>
      </c>
      <c r="G27" s="107">
        <f>VLOOKUP(C27,Rebate!A:D,4)</f>
        <v>1.5E-3</v>
      </c>
      <c r="H27" s="114"/>
    </row>
    <row r="28" spans="1:8" x14ac:dyDescent="0.45">
      <c r="G28" s="107"/>
    </row>
    <row r="29" spans="1:8" x14ac:dyDescent="0.45">
      <c r="G29" s="107"/>
    </row>
    <row r="30" spans="1:8" x14ac:dyDescent="0.45">
      <c r="G30" s="107"/>
    </row>
    <row r="31" spans="1:8" x14ac:dyDescent="0.45">
      <c r="G31" s="107"/>
    </row>
    <row r="32" spans="1:8" x14ac:dyDescent="0.45">
      <c r="G32" s="107"/>
    </row>
    <row r="33" spans="7:7" x14ac:dyDescent="0.45">
      <c r="G33" s="107"/>
    </row>
    <row r="34" spans="7:7" x14ac:dyDescent="0.45">
      <c r="G34" s="107"/>
    </row>
    <row r="35" spans="7:7" x14ac:dyDescent="0.45">
      <c r="G35" s="107"/>
    </row>
    <row r="36" spans="7:7" x14ac:dyDescent="0.45">
      <c r="G36" s="107"/>
    </row>
    <row r="37" spans="7:7" x14ac:dyDescent="0.45">
      <c r="G37" s="107"/>
    </row>
    <row r="38" spans="7:7" x14ac:dyDescent="0.45">
      <c r="G38" s="107"/>
    </row>
    <row r="39" spans="7:7" x14ac:dyDescent="0.45">
      <c r="G39" s="107"/>
    </row>
    <row r="40" spans="7:7" x14ac:dyDescent="0.45">
      <c r="G40" s="107"/>
    </row>
    <row r="41" spans="7:7" x14ac:dyDescent="0.45">
      <c r="G41" s="107"/>
    </row>
    <row r="42" spans="7:7" x14ac:dyDescent="0.45">
      <c r="G42" s="107"/>
    </row>
    <row r="43" spans="7:7" x14ac:dyDescent="0.45">
      <c r="G43" s="107"/>
    </row>
    <row r="44" spans="7:7" x14ac:dyDescent="0.45">
      <c r="G44" s="107"/>
    </row>
    <row r="45" spans="7:7" x14ac:dyDescent="0.45">
      <c r="G45" s="107"/>
    </row>
    <row r="46" spans="7:7" x14ac:dyDescent="0.45">
      <c r="G46" s="107"/>
    </row>
    <row r="47" spans="7:7" x14ac:dyDescent="0.45">
      <c r="G47" s="107"/>
    </row>
    <row r="48" spans="7:7" x14ac:dyDescent="0.45">
      <c r="G48" s="107"/>
    </row>
    <row r="49" spans="7:8" x14ac:dyDescent="0.45">
      <c r="G49" s="107"/>
    </row>
    <row r="50" spans="7:8" x14ac:dyDescent="0.45">
      <c r="G50" s="107"/>
    </row>
    <row r="51" spans="7:8" x14ac:dyDescent="0.45">
      <c r="G51" s="107"/>
    </row>
    <row r="52" spans="7:8" x14ac:dyDescent="0.45">
      <c r="G52" s="107"/>
    </row>
    <row r="53" spans="7:8" x14ac:dyDescent="0.45">
      <c r="G53" s="107"/>
      <c r="H53" s="114"/>
    </row>
    <row r="54" spans="7:8" x14ac:dyDescent="0.45">
      <c r="G54" s="107"/>
      <c r="H54" s="114"/>
    </row>
    <row r="55" spans="7:8" x14ac:dyDescent="0.45">
      <c r="G55" s="107"/>
      <c r="H55" s="114"/>
    </row>
    <row r="56" spans="7:8" x14ac:dyDescent="0.45">
      <c r="G56" s="107"/>
      <c r="H56" s="114"/>
    </row>
    <row r="57" spans="7:8" x14ac:dyDescent="0.45">
      <c r="G57" s="107"/>
      <c r="H57" s="114"/>
    </row>
    <row r="58" spans="7:8" x14ac:dyDescent="0.45">
      <c r="G58" s="107"/>
      <c r="H58" s="114"/>
    </row>
    <row r="59" spans="7:8" x14ac:dyDescent="0.45">
      <c r="G59" s="107"/>
      <c r="H59" s="114"/>
    </row>
    <row r="60" spans="7:8" x14ac:dyDescent="0.45">
      <c r="G60" s="107"/>
      <c r="H60" s="114"/>
    </row>
    <row r="61" spans="7:8" x14ac:dyDescent="0.45">
      <c r="G61" s="107"/>
      <c r="H61" s="114"/>
    </row>
    <row r="62" spans="7:8" x14ac:dyDescent="0.45">
      <c r="G62" s="107"/>
      <c r="H62" s="114"/>
    </row>
    <row r="63" spans="7:8" x14ac:dyDescent="0.45">
      <c r="G63" s="107"/>
      <c r="H63" s="114"/>
    </row>
    <row r="64" spans="7:8" x14ac:dyDescent="0.45">
      <c r="G64" s="107"/>
      <c r="H64" s="114"/>
    </row>
    <row r="65" spans="7:7" x14ac:dyDescent="0.45">
      <c r="G65" s="107"/>
    </row>
    <row r="66" spans="7:7" x14ac:dyDescent="0.45">
      <c r="G66" s="107"/>
    </row>
    <row r="67" spans="7:7" x14ac:dyDescent="0.45">
      <c r="G67" s="107"/>
    </row>
    <row r="68" spans="7:7" x14ac:dyDescent="0.45">
      <c r="G68" s="107"/>
    </row>
    <row r="69" spans="7:7" x14ac:dyDescent="0.45">
      <c r="G69" s="107"/>
    </row>
    <row r="70" spans="7:7" x14ac:dyDescent="0.45">
      <c r="G70" s="107"/>
    </row>
    <row r="71" spans="7:7" x14ac:dyDescent="0.45">
      <c r="G71" s="107"/>
    </row>
    <row r="72" spans="7:7" x14ac:dyDescent="0.45">
      <c r="G72" s="107"/>
    </row>
    <row r="73" spans="7:7" x14ac:dyDescent="0.45">
      <c r="G73" s="107"/>
    </row>
    <row r="74" spans="7:7" x14ac:dyDescent="0.45">
      <c r="G74" s="107"/>
    </row>
    <row r="75" spans="7:7" x14ac:dyDescent="0.45">
      <c r="G75" s="107"/>
    </row>
    <row r="76" spans="7:7" x14ac:dyDescent="0.45">
      <c r="G76" s="107"/>
    </row>
    <row r="77" spans="7:7" x14ac:dyDescent="0.45">
      <c r="G77" s="107"/>
    </row>
    <row r="78" spans="7:7" x14ac:dyDescent="0.45">
      <c r="G78" s="107"/>
    </row>
    <row r="79" spans="7:7" x14ac:dyDescent="0.45">
      <c r="G79" s="107"/>
    </row>
    <row r="80" spans="7:7" x14ac:dyDescent="0.45">
      <c r="G80" s="107"/>
    </row>
    <row r="81" spans="7:7" x14ac:dyDescent="0.45">
      <c r="G81" s="107"/>
    </row>
    <row r="82" spans="7:7" x14ac:dyDescent="0.45">
      <c r="G82" s="107"/>
    </row>
    <row r="83" spans="7:7" x14ac:dyDescent="0.45">
      <c r="G83" s="107"/>
    </row>
    <row r="84" spans="7:7" x14ac:dyDescent="0.45">
      <c r="G84" s="107"/>
    </row>
    <row r="85" spans="7:7" x14ac:dyDescent="0.45">
      <c r="G85" s="107"/>
    </row>
    <row r="86" spans="7:7" x14ac:dyDescent="0.45">
      <c r="G86" s="107"/>
    </row>
    <row r="87" spans="7:7" x14ac:dyDescent="0.45">
      <c r="G87" s="107"/>
    </row>
    <row r="88" spans="7:7" x14ac:dyDescent="0.45">
      <c r="G88" s="107"/>
    </row>
    <row r="89" spans="7:7" x14ac:dyDescent="0.45">
      <c r="G89" s="107"/>
    </row>
    <row r="90" spans="7:7" x14ac:dyDescent="0.45">
      <c r="G90" s="107"/>
    </row>
    <row r="91" spans="7:7" x14ac:dyDescent="0.45">
      <c r="G91" s="107"/>
    </row>
    <row r="92" spans="7:7" x14ac:dyDescent="0.45">
      <c r="G92" s="107"/>
    </row>
    <row r="93" spans="7:7" x14ac:dyDescent="0.45">
      <c r="G93" s="107"/>
    </row>
    <row r="94" spans="7:7" x14ac:dyDescent="0.45">
      <c r="G94" s="107"/>
    </row>
    <row r="95" spans="7:7" x14ac:dyDescent="0.45">
      <c r="G95" s="107"/>
    </row>
    <row r="96" spans="7:7" x14ac:dyDescent="0.45">
      <c r="G96" s="107"/>
    </row>
    <row r="97" spans="7:7" x14ac:dyDescent="0.45">
      <c r="G97" s="107"/>
    </row>
    <row r="98" spans="7:7" x14ac:dyDescent="0.45">
      <c r="G98" s="107"/>
    </row>
    <row r="99" spans="7:7" x14ac:dyDescent="0.45">
      <c r="G99" s="107"/>
    </row>
    <row r="100" spans="7:7" x14ac:dyDescent="0.45">
      <c r="G100" s="107"/>
    </row>
    <row r="101" spans="7:7" x14ac:dyDescent="0.45">
      <c r="G101" s="107"/>
    </row>
    <row r="102" spans="7:7" x14ac:dyDescent="0.45">
      <c r="G102" s="107"/>
    </row>
    <row r="103" spans="7:7" x14ac:dyDescent="0.45">
      <c r="G103" s="107"/>
    </row>
    <row r="104" spans="7:7" x14ac:dyDescent="0.45">
      <c r="G104" s="107"/>
    </row>
    <row r="105" spans="7:7" x14ac:dyDescent="0.45">
      <c r="G105" s="107"/>
    </row>
    <row r="106" spans="7:7" x14ac:dyDescent="0.45">
      <c r="G106" s="107"/>
    </row>
    <row r="107" spans="7:7" x14ac:dyDescent="0.45">
      <c r="G107" s="107"/>
    </row>
    <row r="108" spans="7:7" x14ac:dyDescent="0.45">
      <c r="G108" s="107"/>
    </row>
    <row r="109" spans="7:7" x14ac:dyDescent="0.45">
      <c r="G109" s="107"/>
    </row>
    <row r="110" spans="7:7" x14ac:dyDescent="0.45">
      <c r="G110" s="107"/>
    </row>
    <row r="111" spans="7:7" x14ac:dyDescent="0.45">
      <c r="G111" s="107"/>
    </row>
    <row r="112" spans="7:7" x14ac:dyDescent="0.45">
      <c r="G112" s="107"/>
    </row>
    <row r="113" spans="7:7" x14ac:dyDescent="0.45">
      <c r="G113" s="107"/>
    </row>
    <row r="114" spans="7:7" x14ac:dyDescent="0.45">
      <c r="G114" s="107"/>
    </row>
    <row r="115" spans="7:7" x14ac:dyDescent="0.45">
      <c r="G115" s="107"/>
    </row>
    <row r="116" spans="7:7" x14ac:dyDescent="0.45">
      <c r="G116" s="107"/>
    </row>
    <row r="117" spans="7:7" x14ac:dyDescent="0.45">
      <c r="G117" s="106"/>
    </row>
    <row r="118" spans="7:7" x14ac:dyDescent="0.45">
      <c r="G118" s="106"/>
    </row>
    <row r="119" spans="7:7" x14ac:dyDescent="0.45">
      <c r="G119" s="106"/>
    </row>
    <row r="120" spans="7:7" x14ac:dyDescent="0.45">
      <c r="G120" s="106"/>
    </row>
    <row r="121" spans="7:7" x14ac:dyDescent="0.45">
      <c r="G121" s="106"/>
    </row>
    <row r="122" spans="7:7" x14ac:dyDescent="0.45">
      <c r="G122" s="106"/>
    </row>
    <row r="123" spans="7:7" x14ac:dyDescent="0.45">
      <c r="G123" s="106"/>
    </row>
    <row r="124" spans="7:7" x14ac:dyDescent="0.45">
      <c r="G124" s="106"/>
    </row>
    <row r="125" spans="7:7" x14ac:dyDescent="0.45">
      <c r="G125" s="106"/>
    </row>
    <row r="126" spans="7:7" x14ac:dyDescent="0.45">
      <c r="G126" s="106"/>
    </row>
    <row r="127" spans="7:7" x14ac:dyDescent="0.45">
      <c r="G127" s="106"/>
    </row>
    <row r="128" spans="7:7" x14ac:dyDescent="0.45">
      <c r="G128" s="106"/>
    </row>
    <row r="129" spans="7:7" x14ac:dyDescent="0.45">
      <c r="G129" s="106"/>
    </row>
    <row r="130" spans="7:7" x14ac:dyDescent="0.45">
      <c r="G130" s="106"/>
    </row>
    <row r="131" spans="7:7" x14ac:dyDescent="0.45">
      <c r="G131" s="106"/>
    </row>
    <row r="132" spans="7:7" x14ac:dyDescent="0.45">
      <c r="G132" s="106"/>
    </row>
    <row r="133" spans="7:7" x14ac:dyDescent="0.45">
      <c r="G133" s="106"/>
    </row>
    <row r="134" spans="7:7" x14ac:dyDescent="0.45">
      <c r="G134" s="106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AECD4FFAEC24881DE1F6007DB1196" ma:contentTypeVersion="19" ma:contentTypeDescription="Create a new document." ma:contentTypeScope="" ma:versionID="dfaa4fe9fdfaebd2b3fb94fdbc0e2fd9">
  <xsd:schema xmlns:xsd="http://www.w3.org/2001/XMLSchema" xmlns:xs="http://www.w3.org/2001/XMLSchema" xmlns:p="http://schemas.microsoft.com/office/2006/metadata/properties" xmlns:ns2="b6f0f157-b05d-47b5-a4ad-9104388b9e00" xmlns:ns3="695474d6-1b83-4b70-99c6-99f4784a3023" xmlns:ns4="28c4117a-bbb3-4e1f-8a90-b630a637c5f5" targetNamespace="http://schemas.microsoft.com/office/2006/metadata/properties" ma:root="true" ma:fieldsID="87f642a867bb127e08f296f551362199" ns2:_="" ns3:_="" ns4:_="">
    <xsd:import namespace="b6f0f157-b05d-47b5-a4ad-9104388b9e00"/>
    <xsd:import namespace="695474d6-1b83-4b70-99c6-99f4784a3023"/>
    <xsd:import namespace="28c4117a-bbb3-4e1f-8a90-b630a637c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f157-b05d-47b5-a4ad-9104388b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0616e0a-51ce-457b-a9c4-6ff1e00df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74d6-1b83-4b70-99c6-99f4784a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4117a-bbb3-4e1f-8a90-b630a637c5f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d9efa9e-e86d-421a-b29c-68cba4ec1ac4}" ma:internalName="TaxCatchAll" ma:showField="CatchAllData" ma:web="695474d6-1b83-4b70-99c6-99f4784a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c4117a-bbb3-4e1f-8a90-b630a637c5f5" xsi:nil="true"/>
    <lcf76f155ced4ddcb4097134ff3c332f xmlns="b6f0f157-b05d-47b5-a4ad-9104388b9e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966AB7-58CA-4AF6-BDE6-84504F081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f157-b05d-47b5-a4ad-9104388b9e00"/>
    <ds:schemaRef ds:uri="695474d6-1b83-4b70-99c6-99f4784a3023"/>
    <ds:schemaRef ds:uri="28c4117a-bbb3-4e1f-8a90-b630a637c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935FE6-75FB-49C4-A693-05D512802F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6643EA-F0BA-4B39-9161-E4AAA3BD1537}">
  <ds:schemaRefs>
    <ds:schemaRef ds:uri="http://schemas.microsoft.com/office/2006/metadata/properties"/>
    <ds:schemaRef ds:uri="http://schemas.microsoft.com/office/infopath/2007/PartnerControls"/>
    <ds:schemaRef ds:uri="28c4117a-bbb3-4e1f-8a90-b630a637c5f5"/>
    <ds:schemaRef ds:uri="b6f0f157-b05d-47b5-a4ad-9104388b9e00"/>
  </ds:schemaRefs>
</ds:datastoreItem>
</file>

<file path=docMetadata/LabelInfo.xml><?xml version="1.0" encoding="utf-8"?>
<clbl:labelList xmlns:clbl="http://schemas.microsoft.com/office/2020/mipLabelMetadata">
  <clbl:label id="{7d8a056e-981a-4d0b-83ea-062214276430}" enabled="1" method="Standard" siteId="{c64d49cd-d138-4cdb-a5d4-324a4040c7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IMFee</vt:lpstr>
      <vt:lpstr>Data Source&gt;</vt:lpstr>
      <vt:lpstr>ComponentFee</vt:lpstr>
      <vt:lpstr>Rebate</vt:lpstr>
      <vt:lpstr>Component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Leonardi</dc:creator>
  <cp:keywords/>
  <dc:description/>
  <cp:lastModifiedBy>Danlei Li</cp:lastModifiedBy>
  <cp:revision/>
  <dcterms:created xsi:type="dcterms:W3CDTF">2024-02-12T23:14:35Z</dcterms:created>
  <dcterms:modified xsi:type="dcterms:W3CDTF">2026-04-19T05:23:38Z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0x010100F1AAECD4FFAEC24881DE1F6007DB1196</vt:lpwstr>
  </property>
  <property fmtid="{D5CDD505-2E9C-101B-9397-08002B2CF9AE}" pid="3" name="MediaServiceImageTags">
    <vt:lpwstr/>
  </property>
</Properties>
</file>