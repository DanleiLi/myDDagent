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pgroup.sharepoint.com/teams/AMPWrapInv/Shared Documents/Partnered Managed Portfolios/04. PMP's - New (in progress)/03. In Progress/Minerds Bell/04. DD/"/>
    </mc:Choice>
  </mc:AlternateContent>
  <xr:revisionPtr revIDLastSave="1522" documentId="8_{F66E7779-8D09-42B3-90A6-DDDA7E65DDB8}" xr6:coauthVersionLast="47" xr6:coauthVersionMax="47" xr10:uidLastSave="{150953D9-76DC-4EDE-A1B2-A6D085581EF5}"/>
  <bookViews>
    <workbookView xWindow="-2535" yWindow="-16830" windowWidth="23235" windowHeight="12075" firstSheet="1" activeTab="1" xr2:uid="{0210FD1F-F5F6-46CC-A7DF-538EE5E60318}"/>
  </bookViews>
  <sheets>
    <sheet name="Instruction" sheetId="15" state="hidden" r:id="rId1"/>
    <sheet name="Calculation results" sheetId="13" r:id="rId2"/>
    <sheet name="Investment Perf His" sheetId="14" r:id="rId3"/>
    <sheet name="Invert return series (5 years)" sheetId="2" r:id="rId4"/>
    <sheet name="Invert return series (3 years)" sheetId="3" state="hidden" r:id="rId5"/>
    <sheet name="Invert return series (2 years)" sheetId="4" state="hidden" r:id="rId6"/>
    <sheet name="Manual Calc (5 years)" sheetId="1" state="hidden" r:id="rId7"/>
    <sheet name="Manual Calc (3 years)" sheetId="8" state="hidden" r:id="rId8"/>
    <sheet name="Manual Calc (2 years)" sheetId="10" state="hidden" r:id="rId9"/>
    <sheet name="Morningstar Category Data" sheetId="12" r:id="rId10"/>
    <sheet name="BM Data" sheetId="11" r:id="rId11"/>
  </sheets>
  <definedNames>
    <definedName name="_xlnm._FilterDatabase" localSheetId="2" hidden="1">'Investment Perf His'!$A$1:$C$360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3" l="1"/>
  <c r="I7" i="13"/>
  <c r="AC8" i="13" a="1"/>
  <c r="AC8" i="13" s="1"/>
  <c r="J8" i="13" s="1"/>
  <c r="J7" i="13"/>
  <c r="H7" i="13"/>
  <c r="G7" i="13"/>
  <c r="E7" i="13"/>
  <c r="AC7" i="13" a="1"/>
  <c r="AC7" i="13" s="1"/>
  <c r="H12" i="2"/>
  <c r="AF8" i="13"/>
  <c r="AF7" i="13"/>
  <c r="AE7" i="13"/>
  <c r="Z7" i="13" a="1"/>
  <c r="Z7" i="13" s="1"/>
  <c r="AA7" i="13" a="1"/>
  <c r="AA7" i="13" s="1"/>
  <c r="AB7" i="13" a="1"/>
  <c r="AB7" i="13" s="1"/>
  <c r="AD7" i="13"/>
  <c r="AG7" i="13"/>
  <c r="AG8" i="13" l="1"/>
  <c r="G3" i="1"/>
  <c r="AE8" i="13"/>
  <c r="AD8" i="13"/>
  <c r="E16" i="1"/>
  <c r="E15" i="1"/>
  <c r="E14" i="1"/>
  <c r="G2" i="10"/>
  <c r="AB8" i="13" a="1"/>
  <c r="AB8" i="13" s="1"/>
  <c r="AA8" i="13" a="1"/>
  <c r="AA8" i="13" s="1"/>
  <c r="Z8" i="13" a="1"/>
  <c r="Z8" i="13" s="1"/>
  <c r="B5" i="3"/>
  <c r="B3" i="3"/>
  <c r="B2" i="3"/>
  <c r="B2" i="1"/>
  <c r="I3" i="10"/>
  <c r="I4" i="10" s="1"/>
  <c r="G3" i="10"/>
  <c r="G4" i="10" s="1"/>
  <c r="E8" i="10"/>
  <c r="E14" i="10"/>
  <c r="B30" i="10" s="1"/>
  <c r="E15" i="10"/>
  <c r="E3" i="10"/>
  <c r="E2" i="10" a="1"/>
  <c r="E2" i="10" s="1"/>
  <c r="C2" i="1" l="1"/>
  <c r="B9" i="1"/>
  <c r="C9" i="1" s="1"/>
  <c r="B43" i="1"/>
  <c r="C43" i="1" s="1"/>
  <c r="B25" i="1"/>
  <c r="G2" i="1" s="1"/>
  <c r="G4" i="1" s="1"/>
  <c r="B39" i="1"/>
  <c r="C39" i="1" s="1"/>
  <c r="B22" i="1"/>
  <c r="C22" i="1" s="1"/>
  <c r="B21" i="1"/>
  <c r="C21" i="1" s="1"/>
  <c r="B27" i="1"/>
  <c r="C27" i="1" s="1"/>
  <c r="B26" i="1"/>
  <c r="C26" i="1" s="1"/>
  <c r="B17" i="1"/>
  <c r="C17" i="1" s="1"/>
  <c r="B11" i="1"/>
  <c r="C11" i="1" s="1"/>
  <c r="B42" i="1"/>
  <c r="C42" i="1" s="1"/>
  <c r="B41" i="1"/>
  <c r="C41" i="1" s="1"/>
  <c r="B24" i="1"/>
  <c r="C24" i="1" s="1"/>
  <c r="B23" i="1"/>
  <c r="C23" i="1" s="1"/>
  <c r="B38" i="1"/>
  <c r="C38" i="1" s="1"/>
  <c r="B37" i="1"/>
  <c r="C37" i="1" s="1"/>
  <c r="B52" i="1"/>
  <c r="C52" i="1" s="1"/>
  <c r="B19" i="1"/>
  <c r="C19" i="1" s="1"/>
  <c r="B18" i="1"/>
  <c r="C18" i="1" s="1"/>
  <c r="B48" i="1"/>
  <c r="C48" i="1" s="1"/>
  <c r="B32" i="1"/>
  <c r="C32" i="1" s="1"/>
  <c r="B16" i="1"/>
  <c r="C16" i="1" s="1"/>
  <c r="B47" i="1"/>
  <c r="C47" i="1" s="1"/>
  <c r="B31" i="1"/>
  <c r="C31" i="1" s="1"/>
  <c r="B15" i="1"/>
  <c r="C15" i="1" s="1"/>
  <c r="B10" i="1"/>
  <c r="C10" i="1" s="1"/>
  <c r="B56" i="1"/>
  <c r="C56" i="1" s="1"/>
  <c r="B4" i="1"/>
  <c r="C4" i="1" s="1"/>
  <c r="B3" i="1"/>
  <c r="C3" i="1" s="1"/>
  <c r="B34" i="1"/>
  <c r="C34" i="1" s="1"/>
  <c r="B46" i="1"/>
  <c r="C46" i="1" s="1"/>
  <c r="B30" i="1"/>
  <c r="C30" i="1" s="1"/>
  <c r="B14" i="1"/>
  <c r="C14" i="1" s="1"/>
  <c r="B59" i="1"/>
  <c r="C59" i="1" s="1"/>
  <c r="B8" i="1"/>
  <c r="C8" i="1" s="1"/>
  <c r="B55" i="1"/>
  <c r="C55" i="1" s="1"/>
  <c r="B54" i="1"/>
  <c r="C54" i="1" s="1"/>
  <c r="B53" i="1"/>
  <c r="C53" i="1" s="1"/>
  <c r="B36" i="1"/>
  <c r="C36" i="1" s="1"/>
  <c r="B35" i="1"/>
  <c r="C35" i="1" s="1"/>
  <c r="B50" i="1"/>
  <c r="C50" i="1" s="1"/>
  <c r="B33" i="1"/>
  <c r="C33" i="1" s="1"/>
  <c r="B61" i="1"/>
  <c r="C61" i="1" s="1"/>
  <c r="B45" i="1"/>
  <c r="C45" i="1" s="1"/>
  <c r="B29" i="1"/>
  <c r="C29" i="1" s="1"/>
  <c r="B13" i="1"/>
  <c r="C13" i="1" s="1"/>
  <c r="B58" i="1"/>
  <c r="C58" i="1" s="1"/>
  <c r="B57" i="1"/>
  <c r="C57" i="1" s="1"/>
  <c r="B40" i="1"/>
  <c r="C40" i="1" s="1"/>
  <c r="B7" i="1"/>
  <c r="C7" i="1" s="1"/>
  <c r="B6" i="1"/>
  <c r="C6" i="1" s="1"/>
  <c r="B5" i="1"/>
  <c r="C5" i="1" s="1"/>
  <c r="B20" i="1"/>
  <c r="C20" i="1" s="1"/>
  <c r="B51" i="1"/>
  <c r="C51" i="1" s="1"/>
  <c r="B49" i="1"/>
  <c r="C49" i="1" s="1"/>
  <c r="B60" i="1"/>
  <c r="C60" i="1" s="1"/>
  <c r="B44" i="1"/>
  <c r="C44" i="1" s="1"/>
  <c r="B28" i="1"/>
  <c r="C28" i="1" s="1"/>
  <c r="B12" i="1"/>
  <c r="C12" i="1" s="1"/>
  <c r="E2" i="1" l="1" a="1"/>
  <c r="E2" i="1" s="1"/>
  <c r="C25" i="1"/>
  <c r="E3" i="1" a="1"/>
  <c r="E3" i="1" s="1"/>
  <c r="B66" i="1" l="1"/>
  <c r="E14" i="8" l="1"/>
  <c r="BA3" i="10"/>
  <c r="BA4" i="10" s="1"/>
  <c r="AY3" i="10"/>
  <c r="AY4" i="10" s="1"/>
  <c r="AW3" i="10"/>
  <c r="AW4" i="10" s="1"/>
  <c r="AU3" i="10"/>
  <c r="AU4" i="10" s="1"/>
  <c r="AS3" i="10"/>
  <c r="AS4" i="10" s="1"/>
  <c r="AQ3" i="10"/>
  <c r="AQ4" i="10" s="1"/>
  <c r="AO3" i="10"/>
  <c r="AO4" i="10" s="1"/>
  <c r="AM3" i="10"/>
  <c r="AM4" i="10" s="1"/>
  <c r="AK3" i="10"/>
  <c r="AK4" i="10" s="1"/>
  <c r="AI3" i="10"/>
  <c r="AI4" i="10" s="1"/>
  <c r="AG3" i="10"/>
  <c r="AG4" i="10" s="1"/>
  <c r="AE3" i="10"/>
  <c r="AE4" i="10" s="1"/>
  <c r="AC3" i="10"/>
  <c r="AC4" i="10" s="1"/>
  <c r="AA3" i="10"/>
  <c r="AA4" i="10" s="1"/>
  <c r="Y3" i="10"/>
  <c r="Y4" i="10" s="1"/>
  <c r="W3" i="10"/>
  <c r="W4" i="10" s="1"/>
  <c r="U3" i="10"/>
  <c r="U4" i="10" s="1"/>
  <c r="S3" i="10"/>
  <c r="S4" i="10" s="1"/>
  <c r="Q3" i="10"/>
  <c r="Q4" i="10" s="1"/>
  <c r="O3" i="10"/>
  <c r="O4" i="10" s="1"/>
  <c r="M3" i="10"/>
  <c r="M4" i="10" s="1"/>
  <c r="K3" i="10"/>
  <c r="K4" i="10" s="1"/>
  <c r="BA3" i="8"/>
  <c r="AY3" i="8"/>
  <c r="AW3" i="8"/>
  <c r="AU3" i="8"/>
  <c r="AU4" i="8" s="1"/>
  <c r="AS3" i="8"/>
  <c r="AQ3" i="8"/>
  <c r="AO3" i="8"/>
  <c r="AM3" i="8"/>
  <c r="AK3" i="8"/>
  <c r="AI3" i="8"/>
  <c r="AG3" i="8"/>
  <c r="AE3" i="8"/>
  <c r="AC3" i="8"/>
  <c r="AA3" i="8"/>
  <c r="Y3" i="8"/>
  <c r="W3" i="8"/>
  <c r="U3" i="8"/>
  <c r="S3" i="8"/>
  <c r="Q3" i="8"/>
  <c r="O3" i="8"/>
  <c r="M3" i="8"/>
  <c r="K3" i="8"/>
  <c r="I3" i="8"/>
  <c r="G3" i="8"/>
  <c r="BA3" i="1"/>
  <c r="AY3" i="1"/>
  <c r="AW3" i="1"/>
  <c r="AU3" i="1"/>
  <c r="AS3" i="1"/>
  <c r="AQ3" i="1"/>
  <c r="AO3" i="1"/>
  <c r="AM3" i="1"/>
  <c r="AK3" i="1"/>
  <c r="AI3" i="1"/>
  <c r="AG3" i="1"/>
  <c r="AE3" i="1"/>
  <c r="AC3" i="1"/>
  <c r="AA3" i="1"/>
  <c r="Y3" i="1"/>
  <c r="W3" i="1"/>
  <c r="U3" i="1"/>
  <c r="S3" i="1"/>
  <c r="Q3" i="1"/>
  <c r="O3" i="1"/>
  <c r="M3" i="1"/>
  <c r="K3" i="1"/>
  <c r="I3" i="1"/>
  <c r="E9" i="10"/>
  <c r="D30" i="10" s="1"/>
  <c r="E15" i="8"/>
  <c r="E9" i="8"/>
  <c r="E8" i="8"/>
  <c r="E10" i="1"/>
  <c r="E9" i="1"/>
  <c r="C66" i="1" s="1"/>
  <c r="E8" i="1"/>
  <c r="A66" i="1" s="1"/>
  <c r="B3" i="8"/>
  <c r="B5" i="8"/>
  <c r="AU2" i="8" s="1"/>
  <c r="B2" i="8"/>
  <c r="B3" i="10"/>
  <c r="B4" i="10"/>
  <c r="B5" i="10"/>
  <c r="B6" i="10"/>
  <c r="B7" i="10"/>
  <c r="B8" i="10"/>
  <c r="B9" i="10"/>
  <c r="AM2" i="10" s="1"/>
  <c r="B10" i="10"/>
  <c r="AK2" i="10" s="1"/>
  <c r="B11" i="10"/>
  <c r="B12" i="10"/>
  <c r="B13" i="10"/>
  <c r="B14" i="10"/>
  <c r="B15" i="10"/>
  <c r="B16" i="10"/>
  <c r="B17" i="10"/>
  <c r="W2" i="10" s="1"/>
  <c r="B18" i="10"/>
  <c r="U2" i="10" s="1"/>
  <c r="B19" i="10"/>
  <c r="B20" i="10"/>
  <c r="B21" i="10"/>
  <c r="B22" i="10"/>
  <c r="B23" i="10"/>
  <c r="B24" i="10"/>
  <c r="B25" i="10"/>
  <c r="B2" i="10"/>
  <c r="BA2" i="1"/>
  <c r="BA2" i="10"/>
  <c r="AY2" i="10"/>
  <c r="AW2" i="10"/>
  <c r="AU2" i="10"/>
  <c r="AS2" i="10"/>
  <c r="AQ2" i="10"/>
  <c r="AI2" i="10"/>
  <c r="AG2" i="10"/>
  <c r="AE2" i="10"/>
  <c r="AC2" i="10"/>
  <c r="AA2" i="10"/>
  <c r="Y2" i="10"/>
  <c r="S2" i="10"/>
  <c r="Q2" i="10"/>
  <c r="O2" i="10"/>
  <c r="M2" i="10"/>
  <c r="K2" i="10"/>
  <c r="I2" i="10"/>
  <c r="G5" i="10" l="1"/>
  <c r="C30" i="10" s="1"/>
  <c r="BA4" i="1"/>
  <c r="BA2" i="8"/>
  <c r="AO4" i="8"/>
  <c r="Q4" i="8"/>
  <c r="BA4" i="8"/>
  <c r="AM4" i="8"/>
  <c r="AG4" i="8"/>
  <c r="AI4" i="8"/>
  <c r="AK4" i="8"/>
  <c r="A30" i="10"/>
  <c r="AY2" i="8"/>
  <c r="AY4" i="8" s="1"/>
  <c r="AO2" i="10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37" i="3"/>
  <c r="B37" i="8" s="1"/>
  <c r="B36" i="3"/>
  <c r="B36" i="8" s="1"/>
  <c r="B35" i="3"/>
  <c r="B35" i="8" s="1"/>
  <c r="B34" i="3"/>
  <c r="B34" i="8" s="1"/>
  <c r="B33" i="3"/>
  <c r="B33" i="8" s="1"/>
  <c r="B32" i="3"/>
  <c r="B32" i="8" s="1"/>
  <c r="B31" i="3"/>
  <c r="B31" i="8" s="1"/>
  <c r="B30" i="3"/>
  <c r="B30" i="8" s="1"/>
  <c r="B29" i="3"/>
  <c r="B29" i="8" s="1"/>
  <c r="B28" i="3"/>
  <c r="B28" i="8" s="1"/>
  <c r="B27" i="3"/>
  <c r="B27" i="8" s="1"/>
  <c r="B26" i="3"/>
  <c r="B26" i="8" s="1"/>
  <c r="B25" i="3"/>
  <c r="B25" i="8" s="1"/>
  <c r="G2" i="8" s="1"/>
  <c r="G4" i="8" s="1"/>
  <c r="B24" i="3"/>
  <c r="B24" i="8" s="1"/>
  <c r="I2" i="8" s="1"/>
  <c r="I4" i="8" s="1"/>
  <c r="B23" i="3"/>
  <c r="B23" i="8" s="1"/>
  <c r="K2" i="8" s="1"/>
  <c r="K4" i="8" s="1"/>
  <c r="B22" i="3"/>
  <c r="B22" i="8" s="1"/>
  <c r="M2" i="8" s="1"/>
  <c r="M4" i="8" s="1"/>
  <c r="B21" i="3"/>
  <c r="B21" i="8" s="1"/>
  <c r="O2" i="8" s="1"/>
  <c r="O4" i="8" s="1"/>
  <c r="B20" i="3"/>
  <c r="B20" i="8" s="1"/>
  <c r="Q2" i="8" s="1"/>
  <c r="B19" i="3"/>
  <c r="B19" i="8" s="1"/>
  <c r="S2" i="8" s="1"/>
  <c r="S4" i="8" s="1"/>
  <c r="B18" i="3"/>
  <c r="B18" i="8" s="1"/>
  <c r="U2" i="8" s="1"/>
  <c r="U4" i="8" s="1"/>
  <c r="B17" i="3"/>
  <c r="B17" i="8" s="1"/>
  <c r="W2" i="8" s="1"/>
  <c r="W4" i="8" s="1"/>
  <c r="B16" i="3"/>
  <c r="B16" i="8" s="1"/>
  <c r="Y2" i="8" s="1"/>
  <c r="Y4" i="8" s="1"/>
  <c r="B15" i="3"/>
  <c r="B15" i="8" s="1"/>
  <c r="AA2" i="8" s="1"/>
  <c r="AA4" i="8" s="1"/>
  <c r="B14" i="3"/>
  <c r="B14" i="8" s="1"/>
  <c r="AC2" i="8" s="1"/>
  <c r="AC4" i="8" s="1"/>
  <c r="B13" i="3"/>
  <c r="B13" i="8" s="1"/>
  <c r="AE2" i="8" s="1"/>
  <c r="AE4" i="8" s="1"/>
  <c r="B12" i="3"/>
  <c r="B12" i="8" s="1"/>
  <c r="AG2" i="8" s="1"/>
  <c r="B11" i="3"/>
  <c r="B11" i="8" s="1"/>
  <c r="AI2" i="8" s="1"/>
  <c r="B10" i="3"/>
  <c r="B10" i="8" s="1"/>
  <c r="AK2" i="8" s="1"/>
  <c r="B9" i="3"/>
  <c r="B9" i="8" s="1"/>
  <c r="AM2" i="8" s="1"/>
  <c r="B8" i="3"/>
  <c r="B8" i="8" s="1"/>
  <c r="AO2" i="8" s="1"/>
  <c r="B7" i="3"/>
  <c r="B7" i="8" s="1"/>
  <c r="AQ2" i="8" s="1"/>
  <c r="AQ4" i="8" s="1"/>
  <c r="B6" i="3"/>
  <c r="B6" i="8" s="1"/>
  <c r="AS2" i="8" s="1"/>
  <c r="AS4" i="8" s="1"/>
  <c r="B4" i="3"/>
  <c r="B4" i="8" s="1"/>
  <c r="AW2" i="8" s="1"/>
  <c r="AW4" i="8" s="1"/>
  <c r="I2" i="1"/>
  <c r="I4" i="1" s="1"/>
  <c r="K2" i="1"/>
  <c r="K4" i="1" s="1"/>
  <c r="M2" i="1"/>
  <c r="M4" i="1" s="1"/>
  <c r="O2" i="1"/>
  <c r="O4" i="1" s="1"/>
  <c r="Q2" i="1"/>
  <c r="Q4" i="1" s="1"/>
  <c r="S2" i="1"/>
  <c r="S4" i="1" s="1"/>
  <c r="U2" i="1"/>
  <c r="U4" i="1" s="1"/>
  <c r="W2" i="1"/>
  <c r="W4" i="1" s="1"/>
  <c r="Y2" i="1"/>
  <c r="Y4" i="1" s="1"/>
  <c r="AA2" i="1"/>
  <c r="AA4" i="1" s="1"/>
  <c r="AC2" i="1"/>
  <c r="AC4" i="1" s="1"/>
  <c r="AE2" i="1"/>
  <c r="AE4" i="1" s="1"/>
  <c r="AG2" i="1"/>
  <c r="AG4" i="1" s="1"/>
  <c r="AI2" i="1"/>
  <c r="AI4" i="1" s="1"/>
  <c r="AK2" i="1"/>
  <c r="AK4" i="1" s="1"/>
  <c r="AM2" i="1"/>
  <c r="AM4" i="1" s="1"/>
  <c r="AO2" i="1"/>
  <c r="AO4" i="1" s="1"/>
  <c r="AQ2" i="1"/>
  <c r="AQ4" i="1" s="1"/>
  <c r="AS2" i="1"/>
  <c r="AS4" i="1" s="1"/>
  <c r="AU2" i="1"/>
  <c r="AU4" i="1" s="1"/>
  <c r="AW2" i="1"/>
  <c r="AW4" i="1" s="1"/>
  <c r="AY2" i="1"/>
  <c r="AY4" i="1" s="1"/>
  <c r="G5" i="1" l="1"/>
  <c r="E66" i="1" s="1"/>
  <c r="G5" i="8"/>
  <c r="C42" i="8" s="1"/>
  <c r="E2" i="8" a="1"/>
  <c r="E2" i="8" s="1"/>
  <c r="E3" i="8"/>
  <c r="D42" i="8" s="1"/>
  <c r="E4" i="1"/>
  <c r="F66" i="1" s="1"/>
  <c r="K30" i="10"/>
  <c r="L30" i="10" s="1"/>
  <c r="A42" i="8" l="1"/>
  <c r="B42" i="8"/>
  <c r="D66" i="1"/>
  <c r="K42" i="8" l="1"/>
  <c r="L42" i="8" s="1"/>
  <c r="M66" i="1"/>
  <c r="N66" i="1" s="1"/>
  <c r="A2" i="2" l="1" a="1"/>
  <c r="A2" i="2" s="1"/>
  <c r="R5" i="13" s="1" a="1"/>
  <c r="R5" i="13" s="1"/>
  <c r="U5" i="13" l="1"/>
  <c r="T5" i="13"/>
  <c r="S5" i="13"/>
  <c r="S8" i="13" l="1" a="1"/>
  <c r="S8" i="13" s="1"/>
  <c r="V8" i="13" s="1"/>
  <c r="S7" i="13" a="1"/>
  <c r="S7" i="13" s="1"/>
  <c r="V7" i="13" s="1"/>
  <c r="T7" i="13" a="1"/>
  <c r="T7" i="13" s="1"/>
  <c r="W7" i="13" s="1"/>
  <c r="T8" i="13" a="1"/>
  <c r="T8" i="13" s="1"/>
  <c r="W8" i="13" s="1"/>
  <c r="U8" i="13" a="1"/>
  <c r="U8" i="13" s="1"/>
  <c r="X8" i="13" s="1"/>
  <c r="U7" i="13" a="1"/>
  <c r="U7" i="13" s="1"/>
  <c r="X7" i="13" s="1"/>
  <c r="Y8" i="13" a="1"/>
  <c r="Y8" i="13" s="1"/>
  <c r="Y7" i="13" a="1"/>
  <c r="Y7" i="13" s="1"/>
  <c r="AH7" i="13" a="1"/>
  <c r="AH7" i="13" s="1"/>
  <c r="AH8" i="13" a="1"/>
  <c r="AH8" i="13" s="1"/>
  <c r="G8" i="13" l="1"/>
  <c r="H8" i="13"/>
  <c r="F7" i="13"/>
  <c r="F8" i="13"/>
  <c r="E8" i="13"/>
  <c r="D8" i="13" l="1"/>
  <c r="D7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<sst xmlns="http://schemas.openxmlformats.org/spreadsheetml/2006/main" count="956" uniqueCount="510">
  <si>
    <t>Instructions</t>
  </si>
  <si>
    <t>1. Make a copy of the template</t>
  </si>
  <si>
    <t>2. Overwrite the column A-C 'Investment Perf His' tab using your portfolio performance history(ideally &gt;5 years)</t>
  </si>
  <si>
    <t>3. Update 'Calculation results' tab following the instruction in the orange text box</t>
  </si>
  <si>
    <t>4. Copy and paste table C5 to R25 into board paper.</t>
  </si>
  <si>
    <t>Accumulated return</t>
  </si>
  <si>
    <t>Annualised return</t>
  </si>
  <si>
    <t>Volatility</t>
  </si>
  <si>
    <t>Benchmark retunrs</t>
  </si>
  <si>
    <t>Benchmark vol</t>
  </si>
  <si>
    <t>Morningstar Category</t>
  </si>
  <si>
    <t>Tracking error</t>
  </si>
  <si>
    <t>Fund vs BM. 5 year net returns. Fail if alpha&lt;0</t>
  </si>
  <si>
    <t>Fund vs peers. 5 year rank in Morningstar peer group. Fail if in 4th quartile</t>
  </si>
  <si>
    <t>Fund vs BM. 2 year net returns. Fail if alpha&lt;0</t>
  </si>
  <si>
    <t>Fund vs peers. 3 year rank in Morningstar peer group. Fail if in 4th quartile</t>
  </si>
  <si>
    <t>Annualised 2 year tracking error. Fail if &gt;2x peer median TE</t>
  </si>
  <si>
    <t>Annualised 2 year volatility. Fail if &gt;1.5x BM volatility</t>
  </si>
  <si>
    <t>Fail if &lt;80% liquid in 21 business days</t>
  </si>
  <si>
    <t>Fail if not Approved/Investment Grade (Zenith, Lonsec), 3.5 (SQM) or Neutral (Morningstar) or higher</t>
  </si>
  <si>
    <t>Team (resourcing, skills, stability)</t>
  </si>
  <si>
    <t>Process (robust, disciplined, governance)</t>
  </si>
  <si>
    <t>Business (conflicts, support, stability)</t>
  </si>
  <si>
    <t>Product (viability, fees, capacity, concentration)</t>
  </si>
  <si>
    <t>5 years</t>
  </si>
  <si>
    <t>3 years</t>
  </si>
  <si>
    <t>2 years</t>
  </si>
  <si>
    <t>5 yr 4th Quartile Cut-off Return:</t>
  </si>
  <si>
    <t>3 yr 4th Quartile Cut-off Return:</t>
  </si>
  <si>
    <t>2 yr 4th Quartile Cut-off Return:</t>
  </si>
  <si>
    <t>2 yr Median tracking error:</t>
  </si>
  <si>
    <t>2 years Tracking error</t>
  </si>
  <si>
    <t>Overall Score (out of 100)</t>
  </si>
  <si>
    <t>5yr Returns vs BM</t>
  </si>
  <si>
    <t>5yr Rank vs Peers</t>
  </si>
  <si>
    <t>3yr Returns vs BM</t>
  </si>
  <si>
    <t>3yr Rank vs Peers</t>
  </si>
  <si>
    <t>Tracking Error</t>
  </si>
  <si>
    <t>Liquidity (Underlying)</t>
  </si>
  <si>
    <t>Ratings</t>
  </si>
  <si>
    <t>Team</t>
  </si>
  <si>
    <t>Process</t>
  </si>
  <si>
    <t>Business</t>
  </si>
  <si>
    <t>Product</t>
  </si>
  <si>
    <t>Benchmark</t>
  </si>
  <si>
    <t>Morningstar Peer Group</t>
  </si>
  <si>
    <t>Aurora 0% Growth</t>
  </si>
  <si>
    <t>•</t>
  </si>
  <si>
    <t>Morningstar AUS Con Tgt Alloc NR AUD</t>
  </si>
  <si>
    <t>Australia Fund Multisector Conservative</t>
  </si>
  <si>
    <t>Aurora 100% Growth Portfolio</t>
  </si>
  <si>
    <t>Morningstar AUS Agg Tgt Alloc NR AUD</t>
  </si>
  <si>
    <t>Australia Fund Multisector Aggressive</t>
  </si>
  <si>
    <t>Green &gt; 60%</t>
  </si>
  <si>
    <t>Amber 50-59%</t>
  </si>
  <si>
    <t>Pass</t>
  </si>
  <si>
    <t>Red &lt; 50%</t>
  </si>
  <si>
    <t>–</t>
  </si>
  <si>
    <t>Fail</t>
  </si>
  <si>
    <t>Please note:</t>
  </si>
  <si>
    <t>Managed Portfolio scoring weights are defined in Investment Options Charter and Operational Guidelines October 2021.</t>
  </si>
  <si>
    <t>* Where portfolio's have an absolute return target tracking error score cannot be calculated. In these cases the Volatiliy weight doubles and increases from 5% to 10%</t>
  </si>
  <si>
    <t>^ For portfolio's that do not have 5 yr track record the performance weighting of 2/3 years doubles from 10% to 20%.</t>
  </si>
  <si>
    <t>Portfolio Name</t>
  </si>
  <si>
    <t>Date</t>
  </si>
  <si>
    <t>Paste series below</t>
  </si>
  <si>
    <t>Corrected order (most recent month at top)</t>
  </si>
  <si>
    <t>Return Series</t>
  </si>
  <si>
    <t>Investment Option</t>
  </si>
  <si>
    <t>Investment option monthly returns&gt;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</si>
  <si>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</si>
  <si>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</si>
  <si>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</si>
  <si>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</si>
  <si>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</si>
  <si>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</si>
  <si>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</si>
  <si>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</si>
  <si>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</si>
  <si>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</si>
  <si>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</si>
  <si>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</si>
  <si>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</si>
  <si>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</si>
  <si>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</si>
  <si>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</si>
  <si>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</si>
  <si>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</si>
  <si>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</si>
  <si>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</si>
  <si>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</si>
  <si>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</si>
  <si>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</si>
  <si>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</si>
  <si>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60</t>
  </si>
  <si>
    <t>5 yr annualised return:</t>
  </si>
  <si>
    <t>Month 59</t>
  </si>
  <si>
    <t>3 yr annualised return:</t>
  </si>
  <si>
    <t>Benchmark monthly returns&gt;</t>
  </si>
  <si>
    <t>Month 58</t>
  </si>
  <si>
    <t>2 yr annualised vol:</t>
  </si>
  <si>
    <t>Monthly Excess&gt;</t>
  </si>
  <si>
    <t>Month 57</t>
  </si>
  <si>
    <t>Month 56</t>
  </si>
  <si>
    <t>Month 55</t>
  </si>
  <si>
    <t>Benchmark:</t>
  </si>
  <si>
    <t>Morningstar AUS Balance Tgt Alloc NR AUD</t>
  </si>
  <si>
    <t>Month 54</t>
  </si>
  <si>
    <t>Month 53</t>
  </si>
  <si>
    <t>Month 52</t>
  </si>
  <si>
    <t>Month 51</t>
  </si>
  <si>
    <t>Month 50</t>
  </si>
  <si>
    <t>Month 49</t>
  </si>
  <si>
    <t>Morningstar Category:</t>
  </si>
  <si>
    <t>Australia Fund Multisector Balanced</t>
  </si>
  <si>
    <t>Month 48</t>
  </si>
  <si>
    <t>Month 47</t>
  </si>
  <si>
    <t>Month 46</t>
  </si>
  <si>
    <t>Month 45</t>
  </si>
  <si>
    <t>Month 44</t>
  </si>
  <si>
    <t>Month 43</t>
  </si>
  <si>
    <t>Month 42</t>
  </si>
  <si>
    <t>Month 41</t>
  </si>
  <si>
    <t>Month 40</t>
  </si>
  <si>
    <t>Month 39</t>
  </si>
  <si>
    <t>Month 38</t>
  </si>
  <si>
    <t>Month 37</t>
  </si>
  <si>
    <t>Month 36</t>
  </si>
  <si>
    <t>Month 35</t>
  </si>
  <si>
    <t>Month 34</t>
  </si>
  <si>
    <t>Month 33</t>
  </si>
  <si>
    <t>Month 32</t>
  </si>
  <si>
    <t>Month 31</t>
  </si>
  <si>
    <t>Month 30</t>
  </si>
  <si>
    <t>Month 29</t>
  </si>
  <si>
    <t>Month 28</t>
  </si>
  <si>
    <t>Month 27</t>
  </si>
  <si>
    <t>Month 26</t>
  </si>
  <si>
    <t>Month 25</t>
  </si>
  <si>
    <t>Scoring Summary</t>
  </si>
  <si>
    <t>Fund vs BM. 3 year net returns. Fail if alpha&lt;0</t>
  </si>
  <si>
    <t>Score</t>
  </si>
  <si>
    <t>Final Rating</t>
  </si>
  <si>
    <t>Morningstar AUS Mod Tgt Alloc NR AUD</t>
  </si>
  <si>
    <t>Australia Fund Alternative - Other</t>
  </si>
  <si>
    <t>2 yr annualised return:</t>
  </si>
  <si>
    <t>Bloomberg Global High Yield TR Hdg AUD</t>
  </si>
  <si>
    <t>Australia Fund Alternative - Macro Trading</t>
  </si>
  <si>
    <t>Fund vs peers. 2 year rank in Morningstar peer group. Fail if in 4th quartile</t>
  </si>
  <si>
    <t>4th Quartile Category Returns</t>
  </si>
  <si>
    <t>Median Category TE</t>
  </si>
  <si>
    <t>Morningstar Categories (31 Dec 2025)</t>
  </si>
  <si>
    <t>1 Year</t>
  </si>
  <si>
    <t>2 Years</t>
  </si>
  <si>
    <t>3 Years</t>
  </si>
  <si>
    <t>5 Years</t>
  </si>
  <si>
    <t>Australia Fund Alternative - Multistrategy</t>
  </si>
  <si>
    <t>Australia Fund Alternative - Systematic Trend</t>
  </si>
  <si>
    <t>Australia Fund Australian Cash</t>
  </si>
  <si>
    <t>Australia Fund Australian Short Term Fixed Interest</t>
  </si>
  <si>
    <t>Australia Fund Bonds - Australia</t>
  </si>
  <si>
    <t>Australia Fund Bonds - Emerging Market Debt</t>
  </si>
  <si>
    <t>Australia Fund Bonds - Global</t>
  </si>
  <si>
    <t>Australia Fund Bonds - Global / Australia</t>
  </si>
  <si>
    <t>Australia Fund Bonds - Inflation-linked</t>
  </si>
  <si>
    <t>Australia Fund Commodities &amp; Precious Metals</t>
  </si>
  <si>
    <t>Australia Fund Diversified Credit</t>
  </si>
  <si>
    <t>Australia Fund Australia Equity Income</t>
  </si>
  <si>
    <t>New Peer Group</t>
  </si>
  <si>
    <t>Australia Fund Equity Asia Pacific w/o Japan</t>
  </si>
  <si>
    <t>Australia Fund Equity Australia Large Blend</t>
  </si>
  <si>
    <t>Australia Fund Equity Australia Large Geared</t>
  </si>
  <si>
    <t>Australia Fund Equity Australia Large Growth</t>
  </si>
  <si>
    <t>Australia Fund Equity Australia Large Value</t>
  </si>
  <si>
    <t>Australia Fund Equity Australia Long Short</t>
  </si>
  <si>
    <t>Australia Fund Equity Australia Mid/Small Blend</t>
  </si>
  <si>
    <t>Australia Fund Equity Australia Mid/Small Growth</t>
  </si>
  <si>
    <t>Australia Fund Equity Australia Mid/Small Value</t>
  </si>
  <si>
    <t>Australia Fund Equity Australia Other</t>
  </si>
  <si>
    <t>Australia Fund Equity Australia Real Estate</t>
  </si>
  <si>
    <t>Australia Fund Equity Emerging Markets</t>
  </si>
  <si>
    <t>Australia Fund Equity Europe</t>
  </si>
  <si>
    <t>Australia Fund Equity Global Infrastructure</t>
  </si>
  <si>
    <t>Australia Fund Equity Global Infrastructure - Currency Hedged</t>
  </si>
  <si>
    <t>Australia Fund Equity Global Real Estate</t>
  </si>
  <si>
    <t>Australia Fund Equity Global Resources</t>
  </si>
  <si>
    <t>Australia Fund Equity Global Technology</t>
  </si>
  <si>
    <t>Australia Fund Equity Greater China</t>
  </si>
  <si>
    <t>Australia Fund Equity Japan</t>
  </si>
  <si>
    <t>Australia Fund Equity North America</t>
  </si>
  <si>
    <t>Australia Fund Equity World - Currency Hedged</t>
  </si>
  <si>
    <t>Australia Fund Equity World Large Blend</t>
  </si>
  <si>
    <t>Australia Fund Equity World Large Growth</t>
  </si>
  <si>
    <t>Australia Fund Equity World Large Value</t>
  </si>
  <si>
    <t>Australia Fund Equity World Long Short</t>
  </si>
  <si>
    <t>Australia Fund Equity World Mid/Small</t>
  </si>
  <si>
    <t>Australia Fund Equity World Other</t>
  </si>
  <si>
    <t>Australia Fund High Yield Credit</t>
  </si>
  <si>
    <t>Australia Fund Miscellaneous</t>
  </si>
  <si>
    <t>Australia Fund Miscellaneous NZD</t>
  </si>
  <si>
    <t>Australia Fund Mortgages</t>
  </si>
  <si>
    <t>Australia Fund Mortgages Aggressive</t>
  </si>
  <si>
    <t>Australia Fund Multisector Flexible</t>
  </si>
  <si>
    <t>Australia Fund Multisector Growth</t>
  </si>
  <si>
    <t>Australia Superannuation Multisector Life Stages - 1940s and earlier</t>
  </si>
  <si>
    <t>Australia Superannuation Multisector Life Stages - 1950s</t>
  </si>
  <si>
    <t>Australia Superannuation Multisector Life Stages - 1960s</t>
  </si>
  <si>
    <t>Australia Superannuation Multisector Life Stages - 1970s</t>
  </si>
  <si>
    <t>Australia Superannuation Multisector Life Stages - 1980s</t>
  </si>
  <si>
    <t>Australia Superannuation Multisector Life Stages - 1990s and later</t>
  </si>
  <si>
    <t>Australia Fund Multisector Moderate</t>
  </si>
  <si>
    <t>Australia Fund Unconstrained Fixed Income</t>
  </si>
  <si>
    <t>Australia Fund Reserve Backed</t>
  </si>
  <si>
    <t>Australia Fund Unlisted and Direct Property</t>
  </si>
  <si>
    <t>Australia Fund Alternative - Private Debt</t>
  </si>
  <si>
    <t>Australia Fund Non Investment Grade Debt</t>
  </si>
  <si>
    <t>Australia Fund Alternative - Private Equity</t>
  </si>
  <si>
    <t>Australia Fund Equity Alternative - Private Debt</t>
  </si>
  <si>
    <t>Australia Invst Bd Equity Australia Large Blend</t>
  </si>
  <si>
    <t>5 year Return</t>
  </si>
  <si>
    <t>3 year Return</t>
  </si>
  <si>
    <t>2 year Return</t>
  </si>
  <si>
    <t>2 year Vol</t>
  </si>
  <si>
    <t>1 year Return</t>
  </si>
  <si>
    <t>Group/Investment</t>
  </si>
  <si>
    <t>Return
(Annualized)</t>
  </si>
  <si>
    <t>Std Dev
(Annualized)</t>
  </si>
  <si>
    <t>Return
(Cumulative)</t>
  </si>
  <si>
    <t>Unclassified</t>
  </si>
  <si>
    <t>35FTSE EPRANAREIT Dev H + 45FTSE Dev Core Infra 5050 H + 20S&amp;PASX 200 AREIT</t>
  </si>
  <si>
    <t>50 BB AusBond Bank 0+ 50 BB AusBond Composite</t>
  </si>
  <si>
    <t>50 Bloomberg AusBond Composite 0+Y TR and 50 BBg Barclay Aggregate TR Hdg</t>
  </si>
  <si>
    <t>50 JPM EMBI (hedged) + 50 JPM EMBI</t>
  </si>
  <si>
    <t>50 MSCI %0 AUD CASH</t>
  </si>
  <si>
    <t>50 MSCI EM NR AUD 50 MSCI WORLD SMALL CAP</t>
  </si>
  <si>
    <t>50% ASX 300 TR + 50% MSCI World ex Aus unhedged</t>
  </si>
  <si>
    <t>50% ASX Midcap 50% Small Ord</t>
  </si>
  <si>
    <t>50% AusBond Bank, 50% AusBond Composite</t>
  </si>
  <si>
    <t>50% AusBond Comp 0-3yr, 50% AusBond Bank</t>
  </si>
  <si>
    <t>50% Ausbond Comp, 50% Global Agg hdg</t>
  </si>
  <si>
    <t>50% FTSE EPRANAREIT Developed (H) + 50% FTSE Dvlp Core Infra 5050 (H)</t>
  </si>
  <si>
    <t>50% MSCI ACWI Info Tech + 50% MSCI ACWI Financials</t>
  </si>
  <si>
    <t>50% MSCI World Small Cap (unhedged) 50% MSCI EM NR AUD</t>
  </si>
  <si>
    <t>50% S&amp;PASX 200 + 50% Bbg AusBond Comp</t>
  </si>
  <si>
    <t>50% S&amp;PASX 300 A-REIT TR + 50% FTSE EPRANAREIT Developed Index TR  (hedge</t>
  </si>
  <si>
    <t xml:space="preserve">60% AusBond Comp, 30% Global US Agg hdg, 10% Global Agg Corp hdg </t>
  </si>
  <si>
    <t>60% AusBond Comp, 40% Global Agg hdg</t>
  </si>
  <si>
    <t>60% Bloomberg AusBond Composite All Maturities Index and 40% Barclays Globa</t>
  </si>
  <si>
    <t>60% Mercer Unlisted + 35% ASX 200 AREIT + 5% Bank Bill</t>
  </si>
  <si>
    <t>65% S&amp;PASX 300 TR + 35% RBA Cash Rate Target</t>
  </si>
  <si>
    <t xml:space="preserve">70 Bloomberg AusBond Composite 0+Y 30 FTSE WGBI Hdge AUD </t>
  </si>
  <si>
    <t>70% AusBond Comp, 30% Citi WGBI hdg</t>
  </si>
  <si>
    <t>70% BBg Global Aggr Hdge AUD + 30% Bloomberg AusBond Composite 0+Y</t>
  </si>
  <si>
    <t>70% Bloomberg AusBond Composite 0+Y,  30% BBg Global Aggr Hdge AUD</t>
  </si>
  <si>
    <t>70% Global Agg (Hedged) + 30% Ausbond Composite</t>
  </si>
  <si>
    <t>70% S&amp;PASX MidCap and 30% S&amp;PASX Small Ord</t>
  </si>
  <si>
    <t>85% AusBond Govt, 15% AusBond Govt Infl</t>
  </si>
  <si>
    <t>AusBond Bank Bill Index + 10%</t>
  </si>
  <si>
    <t>Australian CPI + 1%</t>
  </si>
  <si>
    <t>Australian CPI + 1.5%</t>
  </si>
  <si>
    <t>Australian CPI + 2%</t>
  </si>
  <si>
    <t>Australian CPI + 2.5%</t>
  </si>
  <si>
    <t>Australian CPI + 3%</t>
  </si>
  <si>
    <t>Australian CPI + 3.5%</t>
  </si>
  <si>
    <t>Australian CPI + 4.0%</t>
  </si>
  <si>
    <t>Australian CPI + 4.5%</t>
  </si>
  <si>
    <t>Australian CPI + 5%</t>
  </si>
  <si>
    <t>Australian CPI + 5.5%</t>
  </si>
  <si>
    <t>Bloomberg AusBond Bank 0+Y TR AUD</t>
  </si>
  <si>
    <t>Bloomberg AusBond Cmp 0-3Y TR AUD 50% + Bloomberg AusBond 50%</t>
  </si>
  <si>
    <t>Bloomberg AusBond Comp Bond 60% Barclay Global Agg hdg 40%</t>
  </si>
  <si>
    <t>Bloomberg AusBond Composite 0+Y TR AUD</t>
  </si>
  <si>
    <t>Bloomberg AusBond Credit 0+Y TR</t>
  </si>
  <si>
    <t>Bloomberg AusBond Credit FRN 0+Y TR AUD</t>
  </si>
  <si>
    <t>Bloomberg AusBond Govt 0-5Y TR AUD</t>
  </si>
  <si>
    <t>Bloomberg AusBond Govt 0+Y TR AUD</t>
  </si>
  <si>
    <t xml:space="preserve">Bloomberg AusBond Govt 0+Y TR AUD 85% + Bloomberg AusBond Govt Infl 0+Y TR </t>
  </si>
  <si>
    <t>Bloomberg AusBond Govt 10+Y TR AUD</t>
  </si>
  <si>
    <t>Bloomberg AusBond Govt 5-10Y TR AUD</t>
  </si>
  <si>
    <t>Bloomberg AusBond Infl 0-10Y TR AUD</t>
  </si>
  <si>
    <t>Bloomberg AusBond Infl 0+Y TR AUD</t>
  </si>
  <si>
    <t>Bloomberg AusBond Semi-Govt 0-5Y TR AUD</t>
  </si>
  <si>
    <t>Bloomberg AusBond Treasury</t>
  </si>
  <si>
    <t>Bloomberg AusBond Treasury 0+Y TR AUD</t>
  </si>
  <si>
    <t>Bloomberg Gbl Agg Corp TR Hdg AUD</t>
  </si>
  <si>
    <t>Bloomberg Global Aggregate TR Hdg AUD</t>
  </si>
  <si>
    <t>Bloomberg Global Credit Corp TR Hdg AUD</t>
  </si>
  <si>
    <t>Bloomberg Global Treasury TR Hdg AUD</t>
  </si>
  <si>
    <t>Bloomberg Multiverse TR Hdg AUD</t>
  </si>
  <si>
    <t>Bloomberg US Treasury-Bills TR AUD</t>
  </si>
  <si>
    <t>Bloomberg US Treasury Bill 1-3 M TR USD</t>
  </si>
  <si>
    <t>Cash BankBill + 1%</t>
  </si>
  <si>
    <t>Cash BankBill + 1.5%</t>
  </si>
  <si>
    <t xml:space="preserve">Cash BankBill + 2% </t>
  </si>
  <si>
    <t>Cash BankBill + 2.5%</t>
  </si>
  <si>
    <t>Cash BankBill + 3%</t>
  </si>
  <si>
    <t>Cash BankBill + 4%</t>
  </si>
  <si>
    <t>Cash BankBill + 5%</t>
  </si>
  <si>
    <t>Cash BankBill + 7%</t>
  </si>
  <si>
    <t>Cash RBA - 0.25%</t>
  </si>
  <si>
    <t>Cash RBA + 0.5%</t>
  </si>
  <si>
    <t>Cash RBA + 1%</t>
  </si>
  <si>
    <t>Cash RBA + 1.5%</t>
  </si>
  <si>
    <t>Cash RBA + 2%</t>
  </si>
  <si>
    <t>Cash RBA + 2.5%</t>
  </si>
  <si>
    <t>Cash RBA + 3.25%</t>
  </si>
  <si>
    <t>Cash RBA + 3.5%</t>
  </si>
  <si>
    <t>Cash RBA + 4%</t>
  </si>
  <si>
    <t>Cash RBA + 4.5%</t>
  </si>
  <si>
    <t>Cash RBA + 5%</t>
  </si>
  <si>
    <t>Cash RBA + 8%</t>
  </si>
  <si>
    <t xml:space="preserve">CPI </t>
  </si>
  <si>
    <t>CPI + 1%</t>
  </si>
  <si>
    <t>CPI + 1.25%</t>
  </si>
  <si>
    <t>CPI + 1.5%</t>
  </si>
  <si>
    <t>CPI + 1.75%</t>
  </si>
  <si>
    <t>CPI + 10%</t>
  </si>
  <si>
    <t>CPI + 2%</t>
  </si>
  <si>
    <t>CPI + 2.5%</t>
  </si>
  <si>
    <t>CPI + 3%</t>
  </si>
  <si>
    <t>CPI + 3.3%</t>
  </si>
  <si>
    <t>CPI + 3.5%</t>
  </si>
  <si>
    <t>CPI + 3.9%</t>
  </si>
  <si>
    <t>CPI + 4%</t>
  </si>
  <si>
    <t>CPI + 4.3%</t>
  </si>
  <si>
    <t>CPI + 4.4%</t>
  </si>
  <si>
    <t>CPI + 4.5%</t>
  </si>
  <si>
    <t>CPI + 4.9%</t>
  </si>
  <si>
    <t>CPI + 5%</t>
  </si>
  <si>
    <t>CPI + 5.2%</t>
  </si>
  <si>
    <t>CPI + 6%</t>
  </si>
  <si>
    <t>CPI + 8%</t>
  </si>
  <si>
    <t>CPI + 8.5%</t>
  </si>
  <si>
    <t>CRSP US Total Market TR USD</t>
  </si>
  <si>
    <t>Custom Alternative Diversified</t>
  </si>
  <si>
    <t>Div Infra &amp; Property hdg 50 FTSE CORE INFRA 50 NREIT DEVELOPED</t>
  </si>
  <si>
    <t>DJ Brookfield Global Infrastructure Net Accum (Hgd to AUD)</t>
  </si>
  <si>
    <t>DJ Cmmdty Crude Oil TR USD</t>
  </si>
  <si>
    <t>DJ Gbl Select RESI NR AUD</t>
  </si>
  <si>
    <t>EURO STOXX 50 NR USD</t>
  </si>
  <si>
    <t>Fidelity Digital Health TR USD</t>
  </si>
  <si>
    <t>FTSE 100 NR EUR</t>
  </si>
  <si>
    <t>FTSE Australia 300 Choice TR AUD</t>
  </si>
  <si>
    <t>FTSE AW Ex US NR AUD</t>
  </si>
  <si>
    <t>FTSE Bitcoin PR USD</t>
  </si>
  <si>
    <t>FTSE China 50 TR HKD</t>
  </si>
  <si>
    <t>FTSE China A50 NR CNY</t>
  </si>
  <si>
    <t>FTSE Developed All Cap NR AUD</t>
  </si>
  <si>
    <t>FTSE Dvlp Core Infra 50/50 NR AUD</t>
  </si>
  <si>
    <t>FTSE Dvlp Core Infra 5050 NR Hdg AUD</t>
  </si>
  <si>
    <t>FTSE Dvlp Core Infrastructure TR Hdg AUD</t>
  </si>
  <si>
    <t>FTSE Dvlp Core Infrastructure TR USD</t>
  </si>
  <si>
    <t>FTSE EMs AC China A Inclusion NR AUD</t>
  </si>
  <si>
    <t>FTSE Environmental Opp All-Shares TR USD</t>
  </si>
  <si>
    <t>FTSE EPRA Nareit Dev Rental Hdg NR AUD</t>
  </si>
  <si>
    <t>FTSE EPRA Nareit Developed NR AUD</t>
  </si>
  <si>
    <t>FTSE EPRA Nareit Developed NR Hdg AUD</t>
  </si>
  <si>
    <t>FTSE EPRA Nareit Developed Rental NR USD</t>
  </si>
  <si>
    <t>FTSE EPRA Nareit Developed TR AUD</t>
  </si>
  <si>
    <t>FTSE EPRA Nareit Developed TR Hdg AUD</t>
  </si>
  <si>
    <t>FTSE EPRA Nareit Dv Ex AUS TR Hdg AUD</t>
  </si>
  <si>
    <t>FTSE EPRA Nareit Dv ExAUS Rtl TR Hgd AUD</t>
  </si>
  <si>
    <t>FTSE Ethereum PR USD</t>
  </si>
  <si>
    <t>FTSE Global Core Infra 50/50 NR AUD</t>
  </si>
  <si>
    <t>FTSE Global Core Infra 50/50 NR Hdg AUD</t>
  </si>
  <si>
    <t>FTSE WGBI Hdg AUD</t>
  </si>
  <si>
    <t>Indxx AI and Big Data TR USD</t>
  </si>
  <si>
    <t>Indxx Global Cloud Computing NTR USD</t>
  </si>
  <si>
    <t>Indxx Global Robotics &amp; AI TR USD</t>
  </si>
  <si>
    <t>JPM GBI-EM Global Diversified TR USD</t>
  </si>
  <si>
    <t>LBMA Gold Price PM USD</t>
  </si>
  <si>
    <t>MarketVector Bitcoin Bnchmk Rate TR USD</t>
  </si>
  <si>
    <t>Mercer Unlisted Property Index</t>
  </si>
  <si>
    <t>Morningstar APAC xJpn NR AUD</t>
  </si>
  <si>
    <t>Morningstar AUS Growth Tgt Alloc NR AUD</t>
  </si>
  <si>
    <t>Morningstar China NR AUD</t>
  </si>
  <si>
    <t>Morningstar DM Tech Moat Foc NR USD</t>
  </si>
  <si>
    <t>Morningstar Gbl Tech NR AUD</t>
  </si>
  <si>
    <t>Morningstar India NR AUD</t>
  </si>
  <si>
    <t>MSCI AC Asia Ex Japan NR USD</t>
  </si>
  <si>
    <t>MSCI AC Europe NR USD</t>
  </si>
  <si>
    <t>MSCI ACWI ex Australia 100%Hedged NR AUD</t>
  </si>
  <si>
    <t>MSCI ACWI Ex Australia GR AUD</t>
  </si>
  <si>
    <t>MSCI ACWI Ex Australia NR AUD</t>
  </si>
  <si>
    <t>MSCI ACWI Ex Australia NR USD</t>
  </si>
  <si>
    <t>MSCI ACWI Ex USA NR USD</t>
  </si>
  <si>
    <t>MSCI ACWI High Dividend Yield NR USD</t>
  </si>
  <si>
    <t>MSCI ACWI NR USD</t>
  </si>
  <si>
    <t>MSCI ACWI Select Agricul Prod IMI NR LCL</t>
  </si>
  <si>
    <t>MSCI ACWI Select Gold Miners IMI NR LCL</t>
  </si>
  <si>
    <t>MSCI ACWI Select Gold Miners IMI NR USD</t>
  </si>
  <si>
    <t>MSCI ACWI SMID NR USD</t>
  </si>
  <si>
    <t>MSCI ACWI/Banks NR LCL</t>
  </si>
  <si>
    <t>MSCI ACWI/Comm Services NR LCL</t>
  </si>
  <si>
    <t>MSCI ACWI/Consumer Discretionary NR LCL</t>
  </si>
  <si>
    <t>MSCI ACWI/Energy NR LCL</t>
  </si>
  <si>
    <t>MSCI ACWI/Health Care NR LCL</t>
  </si>
  <si>
    <t>MSCI ACWI/Health Care NR USD</t>
  </si>
  <si>
    <t>MSCI ACWI/Information Technology NR USD</t>
  </si>
  <si>
    <t>MSCI ACWI/Utilities NR LCL</t>
  </si>
  <si>
    <t>MSCI ACWISemicon&amp;Semicon Equip NR USD</t>
  </si>
  <si>
    <t>MSCI Australia Small Cap GR LCL</t>
  </si>
  <si>
    <t>MSCI China NR USD</t>
  </si>
  <si>
    <t>MSCI EAFE NR USD</t>
  </si>
  <si>
    <t>MSCI EM NR AUD</t>
  </si>
  <si>
    <t>MSCI EM NR LCL</t>
  </si>
  <si>
    <t>MSCI Europe NR AUD</t>
  </si>
  <si>
    <t>MSCI Europe NR LCL</t>
  </si>
  <si>
    <t>MSCI India NR USD</t>
  </si>
  <si>
    <t>MSCI Japan NR AUD</t>
  </si>
  <si>
    <t>MSCI Japan NR LCL</t>
  </si>
  <si>
    <t>MSCI Korea 25-50 NR USD</t>
  </si>
  <si>
    <t>MSCI USA Small Cap NR USD</t>
  </si>
  <si>
    <t>MSCI World ex Aus Min Vol (AUD) NR LCL</t>
  </si>
  <si>
    <t>MSCI World ex Aus Min Vol (AUD) NR USD</t>
  </si>
  <si>
    <t>MSCI World Ex AUS Small Cap NR AUD</t>
  </si>
  <si>
    <t>MSCI World Ex Australia NR AUD</t>
  </si>
  <si>
    <t>MSCI World Ex Australia NR LCL</t>
  </si>
  <si>
    <t>MSCI World Factor Mix A-Sers(USD) NR USD</t>
  </si>
  <si>
    <t>MSCI World GR EUR</t>
  </si>
  <si>
    <t>MSCI World Growth NR LCL</t>
  </si>
  <si>
    <t>MSCI World Growth NR USD</t>
  </si>
  <si>
    <t>MSCI World NR AUD</t>
  </si>
  <si>
    <t>MSCI World NR USD</t>
  </si>
  <si>
    <t>MSCI World Quality NR LCL</t>
  </si>
  <si>
    <t>MSCI World Quality NR USD</t>
  </si>
  <si>
    <t>MSCI World Small Cap NR AUD</t>
  </si>
  <si>
    <t>MSCI World Small Cap NR USD</t>
  </si>
  <si>
    <t>MSCI World SMID NR USD</t>
  </si>
  <si>
    <t>MSCI World Value NR LCL</t>
  </si>
  <si>
    <t>MSCI World Value NR USD</t>
  </si>
  <si>
    <t>MVIS Australia A-REITs GR AUD</t>
  </si>
  <si>
    <t>MVIS Global Video Gaming&amp;eSports TR AUD</t>
  </si>
  <si>
    <t>NASDAQ 100 NR USD</t>
  </si>
  <si>
    <t>Nasdaq CTA Cybersecurity Index TR USD</t>
  </si>
  <si>
    <t>Nasdaq Future AU Sustain Leaders NR AUD</t>
  </si>
  <si>
    <t>Nasdaq Future Glb Sustain Leaders NR AUD</t>
  </si>
  <si>
    <t>NASDAQ ISE Cyber Security UCITS NR USD</t>
  </si>
  <si>
    <t>Nifty 50 TR INR</t>
  </si>
  <si>
    <t>NYSE Arca Gold Miners NR USD</t>
  </si>
  <si>
    <t>NYSE FANG+ TR USD</t>
  </si>
  <si>
    <t>OECD G7 Inflation + 5.5%</t>
  </si>
  <si>
    <t>RBA Cash Rate</t>
  </si>
  <si>
    <t>RBA Cash Rate + 1.0%</t>
  </si>
  <si>
    <t>RBA Cash Rate + 1.5%</t>
  </si>
  <si>
    <t>RBA Cash Rate + 1.6%</t>
  </si>
  <si>
    <t>RBA Cash Rate + 2.0%</t>
  </si>
  <si>
    <t>RBA Cash Rate + 2.4%</t>
  </si>
  <si>
    <t>RBA Cash Rate + 2.5%</t>
  </si>
  <si>
    <t>RBA Cash Rate + 3%</t>
  </si>
  <si>
    <t>RBA Cash Rate + 3.2%</t>
  </si>
  <si>
    <t>RBA Cash Rate + 3.5%</t>
  </si>
  <si>
    <t>RBA Cash Rate + 4.0%</t>
  </si>
  <si>
    <t>RBA Cash Rate + 4.5%</t>
  </si>
  <si>
    <t>RBA Cash Rate + 5.0%</t>
  </si>
  <si>
    <t>RBA Cash Rate Target</t>
  </si>
  <si>
    <t>S&amp;P 100 TR</t>
  </si>
  <si>
    <t>S&amp;P 500 Equal Weighted TR USD</t>
  </si>
  <si>
    <t>S&amp;P 500 Low Volatility High Div TR USD</t>
  </si>
  <si>
    <t>S&amp;P 500 NR AUD</t>
  </si>
  <si>
    <t>S&amp;P 500 NR USD</t>
  </si>
  <si>
    <t>S&amp;P Asia 50 NR USD</t>
  </si>
  <si>
    <t>S&amp;P Australia BMI Growth TR AUD</t>
  </si>
  <si>
    <t>S&amp;P Australia BMI Value TR AUD</t>
  </si>
  <si>
    <t>S&amp;P Biotechnology Select Industry NR USD</t>
  </si>
  <si>
    <t>S&amp;P Bitcoin PR AUD</t>
  </si>
  <si>
    <t>S&amp;P BMI Global USD1Bn-5Bn NR AUD</t>
  </si>
  <si>
    <t>S&amp;P Developed Ex AUS LargeMid NR USD</t>
  </si>
  <si>
    <t>S&amp;P Emerging LargeMid NR USD</t>
  </si>
  <si>
    <t>S&amp;P Europe 350 NR USD</t>
  </si>
  <si>
    <t>S&amp;P Global 100 Hedged NR AUD</t>
  </si>
  <si>
    <t>S&amp;P Global 100 NR USD</t>
  </si>
  <si>
    <t>S&amp;P Global 1200 Cons Stps Sec Cap TR AUD</t>
  </si>
  <si>
    <t>S&amp;P Global 1200 Healthcare Sector TR USD</t>
  </si>
  <si>
    <t>S&amp;P Global Clean Energy Trnsitn NR USD</t>
  </si>
  <si>
    <t>S&amp;P Global Dividend Aristocrats NR AUD</t>
  </si>
  <si>
    <t>S&amp;P Global Infrastructure NR AUD</t>
  </si>
  <si>
    <t>S&amp;P Global Infrastructure NR Hdg AUD</t>
  </si>
  <si>
    <t>S&amp;P Global Natural Resources NR USD</t>
  </si>
  <si>
    <t>S&amp;P Global Natural Resources TR USD</t>
  </si>
  <si>
    <t>S&amp;P MidCap 400 TR</t>
  </si>
  <si>
    <t>S&amp;P SmallCap 600 TR AUD</t>
  </si>
  <si>
    <t>S&amp;P/ASX 100 TR</t>
  </si>
  <si>
    <t>S&amp;P/ASX 20 TR AUD</t>
  </si>
  <si>
    <t>S&amp;P/ASX 200 A-REIT TR</t>
  </si>
  <si>
    <t>S&amp;P/ASX 200 Energy TR</t>
  </si>
  <si>
    <t>S&amp;P/ASX 200 Fincl Ex A-REIT TR</t>
  </si>
  <si>
    <t>S&amp;P/ASX 200 Health Care TR</t>
  </si>
  <si>
    <t>S&amp;P/ASX 200 Industrials Sector TR AUD</t>
  </si>
  <si>
    <t>S&amp;P/ASX 200 Info Tech TR</t>
  </si>
  <si>
    <t>S&amp;P/ASX 200 Resources TR AUD</t>
  </si>
  <si>
    <t>S&amp;P/ASX 200 TR AUD</t>
  </si>
  <si>
    <t>S&amp;P/ASX 200 Utilities TR</t>
  </si>
  <si>
    <t>S&amp;P/ASX 300 A-REIT TR</t>
  </si>
  <si>
    <t>S&amp;P/ASX 300 Industrials Sector TR AUD</t>
  </si>
  <si>
    <t>S&amp;P/ASX 300 INDUSTRIALS TR AUD</t>
  </si>
  <si>
    <t>S&amp;P/ASX 300 TR</t>
  </si>
  <si>
    <t>S&amp;P/ASX 50 TR AUD</t>
  </si>
  <si>
    <t>S&amp;P/ASX All Ordinaries TR</t>
  </si>
  <si>
    <t>S&amp;P/ASX Emerging Companies TR AUD</t>
  </si>
  <si>
    <t>S&amp;P/ASX Mid Small TR AUD</t>
  </si>
  <si>
    <t>S&amp;P/ASX MidCap 50 TR</t>
  </si>
  <si>
    <t>S&amp;P/ASX Small Ordinaries TR AUD</t>
  </si>
  <si>
    <t>Solactive Asia Ex-JP T&amp;In Tigers NR USD</t>
  </si>
  <si>
    <t>Solactive Aus IG Corp Bond Slct TR AUD</t>
  </si>
  <si>
    <t>Solactive Battery Value-Chain TR USD</t>
  </si>
  <si>
    <t>test1</t>
  </si>
  <si>
    <t>Peer Group: Display Group</t>
  </si>
  <si>
    <t>Peer Group Median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</si>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</sst>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theme="0"/>
      <name val="Arial"/>
      <family val="2"/>
    </font>
    <font>
      <sz val="10"/>
      <color theme="1"/>
      <name val="Verdana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b/>
      <sz val="10"/>
      <color theme="1"/>
      <name val="Verdana"/>
      <family val="2"/>
    </font>
    <font>
      <sz val="10"/>
      <color rgb="FF000000"/>
      <name val="Verdana"/>
      <family val="2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Arial"/>
      <family val="2"/>
    </font>
    <font>
      <sz val="6"/>
      <color theme="1"/>
      <name val="Arial"/>
      <family val="2"/>
    </font>
    <font>
      <sz val="11"/>
      <color theme="1"/>
      <name val="Arial"/>
      <family val="2"/>
    </font>
    <font>
      <b/>
      <i/>
      <sz val="7"/>
      <color theme="1"/>
      <name val="Calibri"/>
      <family val="2"/>
      <scheme val="minor"/>
    </font>
    <font>
      <sz val="8"/>
      <color theme="1"/>
      <name val="Arial"/>
      <family val="2"/>
    </font>
    <font>
      <i/>
      <sz val="7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theme="0" tint="-0.499984740745262"/>
      <name val="Arial"/>
      <family val="2"/>
    </font>
    <font>
      <sz val="11"/>
      <color rgb="FF000000"/>
      <name val="Aptos"/>
      <family val="2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0"/>
      <color theme="1"/>
      <name val="Verdana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1" fillId="0" borderId="0" applyBorder="0"/>
  </cellStyleXfs>
  <cellXfs count="104">
    <xf numFmtId="0" fontId="0" fillId="0" borderId="0" xfId="0"/>
    <xf numFmtId="0" fontId="5" fillId="2" borderId="0" xfId="2" applyFont="1" applyFill="1"/>
    <xf numFmtId="0" fontId="4" fillId="0" borderId="0" xfId="2"/>
    <xf numFmtId="10" fontId="4" fillId="0" borderId="0" xfId="2" applyNumberFormat="1"/>
    <xf numFmtId="10" fontId="0" fillId="0" borderId="0" xfId="1" applyNumberFormat="1" applyFont="1"/>
    <xf numFmtId="10" fontId="6" fillId="0" borderId="0" xfId="1" applyNumberFormat="1" applyFont="1"/>
    <xf numFmtId="4" fontId="6" fillId="0" borderId="0" xfId="0" applyNumberFormat="1" applyFont="1"/>
    <xf numFmtId="10" fontId="7" fillId="0" borderId="0" xfId="1" applyNumberFormat="1" applyFont="1"/>
    <xf numFmtId="10" fontId="0" fillId="0" borderId="0" xfId="0" applyNumberFormat="1"/>
    <xf numFmtId="0" fontId="2" fillId="3" borderId="2" xfId="0" applyFont="1" applyFill="1" applyBorder="1" applyAlignment="1">
      <alignment wrapText="1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 wrapText="1"/>
    </xf>
    <xf numFmtId="0" fontId="8" fillId="5" borderId="0" xfId="2" applyFont="1" applyFill="1" applyAlignment="1">
      <alignment horizontal="center" vertical="center" wrapText="1"/>
    </xf>
    <xf numFmtId="0" fontId="4" fillId="6" borderId="0" xfId="2" applyFill="1"/>
    <xf numFmtId="14" fontId="0" fillId="0" borderId="0" xfId="0" applyNumberFormat="1"/>
    <xf numFmtId="10" fontId="0" fillId="0" borderId="0" xfId="0" applyNumberFormat="1" applyAlignment="1">
      <alignment horizontal="right" vertical="center" wrapText="1"/>
    </xf>
    <xf numFmtId="10" fontId="8" fillId="0" borderId="0" xfId="3" applyNumberFormat="1" applyFont="1"/>
    <xf numFmtId="10" fontId="0" fillId="0" borderId="0" xfId="3" applyNumberFormat="1" applyFont="1"/>
    <xf numFmtId="2" fontId="4" fillId="0" borderId="0" xfId="2" applyNumberFormat="1"/>
    <xf numFmtId="10" fontId="0" fillId="0" borderId="0" xfId="3" applyNumberFormat="1" applyFont="1" applyFill="1"/>
    <xf numFmtId="2" fontId="0" fillId="0" borderId="0" xfId="3" applyNumberFormat="1" applyFont="1"/>
    <xf numFmtId="0" fontId="3" fillId="0" borderId="0" xfId="0" applyFont="1"/>
    <xf numFmtId="0" fontId="11" fillId="0" borderId="0" xfId="0" applyFont="1" applyAlignment="1">
      <alignment horizontal="right" wrapText="1"/>
    </xf>
    <xf numFmtId="49" fontId="13" fillId="0" borderId="0" xfId="0" applyNumberFormat="1" applyFont="1" applyAlignment="1">
      <alignment horizontal="center"/>
    </xf>
    <xf numFmtId="49" fontId="6" fillId="0" borderId="0" xfId="0" applyNumberFormat="1" applyFont="1"/>
    <xf numFmtId="49" fontId="6" fillId="0" borderId="1" xfId="0" applyNumberFormat="1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49" fontId="13" fillId="0" borderId="0" xfId="0" applyNumberFormat="1" applyFont="1" applyAlignment="1">
      <alignment horizontal="left"/>
    </xf>
    <xf numFmtId="0" fontId="3" fillId="6" borderId="0" xfId="0" applyFont="1" applyFill="1"/>
    <xf numFmtId="1" fontId="0" fillId="0" borderId="0" xfId="0" applyNumberFormat="1"/>
    <xf numFmtId="0" fontId="8" fillId="6" borderId="0" xfId="2" applyFont="1" applyFill="1" applyAlignment="1">
      <alignment horizontal="right" indent="2"/>
    </xf>
    <xf numFmtId="0" fontId="8" fillId="6" borderId="0" xfId="2" applyFont="1" applyFill="1" applyAlignment="1">
      <alignment horizontal="center"/>
    </xf>
    <xf numFmtId="2" fontId="0" fillId="0" borderId="0" xfId="0" applyNumberFormat="1"/>
    <xf numFmtId="0" fontId="0" fillId="7" borderId="0" xfId="0" applyFill="1"/>
    <xf numFmtId="4" fontId="12" fillId="0" borderId="0" xfId="0" applyNumberFormat="1" applyFont="1" applyAlignment="1">
      <alignment horizontal="right"/>
    </xf>
    <xf numFmtId="4" fontId="0" fillId="0" borderId="0" xfId="0" applyNumberFormat="1"/>
    <xf numFmtId="0" fontId="6" fillId="0" borderId="0" xfId="0" applyFont="1"/>
    <xf numFmtId="0" fontId="14" fillId="0" borderId="0" xfId="0" applyFont="1"/>
    <xf numFmtId="14" fontId="4" fillId="0" borderId="0" xfId="2" applyNumberFormat="1"/>
    <xf numFmtId="10" fontId="5" fillId="2" borderId="0" xfId="1" applyNumberFormat="1" applyFont="1" applyFill="1"/>
    <xf numFmtId="10" fontId="4" fillId="0" borderId="0" xfId="1" applyNumberFormat="1" applyFont="1"/>
    <xf numFmtId="14" fontId="0" fillId="0" borderId="0" xfId="1" applyNumberFormat="1" applyFont="1"/>
    <xf numFmtId="0" fontId="1" fillId="9" borderId="0" xfId="6"/>
    <xf numFmtId="14" fontId="1" fillId="9" borderId="0" xfId="6" applyNumberFormat="1"/>
    <xf numFmtId="10" fontId="1" fillId="9" borderId="0" xfId="6" applyNumberFormat="1"/>
    <xf numFmtId="14" fontId="15" fillId="0" borderId="0" xfId="4" applyNumberFormat="1"/>
    <xf numFmtId="0" fontId="15" fillId="0" borderId="0" xfId="4"/>
    <xf numFmtId="0" fontId="1" fillId="10" borderId="0" xfId="7" applyAlignment="1">
      <alignment horizontal="center" vertical="center" wrapText="1"/>
    </xf>
    <xf numFmtId="0" fontId="16" fillId="8" borderId="7" xfId="5" applyBorder="1"/>
    <xf numFmtId="0" fontId="16" fillId="8" borderId="4" xfId="5" applyBorder="1"/>
    <xf numFmtId="0" fontId="23" fillId="3" borderId="3" xfId="0" applyFont="1" applyFill="1" applyBorder="1" applyAlignment="1">
      <alignment wrapText="1"/>
    </xf>
    <xf numFmtId="9" fontId="26" fillId="11" borderId="2" xfId="0" applyNumberFormat="1" applyFont="1" applyFill="1" applyBorder="1" applyAlignment="1">
      <alignment horizontal="center" vertical="center" wrapText="1"/>
    </xf>
    <xf numFmtId="0" fontId="21" fillId="0" borderId="2" xfId="8" applyFont="1" applyBorder="1" applyAlignment="1">
      <alignment horizontal="center" textRotation="90" wrapText="1"/>
    </xf>
    <xf numFmtId="0" fontId="24" fillId="0" borderId="2" xfId="0" applyFont="1" applyBorder="1" applyAlignment="1">
      <alignment horizontal="center" textRotation="90" wrapText="1"/>
    </xf>
    <xf numFmtId="9" fontId="21" fillId="0" borderId="2" xfId="1" applyFont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/>
    <xf numFmtId="0" fontId="27" fillId="0" borderId="0" xfId="0" applyFont="1" applyAlignment="1">
      <alignment horizontal="left" vertical="center" indent="1"/>
    </xf>
    <xf numFmtId="0" fontId="0" fillId="12" borderId="0" xfId="0" applyFill="1"/>
    <xf numFmtId="164" fontId="18" fillId="12" borderId="0" xfId="9" applyNumberFormat="1" applyFont="1" applyFill="1" applyBorder="1" applyAlignment="1">
      <alignment horizontal="left" vertical="center"/>
    </xf>
    <xf numFmtId="164" fontId="17" fillId="12" borderId="0" xfId="9" applyNumberFormat="1" applyFont="1" applyFill="1" applyBorder="1" applyAlignment="1">
      <alignment horizontal="left" indent="2"/>
    </xf>
    <xf numFmtId="0" fontId="19" fillId="12" borderId="0" xfId="8" applyFont="1" applyFill="1"/>
    <xf numFmtId="0" fontId="18" fillId="12" borderId="0" xfId="8" applyFont="1" applyFill="1" applyAlignment="1">
      <alignment horizontal="left" indent="2"/>
    </xf>
    <xf numFmtId="0" fontId="4" fillId="12" borderId="0" xfId="8" applyFont="1" applyFill="1" applyAlignment="1">
      <alignment horizontal="center"/>
    </xf>
    <xf numFmtId="0" fontId="18" fillId="12" borderId="0" xfId="8" applyFont="1" applyFill="1"/>
    <xf numFmtId="0" fontId="21" fillId="12" borderId="0" xfId="0" applyFont="1" applyFill="1" applyAlignment="1">
      <alignment horizontal="center" vertical="center"/>
    </xf>
    <xf numFmtId="0" fontId="18" fillId="12" borderId="0" xfId="8" applyFont="1" applyFill="1" applyAlignment="1">
      <alignment horizontal="left" vertical="center"/>
    </xf>
    <xf numFmtId="0" fontId="17" fillId="12" borderId="0" xfId="8" applyFont="1" applyFill="1" applyAlignment="1">
      <alignment horizontal="left" indent="2"/>
    </xf>
    <xf numFmtId="0" fontId="17" fillId="12" borderId="0" xfId="8" applyFont="1" applyFill="1"/>
    <xf numFmtId="0" fontId="18" fillId="12" borderId="0" xfId="8" applyFont="1" applyFill="1" applyAlignment="1">
      <alignment horizontal="center"/>
    </xf>
    <xf numFmtId="0" fontId="20" fillId="12" borderId="0" xfId="8" applyFont="1" applyFill="1"/>
    <xf numFmtId="0" fontId="22" fillId="12" borderId="0" xfId="8" applyFont="1" applyFill="1"/>
    <xf numFmtId="0" fontId="21" fillId="12" borderId="0" xfId="8" applyFont="1" applyFill="1"/>
    <xf numFmtId="0" fontId="21" fillId="12" borderId="0" xfId="0" applyFont="1" applyFill="1"/>
    <xf numFmtId="0" fontId="25" fillId="12" borderId="0" xfId="0" applyFont="1" applyFill="1" applyAlignment="1">
      <alignment horizontal="left" indent="3"/>
    </xf>
    <xf numFmtId="0" fontId="21" fillId="12" borderId="0" xfId="2" applyFont="1" applyFill="1" applyAlignment="1">
      <alignment horizontal="left" indent="3"/>
    </xf>
    <xf numFmtId="2" fontId="0" fillId="0" borderId="0" xfId="1" applyNumberFormat="1" applyFont="1"/>
    <xf numFmtId="2" fontId="5" fillId="2" borderId="0" xfId="1" applyNumberFormat="1" applyFont="1" applyFill="1"/>
    <xf numFmtId="2" fontId="1" fillId="9" borderId="0" xfId="6" applyNumberFormat="1"/>
    <xf numFmtId="2" fontId="4" fillId="0" borderId="0" xfId="1" applyNumberFormat="1" applyFont="1"/>
    <xf numFmtId="49" fontId="0" fillId="0" borderId="8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10" fontId="0" fillId="0" borderId="0" xfId="0" applyNumberFormat="1" applyAlignment="1">
      <alignment horizontal="right"/>
    </xf>
    <xf numFmtId="0" fontId="28" fillId="0" borderId="0" xfId="0" applyFont="1"/>
    <xf numFmtId="4" fontId="14" fillId="0" borderId="0" xfId="0" applyNumberFormat="1" applyFont="1" applyAlignment="1">
      <alignment horizontal="right"/>
    </xf>
    <xf numFmtId="49" fontId="0" fillId="0" borderId="0" xfId="0" applyNumberFormat="1"/>
    <xf numFmtId="0" fontId="29" fillId="12" borderId="0" xfId="0" applyFont="1" applyFill="1"/>
    <xf numFmtId="14" fontId="5" fillId="2" borderId="0" xfId="1" applyNumberFormat="1" applyFont="1" applyFill="1"/>
    <xf numFmtId="165" fontId="30" fillId="0" borderId="0" xfId="0" applyNumberFormat="1" applyFont="1"/>
    <xf numFmtId="165" fontId="6" fillId="0" borderId="0" xfId="0" applyNumberFormat="1" applyFont="1"/>
    <xf numFmtId="49" fontId="30" fillId="0" borderId="0" xfId="0" applyNumberFormat="1" applyFont="1"/>
    <xf numFmtId="4" fontId="14" fillId="0" borderId="0" xfId="10" applyNumberFormat="1" applyFont="1" applyAlignment="1">
      <alignment horizontal="right"/>
    </xf>
    <xf numFmtId="9" fontId="0" fillId="0" borderId="0" xfId="1" applyFont="1"/>
    <xf numFmtId="0" fontId="16" fillId="8" borderId="5" xfId="5" applyBorder="1" applyAlignment="1">
      <alignment horizontal="center"/>
    </xf>
    <xf numFmtId="0" fontId="16" fillId="8" borderId="6" xfId="5" applyBorder="1" applyAlignment="1">
      <alignment horizontal="center"/>
    </xf>
    <xf numFmtId="0" fontId="16" fillId="8" borderId="7" xfId="5" applyBorder="1" applyAlignment="1">
      <alignment horizontal="center"/>
    </xf>
    <xf numFmtId="0" fontId="21" fillId="0" borderId="2" xfId="0" applyFont="1" applyBorder="1" applyAlignment="1">
      <alignment horizontal="center"/>
    </xf>
    <xf numFmtId="10" fontId="8" fillId="6" borderId="0" xfId="3" applyNumberFormat="1" applyFont="1" applyFill="1" applyAlignment="1">
      <alignment horizontal="center"/>
    </xf>
    <xf numFmtId="10" fontId="3" fillId="6" borderId="0" xfId="3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49" fontId="1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1">
    <cellStyle name="20% - Accent1" xfId="6" builtinId="30"/>
    <cellStyle name="60% - Accent1" xfId="7" builtinId="32"/>
    <cellStyle name="Accent1" xfId="5" builtinId="29"/>
    <cellStyle name="Explanatory Text" xfId="4" builtinId="53"/>
    <cellStyle name="Normal" xfId="0" builtinId="0"/>
    <cellStyle name="Normal 2" xfId="2" xr:uid="{1D3127CD-5F55-4977-849E-B8C895A55AE7}"/>
    <cellStyle name="Normal 2 2 2" xfId="8" xr:uid="{94CAF2D5-7345-4F42-A790-30D9106BF265}"/>
    <cellStyle name="Normal 7" xfId="10" xr:uid="{23166D86-82E2-4878-AD7F-54C9BA020442}"/>
    <cellStyle name="Percent" xfId="1" builtinId="5"/>
    <cellStyle name="Percent 2" xfId="3" xr:uid="{F3C314DE-88E4-405E-87FD-66F7636A405F}"/>
    <cellStyle name="Percent 2 2 2" xfId="9" xr:uid="{F38819A3-B927-48A0-B00E-842AED0CEB23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243034590281079E-2"/>
          <c:y val="0.10705541758785229"/>
          <c:w val="0.91959876595972612"/>
          <c:h val="0.79181485907159277"/>
        </c:manualLayout>
      </c:layout>
      <c:lineChart>
        <c:grouping val="standard"/>
        <c:varyColors val="0"/>
        <c:ser>
          <c:idx val="0"/>
          <c:order val="0"/>
          <c:tx>
            <c:strRef>
              <c:f>'Investment Perf His'!#REF!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'Investment Perf His'!$B$2:$B$90</c:f>
              <c:numCache>
                <c:formatCode>m/d/yyyy</c:formatCode>
                <c:ptCount val="89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  <c:pt idx="36">
                  <c:v>44957</c:v>
                </c:pt>
                <c:pt idx="37">
                  <c:v>44985</c:v>
                </c:pt>
                <c:pt idx="38">
                  <c:v>45016</c:v>
                </c:pt>
                <c:pt idx="39">
                  <c:v>45046</c:v>
                </c:pt>
                <c:pt idx="40">
                  <c:v>45077</c:v>
                </c:pt>
                <c:pt idx="41">
                  <c:v>45107</c:v>
                </c:pt>
                <c:pt idx="42">
                  <c:v>45138</c:v>
                </c:pt>
                <c:pt idx="43">
                  <c:v>45169</c:v>
                </c:pt>
                <c:pt idx="44">
                  <c:v>45199</c:v>
                </c:pt>
                <c:pt idx="45">
                  <c:v>45230</c:v>
                </c:pt>
                <c:pt idx="46">
                  <c:v>45260</c:v>
                </c:pt>
                <c:pt idx="47">
                  <c:v>45291</c:v>
                </c:pt>
                <c:pt idx="48">
                  <c:v>45322</c:v>
                </c:pt>
                <c:pt idx="49">
                  <c:v>45351</c:v>
                </c:pt>
                <c:pt idx="50">
                  <c:v>45382</c:v>
                </c:pt>
                <c:pt idx="51">
                  <c:v>45412</c:v>
                </c:pt>
                <c:pt idx="52">
                  <c:v>45443</c:v>
                </c:pt>
                <c:pt idx="53">
                  <c:v>45473</c:v>
                </c:pt>
                <c:pt idx="54">
                  <c:v>45504</c:v>
                </c:pt>
                <c:pt idx="55">
                  <c:v>45535</c:v>
                </c:pt>
                <c:pt idx="56">
                  <c:v>45565</c:v>
                </c:pt>
                <c:pt idx="57">
                  <c:v>45596</c:v>
                </c:pt>
                <c:pt idx="58">
                  <c:v>45626</c:v>
                </c:pt>
                <c:pt idx="59">
                  <c:v>45657</c:v>
                </c:pt>
                <c:pt idx="60">
                  <c:v>45688</c:v>
                </c:pt>
                <c:pt idx="61">
                  <c:v>45716</c:v>
                </c:pt>
                <c:pt idx="62">
                  <c:v>45747</c:v>
                </c:pt>
                <c:pt idx="63">
                  <c:v>45777</c:v>
                </c:pt>
                <c:pt idx="64">
                  <c:v>45808</c:v>
                </c:pt>
                <c:pt idx="65">
                  <c:v>45838</c:v>
                </c:pt>
                <c:pt idx="66">
                  <c:v>45869</c:v>
                </c:pt>
                <c:pt idx="67">
                  <c:v>45900</c:v>
                </c:pt>
                <c:pt idx="68">
                  <c:v>45930</c:v>
                </c:pt>
                <c:pt idx="69">
                  <c:v>45961</c:v>
                </c:pt>
                <c:pt idx="70">
                  <c:v>45991</c:v>
                </c:pt>
                <c:pt idx="71">
                  <c:v>46022</c:v>
                </c:pt>
              </c:numCache>
            </c:numRef>
          </c:cat>
          <c:val>
            <c:numRef>
              <c:f>'Investment Perf His'!$C$2:$C$90</c:f>
              <c:numCache>
                <c:formatCode>0.00%</c:formatCode>
                <c:ptCount val="89"/>
                <c:pt idx="0">
                  <c:v>2.2882920000000001E-2</c:v>
                </c:pt>
                <c:pt idx="1">
                  <c:v>-7.5710700000000001E-3</c:v>
                </c:pt>
                <c:pt idx="2">
                  <c:v>1.473816E-2</c:v>
                </c:pt>
                <c:pt idx="3">
                  <c:v>4.0185300000000002E-3</c:v>
                </c:pt>
                <c:pt idx="4">
                  <c:v>-6.3844900000000005E-3</c:v>
                </c:pt>
                <c:pt idx="5">
                  <c:v>-9.5791699999999997E-3</c:v>
                </c:pt>
                <c:pt idx="6">
                  <c:v>6.0726100000000009E-3</c:v>
                </c:pt>
                <c:pt idx="7">
                  <c:v>6.95855E-3</c:v>
                </c:pt>
                <c:pt idx="8">
                  <c:v>-6.0639699999999993E-3</c:v>
                </c:pt>
                <c:pt idx="9">
                  <c:v>-6.7414700000000003E-3</c:v>
                </c:pt>
                <c:pt idx="10">
                  <c:v>2.266398E-2</c:v>
                </c:pt>
                <c:pt idx="11">
                  <c:v>2.5335409999999999E-2</c:v>
                </c:pt>
                <c:pt idx="12">
                  <c:v>3.0598599999999998E-3</c:v>
                </c:pt>
                <c:pt idx="13">
                  <c:v>-2.5378E-4</c:v>
                </c:pt>
                <c:pt idx="14">
                  <c:v>1.0938659999999999E-2</c:v>
                </c:pt>
                <c:pt idx="15">
                  <c:v>-9.205940000000001E-3</c:v>
                </c:pt>
                <c:pt idx="16">
                  <c:v>5.53179E-3</c:v>
                </c:pt>
                <c:pt idx="17">
                  <c:v>6.2866699999999994E-3</c:v>
                </c:pt>
                <c:pt idx="18">
                  <c:v>1.481509E-2</c:v>
                </c:pt>
                <c:pt idx="19">
                  <c:v>8.7323999999999995E-3</c:v>
                </c:pt>
                <c:pt idx="20">
                  <c:v>6.6108599999999997E-3</c:v>
                </c:pt>
                <c:pt idx="21">
                  <c:v>-7.7509600000000003E-3</c:v>
                </c:pt>
                <c:pt idx="22">
                  <c:v>9.9513099999999997E-3</c:v>
                </c:pt>
                <c:pt idx="23">
                  <c:v>5.6291800000000001E-3</c:v>
                </c:pt>
                <c:pt idx="24">
                  <c:v>5.1195999999999993E-3</c:v>
                </c:pt>
                <c:pt idx="25">
                  <c:v>8.3574700000000005E-3</c:v>
                </c:pt>
                <c:pt idx="26">
                  <c:v>8.1284E-4</c:v>
                </c:pt>
                <c:pt idx="27">
                  <c:v>7.7867200000000004E-3</c:v>
                </c:pt>
                <c:pt idx="28">
                  <c:v>1.40763E-3</c:v>
                </c:pt>
                <c:pt idx="29">
                  <c:v>7.8236599999999996E-3</c:v>
                </c:pt>
                <c:pt idx="30">
                  <c:v>2.7439299999999999E-3</c:v>
                </c:pt>
                <c:pt idx="31">
                  <c:v>5.1729800000000006E-3</c:v>
                </c:pt>
                <c:pt idx="32">
                  <c:v>3.5517700000000001E-3</c:v>
                </c:pt>
                <c:pt idx="33">
                  <c:v>5.5025999999999999E-3</c:v>
                </c:pt>
                <c:pt idx="34">
                  <c:v>-1.8079200000000002E-3</c:v>
                </c:pt>
                <c:pt idx="35">
                  <c:v>-4.929E-4</c:v>
                </c:pt>
                <c:pt idx="36">
                  <c:v>4.2083839999999997E-2</c:v>
                </c:pt>
                <c:pt idx="37">
                  <c:v>4.6046999999999999E-4</c:v>
                </c:pt>
                <c:pt idx="38">
                  <c:v>9.2511600000000013E-3</c:v>
                </c:pt>
                <c:pt idx="39">
                  <c:v>2.7839839999999998E-2</c:v>
                </c:pt>
                <c:pt idx="40">
                  <c:v>-6.2499400000000007E-3</c:v>
                </c:pt>
                <c:pt idx="41">
                  <c:v>2.0962729999999999E-2</c:v>
                </c:pt>
                <c:pt idx="42">
                  <c:v>2.660761E-2</c:v>
                </c:pt>
                <c:pt idx="43">
                  <c:v>3.2922699999999999E-3</c:v>
                </c:pt>
                <c:pt idx="44">
                  <c:v>-3.5570940000000002E-2</c:v>
                </c:pt>
                <c:pt idx="45">
                  <c:v>-2.0881549999999999E-2</c:v>
                </c:pt>
                <c:pt idx="46">
                  <c:v>4.1554089999999995E-2</c:v>
                </c:pt>
                <c:pt idx="47">
                  <c:v>4.0123430000000002E-2</c:v>
                </c:pt>
                <c:pt idx="48">
                  <c:v>1.8213440000000001E-2</c:v>
                </c:pt>
                <c:pt idx="49">
                  <c:v>3.5630259999999997E-2</c:v>
                </c:pt>
                <c:pt idx="50">
                  <c:v>3.809303E-2</c:v>
                </c:pt>
                <c:pt idx="51">
                  <c:v>-2.6076439999999999E-2</c:v>
                </c:pt>
                <c:pt idx="52">
                  <c:v>9.7886700000000011E-3</c:v>
                </c:pt>
                <c:pt idx="53">
                  <c:v>1.4043300000000001E-3</c:v>
                </c:pt>
                <c:pt idx="54">
                  <c:v>4.6433820000000001E-2</c:v>
                </c:pt>
                <c:pt idx="55">
                  <c:v>-5.9882899999999994E-3</c:v>
                </c:pt>
                <c:pt idx="56">
                  <c:v>2.1135850000000001E-2</c:v>
                </c:pt>
                <c:pt idx="57">
                  <c:v>1.6147499999999999E-2</c:v>
                </c:pt>
                <c:pt idx="58">
                  <c:v>3.8297589999999999E-2</c:v>
                </c:pt>
                <c:pt idx="59">
                  <c:v>-8.0431099999999991E-3</c:v>
                </c:pt>
                <c:pt idx="60">
                  <c:v>2.9445410000000002E-2</c:v>
                </c:pt>
                <c:pt idx="61">
                  <c:v>-1.1087340000000001E-2</c:v>
                </c:pt>
                <c:pt idx="62">
                  <c:v>-2.5779700000000003E-2</c:v>
                </c:pt>
                <c:pt idx="63">
                  <c:v>3.5932799999999999E-3</c:v>
                </c:pt>
                <c:pt idx="64">
                  <c:v>5.0158589999999996E-2</c:v>
                </c:pt>
                <c:pt idx="65">
                  <c:v>2.017362E-2</c:v>
                </c:pt>
                <c:pt idx="66">
                  <c:v>2.2768609999999998E-2</c:v>
                </c:pt>
                <c:pt idx="67">
                  <c:v>2.260672E-2</c:v>
                </c:pt>
                <c:pt idx="68">
                  <c:v>1.30385E-2</c:v>
                </c:pt>
                <c:pt idx="69">
                  <c:v>1.6303289999999998E-2</c:v>
                </c:pt>
                <c:pt idx="70">
                  <c:v>-2.6320800000000002E-3</c:v>
                </c:pt>
                <c:pt idx="71">
                  <c:v>-2.4888699999999998E-3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435-4479-B1A2-C4B3AFDA8AF4}"/>
            </c:ext>
          </c:extLst>
        </c:ser>
        <c:ser>
          <c:idx val="1"/>
          <c:order val="1"/>
          <c:tx>
            <c:strRef>
              <c:f>'Investment Perf His'!$A$91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'Investment Perf His'!$B$2:$B$90</c:f>
              <c:numCache>
                <c:formatCode>m/d/yyyy</c:formatCode>
                <c:ptCount val="89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  <c:pt idx="36">
                  <c:v>44957</c:v>
                </c:pt>
                <c:pt idx="37">
                  <c:v>44985</c:v>
                </c:pt>
                <c:pt idx="38">
                  <c:v>45016</c:v>
                </c:pt>
                <c:pt idx="39">
                  <c:v>45046</c:v>
                </c:pt>
                <c:pt idx="40">
                  <c:v>45077</c:v>
                </c:pt>
                <c:pt idx="41">
                  <c:v>45107</c:v>
                </c:pt>
                <c:pt idx="42">
                  <c:v>45138</c:v>
                </c:pt>
                <c:pt idx="43">
                  <c:v>45169</c:v>
                </c:pt>
                <c:pt idx="44">
                  <c:v>45199</c:v>
                </c:pt>
                <c:pt idx="45">
                  <c:v>45230</c:v>
                </c:pt>
                <c:pt idx="46">
                  <c:v>45260</c:v>
                </c:pt>
                <c:pt idx="47">
                  <c:v>45291</c:v>
                </c:pt>
                <c:pt idx="48">
                  <c:v>45322</c:v>
                </c:pt>
                <c:pt idx="49">
                  <c:v>45351</c:v>
                </c:pt>
                <c:pt idx="50">
                  <c:v>45382</c:v>
                </c:pt>
                <c:pt idx="51">
                  <c:v>45412</c:v>
                </c:pt>
                <c:pt idx="52">
                  <c:v>45443</c:v>
                </c:pt>
                <c:pt idx="53">
                  <c:v>45473</c:v>
                </c:pt>
                <c:pt idx="54">
                  <c:v>45504</c:v>
                </c:pt>
                <c:pt idx="55">
                  <c:v>45535</c:v>
                </c:pt>
                <c:pt idx="56">
                  <c:v>45565</c:v>
                </c:pt>
                <c:pt idx="57">
                  <c:v>45596</c:v>
                </c:pt>
                <c:pt idx="58">
                  <c:v>45626</c:v>
                </c:pt>
                <c:pt idx="59">
                  <c:v>45657</c:v>
                </c:pt>
                <c:pt idx="60">
                  <c:v>45688</c:v>
                </c:pt>
                <c:pt idx="61">
                  <c:v>45716</c:v>
                </c:pt>
                <c:pt idx="62">
                  <c:v>45747</c:v>
                </c:pt>
                <c:pt idx="63">
                  <c:v>45777</c:v>
                </c:pt>
                <c:pt idx="64">
                  <c:v>45808</c:v>
                </c:pt>
                <c:pt idx="65">
                  <c:v>45838</c:v>
                </c:pt>
                <c:pt idx="66">
                  <c:v>45869</c:v>
                </c:pt>
                <c:pt idx="67">
                  <c:v>45900</c:v>
                </c:pt>
                <c:pt idx="68">
                  <c:v>45930</c:v>
                </c:pt>
                <c:pt idx="69">
                  <c:v>45961</c:v>
                </c:pt>
                <c:pt idx="70">
                  <c:v>45991</c:v>
                </c:pt>
                <c:pt idx="71">
                  <c:v>46022</c:v>
                </c:pt>
              </c:numCache>
            </c:numRef>
          </c:cat>
          <c:val>
            <c:numRef>
              <c:f>'Investment Perf His'!$C$91:$C$161</c:f>
              <c:numCache>
                <c:formatCode>0.00%</c:formatCode>
                <c:ptCount val="7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435-4479-B1A2-C4B3AFDA8AF4}"/>
            </c:ext>
          </c:extLst>
        </c:ser>
        <c:ser>
          <c:idx val="2"/>
          <c:order val="2"/>
          <c:tx>
            <c:strRef>
              <c:f>'Investment Perf His'!$A$162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'Investment Perf His'!$B$2:$B$90</c:f>
              <c:numCache>
                <c:formatCode>m/d/yyyy</c:formatCode>
                <c:ptCount val="89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  <c:pt idx="36">
                  <c:v>44957</c:v>
                </c:pt>
                <c:pt idx="37">
                  <c:v>44985</c:v>
                </c:pt>
                <c:pt idx="38">
                  <c:v>45016</c:v>
                </c:pt>
                <c:pt idx="39">
                  <c:v>45046</c:v>
                </c:pt>
                <c:pt idx="40">
                  <c:v>45077</c:v>
                </c:pt>
                <c:pt idx="41">
                  <c:v>45107</c:v>
                </c:pt>
                <c:pt idx="42">
                  <c:v>45138</c:v>
                </c:pt>
                <c:pt idx="43">
                  <c:v>45169</c:v>
                </c:pt>
                <c:pt idx="44">
                  <c:v>45199</c:v>
                </c:pt>
                <c:pt idx="45">
                  <c:v>45230</c:v>
                </c:pt>
                <c:pt idx="46">
                  <c:v>45260</c:v>
                </c:pt>
                <c:pt idx="47">
                  <c:v>45291</c:v>
                </c:pt>
                <c:pt idx="48">
                  <c:v>45322</c:v>
                </c:pt>
                <c:pt idx="49">
                  <c:v>45351</c:v>
                </c:pt>
                <c:pt idx="50">
                  <c:v>45382</c:v>
                </c:pt>
                <c:pt idx="51">
                  <c:v>45412</c:v>
                </c:pt>
                <c:pt idx="52">
                  <c:v>45443</c:v>
                </c:pt>
                <c:pt idx="53">
                  <c:v>45473</c:v>
                </c:pt>
                <c:pt idx="54">
                  <c:v>45504</c:v>
                </c:pt>
                <c:pt idx="55">
                  <c:v>45535</c:v>
                </c:pt>
                <c:pt idx="56">
                  <c:v>45565</c:v>
                </c:pt>
                <c:pt idx="57">
                  <c:v>45596</c:v>
                </c:pt>
                <c:pt idx="58">
                  <c:v>45626</c:v>
                </c:pt>
                <c:pt idx="59">
                  <c:v>45657</c:v>
                </c:pt>
                <c:pt idx="60">
                  <c:v>45688</c:v>
                </c:pt>
                <c:pt idx="61">
                  <c:v>45716</c:v>
                </c:pt>
                <c:pt idx="62">
                  <c:v>45747</c:v>
                </c:pt>
                <c:pt idx="63">
                  <c:v>45777</c:v>
                </c:pt>
                <c:pt idx="64">
                  <c:v>45808</c:v>
                </c:pt>
                <c:pt idx="65">
                  <c:v>45838</c:v>
                </c:pt>
                <c:pt idx="66">
                  <c:v>45869</c:v>
                </c:pt>
                <c:pt idx="67">
                  <c:v>45900</c:v>
                </c:pt>
                <c:pt idx="68">
                  <c:v>45930</c:v>
                </c:pt>
                <c:pt idx="69">
                  <c:v>45961</c:v>
                </c:pt>
                <c:pt idx="70">
                  <c:v>45991</c:v>
                </c:pt>
                <c:pt idx="71">
                  <c:v>46022</c:v>
                </c:pt>
              </c:numCache>
            </c:numRef>
          </c:cat>
          <c:val>
            <c:numRef>
              <c:f>'Investment Perf His'!$C$162:$C$232</c:f>
              <c:numCache>
                <c:formatCode>0.00%</c:formatCode>
                <c:ptCount val="7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435-4479-B1A2-C4B3AFDA8AF4}"/>
            </c:ext>
          </c:extLst>
        </c:ser>
        <c:ser>
          <c:idx val="3"/>
          <c:order val="3"/>
          <c:tx>
            <c:strRef>
              <c:f>'Investment Perf His'!$A$233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'Investment Perf His'!$B$2:$B$90</c:f>
              <c:numCache>
                <c:formatCode>m/d/yyyy</c:formatCode>
                <c:ptCount val="89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  <c:pt idx="36">
                  <c:v>44957</c:v>
                </c:pt>
                <c:pt idx="37">
                  <c:v>44985</c:v>
                </c:pt>
                <c:pt idx="38">
                  <c:v>45016</c:v>
                </c:pt>
                <c:pt idx="39">
                  <c:v>45046</c:v>
                </c:pt>
                <c:pt idx="40">
                  <c:v>45077</c:v>
                </c:pt>
                <c:pt idx="41">
                  <c:v>45107</c:v>
                </c:pt>
                <c:pt idx="42">
                  <c:v>45138</c:v>
                </c:pt>
                <c:pt idx="43">
                  <c:v>45169</c:v>
                </c:pt>
                <c:pt idx="44">
                  <c:v>45199</c:v>
                </c:pt>
                <c:pt idx="45">
                  <c:v>45230</c:v>
                </c:pt>
                <c:pt idx="46">
                  <c:v>45260</c:v>
                </c:pt>
                <c:pt idx="47">
                  <c:v>45291</c:v>
                </c:pt>
                <c:pt idx="48">
                  <c:v>45322</c:v>
                </c:pt>
                <c:pt idx="49">
                  <c:v>45351</c:v>
                </c:pt>
                <c:pt idx="50">
                  <c:v>45382</c:v>
                </c:pt>
                <c:pt idx="51">
                  <c:v>45412</c:v>
                </c:pt>
                <c:pt idx="52">
                  <c:v>45443</c:v>
                </c:pt>
                <c:pt idx="53">
                  <c:v>45473</c:v>
                </c:pt>
                <c:pt idx="54">
                  <c:v>45504</c:v>
                </c:pt>
                <c:pt idx="55">
                  <c:v>45535</c:v>
                </c:pt>
                <c:pt idx="56">
                  <c:v>45565</c:v>
                </c:pt>
                <c:pt idx="57">
                  <c:v>45596</c:v>
                </c:pt>
                <c:pt idx="58">
                  <c:v>45626</c:v>
                </c:pt>
                <c:pt idx="59">
                  <c:v>45657</c:v>
                </c:pt>
                <c:pt idx="60">
                  <c:v>45688</c:v>
                </c:pt>
                <c:pt idx="61">
                  <c:v>45716</c:v>
                </c:pt>
                <c:pt idx="62">
                  <c:v>45747</c:v>
                </c:pt>
                <c:pt idx="63">
                  <c:v>45777</c:v>
                </c:pt>
                <c:pt idx="64">
                  <c:v>45808</c:v>
                </c:pt>
                <c:pt idx="65">
                  <c:v>45838</c:v>
                </c:pt>
                <c:pt idx="66">
                  <c:v>45869</c:v>
                </c:pt>
                <c:pt idx="67">
                  <c:v>45900</c:v>
                </c:pt>
                <c:pt idx="68">
                  <c:v>45930</c:v>
                </c:pt>
                <c:pt idx="69">
                  <c:v>45961</c:v>
                </c:pt>
                <c:pt idx="70">
                  <c:v>45991</c:v>
                </c:pt>
                <c:pt idx="71">
                  <c:v>46022</c:v>
                </c:pt>
              </c:numCache>
            </c:numRef>
          </c:cat>
          <c:val>
            <c:numRef>
              <c:f>'Investment Perf His'!$C$233:$C$303</c:f>
              <c:numCache>
                <c:formatCode>0.00%</c:formatCode>
                <c:ptCount val="7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435-4479-B1A2-C4B3AFDA8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461983"/>
        <c:axId val="774459103"/>
      </c:lineChart>
      <c:dateAx>
        <c:axId val="7744619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459103"/>
        <c:crosses val="autoZero"/>
        <c:auto val="1"/>
        <c:lblOffset val="100"/>
        <c:baseTimeUnit val="months"/>
      </c:dateAx>
      <c:valAx>
        <c:axId val="77445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46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1449179</xdr:colOff>
      <xdr:row>13</xdr:row>
      <xdr:rowOff>132465</xdr:rowOff>
    </xdr:from>
    <xdr:to>
      <xdr:col>27</xdr:col>
      <xdr:colOff>552313</xdr:colOff>
      <xdr:row>33</xdr:row>
      <xdr:rowOff>132639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81D19B-EF3C-FB1B-82EA-95E49F6FE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70334" y="4651913"/>
          <a:ext cx="7938393" cy="3678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</xdr:colOff>
      <xdr:row>19</xdr:row>
      <xdr:rowOff>140970</xdr:rowOff>
    </xdr:from>
    <xdr:to>
      <xdr:col>25</xdr:col>
      <xdr:colOff>47624</xdr:colOff>
      <xdr:row>49</xdr:row>
      <xdr:rowOff>62865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A029FA-2ACC-AAA9-8AC2-5B2329308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1109-03CB-4CF3-9868-6BB3BC67A820}">
  <sheetPr>
    <tabColor theme="3" tint="0.79998168889431442"/>
  </sheetPr>
  <dimension ref="A3:B7"/>
  <sheetViews>
    <sheetView workbookViewId="0">
      <selection activeCell="E48" sqref="E48"/>
    </sheetView>
  </sheetViews>
  <sheetFormatPr defaultRowHeight="14.4" x14ac:dyDescent="0.3"/>
  <sheetData>
    <row r="3" spans="1:2" x14ac:dyDescent="0.3">
      <c r="A3" s="21" t="s">
        <v>0</v>
      </c>
    </row>
    <row r="4" spans="1:2" x14ac:dyDescent="0.3">
      <c r="B4" s="57" t="s">
        <v>1</v>
      </c>
    </row>
    <row r="5" spans="1:2" x14ac:dyDescent="0.3">
      <c r="B5" s="57" t="s">
        <v>2</v>
      </c>
    </row>
    <row r="6" spans="1:2" x14ac:dyDescent="0.3">
      <c r="B6" s="57" t="s">
        <v>3</v>
      </c>
    </row>
    <row r="7" spans="1:2" x14ac:dyDescent="0.3">
      <c r="B7" s="5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45BFC-E518-4BEF-8348-FEB7EC1C319A}">
  <sheetPr>
    <tabColor theme="5" tint="0.79998168889431442"/>
  </sheetPr>
  <dimension ref="A1:AJ72"/>
  <sheetViews>
    <sheetView tabSelected="1" topLeftCell="E4" zoomScale="130" zoomScaleNormal="130" workbookViewId="0">
      <selection activeCell="Q34" sqref="Q34"/>
    </sheetView>
  </sheetViews>
  <sheetFormatPr defaultRowHeight="14.4" x14ac:dyDescent="0.3"/>
  <cols>
    <col min="1" max="2" width="8.88671875" style="58"/>
    <col min="3" max="3" width="23.88671875" style="58" customWidth="1"/>
    <col min="4" max="4" width="5.33203125" style="58" customWidth="1"/>
    <col min="5" max="5" width="8.6640625" style="58" customWidth="1"/>
    <col min="6" max="7" width="10" style="58" customWidth="1"/>
    <col min="8" max="8" width="14" style="58" customWidth="1"/>
    <col min="9" max="9" width="12.6640625" style="58" customWidth="1"/>
    <col min="10" max="10" width="13.44140625" style="58" customWidth="1"/>
    <col min="11" max="11" width="10.88671875" style="58" customWidth="1"/>
    <col min="12" max="12" width="19.44140625" style="58" customWidth="1"/>
    <col min="13" max="13" width="11.88671875" style="58" customWidth="1"/>
    <col min="14" max="14" width="10.88671875" style="58" customWidth="1"/>
    <col min="15" max="15" width="12.33203125" style="58" customWidth="1"/>
    <col min="16" max="16" width="12.88671875" style="58" customWidth="1"/>
    <col min="17" max="17" width="28.6640625" style="58" customWidth="1"/>
    <col min="18" max="18" width="42" style="58" customWidth="1"/>
    <col min="19" max="21" width="11.109375" customWidth="1"/>
    <col min="22" max="22" width="9.109375" customWidth="1"/>
    <col min="23" max="23" width="9.33203125" customWidth="1"/>
    <col min="24" max="25" width="8.5546875" customWidth="1"/>
    <col min="29" max="29" width="14.109375" bestFit="1" customWidth="1"/>
    <col min="33" max="33" width="13.109375" customWidth="1"/>
    <col min="34" max="34" width="13.33203125" customWidth="1"/>
    <col min="36" max="36" width="9.6640625" bestFit="1" customWidth="1"/>
  </cols>
  <sheetData>
    <row r="1" spans="2:36" s="58" customFormat="1" x14ac:dyDescent="0.3"/>
    <row r="2" spans="2:36" s="58" customFormat="1" ht="15" thickBot="1" x14ac:dyDescent="0.35"/>
    <row r="3" spans="2:36" ht="15" thickBot="1" x14ac:dyDescent="0.35">
      <c r="S3" s="93" t="s">
        <v>5</v>
      </c>
      <c r="T3" s="94"/>
      <c r="U3" s="94"/>
      <c r="V3" s="93" t="s">
        <v>6</v>
      </c>
      <c r="W3" s="94"/>
      <c r="X3" s="95"/>
      <c r="Y3" s="49" t="s">
        <v>7</v>
      </c>
      <c r="Z3" s="94" t="s">
        <v>8</v>
      </c>
      <c r="AA3" s="94"/>
      <c r="AB3" s="94"/>
      <c r="AC3" s="49" t="s">
        <v>9</v>
      </c>
      <c r="AD3" s="93" t="s">
        <v>10</v>
      </c>
      <c r="AE3" s="94"/>
      <c r="AF3" s="94"/>
      <c r="AG3" s="95"/>
      <c r="AH3" s="48" t="s">
        <v>11</v>
      </c>
    </row>
    <row r="4" spans="2:36" ht="88.5" customHeight="1" x14ac:dyDescent="0.3">
      <c r="E4" s="50" t="s">
        <v>12</v>
      </c>
      <c r="F4" s="50" t="s">
        <v>13</v>
      </c>
      <c r="G4" s="50" t="s">
        <v>14</v>
      </c>
      <c r="H4" s="50" t="s">
        <v>15</v>
      </c>
      <c r="I4" s="50" t="s">
        <v>16</v>
      </c>
      <c r="J4" s="50" t="s">
        <v>17</v>
      </c>
      <c r="K4" s="50" t="s">
        <v>18</v>
      </c>
      <c r="L4" s="50" t="s">
        <v>19</v>
      </c>
      <c r="M4" s="50" t="s">
        <v>20</v>
      </c>
      <c r="N4" s="50" t="s">
        <v>21</v>
      </c>
      <c r="O4" s="50" t="s">
        <v>22</v>
      </c>
      <c r="P4" s="50" t="s">
        <v>23</v>
      </c>
      <c r="S4" s="47" t="s">
        <v>24</v>
      </c>
      <c r="T4" s="47" t="s">
        <v>25</v>
      </c>
      <c r="U4" s="47" t="s">
        <v>26</v>
      </c>
      <c r="V4" s="47" t="s">
        <v>24</v>
      </c>
      <c r="W4" s="47" t="s">
        <v>25</v>
      </c>
      <c r="X4" s="47" t="s">
        <v>26</v>
      </c>
      <c r="Y4" s="47" t="s">
        <v>26</v>
      </c>
      <c r="Z4" s="47" t="s">
        <v>24</v>
      </c>
      <c r="AA4" s="47" t="s">
        <v>25</v>
      </c>
      <c r="AB4" s="47" t="s">
        <v>26</v>
      </c>
      <c r="AC4" s="47" t="s">
        <v>26</v>
      </c>
      <c r="AD4" s="47" t="s">
        <v>27</v>
      </c>
      <c r="AE4" s="47" t="s">
        <v>28</v>
      </c>
      <c r="AF4" s="47" t="s">
        <v>29</v>
      </c>
      <c r="AG4" s="47" t="s">
        <v>30</v>
      </c>
      <c r="AH4" s="47" t="s">
        <v>31</v>
      </c>
    </row>
    <row r="5" spans="2:36" ht="95.4" customHeight="1" x14ac:dyDescent="0.3">
      <c r="B5" s="86"/>
      <c r="C5" s="96"/>
      <c r="D5" s="52" t="s">
        <v>32</v>
      </c>
      <c r="E5" s="53" t="s">
        <v>33</v>
      </c>
      <c r="F5" s="53" t="s">
        <v>34</v>
      </c>
      <c r="G5" s="53" t="s">
        <v>35</v>
      </c>
      <c r="H5" s="53" t="s">
        <v>36</v>
      </c>
      <c r="I5" s="53" t="s">
        <v>37</v>
      </c>
      <c r="J5" s="53" t="s">
        <v>7</v>
      </c>
      <c r="K5" s="53" t="s">
        <v>38</v>
      </c>
      <c r="L5" s="53" t="s">
        <v>39</v>
      </c>
      <c r="M5" s="53" t="s">
        <v>40</v>
      </c>
      <c r="N5" s="53" t="s">
        <v>41</v>
      </c>
      <c r="O5" s="53" t="s">
        <v>42</v>
      </c>
      <c r="P5" s="53" t="s">
        <v>43</v>
      </c>
      <c r="Q5" s="73"/>
      <c r="R5" s="45" cm="1">
        <f t="array" ref="R5">MAX(_xlfn._xlws.FILTER('Invert return series (5 years)'!B:B,'Invert return series (5 years)'!A:A='Calculation results'!C7))</f>
        <v>46022</v>
      </c>
      <c r="S5" s="45">
        <f>EDATE(R5,-60)</f>
        <v>44196</v>
      </c>
      <c r="T5" s="45">
        <f>EDATE(R5,-36)</f>
        <v>44926</v>
      </c>
      <c r="U5" s="45">
        <f>EDATE(R5,-24)</f>
        <v>45291</v>
      </c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</row>
    <row r="6" spans="2:36" x14ac:dyDescent="0.3">
      <c r="C6" s="96"/>
      <c r="D6" s="52"/>
      <c r="E6" s="51">
        <v>0</v>
      </c>
      <c r="F6" s="51">
        <v>0</v>
      </c>
      <c r="G6" s="51">
        <v>0.2</v>
      </c>
      <c r="H6" s="51">
        <v>0.2</v>
      </c>
      <c r="I6" s="51">
        <v>0.05</v>
      </c>
      <c r="J6" s="51">
        <v>0.05</v>
      </c>
      <c r="K6" s="51">
        <v>0.1</v>
      </c>
      <c r="L6" s="51">
        <v>0.1</v>
      </c>
      <c r="M6" s="51">
        <v>0.1</v>
      </c>
      <c r="N6" s="51">
        <v>0.1</v>
      </c>
      <c r="O6" s="51">
        <v>0.05</v>
      </c>
      <c r="P6" s="51">
        <v>0.05</v>
      </c>
      <c r="Q6" s="74" t="s">
        <v>44</v>
      </c>
      <c r="R6" t="s">
        <v>45</v>
      </c>
    </row>
    <row r="7" spans="2:36" x14ac:dyDescent="0.3">
      <c r="B7" s="86"/>
      <c r="C7" s="56" t="s">
        <v>46</v>
      </c>
      <c r="D7" s="54">
        <f>SUMIF(E7:P7,CHAR(149),E$6:P$6)</f>
        <v>0.9</v>
      </c>
      <c r="E7" s="55" t="str">
        <f>IF(V7&gt;Z7,CHAR(149),"-")</f>
        <v>•</v>
      </c>
      <c r="F7" s="55" t="str">
        <f>IF(V7&gt;AD7,CHAR(149),"-")</f>
        <v>•</v>
      </c>
      <c r="G7" s="55" t="str">
        <f>IF(W7&gt;AA7,CHAR(149),"-")</f>
        <v>•</v>
      </c>
      <c r="H7" s="55" t="str">
        <f>IF(W7&gt;AE7,CHAR(149),"-")</f>
        <v>•</v>
      </c>
      <c r="I7" s="55" t="str">
        <f>IF(AH7&gt;2*AG7,"-",CHAR(149))</f>
        <v>•</v>
      </c>
      <c r="J7" s="55" t="str">
        <f>IF(Y7&gt;1.5*AC7,"-",CHAR(149))</f>
        <v>•</v>
      </c>
      <c r="K7" s="55" t="s">
        <v>47</v>
      </c>
      <c r="L7" s="55" t="s">
        <v>509</v>
      </c>
      <c r="M7" s="55" t="s">
        <v>47</v>
      </c>
      <c r="N7" s="55" t="s">
        <v>47</v>
      </c>
      <c r="O7" s="55" t="s">
        <v>47</v>
      </c>
      <c r="P7" s="55" t="s">
        <v>47</v>
      </c>
      <c r="Q7" s="75" t="s">
        <v>48</v>
      </c>
      <c r="R7" s="13" t="s">
        <v>49</v>
      </c>
      <c r="S7" s="4" cm="1">
        <f t="array" ref="S7">PRODUCT(_xlfn._xlws.FILTER(1+'Invert return series (5 years)'!C$2:C$10000,('Invert return series (5 years)'!A$2:A$10000='Calculation results'!C7)*('Invert return series (5 years)'!B$2:B$10000&gt;'Calculation results'!$S$5)*('Invert return series (5 years)'!B$2:B$10000&lt;=$R$5)))</f>
        <v>1.1793660906055474</v>
      </c>
      <c r="T7" s="4" cm="1">
        <f t="array" ref="T7">PRODUCT(_xlfn._xlws.FILTER(1+'Invert return series (5 years)'!C$2:C$10000,('Invert return series (5 years)'!A$2:A$10000='Calculation results'!C7)*('Invert return series (5 years)'!B$2:B$10000&gt;'Calculation results'!$T$5)*('Invert return series (5 years)'!B$2:B$10000&lt;=$R$5)))</f>
        <v>1.1793660906055474</v>
      </c>
      <c r="U7" s="4" cm="1">
        <f t="array" ref="U7">PRODUCT(_xlfn._xlws.FILTER('Invert return series (5 years)'!C$2:C$10000+1,('Invert return series (5 years)'!A$2:A$10000='Calculation results'!C7)*('Invert return series (5 years)'!B$2:B$10000&gt;'Calculation results'!$U$5)*('Invert return series (5 years)'!B$2:B$10000&lt;=$R$5)))</f>
        <v>1.1049150091884188</v>
      </c>
      <c r="V7" s="4">
        <f>(PRODUCT(S7)^(0.2)-1)</f>
        <v>3.3545802030446437E-2</v>
      </c>
      <c r="W7" s="4">
        <f>PRODUCT(T7)^(0.333333333)-1</f>
        <v>5.653254365579663E-2</v>
      </c>
      <c r="X7" s="4">
        <f>(PRODUCT(U7)^(0.5)-1)</f>
        <v>5.114937529754493E-2</v>
      </c>
      <c r="Y7" s="4" cm="1">
        <f t="array" ref="Y7">STDEV(_xlfn._xlws.FILTER('Invert return series (5 years)'!C$2:C$1000+1,('Invert return series (5 years)'!A$2:A$1000='Calculation results'!C7)*('Invert return series (5 years)'!B$2:B$1000&gt;'Calculation results'!$U$5)*('Invert return series (5 years)'!B$2:B$1000&lt;=$R$5)))*SQRT(12)</f>
        <v>1.9056829308338838E-2</v>
      </c>
      <c r="Z7" s="4" cm="1">
        <f t="array" ref="Z7">_xlfn._xlws.FILTER('BM Data'!$B$7:$B$1000,'BM Data'!$A$7:$A$1000=Q7)/100</f>
        <v>1.4051890000000001E-2</v>
      </c>
      <c r="AA7" s="4" cm="1">
        <f t="array" ref="AA7">_xlfn._xlws.FILTER('BM Data'!$D$7:$D$1000,'BM Data'!$A$7:$A$1000=$Q7)/100</f>
        <v>4.7021019999999997E-2</v>
      </c>
      <c r="AB7" s="4" cm="1">
        <f t="array" ref="AB7">_xlfn._xlws.FILTER('BM Data'!$F$7:$F$1000,'BM Data'!$A$7:$A$1000=$Q7)/100</f>
        <v>4.2478389999999998E-2</v>
      </c>
      <c r="AC7" s="4" cm="1">
        <f t="array" ref="AC7">_xlfn._xlws.FILTER('BM Data'!G$7:G$1000,'BM Data'!$A$7:$A$1000=$Q7)/100</f>
        <v>2.4479289999999997E-2</v>
      </c>
      <c r="AD7" s="4">
        <f>VLOOKUP($R7,'Morningstar Category Data'!$A:$E,5,FALSE)/100</f>
        <v>2.0672510000000002E-2</v>
      </c>
      <c r="AE7" s="4">
        <f>VLOOKUP($R7,'Morningstar Category Data'!$A:$E,4,FALSE)/100</f>
        <v>5.1913260000000003E-2</v>
      </c>
      <c r="AF7" s="4">
        <f>VLOOKUP($R7,'Morningstar Category Data'!$A:$E,3,FALSE)/100</f>
        <v>4.9743019999999999E-2</v>
      </c>
      <c r="AG7" s="4">
        <f>VLOOKUP($R7,'Morningstar Category Data'!$I:$J,2,FALSE)/100</f>
        <v>1.228132E-2</v>
      </c>
      <c r="AH7" s="4" cm="1">
        <f t="array" ref="AH7">STDEV(
_xlfn._xlws.FILTER(
'Invert return series (5 years)'!C$2:C$1000,
('Invert return series (5 years)'!A$2:A$1000='Calculation results'!C7)
*('Invert return series (5 years)'!B$2:B$1000&gt;'Calculation results'!$U$5)*('Invert return series (5 years)'!B$2:B$1000&lt;=$R$5)
)
-
TRANSPOSE(
_xlfn._xlws.FILTER(
    INDEX('BM Data'!$K$8:$BE$500, MATCH(Q7, 'BM Data'!$A$8:$A$500, 0), ),
    INDEX('BM Data'!$K$8:$BE$500, MATCH(Q7, 'BM Data'!$A$8:$A$500, 0), ) &lt;&gt; ""
))/100
)*SQRT(12)</f>
        <v>9.090334785619476E-3</v>
      </c>
      <c r="AJ7" s="8"/>
    </row>
    <row r="8" spans="2:36" x14ac:dyDescent="0.3">
      <c r="C8" s="56" t="s">
        <v>50</v>
      </c>
      <c r="D8" s="54">
        <f>SUMIF(E8:P8,CHAR(149),E$6:P$6)</f>
        <v>0.9</v>
      </c>
      <c r="E8" s="55" t="str">
        <f t="shared" ref="E8" si="0">IF(V8&gt;Z8,CHAR(149),"-")</f>
        <v>-</v>
      </c>
      <c r="F8" s="55" t="str">
        <f t="shared" ref="F8" si="1">IF(V8&gt;AD8,CHAR(149),"-")</f>
        <v>•</v>
      </c>
      <c r="G8" s="55" t="str">
        <f t="shared" ref="G8" si="2">IF(W8&gt;AA8,CHAR(149),"-")</f>
        <v>•</v>
      </c>
      <c r="H8" s="55" t="str">
        <f t="shared" ref="H8" si="3">IF(W8&gt;AE8,CHAR(149),"-")</f>
        <v>•</v>
      </c>
      <c r="I8" s="55" t="str">
        <f>IF(AH8&gt;2*AG8,"-",CHAR(149))</f>
        <v>•</v>
      </c>
      <c r="J8" s="55" t="str">
        <f>IF(Y8&gt;1.5*AC8,"-",CHAR(149))</f>
        <v>•</v>
      </c>
      <c r="K8" s="55" t="s">
        <v>47</v>
      </c>
      <c r="L8" s="55" t="s">
        <v>509</v>
      </c>
      <c r="M8" s="55" t="s">
        <v>47</v>
      </c>
      <c r="N8" s="55" t="s">
        <v>47</v>
      </c>
      <c r="O8" s="55" t="s">
        <v>47</v>
      </c>
      <c r="P8" s="55" t="s">
        <v>47</v>
      </c>
      <c r="Q8" s="75" t="s">
        <v>51</v>
      </c>
      <c r="R8" s="13" t="s">
        <v>52</v>
      </c>
      <c r="S8" s="4" cm="1">
        <f t="array" ref="S8">PRODUCT(_xlfn._xlws.FILTER(1+'Invert return series (5 years)'!C$2:C$10000,('Invert return series (5 years)'!A$2:A$10000='Calculation results'!C8)*('Invert return series (5 years)'!B$2:B$10000&gt;'Calculation results'!$S$5)*('Invert return series (5 years)'!B$2:B$10000&lt;=$R$5)))</f>
        <v>1.5828326469801415</v>
      </c>
      <c r="T8" s="4" cm="1">
        <f t="array" ref="T8">PRODUCT(_xlfn._xlws.FILTER(1+'Invert return series (5 years)'!C$2:C$10000,('Invert return series (5 years)'!A$2:A$10000='Calculation results'!C8)*('Invert return series (5 years)'!B$2:B$10000&gt;'Calculation results'!$T$5)*('Invert return series (5 years)'!B$2:B$10000&lt;=$R$5)))</f>
        <v>1.5828326469801415</v>
      </c>
      <c r="U8" s="4" cm="1">
        <f t="array" ref="U8">PRODUCT(_xlfn._xlws.FILTER('Invert return series (5 years)'!C$2:C$10000+1,('Invert return series (5 years)'!A$2:A$10000='Calculation results'!C8)*('Invert return series (5 years)'!B$2:B$10000&gt;'Calculation results'!$U$5)*('Invert return series (5 years)'!B$2:B$10000&lt;=$R$5)))</f>
        <v>1.3690410415148646</v>
      </c>
      <c r="V8" s="4">
        <f t="shared" ref="V8" si="4">(PRODUCT(S8)^(0.2)-1)</f>
        <v>9.6192937920895005E-2</v>
      </c>
      <c r="W8" s="4">
        <f t="shared" ref="W8" si="5">PRODUCT(T8)^(0.33333)-1</f>
        <v>0.16540712336162056</v>
      </c>
      <c r="X8" s="4">
        <f t="shared" ref="X8" si="6">(PRODUCT(U8)^(0.5)-1)</f>
        <v>0.17006027259917889</v>
      </c>
      <c r="Y8" s="4" cm="1">
        <f t="array" ref="Y8">STDEV(_xlfn._xlws.FILTER('Invert return series (5 years)'!C$2:C$1000+1,('Invert return series (5 years)'!A$2:A$1000='Calculation results'!C8)*('Invert return series (5 years)'!B$2:B$1000&gt;'Calculation results'!$U$5)*('Invert return series (5 years)'!B$2:B$1000&lt;=$R$5)))*SQRT(12)</f>
        <v>7.2349172620620239E-2</v>
      </c>
      <c r="Z8" s="4" cm="1">
        <f t="array" ref="Z8">_xlfn._xlws.FILTER('BM Data'!$B$7:$B$1000,'BM Data'!$A$7:$A$1000=Q8)/100</f>
        <v>0.10446274000000001</v>
      </c>
      <c r="AA8" s="4" cm="1">
        <f t="array" ref="AA8">_xlfn._xlws.FILTER('BM Data'!$D$7:$D$1000,'BM Data'!$A$7:$A$1000=$Q8)/100</f>
        <v>0.14801448</v>
      </c>
      <c r="AB8" s="4" cm="1">
        <f t="array" ref="AB8">_xlfn._xlws.FILTER('BM Data'!$F$7:$F$1000,'BM Data'!$A$7:$A$1000=$Q8)/100</f>
        <v>0.14472671000000001</v>
      </c>
      <c r="AC8" s="4" cm="1">
        <f t="array" ref="AC8">_xlfn._xlws.FILTER('BM Data'!G$7:G$1000,'BM Data'!$A$7:$A$1000=$Q8)/100</f>
        <v>6.8813300000000008E-2</v>
      </c>
      <c r="AD8" s="4">
        <f>VLOOKUP($R8,'Morningstar Category Data'!$A:$E,5,FALSE)/100</f>
        <v>8.6471140000000002E-2</v>
      </c>
      <c r="AE8" s="4">
        <f>VLOOKUP($R8,'Morningstar Category Data'!$A:$E,4,FALSE)/100</f>
        <v>0.12524835000000001</v>
      </c>
      <c r="AF8" s="4">
        <f>VLOOKUP($R8,'Morningstar Category Data'!$A:$E,3,FALSE)/100</f>
        <v>0.12081514</v>
      </c>
      <c r="AG8" s="4">
        <f>VLOOKUP($R8,'Morningstar Category Data'!$I:$J,2,FALSE)/100</f>
        <v>1.5972900000000002E-2</v>
      </c>
      <c r="AH8" s="4" cm="1">
        <f t="array" ref="AH8">STDEV(
_xlfn._xlws.FILTER(
'Invert return series (5 years)'!C$2:C$1000,
('Invert return series (5 years)'!A$2:A$1000='Calculation results'!C8)
*('Invert return series (5 years)'!B$2:B$1000&gt;'Calculation results'!$U$5)*('Invert return series (5 years)'!B$2:B$1000&lt;=$R$5)
)
-
TRANSPOSE(
_xlfn._xlws.FILTER(
    INDEX('BM Data'!$K$8:$BE$500, MATCH(Q8, 'BM Data'!$A$8:$A$500, 0), ),
    INDEX('BM Data'!$K$8:$BE$500, MATCH(Q8, 'BM Data'!$A$8:$A$500, 0), ) &lt;&gt; ""
))/100
)*SQRT(12)</f>
        <v>2.2565864519057167E-2</v>
      </c>
    </row>
    <row r="9" spans="2:36" x14ac:dyDescent="0.3">
      <c r="AH9" s="4"/>
    </row>
    <row r="10" spans="2:36" x14ac:dyDescent="0.3">
      <c r="D10" s="59" t="s">
        <v>53</v>
      </c>
      <c r="E10" s="60"/>
      <c r="F10" s="60"/>
      <c r="G10" s="61"/>
      <c r="H10" s="61"/>
      <c r="I10" s="61"/>
      <c r="J10" s="62"/>
      <c r="K10" s="63"/>
      <c r="L10" s="64"/>
      <c r="S10" s="41"/>
      <c r="AH10" s="4"/>
    </row>
    <row r="11" spans="2:36" x14ac:dyDescent="0.3">
      <c r="C11" s="65"/>
      <c r="D11" s="66" t="s">
        <v>54</v>
      </c>
      <c r="E11" s="67"/>
      <c r="F11" s="67"/>
      <c r="G11" s="68"/>
      <c r="H11" s="68"/>
      <c r="I11" s="68"/>
      <c r="J11" s="62"/>
      <c r="K11" s="63" t="s">
        <v>47</v>
      </c>
      <c r="L11" s="64" t="s">
        <v>55</v>
      </c>
      <c r="S11" s="14"/>
      <c r="AH11" s="4"/>
    </row>
    <row r="12" spans="2:36" x14ac:dyDescent="0.3">
      <c r="D12" s="66" t="s">
        <v>56</v>
      </c>
      <c r="E12" s="67"/>
      <c r="F12" s="67"/>
      <c r="G12" s="68"/>
      <c r="H12" s="68"/>
      <c r="I12" s="68"/>
      <c r="J12" s="68"/>
      <c r="K12" s="69" t="s">
        <v>57</v>
      </c>
      <c r="L12" s="64" t="s">
        <v>58</v>
      </c>
      <c r="S12" s="14"/>
      <c r="AH12" s="4"/>
    </row>
    <row r="13" spans="2:36" x14ac:dyDescent="0.3">
      <c r="C13" s="70" t="s">
        <v>59</v>
      </c>
      <c r="S13" s="41"/>
      <c r="T13" s="14"/>
      <c r="U13" s="4"/>
      <c r="AH13" s="4"/>
    </row>
    <row r="14" spans="2:36" x14ac:dyDescent="0.3">
      <c r="C14" s="71" t="s">
        <v>60</v>
      </c>
      <c r="S14" s="41"/>
      <c r="T14" s="14"/>
      <c r="U14" s="4"/>
      <c r="AH14" s="4"/>
    </row>
    <row r="15" spans="2:36" x14ac:dyDescent="0.3">
      <c r="C15" s="71"/>
      <c r="M15" s="61"/>
      <c r="S15" s="41"/>
      <c r="T15" s="14"/>
      <c r="U15" s="4"/>
      <c r="AH15" s="4"/>
    </row>
    <row r="16" spans="2:36" x14ac:dyDescent="0.3">
      <c r="C16" s="72" t="s">
        <v>61</v>
      </c>
      <c r="M16" s="68"/>
      <c r="S16" s="41"/>
      <c r="T16" s="14"/>
      <c r="U16" s="4"/>
      <c r="AH16" s="4"/>
    </row>
    <row r="17" spans="3:34" x14ac:dyDescent="0.3">
      <c r="C17" s="72" t="s">
        <v>62</v>
      </c>
      <c r="M17" s="68"/>
      <c r="S17" s="41"/>
      <c r="T17" s="14"/>
      <c r="U17" s="4"/>
      <c r="AH17" s="4"/>
    </row>
    <row r="18" spans="3:34" x14ac:dyDescent="0.3">
      <c r="S18" s="41"/>
      <c r="T18" s="14"/>
      <c r="U18" s="4"/>
      <c r="AH18" s="4"/>
    </row>
    <row r="19" spans="3:34" x14ac:dyDescent="0.3">
      <c r="S19" s="41"/>
      <c r="T19" s="14"/>
      <c r="U19" s="4"/>
      <c r="AH19" s="4"/>
    </row>
    <row r="20" spans="3:34" x14ac:dyDescent="0.3">
      <c r="D20" s="61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72"/>
      <c r="S20" s="41"/>
      <c r="T20" s="14"/>
      <c r="U20" s="4"/>
      <c r="AH20" s="4"/>
    </row>
    <row r="21" spans="3:34" x14ac:dyDescent="0.3"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41"/>
      <c r="T21" s="14"/>
      <c r="U21" s="4"/>
      <c r="AH21" s="4"/>
    </row>
    <row r="22" spans="3:34" x14ac:dyDescent="0.3">
      <c r="D22" s="72"/>
      <c r="E22" s="72"/>
      <c r="F22" s="72"/>
      <c r="G22" s="72"/>
      <c r="H22" s="72"/>
      <c r="I22" s="72"/>
      <c r="J22" s="72"/>
      <c r="K22" s="69"/>
      <c r="L22" s="64"/>
      <c r="M22" s="68"/>
      <c r="N22" s="68"/>
      <c r="O22" s="72"/>
      <c r="P22" s="72"/>
      <c r="Q22" s="72"/>
      <c r="R22" s="72"/>
      <c r="S22" s="41"/>
      <c r="T22" s="14"/>
      <c r="U22" s="4"/>
      <c r="AH22" s="4"/>
    </row>
    <row r="23" spans="3:34" x14ac:dyDescent="0.3"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41"/>
      <c r="T23" s="14"/>
      <c r="U23" s="4"/>
      <c r="AH23" s="4"/>
    </row>
    <row r="24" spans="3:34" x14ac:dyDescent="0.3"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41"/>
      <c r="T24" s="14"/>
      <c r="U24" s="4"/>
      <c r="AH24" s="4"/>
    </row>
    <row r="25" spans="3:34" x14ac:dyDescent="0.3">
      <c r="S25" s="41"/>
      <c r="T25" s="14"/>
      <c r="U25" s="4"/>
      <c r="AH25" s="4"/>
    </row>
    <row r="26" spans="3:34" x14ac:dyDescent="0.3">
      <c r="S26" s="41"/>
      <c r="T26" s="14"/>
      <c r="U26" s="4"/>
      <c r="AH26" s="4"/>
    </row>
    <row r="27" spans="3:34" x14ac:dyDescent="0.3">
      <c r="S27" s="41"/>
      <c r="T27" s="14"/>
      <c r="U27" s="4"/>
      <c r="AH27" s="4"/>
    </row>
    <row r="28" spans="3:34" x14ac:dyDescent="0.3">
      <c r="S28" s="41"/>
      <c r="T28" s="14"/>
      <c r="U28" s="4"/>
      <c r="AH28" s="4"/>
    </row>
    <row r="29" spans="3:34" x14ac:dyDescent="0.3">
      <c r="S29" s="41"/>
      <c r="T29" s="14"/>
      <c r="U29" s="4"/>
      <c r="AH29" s="4"/>
    </row>
    <row r="30" spans="3:34" x14ac:dyDescent="0.3">
      <c r="S30" s="41"/>
      <c r="T30" s="14"/>
      <c r="U30" s="4"/>
      <c r="AH30" s="4"/>
    </row>
    <row r="31" spans="3:34" x14ac:dyDescent="0.3">
      <c r="S31" s="41"/>
      <c r="T31" s="14"/>
      <c r="U31" s="4"/>
    </row>
    <row r="32" spans="3:34" x14ac:dyDescent="0.3">
      <c r="S32" s="41"/>
      <c r="T32" s="14"/>
      <c r="U32" s="4"/>
    </row>
    <row r="33" spans="19:21" x14ac:dyDescent="0.3">
      <c r="S33" s="41"/>
      <c r="T33" s="14"/>
      <c r="U33" s="4"/>
    </row>
    <row r="34" spans="19:21" x14ac:dyDescent="0.3">
      <c r="S34" s="41"/>
      <c r="T34" s="14"/>
      <c r="U34" s="4"/>
    </row>
    <row r="35" spans="19:21" x14ac:dyDescent="0.3">
      <c r="S35" s="41"/>
      <c r="T35" s="14"/>
      <c r="U35" s="4"/>
    </row>
    <row r="36" spans="19:21" x14ac:dyDescent="0.3">
      <c r="S36" s="41"/>
      <c r="T36" s="14"/>
      <c r="U36" s="4"/>
    </row>
    <row r="37" spans="19:21" x14ac:dyDescent="0.3">
      <c r="S37" s="41"/>
      <c r="T37" s="14"/>
      <c r="U37" s="4"/>
    </row>
    <row r="38" spans="19:21" x14ac:dyDescent="0.3">
      <c r="S38" s="41"/>
      <c r="T38" s="14"/>
      <c r="U38" s="4"/>
    </row>
    <row r="39" spans="19:21" x14ac:dyDescent="0.3">
      <c r="S39" s="41"/>
      <c r="T39" s="14"/>
      <c r="U39" s="4"/>
    </row>
    <row r="40" spans="19:21" x14ac:dyDescent="0.3">
      <c r="S40" s="41"/>
      <c r="T40" s="14"/>
      <c r="U40" s="4"/>
    </row>
    <row r="41" spans="19:21" x14ac:dyDescent="0.3">
      <c r="S41" s="41"/>
      <c r="T41" s="14"/>
      <c r="U41" s="4"/>
    </row>
    <row r="42" spans="19:21" x14ac:dyDescent="0.3">
      <c r="S42" s="41"/>
      <c r="T42" s="14"/>
      <c r="U42" s="4"/>
    </row>
    <row r="43" spans="19:21" x14ac:dyDescent="0.3">
      <c r="S43" s="41"/>
      <c r="T43" s="14"/>
      <c r="U43" s="4"/>
    </row>
    <row r="44" spans="19:21" x14ac:dyDescent="0.3">
      <c r="S44" s="41"/>
      <c r="T44" s="14"/>
      <c r="U44" s="4"/>
    </row>
    <row r="45" spans="19:21" x14ac:dyDescent="0.3">
      <c r="S45" s="41"/>
      <c r="T45" s="14"/>
      <c r="U45" s="4"/>
    </row>
    <row r="46" spans="19:21" x14ac:dyDescent="0.3">
      <c r="S46" s="41"/>
      <c r="T46" s="14"/>
      <c r="U46" s="4"/>
    </row>
    <row r="47" spans="19:21" x14ac:dyDescent="0.3">
      <c r="S47" s="41"/>
      <c r="T47" s="14"/>
      <c r="U47" s="4"/>
    </row>
    <row r="48" spans="19:21" x14ac:dyDescent="0.3">
      <c r="S48" s="41"/>
      <c r="T48" s="14"/>
      <c r="U48" s="4"/>
    </row>
    <row r="49" spans="19:21" x14ac:dyDescent="0.3">
      <c r="S49" s="41"/>
      <c r="T49" s="14"/>
      <c r="U49" s="4"/>
    </row>
    <row r="50" spans="19:21" x14ac:dyDescent="0.3">
      <c r="S50" s="41"/>
      <c r="T50" s="14"/>
      <c r="U50" s="4"/>
    </row>
    <row r="51" spans="19:21" x14ac:dyDescent="0.3">
      <c r="S51" s="41"/>
      <c r="T51" s="14"/>
      <c r="U51" s="4"/>
    </row>
    <row r="52" spans="19:21" x14ac:dyDescent="0.3">
      <c r="S52" s="41"/>
      <c r="T52" s="14"/>
      <c r="U52" s="4"/>
    </row>
    <row r="53" spans="19:21" x14ac:dyDescent="0.3">
      <c r="S53" s="41"/>
      <c r="T53" s="14"/>
      <c r="U53" s="4"/>
    </row>
    <row r="54" spans="19:21" x14ac:dyDescent="0.3">
      <c r="S54" s="41"/>
      <c r="T54" s="14"/>
      <c r="U54" s="4"/>
    </row>
    <row r="55" spans="19:21" x14ac:dyDescent="0.3">
      <c r="S55" s="41"/>
      <c r="T55" s="14"/>
      <c r="U55" s="4"/>
    </row>
    <row r="56" spans="19:21" x14ac:dyDescent="0.3">
      <c r="S56" s="41"/>
      <c r="T56" s="14"/>
      <c r="U56" s="4"/>
    </row>
    <row r="57" spans="19:21" x14ac:dyDescent="0.3">
      <c r="S57" s="41"/>
      <c r="T57" s="14"/>
      <c r="U57" s="4"/>
    </row>
    <row r="58" spans="19:21" x14ac:dyDescent="0.3">
      <c r="S58" s="41"/>
      <c r="T58" s="14"/>
      <c r="U58" s="4"/>
    </row>
    <row r="59" spans="19:21" x14ac:dyDescent="0.3">
      <c r="S59" s="41"/>
      <c r="T59" s="14"/>
      <c r="U59" s="4"/>
    </row>
    <row r="60" spans="19:21" x14ac:dyDescent="0.3">
      <c r="S60" s="41"/>
      <c r="T60" s="14"/>
      <c r="U60" s="4"/>
    </row>
    <row r="61" spans="19:21" x14ac:dyDescent="0.3">
      <c r="S61" s="41"/>
      <c r="T61" s="14"/>
      <c r="U61" s="4"/>
    </row>
    <row r="62" spans="19:21" x14ac:dyDescent="0.3">
      <c r="S62" s="41"/>
      <c r="T62" s="14"/>
      <c r="U62" s="4"/>
    </row>
    <row r="63" spans="19:21" x14ac:dyDescent="0.3">
      <c r="S63" s="41"/>
      <c r="T63" s="14"/>
      <c r="U63" s="4"/>
    </row>
    <row r="64" spans="19:21" x14ac:dyDescent="0.3">
      <c r="S64" s="41"/>
      <c r="T64" s="14"/>
      <c r="U64" s="4"/>
    </row>
    <row r="65" spans="19:21" x14ac:dyDescent="0.3">
      <c r="S65" s="41"/>
      <c r="T65" s="14"/>
      <c r="U65" s="4"/>
    </row>
    <row r="66" spans="19:21" x14ac:dyDescent="0.3">
      <c r="S66" s="41"/>
      <c r="T66" s="14"/>
      <c r="U66" s="4"/>
    </row>
    <row r="67" spans="19:21" x14ac:dyDescent="0.3">
      <c r="S67" s="41"/>
      <c r="T67" s="14"/>
      <c r="U67" s="4"/>
    </row>
    <row r="68" spans="19:21" x14ac:dyDescent="0.3">
      <c r="S68" s="41"/>
      <c r="T68" s="14"/>
      <c r="U68" s="4"/>
    </row>
    <row r="69" spans="19:21" x14ac:dyDescent="0.3">
      <c r="S69" s="41"/>
      <c r="T69" s="14"/>
      <c r="U69" s="4"/>
    </row>
    <row r="70" spans="19:21" x14ac:dyDescent="0.3">
      <c r="S70" s="41"/>
      <c r="T70" s="14"/>
      <c r="U70" s="4"/>
    </row>
    <row r="71" spans="19:21" x14ac:dyDescent="0.3">
      <c r="S71" s="41"/>
      <c r="T71" s="14"/>
      <c r="U71" s="4"/>
    </row>
    <row r="72" spans="19:21" x14ac:dyDescent="0.3">
      <c r="S72" s="41"/>
      <c r="T72" s="14"/>
      <c r="U72" s="4"/>
    </row>
  </sheetData>
  <mergeCells count="5">
    <mergeCell ref="S3:U3"/>
    <mergeCell ref="V3:X3"/>
    <mergeCell ref="AD3:AG3"/>
    <mergeCell ref="Z3:AB3"/>
    <mergeCell ref="C5:C6"/>
  </mergeCells>
  <conditionalFormatting sqref="D7:D8">
    <cfRule type="cellIs" dxfId="4" priority="1" operator="between">
      <formula>0.5</formula>
      <formula>0.59</formula>
    </cfRule>
    <cfRule type="cellIs" dxfId="3" priority="2" operator="lessThan">
      <formula>0.5</formula>
    </cfRule>
    <cfRule type="cellIs" dxfId="2" priority="3" operator="greaterThanOrEqual">
      <formula>0.6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456FACE-FBC4-4E4F-93A4-0A17B222A600}">
          <x14:formula1>
            <xm:f>'Morningstar Category Data'!$A$3:$A$64</xm:f>
          </x14:formula1>
          <xm:sqref>R7:R8</xm:sqref>
        </x14:dataValidation>
        <x14:dataValidation type="list" allowBlank="1" showInputMessage="1" showErrorMessage="1" xr:uid="{219D6DB7-1BFA-4682-926F-A0AA0F12039A}">
          <x14:formula1>
            <xm:f>'BM Data'!$A$7:$A$240</xm:f>
          </x14:formula1>
          <xm:sqref>Q7:Q8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24F6-8007-4552-BF21-A469D91B8706}">
  <sheetPr>
    <tabColor theme="9" tint="0.79998168889431442"/>
  </sheetPr>
  <dimension ref="A1:F10194"/>
  <sheetViews>
    <sheetView topLeftCell="A13" zoomScale="120" zoomScaleNormal="120" workbookViewId="0">
      <selection activeCell="A42" sqref="A42"/>
    </sheetView>
  </sheetViews>
  <sheetFormatPr defaultRowHeight="14.4" x14ac:dyDescent="0.3"/>
  <cols>
    <col min="1" max="1" width="49.5546875" customWidth="1"/>
    <col min="2" max="2" width="14.6640625" style="14" bestFit="1" customWidth="1"/>
    <col min="3" max="3" width="17.33203125" style="76" bestFit="1" customWidth="1"/>
    <col min="4" max="4" width="10.5546875" bestFit="1" customWidth="1"/>
    <col min="5" max="5" width="35.6640625" customWidth="1"/>
    <col min="6" max="6" width="10.5546875" bestFit="1" customWidth="1"/>
  </cols>
  <sheetData>
    <row r="1" spans="1:6" x14ac:dyDescent="0.3">
      <c r="A1" t="s">
        <v>63</v>
      </c>
      <c r="B1" s="14" t="s">
        <v>64</v>
      </c>
      <c r="C1" s="76" t="s">
        <v>65</v>
      </c>
    </row>
    <row r="2" spans="1:6" x14ac:dyDescent="0.3">
      <c r="A2" t="s">
        <v>46</v>
      </c>
      <c r="B2" s="14">
        <v>44957</v>
      </c>
      <c r="C2" s="8">
        <v>2.2882920000000001E-2</v>
      </c>
      <c r="F2" s="14"/>
    </row>
    <row r="3" spans="1:6" x14ac:dyDescent="0.3">
      <c r="A3" t="s">
        <v>46</v>
      </c>
      <c r="B3" s="14">
        <v>44985</v>
      </c>
      <c r="C3" s="8">
        <v>-7.5710700000000001E-3</v>
      </c>
      <c r="F3" s="14"/>
    </row>
    <row r="4" spans="1:6" x14ac:dyDescent="0.3">
      <c r="A4" t="s">
        <v>46</v>
      </c>
      <c r="B4" s="14">
        <v>45016</v>
      </c>
      <c r="C4" s="8">
        <v>1.473816E-2</v>
      </c>
      <c r="F4" s="14"/>
    </row>
    <row r="5" spans="1:6" x14ac:dyDescent="0.3">
      <c r="A5" t="s">
        <v>46</v>
      </c>
      <c r="B5" s="14">
        <v>45046</v>
      </c>
      <c r="C5" s="8">
        <v>4.0185300000000002E-3</v>
      </c>
      <c r="F5" s="14"/>
    </row>
    <row r="6" spans="1:6" x14ac:dyDescent="0.3">
      <c r="A6" t="s">
        <v>46</v>
      </c>
      <c r="B6" s="14">
        <v>45077</v>
      </c>
      <c r="C6" s="8">
        <v>-6.3844900000000005E-3</v>
      </c>
    </row>
    <row r="7" spans="1:6" x14ac:dyDescent="0.3">
      <c r="A7" t="s">
        <v>46</v>
      </c>
      <c r="B7" s="14">
        <v>45107</v>
      </c>
      <c r="C7" s="8">
        <v>-9.5791699999999997E-3</v>
      </c>
    </row>
    <row r="8" spans="1:6" x14ac:dyDescent="0.3">
      <c r="A8" t="s">
        <v>46</v>
      </c>
      <c r="B8" s="14">
        <v>45138</v>
      </c>
      <c r="C8" s="8">
        <v>6.0726100000000009E-3</v>
      </c>
    </row>
    <row r="9" spans="1:6" x14ac:dyDescent="0.3">
      <c r="A9" t="s">
        <v>46</v>
      </c>
      <c r="B9" s="14">
        <v>45169</v>
      </c>
      <c r="C9" s="8">
        <v>6.95855E-3</v>
      </c>
    </row>
    <row r="10" spans="1:6" x14ac:dyDescent="0.3">
      <c r="A10" t="s">
        <v>46</v>
      </c>
      <c r="B10" s="14">
        <v>45199</v>
      </c>
      <c r="C10" s="8">
        <v>-6.0639699999999993E-3</v>
      </c>
    </row>
    <row r="11" spans="1:6" x14ac:dyDescent="0.3">
      <c r="A11" t="s">
        <v>46</v>
      </c>
      <c r="B11" s="14">
        <v>45230</v>
      </c>
      <c r="C11" s="8">
        <v>-6.7414700000000003E-3</v>
      </c>
    </row>
    <row r="12" spans="1:6" x14ac:dyDescent="0.3">
      <c r="A12" t="s">
        <v>46</v>
      </c>
      <c r="B12" s="14">
        <v>45260</v>
      </c>
      <c r="C12" s="8">
        <v>2.266398E-2</v>
      </c>
    </row>
    <row r="13" spans="1:6" x14ac:dyDescent="0.3">
      <c r="A13" t="s">
        <v>46</v>
      </c>
      <c r="B13" s="14">
        <v>45291</v>
      </c>
      <c r="C13" s="8">
        <v>2.5335409999999999E-2</v>
      </c>
    </row>
    <row r="14" spans="1:6" x14ac:dyDescent="0.3">
      <c r="A14" t="s">
        <v>46</v>
      </c>
      <c r="B14" s="14">
        <v>45322</v>
      </c>
      <c r="C14" s="8">
        <v>3.0598599999999998E-3</v>
      </c>
    </row>
    <row r="15" spans="1:6" x14ac:dyDescent="0.3">
      <c r="A15" t="s">
        <v>46</v>
      </c>
      <c r="B15" s="14">
        <v>45351</v>
      </c>
      <c r="C15" s="8">
        <v>-2.5378E-4</v>
      </c>
    </row>
    <row r="16" spans="1:6" x14ac:dyDescent="0.3">
      <c r="A16" t="s">
        <v>46</v>
      </c>
      <c r="B16" s="14">
        <v>45382</v>
      </c>
      <c r="C16" s="8">
        <v>1.0938659999999999E-2</v>
      </c>
    </row>
    <row r="17" spans="1:3" x14ac:dyDescent="0.3">
      <c r="A17" t="s">
        <v>46</v>
      </c>
      <c r="B17" s="14">
        <v>45412</v>
      </c>
      <c r="C17" s="8">
        <v>-9.205940000000001E-3</v>
      </c>
    </row>
    <row r="18" spans="1:3" x14ac:dyDescent="0.3">
      <c r="A18" t="s">
        <v>46</v>
      </c>
      <c r="B18" s="14">
        <v>45443</v>
      </c>
      <c r="C18" s="8">
        <v>5.53179E-3</v>
      </c>
    </row>
    <row r="19" spans="1:3" x14ac:dyDescent="0.3">
      <c r="A19" t="s">
        <v>46</v>
      </c>
      <c r="B19" s="14">
        <v>45473</v>
      </c>
      <c r="C19" s="8">
        <v>6.2866699999999994E-3</v>
      </c>
    </row>
    <row r="20" spans="1:3" x14ac:dyDescent="0.3">
      <c r="A20" t="s">
        <v>46</v>
      </c>
      <c r="B20" s="14">
        <v>45504</v>
      </c>
      <c r="C20" s="8">
        <v>1.481509E-2</v>
      </c>
    </row>
    <row r="21" spans="1:3" x14ac:dyDescent="0.3">
      <c r="A21" t="s">
        <v>46</v>
      </c>
      <c r="B21" s="14">
        <v>45535</v>
      </c>
      <c r="C21" s="8">
        <v>8.7323999999999995E-3</v>
      </c>
    </row>
    <row r="22" spans="1:3" x14ac:dyDescent="0.3">
      <c r="A22" t="s">
        <v>46</v>
      </c>
      <c r="B22" s="14">
        <v>45565</v>
      </c>
      <c r="C22" s="8">
        <v>6.6108599999999997E-3</v>
      </c>
    </row>
    <row r="23" spans="1:3" x14ac:dyDescent="0.3">
      <c r="A23" t="s">
        <v>46</v>
      </c>
      <c r="B23" s="14">
        <v>45596</v>
      </c>
      <c r="C23" s="8">
        <v>-7.7509600000000003E-3</v>
      </c>
    </row>
    <row r="24" spans="1:3" x14ac:dyDescent="0.3">
      <c r="A24" t="s">
        <v>46</v>
      </c>
      <c r="B24" s="14">
        <v>45626</v>
      </c>
      <c r="C24" s="8">
        <v>9.9513099999999997E-3</v>
      </c>
    </row>
    <row r="25" spans="1:3" x14ac:dyDescent="0.3">
      <c r="A25" t="s">
        <v>46</v>
      </c>
      <c r="B25" s="14">
        <v>45657</v>
      </c>
      <c r="C25" s="8">
        <v>5.6291800000000001E-3</v>
      </c>
    </row>
    <row r="26" spans="1:3" x14ac:dyDescent="0.3">
      <c r="A26" t="s">
        <v>46</v>
      </c>
      <c r="B26" s="14">
        <v>45688</v>
      </c>
      <c r="C26" s="8">
        <v>5.1195999999999993E-3</v>
      </c>
    </row>
    <row r="27" spans="1:3" x14ac:dyDescent="0.3">
      <c r="A27" t="s">
        <v>46</v>
      </c>
      <c r="B27" s="14">
        <v>45716</v>
      </c>
      <c r="C27" s="8">
        <v>8.3574700000000005E-3</v>
      </c>
    </row>
    <row r="28" spans="1:3" x14ac:dyDescent="0.3">
      <c r="A28" t="s">
        <v>46</v>
      </c>
      <c r="B28" s="14">
        <v>45747</v>
      </c>
      <c r="C28" s="8">
        <v>8.1284E-4</v>
      </c>
    </row>
    <row r="29" spans="1:3" x14ac:dyDescent="0.3">
      <c r="A29" t="s">
        <v>46</v>
      </c>
      <c r="B29" s="14">
        <v>45777</v>
      </c>
      <c r="C29" s="8">
        <v>7.7867200000000004E-3</v>
      </c>
    </row>
    <row r="30" spans="1:3" x14ac:dyDescent="0.3">
      <c r="A30" t="s">
        <v>46</v>
      </c>
      <c r="B30" s="14">
        <v>45808</v>
      </c>
      <c r="C30" s="8">
        <v>1.40763E-3</v>
      </c>
    </row>
    <row r="31" spans="1:3" x14ac:dyDescent="0.3">
      <c r="A31" t="s">
        <v>46</v>
      </c>
      <c r="B31" s="14">
        <v>45838</v>
      </c>
      <c r="C31" s="8">
        <v>7.8236599999999996E-3</v>
      </c>
    </row>
    <row r="32" spans="1:3" x14ac:dyDescent="0.3">
      <c r="A32" t="s">
        <v>46</v>
      </c>
      <c r="B32" s="14">
        <v>45869</v>
      </c>
      <c r="C32" s="8">
        <v>2.7439299999999999E-3</v>
      </c>
    </row>
    <row r="33" spans="1:3" x14ac:dyDescent="0.3">
      <c r="A33" t="s">
        <v>46</v>
      </c>
      <c r="B33" s="14">
        <v>45900</v>
      </c>
      <c r="C33" s="8">
        <v>5.1729800000000006E-3</v>
      </c>
    </row>
    <row r="34" spans="1:3" x14ac:dyDescent="0.3">
      <c r="A34" t="s">
        <v>46</v>
      </c>
      <c r="B34" s="14">
        <v>45930</v>
      </c>
      <c r="C34" s="8">
        <v>3.5517700000000001E-3</v>
      </c>
    </row>
    <row r="35" spans="1:3" x14ac:dyDescent="0.3">
      <c r="A35" t="s">
        <v>46</v>
      </c>
      <c r="B35" s="14">
        <v>45961</v>
      </c>
      <c r="C35" s="8">
        <v>5.5025999999999999E-3</v>
      </c>
    </row>
    <row r="36" spans="1:3" x14ac:dyDescent="0.3">
      <c r="A36" t="s">
        <v>46</v>
      </c>
      <c r="B36" s="14">
        <v>45991</v>
      </c>
      <c r="C36" s="8">
        <v>-1.8079200000000002E-3</v>
      </c>
    </row>
    <row r="37" spans="1:3" x14ac:dyDescent="0.3">
      <c r="A37" t="s">
        <v>46</v>
      </c>
      <c r="B37" s="14">
        <v>46022</v>
      </c>
      <c r="C37" s="8">
        <v>-4.929E-4</v>
      </c>
    </row>
    <row r="38" spans="1:3" x14ac:dyDescent="0.3">
      <c r="A38" t="s">
        <v>50</v>
      </c>
      <c r="B38" s="14">
        <v>44957</v>
      </c>
      <c r="C38" s="8">
        <v>4.2083839999999997E-2</v>
      </c>
    </row>
    <row r="39" spans="1:3" x14ac:dyDescent="0.3">
      <c r="A39" t="s">
        <v>50</v>
      </c>
      <c r="B39" s="14">
        <v>44985</v>
      </c>
      <c r="C39" s="8">
        <v>4.6046999999999999E-4</v>
      </c>
    </row>
    <row r="40" spans="1:3" x14ac:dyDescent="0.3">
      <c r="A40" t="s">
        <v>50</v>
      </c>
      <c r="B40" s="14">
        <v>45016</v>
      </c>
      <c r="C40" s="8">
        <v>9.2511600000000013E-3</v>
      </c>
    </row>
    <row r="41" spans="1:3" x14ac:dyDescent="0.3">
      <c r="A41" t="s">
        <v>50</v>
      </c>
      <c r="B41" s="14">
        <v>45046</v>
      </c>
      <c r="C41" s="8">
        <v>2.7839839999999998E-2</v>
      </c>
    </row>
    <row r="42" spans="1:3" x14ac:dyDescent="0.3">
      <c r="A42" t="s">
        <v>50</v>
      </c>
      <c r="B42" s="14">
        <v>45077</v>
      </c>
      <c r="C42" s="8">
        <v>-6.2499400000000007E-3</v>
      </c>
    </row>
    <row r="43" spans="1:3" x14ac:dyDescent="0.3">
      <c r="A43" t="s">
        <v>50</v>
      </c>
      <c r="B43" s="14">
        <v>45107</v>
      </c>
      <c r="C43" s="8">
        <v>2.0962729999999999E-2</v>
      </c>
    </row>
    <row r="44" spans="1:3" x14ac:dyDescent="0.3">
      <c r="A44" t="s">
        <v>50</v>
      </c>
      <c r="B44" s="14">
        <v>45138</v>
      </c>
      <c r="C44" s="8">
        <v>2.660761E-2</v>
      </c>
    </row>
    <row r="45" spans="1:3" x14ac:dyDescent="0.3">
      <c r="A45" t="s">
        <v>50</v>
      </c>
      <c r="B45" s="14">
        <v>45169</v>
      </c>
      <c r="C45" s="8">
        <v>3.2922699999999999E-3</v>
      </c>
    </row>
    <row r="46" spans="1:3" x14ac:dyDescent="0.3">
      <c r="A46" t="s">
        <v>50</v>
      </c>
      <c r="B46" s="14">
        <v>45199</v>
      </c>
      <c r="C46" s="8">
        <v>-3.5570940000000002E-2</v>
      </c>
    </row>
    <row r="47" spans="1:3" x14ac:dyDescent="0.3">
      <c r="A47" t="s">
        <v>50</v>
      </c>
      <c r="B47" s="14">
        <v>45230</v>
      </c>
      <c r="C47" s="8">
        <v>-2.0881549999999999E-2</v>
      </c>
    </row>
    <row r="48" spans="1:3" x14ac:dyDescent="0.3">
      <c r="A48" t="s">
        <v>50</v>
      </c>
      <c r="B48" s="14">
        <v>45260</v>
      </c>
      <c r="C48" s="8">
        <v>4.1554089999999995E-2</v>
      </c>
    </row>
    <row r="49" spans="1:3" x14ac:dyDescent="0.3">
      <c r="A49" t="s">
        <v>50</v>
      </c>
      <c r="B49" s="14">
        <v>45291</v>
      </c>
      <c r="C49" s="8">
        <v>4.0123430000000002E-2</v>
      </c>
    </row>
    <row r="50" spans="1:3" x14ac:dyDescent="0.3">
      <c r="A50" t="s">
        <v>50</v>
      </c>
      <c r="B50" s="14">
        <v>45322</v>
      </c>
      <c r="C50" s="8">
        <v>1.8213440000000001E-2</v>
      </c>
    </row>
    <row r="51" spans="1:3" x14ac:dyDescent="0.3">
      <c r="A51" t="s">
        <v>50</v>
      </c>
      <c r="B51" s="14">
        <v>45351</v>
      </c>
      <c r="C51" s="8">
        <v>3.5630259999999997E-2</v>
      </c>
    </row>
    <row r="52" spans="1:3" x14ac:dyDescent="0.3">
      <c r="A52" t="s">
        <v>50</v>
      </c>
      <c r="B52" s="14">
        <v>45382</v>
      </c>
      <c r="C52" s="8">
        <v>3.809303E-2</v>
      </c>
    </row>
    <row r="53" spans="1:3" x14ac:dyDescent="0.3">
      <c r="A53" t="s">
        <v>50</v>
      </c>
      <c r="B53" s="14">
        <v>45412</v>
      </c>
      <c r="C53" s="8">
        <v>-2.6076439999999999E-2</v>
      </c>
    </row>
    <row r="54" spans="1:3" x14ac:dyDescent="0.3">
      <c r="A54" t="s">
        <v>50</v>
      </c>
      <c r="B54" s="14">
        <v>45443</v>
      </c>
      <c r="C54" s="8">
        <v>9.7886700000000011E-3</v>
      </c>
    </row>
    <row r="55" spans="1:3" x14ac:dyDescent="0.3">
      <c r="A55" t="s">
        <v>50</v>
      </c>
      <c r="B55" s="14">
        <v>45473</v>
      </c>
      <c r="C55" s="8">
        <v>1.4043300000000001E-3</v>
      </c>
    </row>
    <row r="56" spans="1:3" x14ac:dyDescent="0.3">
      <c r="A56" t="s">
        <v>50</v>
      </c>
      <c r="B56" s="14">
        <v>45504</v>
      </c>
      <c r="C56" s="8">
        <v>4.6433820000000001E-2</v>
      </c>
    </row>
    <row r="57" spans="1:3" x14ac:dyDescent="0.3">
      <c r="A57" t="s">
        <v>50</v>
      </c>
      <c r="B57" s="14">
        <v>45535</v>
      </c>
      <c r="C57" s="8">
        <v>-5.9882899999999994E-3</v>
      </c>
    </row>
    <row r="58" spans="1:3" x14ac:dyDescent="0.3">
      <c r="A58" t="s">
        <v>50</v>
      </c>
      <c r="B58" s="14">
        <v>45565</v>
      </c>
      <c r="C58" s="8">
        <v>2.1135850000000001E-2</v>
      </c>
    </row>
    <row r="59" spans="1:3" x14ac:dyDescent="0.3">
      <c r="A59" t="s">
        <v>50</v>
      </c>
      <c r="B59" s="14">
        <v>45596</v>
      </c>
      <c r="C59" s="8">
        <v>1.6147499999999999E-2</v>
      </c>
    </row>
    <row r="60" spans="1:3" x14ac:dyDescent="0.3">
      <c r="A60" t="s">
        <v>50</v>
      </c>
      <c r="B60" s="14">
        <v>45626</v>
      </c>
      <c r="C60" s="8">
        <v>3.8297589999999999E-2</v>
      </c>
    </row>
    <row r="61" spans="1:3" x14ac:dyDescent="0.3">
      <c r="A61" t="s">
        <v>50</v>
      </c>
      <c r="B61" s="14">
        <v>45657</v>
      </c>
      <c r="C61" s="8">
        <v>-8.0431099999999991E-3</v>
      </c>
    </row>
    <row r="62" spans="1:3" x14ac:dyDescent="0.3">
      <c r="A62" t="s">
        <v>50</v>
      </c>
      <c r="B62" s="14">
        <v>45688</v>
      </c>
      <c r="C62" s="8">
        <v>2.9445410000000002E-2</v>
      </c>
    </row>
    <row r="63" spans="1:3" x14ac:dyDescent="0.3">
      <c r="A63" t="s">
        <v>50</v>
      </c>
      <c r="B63" s="14">
        <v>45716</v>
      </c>
      <c r="C63" s="8">
        <v>-1.1087340000000001E-2</v>
      </c>
    </row>
    <row r="64" spans="1:3" x14ac:dyDescent="0.3">
      <c r="A64" t="s">
        <v>50</v>
      </c>
      <c r="B64" s="14">
        <v>45747</v>
      </c>
      <c r="C64" s="8">
        <v>-2.5779700000000003E-2</v>
      </c>
    </row>
    <row r="65" spans="1:3" x14ac:dyDescent="0.3">
      <c r="A65" t="s">
        <v>50</v>
      </c>
      <c r="B65" s="14">
        <v>45777</v>
      </c>
      <c r="C65" s="8">
        <v>3.5932799999999999E-3</v>
      </c>
    </row>
    <row r="66" spans="1:3" x14ac:dyDescent="0.3">
      <c r="A66" t="s">
        <v>50</v>
      </c>
      <c r="B66" s="14">
        <v>45808</v>
      </c>
      <c r="C66" s="8">
        <v>5.0158589999999996E-2</v>
      </c>
    </row>
    <row r="67" spans="1:3" x14ac:dyDescent="0.3">
      <c r="A67" t="s">
        <v>50</v>
      </c>
      <c r="B67" s="14">
        <v>45838</v>
      </c>
      <c r="C67" s="8">
        <v>2.017362E-2</v>
      </c>
    </row>
    <row r="68" spans="1:3" x14ac:dyDescent="0.3">
      <c r="A68" t="s">
        <v>50</v>
      </c>
      <c r="B68" s="14">
        <v>45869</v>
      </c>
      <c r="C68" s="8">
        <v>2.2768609999999998E-2</v>
      </c>
    </row>
    <row r="69" spans="1:3" x14ac:dyDescent="0.3">
      <c r="A69" t="s">
        <v>50</v>
      </c>
      <c r="B69" s="14">
        <v>45900</v>
      </c>
      <c r="C69" s="8">
        <v>2.260672E-2</v>
      </c>
    </row>
    <row r="70" spans="1:3" x14ac:dyDescent="0.3">
      <c r="A70" t="s">
        <v>50</v>
      </c>
      <c r="B70" s="14">
        <v>45930</v>
      </c>
      <c r="C70" s="8">
        <v>1.30385E-2</v>
      </c>
    </row>
    <row r="71" spans="1:3" x14ac:dyDescent="0.3">
      <c r="A71" t="s">
        <v>50</v>
      </c>
      <c r="B71" s="14">
        <v>45961</v>
      </c>
      <c r="C71" s="8">
        <v>1.6303289999999998E-2</v>
      </c>
    </row>
    <row r="72" spans="1:3" x14ac:dyDescent="0.3">
      <c r="A72" t="s">
        <v>50</v>
      </c>
      <c r="B72" s="14">
        <v>45991</v>
      </c>
      <c r="C72" s="8">
        <v>-2.6320800000000002E-3</v>
      </c>
    </row>
    <row r="73" spans="1:3" x14ac:dyDescent="0.3">
      <c r="A73" t="s">
        <v>50</v>
      </c>
      <c r="B73" s="14">
        <v>46022</v>
      </c>
      <c r="C73" s="8">
        <v>-2.4888699999999998E-3</v>
      </c>
    </row>
    <row r="74" spans="1:3" x14ac:dyDescent="0.3">
      <c r="C74" s="8"/>
    </row>
    <row r="75" spans="1:3" x14ac:dyDescent="0.3">
      <c r="C75" s="8"/>
    </row>
    <row r="76" spans="1:3" x14ac:dyDescent="0.3">
      <c r="C76" s="8"/>
    </row>
    <row r="77" spans="1:3" x14ac:dyDescent="0.3">
      <c r="C77" s="8"/>
    </row>
    <row r="78" spans="1:3" x14ac:dyDescent="0.3">
      <c r="C78" s="8"/>
    </row>
    <row r="79" spans="1:3" x14ac:dyDescent="0.3">
      <c r="C79" s="8"/>
    </row>
    <row r="80" spans="1:3" x14ac:dyDescent="0.3">
      <c r="C80" s="8"/>
    </row>
    <row r="81" spans="3:3" x14ac:dyDescent="0.3">
      <c r="C81" s="8"/>
    </row>
    <row r="82" spans="3:3" x14ac:dyDescent="0.3">
      <c r="C82" s="8"/>
    </row>
    <row r="83" spans="3:3" x14ac:dyDescent="0.3">
      <c r="C83" s="8"/>
    </row>
    <row r="84" spans="3:3" x14ac:dyDescent="0.3">
      <c r="C84" s="8"/>
    </row>
    <row r="85" spans="3:3" x14ac:dyDescent="0.3">
      <c r="C85" s="8"/>
    </row>
    <row r="86" spans="3:3" x14ac:dyDescent="0.3">
      <c r="C86" s="8"/>
    </row>
    <row r="87" spans="3:3" x14ac:dyDescent="0.3">
      <c r="C87" s="8"/>
    </row>
    <row r="88" spans="3:3" x14ac:dyDescent="0.3">
      <c r="C88" s="8"/>
    </row>
    <row r="89" spans="3:3" x14ac:dyDescent="0.3">
      <c r="C89" s="8"/>
    </row>
    <row r="90" spans="3:3" x14ac:dyDescent="0.3">
      <c r="C90" s="8"/>
    </row>
    <row r="91" spans="3:3" x14ac:dyDescent="0.3">
      <c r="C91" s="8"/>
    </row>
    <row r="92" spans="3:3" x14ac:dyDescent="0.3">
      <c r="C92" s="8"/>
    </row>
    <row r="93" spans="3:3" x14ac:dyDescent="0.3">
      <c r="C93" s="8"/>
    </row>
    <row r="94" spans="3:3" x14ac:dyDescent="0.3">
      <c r="C94" s="8"/>
    </row>
    <row r="95" spans="3:3" x14ac:dyDescent="0.3">
      <c r="C95" s="8"/>
    </row>
    <row r="96" spans="3:3" x14ac:dyDescent="0.3">
      <c r="C96" s="8"/>
    </row>
    <row r="97" spans="3:3" x14ac:dyDescent="0.3">
      <c r="C97" s="8"/>
    </row>
    <row r="98" spans="3:3" x14ac:dyDescent="0.3">
      <c r="C98" s="8"/>
    </row>
    <row r="99" spans="3:3" x14ac:dyDescent="0.3">
      <c r="C99" s="8"/>
    </row>
    <row r="100" spans="3:3" x14ac:dyDescent="0.3">
      <c r="C100" s="8"/>
    </row>
    <row r="101" spans="3:3" x14ac:dyDescent="0.3">
      <c r="C101" s="8"/>
    </row>
    <row r="102" spans="3:3" x14ac:dyDescent="0.3">
      <c r="C102" s="8"/>
    </row>
    <row r="103" spans="3:3" x14ac:dyDescent="0.3">
      <c r="C103" s="8"/>
    </row>
    <row r="104" spans="3:3" x14ac:dyDescent="0.3">
      <c r="C104" s="8"/>
    </row>
    <row r="105" spans="3:3" x14ac:dyDescent="0.3">
      <c r="C105" s="8"/>
    </row>
    <row r="106" spans="3:3" x14ac:dyDescent="0.3">
      <c r="C106" s="8"/>
    </row>
    <row r="107" spans="3:3" x14ac:dyDescent="0.3">
      <c r="C107" s="8"/>
    </row>
    <row r="108" spans="3:3" x14ac:dyDescent="0.3">
      <c r="C108" s="8"/>
    </row>
    <row r="109" spans="3:3" x14ac:dyDescent="0.3">
      <c r="C109" s="8"/>
    </row>
    <row r="110" spans="3:3" x14ac:dyDescent="0.3">
      <c r="C110" s="8"/>
    </row>
    <row r="111" spans="3:3" x14ac:dyDescent="0.3">
      <c r="C111" s="8"/>
    </row>
    <row r="112" spans="3:3" x14ac:dyDescent="0.3">
      <c r="C112" s="8"/>
    </row>
    <row r="113" spans="3:3" x14ac:dyDescent="0.3">
      <c r="C113" s="8"/>
    </row>
    <row r="114" spans="3:3" x14ac:dyDescent="0.3">
      <c r="C114" s="8"/>
    </row>
    <row r="115" spans="3:3" x14ac:dyDescent="0.3">
      <c r="C115" s="8"/>
    </row>
    <row r="116" spans="3:3" x14ac:dyDescent="0.3">
      <c r="C116" s="8"/>
    </row>
    <row r="117" spans="3:3" x14ac:dyDescent="0.3">
      <c r="C117" s="8"/>
    </row>
    <row r="118" spans="3:3" x14ac:dyDescent="0.3">
      <c r="C118" s="8"/>
    </row>
    <row r="119" spans="3:3" x14ac:dyDescent="0.3">
      <c r="C119" s="8"/>
    </row>
    <row r="120" spans="3:3" x14ac:dyDescent="0.3">
      <c r="C120" s="8"/>
    </row>
    <row r="121" spans="3:3" x14ac:dyDescent="0.3">
      <c r="C121" s="8"/>
    </row>
    <row r="122" spans="3:3" x14ac:dyDescent="0.3">
      <c r="C122" s="8"/>
    </row>
    <row r="123" spans="3:3" x14ac:dyDescent="0.3">
      <c r="C123" s="8"/>
    </row>
    <row r="124" spans="3:3" x14ac:dyDescent="0.3">
      <c r="C124" s="8"/>
    </row>
    <row r="125" spans="3:3" x14ac:dyDescent="0.3">
      <c r="C125" s="8"/>
    </row>
    <row r="126" spans="3:3" x14ac:dyDescent="0.3">
      <c r="C126" s="8"/>
    </row>
    <row r="127" spans="3:3" x14ac:dyDescent="0.3">
      <c r="C127" s="8"/>
    </row>
    <row r="128" spans="3:3" x14ac:dyDescent="0.3">
      <c r="C128" s="8"/>
    </row>
    <row r="129" spans="3:3" x14ac:dyDescent="0.3">
      <c r="C129" s="8"/>
    </row>
    <row r="130" spans="3:3" x14ac:dyDescent="0.3">
      <c r="C130" s="8"/>
    </row>
    <row r="131" spans="3:3" x14ac:dyDescent="0.3">
      <c r="C131" s="8"/>
    </row>
    <row r="132" spans="3:3" x14ac:dyDescent="0.3">
      <c r="C132" s="8"/>
    </row>
    <row r="133" spans="3:3" x14ac:dyDescent="0.3">
      <c r="C133" s="8"/>
    </row>
    <row r="134" spans="3:3" x14ac:dyDescent="0.3">
      <c r="C134" s="8"/>
    </row>
    <row r="135" spans="3:3" x14ac:dyDescent="0.3">
      <c r="C135" s="8"/>
    </row>
    <row r="136" spans="3:3" x14ac:dyDescent="0.3">
      <c r="C136" s="8"/>
    </row>
    <row r="137" spans="3:3" x14ac:dyDescent="0.3">
      <c r="C137" s="8"/>
    </row>
    <row r="138" spans="3:3" x14ac:dyDescent="0.3">
      <c r="C138" s="8"/>
    </row>
    <row r="139" spans="3:3" x14ac:dyDescent="0.3">
      <c r="C139" s="8"/>
    </row>
    <row r="140" spans="3:3" x14ac:dyDescent="0.3">
      <c r="C140" s="8"/>
    </row>
    <row r="141" spans="3:3" x14ac:dyDescent="0.3">
      <c r="C141" s="8"/>
    </row>
    <row r="142" spans="3:3" x14ac:dyDescent="0.3">
      <c r="C142" s="8"/>
    </row>
    <row r="143" spans="3:3" x14ac:dyDescent="0.3">
      <c r="C143" s="8"/>
    </row>
    <row r="144" spans="3:3" x14ac:dyDescent="0.3">
      <c r="C144" s="8"/>
    </row>
    <row r="145" spans="3:3" x14ac:dyDescent="0.3">
      <c r="C145" s="8"/>
    </row>
    <row r="146" spans="3:3" x14ac:dyDescent="0.3">
      <c r="C146" s="8"/>
    </row>
    <row r="147" spans="3:3" x14ac:dyDescent="0.3">
      <c r="C147" s="8"/>
    </row>
    <row r="148" spans="3:3" x14ac:dyDescent="0.3">
      <c r="C148" s="8"/>
    </row>
    <row r="149" spans="3:3" x14ac:dyDescent="0.3">
      <c r="C149" s="8"/>
    </row>
    <row r="150" spans="3:3" x14ac:dyDescent="0.3">
      <c r="C150" s="8"/>
    </row>
    <row r="151" spans="3:3" x14ac:dyDescent="0.3">
      <c r="C151" s="8"/>
    </row>
    <row r="152" spans="3:3" x14ac:dyDescent="0.3">
      <c r="C152" s="8"/>
    </row>
    <row r="153" spans="3:3" x14ac:dyDescent="0.3">
      <c r="C153" s="8"/>
    </row>
    <row r="154" spans="3:3" x14ac:dyDescent="0.3">
      <c r="C154" s="8"/>
    </row>
    <row r="155" spans="3:3" x14ac:dyDescent="0.3">
      <c r="C155" s="8"/>
    </row>
    <row r="156" spans="3:3" x14ac:dyDescent="0.3">
      <c r="C156" s="8"/>
    </row>
    <row r="157" spans="3:3" x14ac:dyDescent="0.3">
      <c r="C157" s="8"/>
    </row>
    <row r="158" spans="3:3" x14ac:dyDescent="0.3">
      <c r="C158" s="8"/>
    </row>
    <row r="159" spans="3:3" x14ac:dyDescent="0.3">
      <c r="C159" s="8"/>
    </row>
    <row r="160" spans="3:3" x14ac:dyDescent="0.3">
      <c r="C160" s="8"/>
    </row>
    <row r="161" spans="3:3" x14ac:dyDescent="0.3">
      <c r="C161" s="8"/>
    </row>
    <row r="162" spans="3:3" x14ac:dyDescent="0.3">
      <c r="C162" s="8"/>
    </row>
    <row r="163" spans="3:3" x14ac:dyDescent="0.3">
      <c r="C163" s="8"/>
    </row>
    <row r="164" spans="3:3" x14ac:dyDescent="0.3">
      <c r="C164" s="8"/>
    </row>
    <row r="165" spans="3:3" x14ac:dyDescent="0.3">
      <c r="C165" s="8"/>
    </row>
    <row r="166" spans="3:3" x14ac:dyDescent="0.3">
      <c r="C166" s="8"/>
    </row>
    <row r="167" spans="3:3" x14ac:dyDescent="0.3">
      <c r="C167" s="8"/>
    </row>
    <row r="168" spans="3:3" x14ac:dyDescent="0.3">
      <c r="C168" s="8"/>
    </row>
    <row r="169" spans="3:3" x14ac:dyDescent="0.3">
      <c r="C169" s="8"/>
    </row>
    <row r="170" spans="3:3" x14ac:dyDescent="0.3">
      <c r="C170" s="8"/>
    </row>
    <row r="171" spans="3:3" x14ac:dyDescent="0.3">
      <c r="C171" s="8"/>
    </row>
    <row r="172" spans="3:3" x14ac:dyDescent="0.3">
      <c r="C172" s="8"/>
    </row>
    <row r="173" spans="3:3" x14ac:dyDescent="0.3">
      <c r="C173" s="8"/>
    </row>
    <row r="174" spans="3:3" x14ac:dyDescent="0.3">
      <c r="C174" s="8"/>
    </row>
    <row r="175" spans="3:3" x14ac:dyDescent="0.3">
      <c r="C175" s="8"/>
    </row>
    <row r="176" spans="3:3" x14ac:dyDescent="0.3">
      <c r="C176" s="8"/>
    </row>
    <row r="177" spans="3:3" x14ac:dyDescent="0.3">
      <c r="C177" s="8"/>
    </row>
    <row r="178" spans="3:3" x14ac:dyDescent="0.3">
      <c r="C178" s="8"/>
    </row>
    <row r="179" spans="3:3" x14ac:dyDescent="0.3">
      <c r="C179" s="8"/>
    </row>
    <row r="180" spans="3:3" x14ac:dyDescent="0.3">
      <c r="C180" s="8"/>
    </row>
    <row r="181" spans="3:3" x14ac:dyDescent="0.3">
      <c r="C181" s="8"/>
    </row>
    <row r="182" spans="3:3" x14ac:dyDescent="0.3">
      <c r="C182" s="8"/>
    </row>
    <row r="183" spans="3:3" x14ac:dyDescent="0.3">
      <c r="C183" s="8"/>
    </row>
    <row r="184" spans="3:3" x14ac:dyDescent="0.3">
      <c r="C184" s="8"/>
    </row>
    <row r="185" spans="3:3" x14ac:dyDescent="0.3">
      <c r="C185" s="8"/>
    </row>
    <row r="186" spans="3:3" x14ac:dyDescent="0.3">
      <c r="C186" s="8"/>
    </row>
    <row r="187" spans="3:3" x14ac:dyDescent="0.3">
      <c r="C187" s="8"/>
    </row>
    <row r="188" spans="3:3" x14ac:dyDescent="0.3">
      <c r="C188" s="8"/>
    </row>
    <row r="189" spans="3:3" x14ac:dyDescent="0.3">
      <c r="C189" s="8"/>
    </row>
    <row r="190" spans="3:3" x14ac:dyDescent="0.3">
      <c r="C190" s="8"/>
    </row>
    <row r="191" spans="3:3" x14ac:dyDescent="0.3">
      <c r="C191" s="8"/>
    </row>
    <row r="192" spans="3:3" x14ac:dyDescent="0.3">
      <c r="C192" s="8"/>
    </row>
    <row r="193" spans="3:3" x14ac:dyDescent="0.3">
      <c r="C193" s="8"/>
    </row>
    <row r="194" spans="3:3" x14ac:dyDescent="0.3">
      <c r="C194" s="8"/>
    </row>
    <row r="195" spans="3:3" x14ac:dyDescent="0.3">
      <c r="C195" s="8"/>
    </row>
    <row r="196" spans="3:3" x14ac:dyDescent="0.3">
      <c r="C196" s="8"/>
    </row>
    <row r="197" spans="3:3" x14ac:dyDescent="0.3">
      <c r="C197" s="8"/>
    </row>
    <row r="198" spans="3:3" x14ac:dyDescent="0.3">
      <c r="C198" s="8"/>
    </row>
    <row r="199" spans="3:3" x14ac:dyDescent="0.3">
      <c r="C199" s="8"/>
    </row>
    <row r="200" spans="3:3" x14ac:dyDescent="0.3">
      <c r="C200" s="8"/>
    </row>
    <row r="201" spans="3:3" x14ac:dyDescent="0.3">
      <c r="C201" s="8"/>
    </row>
    <row r="202" spans="3:3" x14ac:dyDescent="0.3">
      <c r="C202" s="8"/>
    </row>
    <row r="203" spans="3:3" x14ac:dyDescent="0.3">
      <c r="C203" s="8"/>
    </row>
    <row r="204" spans="3:3" x14ac:dyDescent="0.3">
      <c r="C204" s="8"/>
    </row>
    <row r="205" spans="3:3" x14ac:dyDescent="0.3">
      <c r="C205" s="8"/>
    </row>
    <row r="206" spans="3:3" x14ac:dyDescent="0.3">
      <c r="C206" s="8"/>
    </row>
    <row r="207" spans="3:3" x14ac:dyDescent="0.3">
      <c r="C207" s="8"/>
    </row>
    <row r="208" spans="3:3" x14ac:dyDescent="0.3">
      <c r="C208" s="8"/>
    </row>
    <row r="209" spans="3:3" x14ac:dyDescent="0.3">
      <c r="C209" s="8"/>
    </row>
    <row r="210" spans="3:3" x14ac:dyDescent="0.3">
      <c r="C210" s="8"/>
    </row>
    <row r="211" spans="3:3" x14ac:dyDescent="0.3">
      <c r="C211" s="8"/>
    </row>
    <row r="212" spans="3:3" x14ac:dyDescent="0.3">
      <c r="C212" s="8"/>
    </row>
    <row r="213" spans="3:3" x14ac:dyDescent="0.3">
      <c r="C213" s="8"/>
    </row>
    <row r="214" spans="3:3" x14ac:dyDescent="0.3">
      <c r="C214" s="8"/>
    </row>
    <row r="215" spans="3:3" x14ac:dyDescent="0.3">
      <c r="C215" s="8"/>
    </row>
    <row r="216" spans="3:3" x14ac:dyDescent="0.3">
      <c r="C216" s="8"/>
    </row>
    <row r="217" spans="3:3" x14ac:dyDescent="0.3">
      <c r="C217" s="8"/>
    </row>
    <row r="218" spans="3:3" x14ac:dyDescent="0.3">
      <c r="C218" s="8"/>
    </row>
    <row r="219" spans="3:3" x14ac:dyDescent="0.3">
      <c r="C219" s="8"/>
    </row>
    <row r="220" spans="3:3" x14ac:dyDescent="0.3">
      <c r="C220" s="8"/>
    </row>
    <row r="221" spans="3:3" x14ac:dyDescent="0.3">
      <c r="C221" s="8"/>
    </row>
    <row r="222" spans="3:3" x14ac:dyDescent="0.3">
      <c r="C222" s="8"/>
    </row>
    <row r="223" spans="3:3" x14ac:dyDescent="0.3">
      <c r="C223" s="8"/>
    </row>
    <row r="224" spans="3:3" x14ac:dyDescent="0.3">
      <c r="C224" s="8"/>
    </row>
    <row r="225" spans="3:3" x14ac:dyDescent="0.3">
      <c r="C225" s="8"/>
    </row>
    <row r="226" spans="3:3" x14ac:dyDescent="0.3">
      <c r="C226" s="8"/>
    </row>
    <row r="227" spans="3:3" x14ac:dyDescent="0.3">
      <c r="C227" s="8"/>
    </row>
    <row r="228" spans="3:3" x14ac:dyDescent="0.3">
      <c r="C228" s="8"/>
    </row>
    <row r="229" spans="3:3" x14ac:dyDescent="0.3">
      <c r="C229" s="8"/>
    </row>
    <row r="230" spans="3:3" x14ac:dyDescent="0.3">
      <c r="C230" s="8"/>
    </row>
    <row r="231" spans="3:3" x14ac:dyDescent="0.3">
      <c r="C231" s="8"/>
    </row>
    <row r="232" spans="3:3" x14ac:dyDescent="0.3">
      <c r="C232" s="8"/>
    </row>
    <row r="233" spans="3:3" x14ac:dyDescent="0.3">
      <c r="C233" s="8"/>
    </row>
    <row r="234" spans="3:3" x14ac:dyDescent="0.3">
      <c r="C234" s="8"/>
    </row>
    <row r="235" spans="3:3" x14ac:dyDescent="0.3">
      <c r="C235" s="8"/>
    </row>
    <row r="236" spans="3:3" x14ac:dyDescent="0.3">
      <c r="C236" s="8"/>
    </row>
    <row r="237" spans="3:3" x14ac:dyDescent="0.3">
      <c r="C237" s="8"/>
    </row>
    <row r="238" spans="3:3" x14ac:dyDescent="0.3">
      <c r="C238" s="8"/>
    </row>
    <row r="239" spans="3:3" x14ac:dyDescent="0.3">
      <c r="C239" s="8"/>
    </row>
    <row r="240" spans="3:3" x14ac:dyDescent="0.3">
      <c r="C240" s="8"/>
    </row>
    <row r="241" spans="3:3" x14ac:dyDescent="0.3">
      <c r="C241" s="8"/>
    </row>
    <row r="242" spans="3:3" x14ac:dyDescent="0.3">
      <c r="C242" s="8"/>
    </row>
    <row r="243" spans="3:3" x14ac:dyDescent="0.3">
      <c r="C243" s="8"/>
    </row>
    <row r="244" spans="3:3" x14ac:dyDescent="0.3">
      <c r="C244" s="8"/>
    </row>
    <row r="245" spans="3:3" x14ac:dyDescent="0.3">
      <c r="C245" s="8"/>
    </row>
    <row r="246" spans="3:3" x14ac:dyDescent="0.3">
      <c r="C246" s="8"/>
    </row>
    <row r="247" spans="3:3" x14ac:dyDescent="0.3">
      <c r="C247" s="8"/>
    </row>
    <row r="248" spans="3:3" x14ac:dyDescent="0.3">
      <c r="C248" s="8"/>
    </row>
    <row r="249" spans="3:3" x14ac:dyDescent="0.3">
      <c r="C249" s="8"/>
    </row>
    <row r="250" spans="3:3" x14ac:dyDescent="0.3">
      <c r="C250" s="8"/>
    </row>
    <row r="251" spans="3:3" x14ac:dyDescent="0.3">
      <c r="C251" s="8"/>
    </row>
    <row r="252" spans="3:3" x14ac:dyDescent="0.3">
      <c r="C252" s="8"/>
    </row>
    <row r="253" spans="3:3" x14ac:dyDescent="0.3">
      <c r="C253" s="8"/>
    </row>
    <row r="254" spans="3:3" x14ac:dyDescent="0.3">
      <c r="C254" s="8"/>
    </row>
    <row r="255" spans="3:3" x14ac:dyDescent="0.3">
      <c r="C255" s="8"/>
    </row>
    <row r="256" spans="3:3" x14ac:dyDescent="0.3">
      <c r="C256" s="8"/>
    </row>
    <row r="257" spans="3:3" x14ac:dyDescent="0.3">
      <c r="C257" s="8"/>
    </row>
    <row r="258" spans="3:3" x14ac:dyDescent="0.3">
      <c r="C258" s="8"/>
    </row>
    <row r="259" spans="3:3" x14ac:dyDescent="0.3">
      <c r="C259" s="8"/>
    </row>
    <row r="260" spans="3:3" x14ac:dyDescent="0.3">
      <c r="C260" s="8"/>
    </row>
    <row r="261" spans="3:3" x14ac:dyDescent="0.3">
      <c r="C261" s="8"/>
    </row>
    <row r="262" spans="3:3" x14ac:dyDescent="0.3">
      <c r="C262" s="8"/>
    </row>
    <row r="263" spans="3:3" x14ac:dyDescent="0.3">
      <c r="C263" s="8"/>
    </row>
    <row r="264" spans="3:3" x14ac:dyDescent="0.3">
      <c r="C264" s="8"/>
    </row>
    <row r="265" spans="3:3" x14ac:dyDescent="0.3">
      <c r="C265" s="8"/>
    </row>
    <row r="266" spans="3:3" x14ac:dyDescent="0.3">
      <c r="C266" s="8"/>
    </row>
    <row r="267" spans="3:3" x14ac:dyDescent="0.3">
      <c r="C267" s="8"/>
    </row>
    <row r="268" spans="3:3" x14ac:dyDescent="0.3">
      <c r="C268" s="8"/>
    </row>
    <row r="269" spans="3:3" x14ac:dyDescent="0.3">
      <c r="C269" s="8"/>
    </row>
    <row r="270" spans="3:3" x14ac:dyDescent="0.3">
      <c r="C270" s="8"/>
    </row>
    <row r="271" spans="3:3" x14ac:dyDescent="0.3">
      <c r="C271" s="8"/>
    </row>
    <row r="272" spans="3:3" x14ac:dyDescent="0.3">
      <c r="C272" s="8"/>
    </row>
    <row r="273" spans="3:3" x14ac:dyDescent="0.3">
      <c r="C273" s="8"/>
    </row>
    <row r="274" spans="3:3" x14ac:dyDescent="0.3">
      <c r="C274" s="8"/>
    </row>
    <row r="275" spans="3:3" x14ac:dyDescent="0.3">
      <c r="C275" s="8"/>
    </row>
    <row r="276" spans="3:3" x14ac:dyDescent="0.3">
      <c r="C276" s="8"/>
    </row>
    <row r="277" spans="3:3" x14ac:dyDescent="0.3">
      <c r="C277" s="8"/>
    </row>
    <row r="278" spans="3:3" x14ac:dyDescent="0.3">
      <c r="C278" s="8"/>
    </row>
    <row r="279" spans="3:3" x14ac:dyDescent="0.3">
      <c r="C279" s="8"/>
    </row>
    <row r="280" spans="3:3" x14ac:dyDescent="0.3">
      <c r="C280" s="8"/>
    </row>
    <row r="281" spans="3:3" x14ac:dyDescent="0.3">
      <c r="C281" s="8"/>
    </row>
    <row r="282" spans="3:3" x14ac:dyDescent="0.3">
      <c r="C282" s="8"/>
    </row>
    <row r="283" spans="3:3" x14ac:dyDescent="0.3">
      <c r="C283" s="8"/>
    </row>
    <row r="284" spans="3:3" x14ac:dyDescent="0.3">
      <c r="C284" s="8"/>
    </row>
    <row r="285" spans="3:3" x14ac:dyDescent="0.3">
      <c r="C285" s="8"/>
    </row>
    <row r="286" spans="3:3" x14ac:dyDescent="0.3">
      <c r="C286" s="8"/>
    </row>
    <row r="287" spans="3:3" x14ac:dyDescent="0.3">
      <c r="C287" s="8"/>
    </row>
    <row r="288" spans="3:3" x14ac:dyDescent="0.3">
      <c r="C288" s="8"/>
    </row>
    <row r="289" spans="3:3" x14ac:dyDescent="0.3">
      <c r="C289" s="8"/>
    </row>
    <row r="290" spans="3:3" x14ac:dyDescent="0.3">
      <c r="C290" s="8"/>
    </row>
    <row r="291" spans="3:3" x14ac:dyDescent="0.3">
      <c r="C291" s="8"/>
    </row>
    <row r="292" spans="3:3" x14ac:dyDescent="0.3">
      <c r="C292" s="8"/>
    </row>
    <row r="293" spans="3:3" x14ac:dyDescent="0.3">
      <c r="C293" s="8"/>
    </row>
    <row r="294" spans="3:3" x14ac:dyDescent="0.3">
      <c r="C294" s="8"/>
    </row>
    <row r="295" spans="3:3" x14ac:dyDescent="0.3">
      <c r="C295" s="8"/>
    </row>
    <row r="296" spans="3:3" x14ac:dyDescent="0.3">
      <c r="C296" s="8"/>
    </row>
    <row r="297" spans="3:3" x14ac:dyDescent="0.3">
      <c r="C297" s="8"/>
    </row>
    <row r="298" spans="3:3" x14ac:dyDescent="0.3">
      <c r="C298" s="8"/>
    </row>
    <row r="299" spans="3:3" x14ac:dyDescent="0.3">
      <c r="C299" s="8"/>
    </row>
    <row r="300" spans="3:3" x14ac:dyDescent="0.3">
      <c r="C300" s="8"/>
    </row>
    <row r="301" spans="3:3" x14ac:dyDescent="0.3">
      <c r="C301" s="8"/>
    </row>
    <row r="302" spans="3:3" x14ac:dyDescent="0.3">
      <c r="C302" s="8"/>
    </row>
    <row r="303" spans="3:3" x14ac:dyDescent="0.3">
      <c r="C303" s="8"/>
    </row>
    <row r="304" spans="3:3" x14ac:dyDescent="0.3">
      <c r="C304" s="8"/>
    </row>
    <row r="305" spans="3:3" x14ac:dyDescent="0.3">
      <c r="C305" s="8"/>
    </row>
    <row r="306" spans="3:3" x14ac:dyDescent="0.3">
      <c r="C306" s="8"/>
    </row>
    <row r="307" spans="3:3" x14ac:dyDescent="0.3">
      <c r="C307" s="8"/>
    </row>
    <row r="308" spans="3:3" x14ac:dyDescent="0.3">
      <c r="C308" s="8"/>
    </row>
    <row r="309" spans="3:3" x14ac:dyDescent="0.3">
      <c r="C309" s="8"/>
    </row>
    <row r="310" spans="3:3" x14ac:dyDescent="0.3">
      <c r="C310" s="8"/>
    </row>
    <row r="311" spans="3:3" x14ac:dyDescent="0.3">
      <c r="C311" s="8"/>
    </row>
    <row r="312" spans="3:3" x14ac:dyDescent="0.3">
      <c r="C312" s="8"/>
    </row>
    <row r="313" spans="3:3" x14ac:dyDescent="0.3">
      <c r="C313" s="8"/>
    </row>
    <row r="314" spans="3:3" x14ac:dyDescent="0.3">
      <c r="C314" s="8"/>
    </row>
    <row r="315" spans="3:3" x14ac:dyDescent="0.3">
      <c r="C315" s="8"/>
    </row>
    <row r="316" spans="3:3" x14ac:dyDescent="0.3">
      <c r="C316" s="8"/>
    </row>
    <row r="317" spans="3:3" x14ac:dyDescent="0.3">
      <c r="C317" s="8"/>
    </row>
    <row r="318" spans="3:3" x14ac:dyDescent="0.3">
      <c r="C318" s="8"/>
    </row>
    <row r="319" spans="3:3" x14ac:dyDescent="0.3">
      <c r="C319" s="8"/>
    </row>
    <row r="320" spans="3:3" x14ac:dyDescent="0.3">
      <c r="C320" s="8"/>
    </row>
    <row r="321" spans="3:3" x14ac:dyDescent="0.3">
      <c r="C321" s="8"/>
    </row>
    <row r="322" spans="3:3" x14ac:dyDescent="0.3">
      <c r="C322" s="8"/>
    </row>
    <row r="323" spans="3:3" x14ac:dyDescent="0.3">
      <c r="C323" s="8"/>
    </row>
    <row r="324" spans="3:3" x14ac:dyDescent="0.3">
      <c r="C324" s="8"/>
    </row>
    <row r="325" spans="3:3" x14ac:dyDescent="0.3">
      <c r="C325" s="8"/>
    </row>
    <row r="326" spans="3:3" x14ac:dyDescent="0.3">
      <c r="C326" s="8"/>
    </row>
    <row r="327" spans="3:3" x14ac:dyDescent="0.3">
      <c r="C327" s="8"/>
    </row>
    <row r="328" spans="3:3" x14ac:dyDescent="0.3">
      <c r="C328" s="8"/>
    </row>
    <row r="329" spans="3:3" x14ac:dyDescent="0.3">
      <c r="C329" s="8"/>
    </row>
    <row r="330" spans="3:3" x14ac:dyDescent="0.3">
      <c r="C330" s="8"/>
    </row>
    <row r="331" spans="3:3" x14ac:dyDescent="0.3">
      <c r="C331" s="8"/>
    </row>
    <row r="332" spans="3:3" x14ac:dyDescent="0.3">
      <c r="C332" s="8"/>
    </row>
    <row r="333" spans="3:3" x14ac:dyDescent="0.3">
      <c r="C333" s="8"/>
    </row>
    <row r="334" spans="3:3" x14ac:dyDescent="0.3">
      <c r="C334" s="8"/>
    </row>
    <row r="335" spans="3:3" x14ac:dyDescent="0.3">
      <c r="C335" s="8"/>
    </row>
    <row r="336" spans="3:3" x14ac:dyDescent="0.3">
      <c r="C336" s="8"/>
    </row>
    <row r="337" spans="3:3" x14ac:dyDescent="0.3">
      <c r="C337" s="8"/>
    </row>
    <row r="338" spans="3:3" x14ac:dyDescent="0.3">
      <c r="C338" s="8"/>
    </row>
    <row r="339" spans="3:3" x14ac:dyDescent="0.3">
      <c r="C339" s="8"/>
    </row>
    <row r="340" spans="3:3" x14ac:dyDescent="0.3">
      <c r="C340" s="8"/>
    </row>
    <row r="341" spans="3:3" x14ac:dyDescent="0.3">
      <c r="C341" s="8"/>
    </row>
    <row r="342" spans="3:3" x14ac:dyDescent="0.3">
      <c r="C342" s="8"/>
    </row>
    <row r="343" spans="3:3" x14ac:dyDescent="0.3">
      <c r="C343" s="8"/>
    </row>
    <row r="344" spans="3:3" x14ac:dyDescent="0.3">
      <c r="C344" s="8"/>
    </row>
    <row r="345" spans="3:3" x14ac:dyDescent="0.3">
      <c r="C345" s="8"/>
    </row>
    <row r="346" spans="3:3" x14ac:dyDescent="0.3">
      <c r="C346" s="8"/>
    </row>
    <row r="347" spans="3:3" x14ac:dyDescent="0.3">
      <c r="C347" s="8"/>
    </row>
    <row r="348" spans="3:3" x14ac:dyDescent="0.3">
      <c r="C348" s="8"/>
    </row>
    <row r="349" spans="3:3" x14ac:dyDescent="0.3">
      <c r="C349" s="8"/>
    </row>
    <row r="350" spans="3:3" x14ac:dyDescent="0.3">
      <c r="C350" s="8"/>
    </row>
    <row r="351" spans="3:3" x14ac:dyDescent="0.3">
      <c r="C351" s="8"/>
    </row>
    <row r="352" spans="3:3" x14ac:dyDescent="0.3">
      <c r="C352" s="8"/>
    </row>
    <row r="353" spans="3:3" x14ac:dyDescent="0.3">
      <c r="C353" s="8"/>
    </row>
    <row r="354" spans="3:3" x14ac:dyDescent="0.3">
      <c r="C354" s="8"/>
    </row>
    <row r="355" spans="3:3" x14ac:dyDescent="0.3">
      <c r="C355" s="8"/>
    </row>
    <row r="356" spans="3:3" x14ac:dyDescent="0.3">
      <c r="C356" s="8"/>
    </row>
    <row r="357" spans="3:3" x14ac:dyDescent="0.3">
      <c r="C357" s="8"/>
    </row>
    <row r="358" spans="3:3" x14ac:dyDescent="0.3">
      <c r="C358" s="8"/>
    </row>
    <row r="359" spans="3:3" x14ac:dyDescent="0.3">
      <c r="C359" s="8"/>
    </row>
    <row r="360" spans="3:3" x14ac:dyDescent="0.3">
      <c r="C360" s="8"/>
    </row>
    <row r="361" spans="3:3" x14ac:dyDescent="0.3">
      <c r="C361" s="8"/>
    </row>
    <row r="362" spans="3:3" x14ac:dyDescent="0.3">
      <c r="C362" s="8"/>
    </row>
    <row r="363" spans="3:3" x14ac:dyDescent="0.3">
      <c r="C363" s="8"/>
    </row>
    <row r="364" spans="3:3" x14ac:dyDescent="0.3">
      <c r="C364" s="8"/>
    </row>
    <row r="365" spans="3:3" x14ac:dyDescent="0.3">
      <c r="C365" s="8"/>
    </row>
    <row r="366" spans="3:3" x14ac:dyDescent="0.3">
      <c r="C366" s="8"/>
    </row>
    <row r="367" spans="3:3" x14ac:dyDescent="0.3">
      <c r="C367" s="8"/>
    </row>
    <row r="368" spans="3:3" x14ac:dyDescent="0.3">
      <c r="C368" s="8"/>
    </row>
    <row r="369" spans="3:3" x14ac:dyDescent="0.3">
      <c r="C369" s="8"/>
    </row>
    <row r="370" spans="3:3" x14ac:dyDescent="0.3">
      <c r="C370" s="8"/>
    </row>
    <row r="371" spans="3:3" x14ac:dyDescent="0.3">
      <c r="C371" s="8"/>
    </row>
    <row r="372" spans="3:3" x14ac:dyDescent="0.3">
      <c r="C372" s="8"/>
    </row>
    <row r="373" spans="3:3" x14ac:dyDescent="0.3">
      <c r="C373" s="8"/>
    </row>
    <row r="374" spans="3:3" x14ac:dyDescent="0.3">
      <c r="C374" s="8"/>
    </row>
    <row r="375" spans="3:3" x14ac:dyDescent="0.3">
      <c r="C375" s="8"/>
    </row>
    <row r="376" spans="3:3" x14ac:dyDescent="0.3">
      <c r="C376" s="8"/>
    </row>
    <row r="377" spans="3:3" x14ac:dyDescent="0.3">
      <c r="C377" s="8"/>
    </row>
    <row r="378" spans="3:3" x14ac:dyDescent="0.3">
      <c r="C378" s="8"/>
    </row>
    <row r="379" spans="3:3" x14ac:dyDescent="0.3">
      <c r="C379" s="8"/>
    </row>
    <row r="380" spans="3:3" x14ac:dyDescent="0.3">
      <c r="C380" s="8"/>
    </row>
    <row r="381" spans="3:3" x14ac:dyDescent="0.3">
      <c r="C381" s="8"/>
    </row>
    <row r="382" spans="3:3" x14ac:dyDescent="0.3">
      <c r="C382" s="8"/>
    </row>
    <row r="383" spans="3:3" x14ac:dyDescent="0.3">
      <c r="C383" s="8"/>
    </row>
    <row r="384" spans="3:3" x14ac:dyDescent="0.3">
      <c r="C384" s="8"/>
    </row>
    <row r="385" spans="3:3" x14ac:dyDescent="0.3">
      <c r="C385" s="8"/>
    </row>
    <row r="386" spans="3:3" x14ac:dyDescent="0.3">
      <c r="C386" s="8"/>
    </row>
    <row r="387" spans="3:3" x14ac:dyDescent="0.3">
      <c r="C387" s="8"/>
    </row>
    <row r="388" spans="3:3" x14ac:dyDescent="0.3">
      <c r="C388" s="8"/>
    </row>
    <row r="389" spans="3:3" x14ac:dyDescent="0.3">
      <c r="C389" s="8"/>
    </row>
    <row r="390" spans="3:3" x14ac:dyDescent="0.3">
      <c r="C390" s="8"/>
    </row>
    <row r="391" spans="3:3" x14ac:dyDescent="0.3">
      <c r="C391" s="8"/>
    </row>
    <row r="392" spans="3:3" x14ac:dyDescent="0.3">
      <c r="C392" s="8"/>
    </row>
    <row r="393" spans="3:3" x14ac:dyDescent="0.3">
      <c r="C393" s="8"/>
    </row>
    <row r="394" spans="3:3" x14ac:dyDescent="0.3">
      <c r="C394" s="8"/>
    </row>
    <row r="395" spans="3:3" x14ac:dyDescent="0.3">
      <c r="C395" s="8"/>
    </row>
    <row r="396" spans="3:3" x14ac:dyDescent="0.3">
      <c r="C396" s="8"/>
    </row>
    <row r="397" spans="3:3" x14ac:dyDescent="0.3">
      <c r="C397" s="8"/>
    </row>
    <row r="398" spans="3:3" x14ac:dyDescent="0.3">
      <c r="C398" s="8"/>
    </row>
    <row r="399" spans="3:3" x14ac:dyDescent="0.3">
      <c r="C399" s="8"/>
    </row>
    <row r="400" spans="3:3" x14ac:dyDescent="0.3">
      <c r="C400" s="8"/>
    </row>
    <row r="401" spans="3:3" x14ac:dyDescent="0.3">
      <c r="C401" s="8"/>
    </row>
    <row r="402" spans="3:3" x14ac:dyDescent="0.3">
      <c r="C402" s="8"/>
    </row>
    <row r="403" spans="3:3" x14ac:dyDescent="0.3">
      <c r="C403" s="8"/>
    </row>
    <row r="404" spans="3:3" x14ac:dyDescent="0.3">
      <c r="C404" s="8"/>
    </row>
    <row r="405" spans="3:3" x14ac:dyDescent="0.3">
      <c r="C405" s="8"/>
    </row>
    <row r="406" spans="3:3" x14ac:dyDescent="0.3">
      <c r="C406" s="8"/>
    </row>
    <row r="407" spans="3:3" x14ac:dyDescent="0.3">
      <c r="C407" s="8"/>
    </row>
    <row r="408" spans="3:3" x14ac:dyDescent="0.3">
      <c r="C408" s="8"/>
    </row>
    <row r="409" spans="3:3" x14ac:dyDescent="0.3">
      <c r="C409" s="8"/>
    </row>
    <row r="410" spans="3:3" x14ac:dyDescent="0.3">
      <c r="C410" s="8"/>
    </row>
    <row r="411" spans="3:3" x14ac:dyDescent="0.3">
      <c r="C411" s="8"/>
    </row>
    <row r="412" spans="3:3" x14ac:dyDescent="0.3">
      <c r="C412" s="8"/>
    </row>
    <row r="413" spans="3:3" x14ac:dyDescent="0.3">
      <c r="C413" s="8"/>
    </row>
    <row r="414" spans="3:3" x14ac:dyDescent="0.3">
      <c r="C414" s="8"/>
    </row>
    <row r="415" spans="3:3" x14ac:dyDescent="0.3">
      <c r="C415" s="8"/>
    </row>
    <row r="416" spans="3:3" x14ac:dyDescent="0.3">
      <c r="C416" s="8"/>
    </row>
    <row r="417" spans="3:3" x14ac:dyDescent="0.3">
      <c r="C417" s="8"/>
    </row>
    <row r="418" spans="3:3" x14ac:dyDescent="0.3">
      <c r="C418" s="8"/>
    </row>
    <row r="419" spans="3:3" x14ac:dyDescent="0.3">
      <c r="C419" s="8"/>
    </row>
    <row r="420" spans="3:3" x14ac:dyDescent="0.3">
      <c r="C420" s="8"/>
    </row>
    <row r="421" spans="3:3" x14ac:dyDescent="0.3">
      <c r="C421" s="8"/>
    </row>
    <row r="422" spans="3:3" x14ac:dyDescent="0.3">
      <c r="C422" s="8"/>
    </row>
    <row r="423" spans="3:3" x14ac:dyDescent="0.3">
      <c r="C423" s="8"/>
    </row>
    <row r="424" spans="3:3" x14ac:dyDescent="0.3">
      <c r="C424" s="8"/>
    </row>
    <row r="425" spans="3:3" x14ac:dyDescent="0.3">
      <c r="C425" s="8"/>
    </row>
    <row r="426" spans="3:3" x14ac:dyDescent="0.3">
      <c r="C426" s="8"/>
    </row>
    <row r="427" spans="3:3" x14ac:dyDescent="0.3">
      <c r="C427" s="8"/>
    </row>
    <row r="428" spans="3:3" x14ac:dyDescent="0.3">
      <c r="C428" s="8"/>
    </row>
    <row r="429" spans="3:3" x14ac:dyDescent="0.3">
      <c r="C429" s="8"/>
    </row>
    <row r="430" spans="3:3" x14ac:dyDescent="0.3">
      <c r="C430" s="8"/>
    </row>
    <row r="431" spans="3:3" x14ac:dyDescent="0.3">
      <c r="C431" s="8"/>
    </row>
    <row r="432" spans="3:3" x14ac:dyDescent="0.3">
      <c r="C432" s="8"/>
    </row>
    <row r="433" spans="3:3" x14ac:dyDescent="0.3">
      <c r="C433" s="8"/>
    </row>
    <row r="434" spans="3:3" x14ac:dyDescent="0.3">
      <c r="C434" s="8"/>
    </row>
    <row r="435" spans="3:3" x14ac:dyDescent="0.3">
      <c r="C435" s="8"/>
    </row>
    <row r="436" spans="3:3" x14ac:dyDescent="0.3">
      <c r="C436" s="8"/>
    </row>
    <row r="437" spans="3:3" x14ac:dyDescent="0.3">
      <c r="C437" s="8"/>
    </row>
    <row r="438" spans="3:3" x14ac:dyDescent="0.3">
      <c r="C438" s="8"/>
    </row>
    <row r="439" spans="3:3" x14ac:dyDescent="0.3">
      <c r="C439" s="8"/>
    </row>
    <row r="440" spans="3:3" x14ac:dyDescent="0.3">
      <c r="C440" s="8"/>
    </row>
    <row r="441" spans="3:3" x14ac:dyDescent="0.3">
      <c r="C441" s="8"/>
    </row>
    <row r="442" spans="3:3" x14ac:dyDescent="0.3">
      <c r="C442" s="8"/>
    </row>
    <row r="443" spans="3:3" x14ac:dyDescent="0.3">
      <c r="C443" s="8"/>
    </row>
    <row r="444" spans="3:3" x14ac:dyDescent="0.3">
      <c r="C444" s="8"/>
    </row>
    <row r="445" spans="3:3" x14ac:dyDescent="0.3">
      <c r="C445" s="8"/>
    </row>
    <row r="446" spans="3:3" x14ac:dyDescent="0.3">
      <c r="C446" s="8"/>
    </row>
    <row r="447" spans="3:3" x14ac:dyDescent="0.3">
      <c r="C447" s="8"/>
    </row>
    <row r="448" spans="3:3" x14ac:dyDescent="0.3">
      <c r="C448" s="8"/>
    </row>
    <row r="449" spans="3:3" x14ac:dyDescent="0.3">
      <c r="C449" s="8"/>
    </row>
    <row r="450" spans="3:3" x14ac:dyDescent="0.3">
      <c r="C450" s="8"/>
    </row>
    <row r="451" spans="3:3" x14ac:dyDescent="0.3">
      <c r="C451" s="8"/>
    </row>
    <row r="452" spans="3:3" x14ac:dyDescent="0.3">
      <c r="C452" s="8"/>
    </row>
    <row r="453" spans="3:3" x14ac:dyDescent="0.3">
      <c r="C453" s="8"/>
    </row>
    <row r="454" spans="3:3" x14ac:dyDescent="0.3">
      <c r="C454" s="8"/>
    </row>
    <row r="455" spans="3:3" x14ac:dyDescent="0.3">
      <c r="C455" s="8"/>
    </row>
    <row r="456" spans="3:3" x14ac:dyDescent="0.3">
      <c r="C456" s="8"/>
    </row>
    <row r="457" spans="3:3" x14ac:dyDescent="0.3">
      <c r="C457" s="8"/>
    </row>
    <row r="458" spans="3:3" x14ac:dyDescent="0.3">
      <c r="C458" s="8"/>
    </row>
    <row r="459" spans="3:3" x14ac:dyDescent="0.3">
      <c r="C459" s="8"/>
    </row>
    <row r="460" spans="3:3" x14ac:dyDescent="0.3">
      <c r="C460" s="8"/>
    </row>
    <row r="461" spans="3:3" x14ac:dyDescent="0.3">
      <c r="C461" s="8"/>
    </row>
    <row r="462" spans="3:3" x14ac:dyDescent="0.3">
      <c r="C462" s="8"/>
    </row>
    <row r="463" spans="3:3" x14ac:dyDescent="0.3">
      <c r="C463" s="8"/>
    </row>
    <row r="464" spans="3:3" x14ac:dyDescent="0.3">
      <c r="C464" s="8"/>
    </row>
    <row r="465" spans="3:3" x14ac:dyDescent="0.3">
      <c r="C465" s="8"/>
    </row>
    <row r="466" spans="3:3" x14ac:dyDescent="0.3">
      <c r="C466" s="8"/>
    </row>
    <row r="467" spans="3:3" x14ac:dyDescent="0.3">
      <c r="C467" s="8"/>
    </row>
    <row r="468" spans="3:3" x14ac:dyDescent="0.3">
      <c r="C468" s="8"/>
    </row>
    <row r="469" spans="3:3" x14ac:dyDescent="0.3">
      <c r="C469" s="8"/>
    </row>
    <row r="470" spans="3:3" x14ac:dyDescent="0.3">
      <c r="C470" s="8"/>
    </row>
    <row r="471" spans="3:3" x14ac:dyDescent="0.3">
      <c r="C471" s="8"/>
    </row>
    <row r="472" spans="3:3" x14ac:dyDescent="0.3">
      <c r="C472" s="8"/>
    </row>
    <row r="473" spans="3:3" x14ac:dyDescent="0.3">
      <c r="C473" s="8"/>
    </row>
    <row r="474" spans="3:3" x14ac:dyDescent="0.3">
      <c r="C474" s="8"/>
    </row>
    <row r="475" spans="3:3" x14ac:dyDescent="0.3">
      <c r="C475" s="8"/>
    </row>
    <row r="476" spans="3:3" x14ac:dyDescent="0.3">
      <c r="C476" s="8"/>
    </row>
    <row r="477" spans="3:3" x14ac:dyDescent="0.3">
      <c r="C477" s="8"/>
    </row>
    <row r="478" spans="3:3" x14ac:dyDescent="0.3">
      <c r="C478" s="8"/>
    </row>
    <row r="479" spans="3:3" x14ac:dyDescent="0.3">
      <c r="C479" s="8"/>
    </row>
    <row r="480" spans="3:3" x14ac:dyDescent="0.3">
      <c r="C480" s="8"/>
    </row>
    <row r="481" spans="3:3" x14ac:dyDescent="0.3">
      <c r="C481" s="8"/>
    </row>
    <row r="482" spans="3:3" x14ac:dyDescent="0.3">
      <c r="C482" s="8"/>
    </row>
    <row r="2561" spans="1:3" x14ac:dyDescent="0.3">
      <c r="A2561" s="80"/>
      <c r="B2561" s="81"/>
      <c r="C2561" s="82"/>
    </row>
    <row r="2562" spans="1:3" x14ac:dyDescent="0.3">
      <c r="A2562" s="80"/>
      <c r="B2562" s="81"/>
      <c r="C2562" s="82"/>
    </row>
    <row r="2563" spans="1:3" x14ac:dyDescent="0.3">
      <c r="A2563" s="80"/>
      <c r="B2563" s="81"/>
      <c r="C2563" s="82"/>
    </row>
    <row r="2564" spans="1:3" x14ac:dyDescent="0.3">
      <c r="A2564" s="80"/>
      <c r="B2564" s="81"/>
      <c r="C2564" s="82"/>
    </row>
    <row r="2565" spans="1:3" x14ac:dyDescent="0.3">
      <c r="A2565" s="80"/>
      <c r="B2565" s="81"/>
      <c r="C2565" s="82"/>
    </row>
    <row r="2566" spans="1:3" x14ac:dyDescent="0.3">
      <c r="A2566" s="80"/>
      <c r="B2566" s="81"/>
      <c r="C2566" s="82"/>
    </row>
    <row r="2567" spans="1:3" x14ac:dyDescent="0.3">
      <c r="A2567" s="80"/>
      <c r="B2567" s="81"/>
      <c r="C2567" s="82"/>
    </row>
    <row r="2568" spans="1:3" x14ac:dyDescent="0.3">
      <c r="A2568" s="80"/>
      <c r="B2568" s="81"/>
      <c r="C2568" s="82"/>
    </row>
    <row r="2569" spans="1:3" x14ac:dyDescent="0.3">
      <c r="A2569" s="80"/>
      <c r="B2569" s="81"/>
      <c r="C2569" s="82"/>
    </row>
    <row r="2570" spans="1:3" x14ac:dyDescent="0.3">
      <c r="A2570" s="80"/>
      <c r="B2570" s="81"/>
      <c r="C2570" s="82"/>
    </row>
    <row r="2571" spans="1:3" x14ac:dyDescent="0.3">
      <c r="A2571" s="80"/>
      <c r="B2571" s="81"/>
      <c r="C2571" s="82"/>
    </row>
    <row r="2572" spans="1:3" x14ac:dyDescent="0.3">
      <c r="A2572" s="80"/>
      <c r="B2572" s="81"/>
      <c r="C2572" s="82"/>
    </row>
    <row r="2573" spans="1:3" x14ac:dyDescent="0.3">
      <c r="A2573" s="80"/>
      <c r="B2573" s="81"/>
      <c r="C2573" s="82"/>
    </row>
    <row r="2574" spans="1:3" x14ac:dyDescent="0.3">
      <c r="A2574" s="80"/>
      <c r="B2574" s="81"/>
      <c r="C2574" s="82"/>
    </row>
    <row r="2575" spans="1:3" x14ac:dyDescent="0.3">
      <c r="A2575" s="80"/>
      <c r="B2575" s="81"/>
      <c r="C2575" s="82"/>
    </row>
    <row r="2576" spans="1:3" x14ac:dyDescent="0.3">
      <c r="A2576" s="80"/>
      <c r="B2576" s="81"/>
      <c r="C2576" s="82"/>
    </row>
    <row r="2577" spans="1:3" x14ac:dyDescent="0.3">
      <c r="A2577" s="80"/>
      <c r="B2577" s="81"/>
      <c r="C2577" s="82"/>
    </row>
    <row r="2578" spans="1:3" x14ac:dyDescent="0.3">
      <c r="A2578" s="80"/>
      <c r="B2578" s="81"/>
      <c r="C2578" s="82"/>
    </row>
    <row r="2579" spans="1:3" x14ac:dyDescent="0.3">
      <c r="A2579" s="80"/>
      <c r="B2579" s="81"/>
      <c r="C2579" s="82"/>
    </row>
    <row r="2580" spans="1:3" x14ac:dyDescent="0.3">
      <c r="A2580" s="80"/>
      <c r="B2580" s="81"/>
      <c r="C2580" s="82"/>
    </row>
    <row r="2581" spans="1:3" x14ac:dyDescent="0.3">
      <c r="A2581" s="80"/>
      <c r="B2581" s="81"/>
      <c r="C2581" s="82"/>
    </row>
    <row r="2582" spans="1:3" x14ac:dyDescent="0.3">
      <c r="A2582" s="80"/>
      <c r="B2582" s="81"/>
      <c r="C2582" s="82"/>
    </row>
    <row r="2583" spans="1:3" x14ac:dyDescent="0.3">
      <c r="A2583" s="80"/>
      <c r="B2583" s="81"/>
      <c r="C2583" s="82"/>
    </row>
    <row r="2584" spans="1:3" x14ac:dyDescent="0.3">
      <c r="A2584" s="80"/>
      <c r="B2584" s="81"/>
      <c r="C2584" s="82"/>
    </row>
    <row r="2585" spans="1:3" x14ac:dyDescent="0.3">
      <c r="A2585" s="80"/>
      <c r="B2585" s="81"/>
      <c r="C2585" s="82"/>
    </row>
    <row r="2586" spans="1:3" x14ac:dyDescent="0.3">
      <c r="A2586" s="80"/>
      <c r="B2586" s="81"/>
      <c r="C2586" s="82"/>
    </row>
    <row r="2587" spans="1:3" x14ac:dyDescent="0.3">
      <c r="A2587" s="80"/>
      <c r="B2587" s="81"/>
      <c r="C2587" s="82"/>
    </row>
    <row r="2588" spans="1:3" x14ac:dyDescent="0.3">
      <c r="A2588" s="80"/>
      <c r="B2588" s="81"/>
      <c r="C2588" s="82"/>
    </row>
    <row r="2589" spans="1:3" x14ac:dyDescent="0.3">
      <c r="A2589" s="80"/>
      <c r="B2589" s="81"/>
      <c r="C2589" s="82"/>
    </row>
    <row r="2590" spans="1:3" x14ac:dyDescent="0.3">
      <c r="A2590" s="80"/>
      <c r="B2590" s="81"/>
      <c r="C2590" s="82"/>
    </row>
    <row r="2591" spans="1:3" x14ac:dyDescent="0.3">
      <c r="A2591" s="80"/>
      <c r="B2591" s="81"/>
      <c r="C2591" s="82"/>
    </row>
    <row r="2592" spans="1:3" x14ac:dyDescent="0.3">
      <c r="A2592" s="80"/>
      <c r="B2592" s="81"/>
      <c r="C2592" s="82"/>
    </row>
    <row r="2593" spans="1:3" x14ac:dyDescent="0.3">
      <c r="A2593" s="80"/>
      <c r="B2593" s="81"/>
      <c r="C2593" s="82"/>
    </row>
    <row r="2594" spans="1:3" x14ac:dyDescent="0.3">
      <c r="A2594" s="80"/>
      <c r="B2594" s="81"/>
      <c r="C2594" s="82"/>
    </row>
    <row r="2595" spans="1:3" x14ac:dyDescent="0.3">
      <c r="A2595" s="80"/>
      <c r="B2595" s="81"/>
      <c r="C2595" s="82"/>
    </row>
    <row r="2596" spans="1:3" x14ac:dyDescent="0.3">
      <c r="A2596" s="80"/>
      <c r="B2596" s="81"/>
      <c r="C2596" s="82"/>
    </row>
    <row r="2597" spans="1:3" x14ac:dyDescent="0.3">
      <c r="A2597" s="80"/>
      <c r="B2597" s="81"/>
      <c r="C2597" s="82"/>
    </row>
    <row r="2598" spans="1:3" x14ac:dyDescent="0.3">
      <c r="A2598" s="80"/>
      <c r="B2598" s="81"/>
      <c r="C2598" s="82"/>
    </row>
    <row r="2599" spans="1:3" x14ac:dyDescent="0.3">
      <c r="A2599" s="80"/>
      <c r="B2599" s="81"/>
      <c r="C2599" s="82"/>
    </row>
    <row r="2600" spans="1:3" x14ac:dyDescent="0.3">
      <c r="A2600" s="80"/>
      <c r="B2600" s="81"/>
      <c r="C2600" s="82"/>
    </row>
    <row r="2601" spans="1:3" x14ac:dyDescent="0.3">
      <c r="A2601" s="80"/>
      <c r="B2601" s="81"/>
      <c r="C2601" s="82"/>
    </row>
    <row r="2602" spans="1:3" x14ac:dyDescent="0.3">
      <c r="A2602" s="80"/>
      <c r="B2602" s="81"/>
      <c r="C2602" s="82"/>
    </row>
    <row r="2603" spans="1:3" x14ac:dyDescent="0.3">
      <c r="A2603" s="80"/>
      <c r="B2603" s="81"/>
      <c r="C2603" s="82"/>
    </row>
    <row r="2604" spans="1:3" x14ac:dyDescent="0.3">
      <c r="A2604" s="80"/>
      <c r="B2604" s="81"/>
      <c r="C2604" s="82"/>
    </row>
    <row r="2605" spans="1:3" x14ac:dyDescent="0.3">
      <c r="A2605" s="80"/>
      <c r="B2605" s="81"/>
      <c r="C2605" s="82"/>
    </row>
    <row r="2606" spans="1:3" x14ac:dyDescent="0.3">
      <c r="A2606" s="80"/>
      <c r="B2606" s="81"/>
      <c r="C2606" s="82"/>
    </row>
    <row r="2607" spans="1:3" x14ac:dyDescent="0.3">
      <c r="A2607" s="80"/>
      <c r="B2607" s="81"/>
      <c r="C2607" s="82"/>
    </row>
    <row r="2608" spans="1:3" x14ac:dyDescent="0.3">
      <c r="A2608" s="80"/>
      <c r="B2608" s="81"/>
      <c r="C2608" s="82"/>
    </row>
    <row r="2609" spans="1:3" x14ac:dyDescent="0.3">
      <c r="A2609" s="80"/>
      <c r="B2609" s="81"/>
      <c r="C2609" s="82"/>
    </row>
    <row r="2610" spans="1:3" x14ac:dyDescent="0.3">
      <c r="A2610" s="80"/>
      <c r="B2610" s="81"/>
      <c r="C2610" s="82"/>
    </row>
    <row r="2611" spans="1:3" x14ac:dyDescent="0.3">
      <c r="A2611" s="80"/>
      <c r="B2611" s="81"/>
      <c r="C2611" s="82"/>
    </row>
    <row r="2612" spans="1:3" x14ac:dyDescent="0.3">
      <c r="A2612" s="80"/>
      <c r="B2612" s="81"/>
      <c r="C2612" s="82"/>
    </row>
    <row r="2613" spans="1:3" x14ac:dyDescent="0.3">
      <c r="A2613" s="80"/>
      <c r="B2613" s="81"/>
      <c r="C2613" s="82"/>
    </row>
    <row r="2614" spans="1:3" x14ac:dyDescent="0.3">
      <c r="A2614" s="80"/>
      <c r="B2614" s="81"/>
      <c r="C2614" s="82"/>
    </row>
    <row r="2615" spans="1:3" x14ac:dyDescent="0.3">
      <c r="A2615" s="80"/>
      <c r="B2615" s="81"/>
      <c r="C2615" s="82"/>
    </row>
    <row r="2616" spans="1:3" x14ac:dyDescent="0.3">
      <c r="A2616" s="80"/>
      <c r="B2616" s="81"/>
      <c r="C2616" s="82"/>
    </row>
    <row r="2617" spans="1:3" x14ac:dyDescent="0.3">
      <c r="A2617" s="80"/>
      <c r="B2617" s="81"/>
      <c r="C2617" s="82"/>
    </row>
    <row r="2618" spans="1:3" x14ac:dyDescent="0.3">
      <c r="A2618" s="80"/>
      <c r="B2618" s="81"/>
      <c r="C2618" s="82"/>
    </row>
    <row r="2619" spans="1:3" x14ac:dyDescent="0.3">
      <c r="A2619" s="80"/>
      <c r="B2619" s="81"/>
      <c r="C2619" s="82"/>
    </row>
    <row r="2620" spans="1:3" x14ac:dyDescent="0.3">
      <c r="A2620" s="80"/>
      <c r="B2620" s="81"/>
      <c r="C2620" s="82"/>
    </row>
    <row r="2621" spans="1:3" x14ac:dyDescent="0.3">
      <c r="A2621" s="80"/>
      <c r="B2621" s="81"/>
      <c r="C2621" s="82"/>
    </row>
    <row r="2622" spans="1:3" x14ac:dyDescent="0.3">
      <c r="A2622" s="80"/>
      <c r="B2622" s="81"/>
      <c r="C2622" s="82"/>
    </row>
    <row r="2623" spans="1:3" x14ac:dyDescent="0.3">
      <c r="A2623" s="80"/>
      <c r="B2623" s="81"/>
      <c r="C2623" s="82"/>
    </row>
    <row r="2624" spans="1:3" x14ac:dyDescent="0.3">
      <c r="A2624" s="80"/>
      <c r="B2624" s="81"/>
      <c r="C2624" s="82"/>
    </row>
    <row r="2625" spans="1:3" x14ac:dyDescent="0.3">
      <c r="A2625" s="80"/>
      <c r="B2625" s="81"/>
      <c r="C2625" s="82"/>
    </row>
    <row r="2626" spans="1:3" x14ac:dyDescent="0.3">
      <c r="A2626" s="80"/>
      <c r="B2626" s="81"/>
      <c r="C2626" s="82"/>
    </row>
    <row r="2627" spans="1:3" x14ac:dyDescent="0.3">
      <c r="A2627" s="80"/>
      <c r="B2627" s="81"/>
      <c r="C2627" s="82"/>
    </row>
    <row r="2628" spans="1:3" x14ac:dyDescent="0.3">
      <c r="A2628" s="80"/>
      <c r="B2628" s="81"/>
      <c r="C2628" s="82"/>
    </row>
    <row r="2629" spans="1:3" x14ac:dyDescent="0.3">
      <c r="A2629" s="80"/>
      <c r="B2629" s="81"/>
      <c r="C2629" s="82"/>
    </row>
    <row r="2630" spans="1:3" x14ac:dyDescent="0.3">
      <c r="A2630" s="80"/>
      <c r="B2630" s="81"/>
      <c r="C2630" s="82"/>
    </row>
    <row r="2631" spans="1:3" x14ac:dyDescent="0.3">
      <c r="A2631" s="80"/>
      <c r="B2631" s="81"/>
      <c r="C2631" s="82"/>
    </row>
    <row r="2632" spans="1:3" x14ac:dyDescent="0.3">
      <c r="A2632" s="80"/>
      <c r="B2632" s="81"/>
      <c r="C2632" s="82"/>
    </row>
    <row r="2633" spans="1:3" x14ac:dyDescent="0.3">
      <c r="A2633" s="80"/>
      <c r="B2633" s="81"/>
      <c r="C2633" s="82"/>
    </row>
    <row r="2634" spans="1:3" x14ac:dyDescent="0.3">
      <c r="A2634" s="80"/>
      <c r="B2634" s="81"/>
      <c r="C2634" s="82"/>
    </row>
    <row r="2635" spans="1:3" x14ac:dyDescent="0.3">
      <c r="A2635" s="80"/>
      <c r="B2635" s="81"/>
      <c r="C2635" s="82"/>
    </row>
    <row r="2636" spans="1:3" x14ac:dyDescent="0.3">
      <c r="A2636" s="80"/>
      <c r="B2636" s="81"/>
      <c r="C2636" s="82"/>
    </row>
    <row r="2637" spans="1:3" x14ac:dyDescent="0.3">
      <c r="A2637" s="80"/>
      <c r="B2637" s="81"/>
      <c r="C2637" s="82"/>
    </row>
    <row r="2638" spans="1:3" x14ac:dyDescent="0.3">
      <c r="A2638" s="80"/>
      <c r="B2638" s="81"/>
      <c r="C2638" s="82"/>
    </row>
    <row r="2639" spans="1:3" x14ac:dyDescent="0.3">
      <c r="A2639" s="80"/>
      <c r="B2639" s="81"/>
      <c r="C2639" s="82"/>
    </row>
    <row r="2640" spans="1:3" x14ac:dyDescent="0.3">
      <c r="A2640" s="80"/>
      <c r="B2640" s="81"/>
      <c r="C2640" s="82"/>
    </row>
    <row r="2641" spans="1:3" x14ac:dyDescent="0.3">
      <c r="A2641" s="80"/>
      <c r="B2641" s="81"/>
      <c r="C2641" s="82"/>
    </row>
    <row r="2642" spans="1:3" x14ac:dyDescent="0.3">
      <c r="A2642" s="80"/>
      <c r="B2642" s="81"/>
      <c r="C2642" s="82"/>
    </row>
    <row r="2643" spans="1:3" x14ac:dyDescent="0.3">
      <c r="A2643" s="80"/>
      <c r="B2643" s="81"/>
      <c r="C2643" s="82"/>
    </row>
    <row r="2644" spans="1:3" x14ac:dyDescent="0.3">
      <c r="A2644" s="80"/>
      <c r="B2644" s="81"/>
      <c r="C2644" s="82"/>
    </row>
    <row r="2645" spans="1:3" x14ac:dyDescent="0.3">
      <c r="A2645" s="80"/>
      <c r="B2645" s="81"/>
      <c r="C2645" s="82"/>
    </row>
    <row r="2646" spans="1:3" x14ac:dyDescent="0.3">
      <c r="A2646" s="80"/>
      <c r="B2646" s="81"/>
      <c r="C2646" s="82"/>
    </row>
    <row r="2647" spans="1:3" x14ac:dyDescent="0.3">
      <c r="A2647" s="80"/>
      <c r="B2647" s="81"/>
      <c r="C2647" s="82"/>
    </row>
    <row r="2648" spans="1:3" x14ac:dyDescent="0.3">
      <c r="A2648" s="80"/>
      <c r="B2648" s="81"/>
      <c r="C2648" s="82"/>
    </row>
    <row r="2649" spans="1:3" x14ac:dyDescent="0.3">
      <c r="A2649" s="80"/>
      <c r="B2649" s="81"/>
      <c r="C2649" s="82"/>
    </row>
    <row r="2650" spans="1:3" x14ac:dyDescent="0.3">
      <c r="A2650" s="80"/>
      <c r="B2650" s="81"/>
      <c r="C2650" s="82"/>
    </row>
    <row r="2651" spans="1:3" x14ac:dyDescent="0.3">
      <c r="A2651" s="80"/>
      <c r="B2651" s="81"/>
      <c r="C2651" s="82"/>
    </row>
    <row r="2652" spans="1:3" x14ac:dyDescent="0.3">
      <c r="A2652" s="80"/>
      <c r="B2652" s="81"/>
      <c r="C2652" s="82"/>
    </row>
    <row r="2653" spans="1:3" x14ac:dyDescent="0.3">
      <c r="A2653" s="80"/>
      <c r="B2653" s="81"/>
      <c r="C2653" s="82"/>
    </row>
    <row r="2654" spans="1:3" x14ac:dyDescent="0.3">
      <c r="A2654" s="80"/>
      <c r="B2654" s="81"/>
      <c r="C2654" s="82"/>
    </row>
    <row r="2655" spans="1:3" x14ac:dyDescent="0.3">
      <c r="A2655" s="80"/>
      <c r="B2655" s="81"/>
      <c r="C2655" s="82"/>
    </row>
    <row r="2656" spans="1:3" x14ac:dyDescent="0.3">
      <c r="A2656" s="80"/>
      <c r="B2656" s="81"/>
      <c r="C2656" s="82"/>
    </row>
    <row r="2657" spans="1:3" x14ac:dyDescent="0.3">
      <c r="A2657" s="80"/>
      <c r="B2657" s="81"/>
      <c r="C2657" s="82"/>
    </row>
    <row r="2658" spans="1:3" x14ac:dyDescent="0.3">
      <c r="A2658" s="80"/>
      <c r="B2658" s="81"/>
      <c r="C2658" s="82"/>
    </row>
    <row r="2659" spans="1:3" x14ac:dyDescent="0.3">
      <c r="A2659" s="80"/>
      <c r="B2659" s="81"/>
      <c r="C2659" s="82"/>
    </row>
    <row r="2660" spans="1:3" x14ac:dyDescent="0.3">
      <c r="A2660" s="80"/>
      <c r="B2660" s="81"/>
      <c r="C2660" s="82"/>
    </row>
    <row r="2661" spans="1:3" x14ac:dyDescent="0.3">
      <c r="A2661" s="80"/>
      <c r="B2661" s="81"/>
      <c r="C2661" s="82"/>
    </row>
    <row r="2662" spans="1:3" x14ac:dyDescent="0.3">
      <c r="A2662" s="80"/>
      <c r="B2662" s="81"/>
      <c r="C2662" s="82"/>
    </row>
    <row r="2663" spans="1:3" x14ac:dyDescent="0.3">
      <c r="A2663" s="80"/>
      <c r="B2663" s="81"/>
      <c r="C2663" s="82"/>
    </row>
    <row r="2664" spans="1:3" x14ac:dyDescent="0.3">
      <c r="A2664" s="80"/>
      <c r="B2664" s="81"/>
      <c r="C2664" s="82"/>
    </row>
    <row r="2665" spans="1:3" x14ac:dyDescent="0.3">
      <c r="A2665" s="80"/>
      <c r="B2665" s="81"/>
      <c r="C2665" s="82"/>
    </row>
    <row r="2666" spans="1:3" x14ac:dyDescent="0.3">
      <c r="A2666" s="80"/>
      <c r="B2666" s="81"/>
      <c r="C2666" s="82"/>
    </row>
    <row r="2667" spans="1:3" x14ac:dyDescent="0.3">
      <c r="A2667" s="80"/>
      <c r="B2667" s="81"/>
      <c r="C2667" s="82"/>
    </row>
    <row r="2668" spans="1:3" x14ac:dyDescent="0.3">
      <c r="A2668" s="80"/>
      <c r="B2668" s="81"/>
      <c r="C2668" s="82"/>
    </row>
    <row r="2669" spans="1:3" x14ac:dyDescent="0.3">
      <c r="A2669" s="80"/>
      <c r="B2669" s="81"/>
      <c r="C2669" s="82"/>
    </row>
    <row r="2670" spans="1:3" x14ac:dyDescent="0.3">
      <c r="A2670" s="80"/>
      <c r="B2670" s="81"/>
      <c r="C2670" s="82"/>
    </row>
    <row r="2671" spans="1:3" x14ac:dyDescent="0.3">
      <c r="A2671" s="80"/>
      <c r="B2671" s="81"/>
      <c r="C2671" s="82"/>
    </row>
    <row r="2672" spans="1:3" x14ac:dyDescent="0.3">
      <c r="A2672" s="80"/>
      <c r="B2672" s="81"/>
      <c r="C2672" s="82"/>
    </row>
    <row r="2673" spans="1:3" x14ac:dyDescent="0.3">
      <c r="A2673" s="80"/>
      <c r="B2673" s="81"/>
      <c r="C2673" s="82"/>
    </row>
    <row r="2674" spans="1:3" x14ac:dyDescent="0.3">
      <c r="A2674" s="80"/>
      <c r="B2674" s="81"/>
      <c r="C2674" s="82"/>
    </row>
    <row r="2675" spans="1:3" x14ac:dyDescent="0.3">
      <c r="A2675" s="80"/>
      <c r="B2675" s="81"/>
      <c r="C2675" s="82"/>
    </row>
    <row r="2676" spans="1:3" x14ac:dyDescent="0.3">
      <c r="A2676" s="80"/>
      <c r="B2676" s="81"/>
      <c r="C2676" s="82"/>
    </row>
    <row r="2677" spans="1:3" x14ac:dyDescent="0.3">
      <c r="A2677" s="80"/>
      <c r="B2677" s="81"/>
      <c r="C2677" s="82"/>
    </row>
    <row r="2678" spans="1:3" x14ac:dyDescent="0.3">
      <c r="A2678" s="80"/>
      <c r="B2678" s="81"/>
      <c r="C2678" s="82"/>
    </row>
    <row r="2679" spans="1:3" x14ac:dyDescent="0.3">
      <c r="A2679" s="80"/>
      <c r="B2679" s="81"/>
      <c r="C2679" s="82"/>
    </row>
    <row r="2680" spans="1:3" x14ac:dyDescent="0.3">
      <c r="A2680" s="80"/>
      <c r="B2680" s="81"/>
      <c r="C2680" s="82"/>
    </row>
    <row r="2681" spans="1:3" x14ac:dyDescent="0.3">
      <c r="A2681" s="80"/>
      <c r="B2681" s="81"/>
      <c r="C2681" s="82"/>
    </row>
    <row r="2682" spans="1:3" x14ac:dyDescent="0.3">
      <c r="A2682" s="80"/>
      <c r="B2682" s="81"/>
      <c r="C2682" s="82"/>
    </row>
    <row r="2683" spans="1:3" x14ac:dyDescent="0.3">
      <c r="A2683" s="80"/>
      <c r="B2683" s="81"/>
      <c r="C2683" s="82"/>
    </row>
    <row r="2684" spans="1:3" x14ac:dyDescent="0.3">
      <c r="A2684" s="80"/>
      <c r="B2684" s="81"/>
      <c r="C2684" s="82"/>
    </row>
    <row r="2685" spans="1:3" x14ac:dyDescent="0.3">
      <c r="A2685" s="80"/>
      <c r="B2685" s="81"/>
      <c r="C2685" s="82"/>
    </row>
    <row r="2686" spans="1:3" x14ac:dyDescent="0.3">
      <c r="A2686" s="80"/>
      <c r="B2686" s="81"/>
      <c r="C2686" s="82"/>
    </row>
    <row r="2687" spans="1:3" x14ac:dyDescent="0.3">
      <c r="A2687" s="80"/>
      <c r="B2687" s="81"/>
      <c r="C2687" s="82"/>
    </row>
    <row r="2688" spans="1:3" x14ac:dyDescent="0.3">
      <c r="A2688" s="80"/>
      <c r="B2688" s="81"/>
      <c r="C2688" s="82"/>
    </row>
    <row r="2689" spans="1:3" x14ac:dyDescent="0.3">
      <c r="A2689" s="80"/>
      <c r="B2689" s="81"/>
      <c r="C2689" s="82"/>
    </row>
    <row r="2690" spans="1:3" x14ac:dyDescent="0.3">
      <c r="A2690" s="80"/>
      <c r="B2690" s="81"/>
      <c r="C2690" s="82"/>
    </row>
    <row r="2691" spans="1:3" x14ac:dyDescent="0.3">
      <c r="A2691" s="80"/>
      <c r="B2691" s="81"/>
      <c r="C2691" s="82"/>
    </row>
    <row r="2692" spans="1:3" x14ac:dyDescent="0.3">
      <c r="A2692" s="80"/>
      <c r="B2692" s="81"/>
      <c r="C2692" s="82"/>
    </row>
    <row r="2693" spans="1:3" x14ac:dyDescent="0.3">
      <c r="A2693" s="80"/>
      <c r="B2693" s="81"/>
      <c r="C2693" s="82"/>
    </row>
    <row r="2694" spans="1:3" x14ac:dyDescent="0.3">
      <c r="A2694" s="80"/>
      <c r="B2694" s="81"/>
      <c r="C2694" s="82"/>
    </row>
    <row r="2695" spans="1:3" x14ac:dyDescent="0.3">
      <c r="A2695" s="80"/>
      <c r="B2695" s="81"/>
      <c r="C2695" s="82"/>
    </row>
    <row r="2696" spans="1:3" x14ac:dyDescent="0.3">
      <c r="A2696" s="80"/>
      <c r="B2696" s="81"/>
      <c r="C2696" s="82"/>
    </row>
    <row r="2697" spans="1:3" x14ac:dyDescent="0.3">
      <c r="A2697" s="80"/>
      <c r="B2697" s="81"/>
      <c r="C2697" s="82"/>
    </row>
    <row r="2698" spans="1:3" x14ac:dyDescent="0.3">
      <c r="A2698" s="80"/>
      <c r="B2698" s="81"/>
      <c r="C2698" s="82"/>
    </row>
    <row r="2699" spans="1:3" x14ac:dyDescent="0.3">
      <c r="A2699" s="80"/>
      <c r="B2699" s="81"/>
      <c r="C2699" s="82"/>
    </row>
    <row r="2700" spans="1:3" x14ac:dyDescent="0.3">
      <c r="A2700" s="80"/>
      <c r="B2700" s="81"/>
      <c r="C2700" s="82"/>
    </row>
    <row r="2701" spans="1:3" x14ac:dyDescent="0.3">
      <c r="A2701" s="80"/>
      <c r="B2701" s="81"/>
      <c r="C2701" s="82"/>
    </row>
    <row r="2702" spans="1:3" x14ac:dyDescent="0.3">
      <c r="A2702" s="80"/>
      <c r="B2702" s="81"/>
      <c r="C2702" s="82"/>
    </row>
    <row r="2703" spans="1:3" x14ac:dyDescent="0.3">
      <c r="A2703" s="80"/>
      <c r="B2703" s="81"/>
      <c r="C2703" s="82"/>
    </row>
    <row r="2704" spans="1:3" x14ac:dyDescent="0.3">
      <c r="A2704" s="80"/>
      <c r="B2704" s="81"/>
      <c r="C2704" s="82"/>
    </row>
    <row r="2705" spans="1:3" x14ac:dyDescent="0.3">
      <c r="A2705" s="80"/>
      <c r="B2705" s="81"/>
      <c r="C2705" s="82"/>
    </row>
    <row r="2706" spans="1:3" x14ac:dyDescent="0.3">
      <c r="A2706" s="80"/>
      <c r="B2706" s="81"/>
      <c r="C2706" s="82"/>
    </row>
    <row r="2707" spans="1:3" x14ac:dyDescent="0.3">
      <c r="A2707" s="80"/>
      <c r="B2707" s="81"/>
      <c r="C2707" s="82"/>
    </row>
    <row r="2708" spans="1:3" x14ac:dyDescent="0.3">
      <c r="A2708" s="80"/>
      <c r="B2708" s="81"/>
      <c r="C2708" s="82"/>
    </row>
    <row r="2709" spans="1:3" x14ac:dyDescent="0.3">
      <c r="A2709" s="80"/>
      <c r="B2709" s="81"/>
      <c r="C2709" s="82"/>
    </row>
    <row r="2710" spans="1:3" x14ac:dyDescent="0.3">
      <c r="A2710" s="80"/>
      <c r="B2710" s="81"/>
      <c r="C2710" s="82"/>
    </row>
    <row r="2711" spans="1:3" x14ac:dyDescent="0.3">
      <c r="A2711" s="80"/>
      <c r="B2711" s="81"/>
      <c r="C2711" s="82"/>
    </row>
    <row r="2712" spans="1:3" x14ac:dyDescent="0.3">
      <c r="A2712" s="80"/>
      <c r="B2712" s="81"/>
      <c r="C2712" s="82"/>
    </row>
    <row r="2713" spans="1:3" x14ac:dyDescent="0.3">
      <c r="A2713" s="80"/>
      <c r="B2713" s="81"/>
      <c r="C2713" s="82"/>
    </row>
    <row r="2714" spans="1:3" x14ac:dyDescent="0.3">
      <c r="A2714" s="80"/>
      <c r="B2714" s="81"/>
      <c r="C2714" s="82"/>
    </row>
    <row r="2715" spans="1:3" x14ac:dyDescent="0.3">
      <c r="A2715" s="80"/>
      <c r="B2715" s="81"/>
      <c r="C2715" s="82"/>
    </row>
    <row r="2716" spans="1:3" x14ac:dyDescent="0.3">
      <c r="A2716" s="80"/>
      <c r="B2716" s="81"/>
      <c r="C2716" s="82"/>
    </row>
    <row r="2717" spans="1:3" x14ac:dyDescent="0.3">
      <c r="A2717" s="80"/>
      <c r="B2717" s="81"/>
      <c r="C2717" s="82"/>
    </row>
    <row r="2718" spans="1:3" x14ac:dyDescent="0.3">
      <c r="A2718" s="80"/>
      <c r="B2718" s="81"/>
      <c r="C2718" s="82"/>
    </row>
    <row r="2719" spans="1:3" x14ac:dyDescent="0.3">
      <c r="A2719" s="80"/>
      <c r="B2719" s="81"/>
      <c r="C2719" s="82"/>
    </row>
    <row r="2720" spans="1:3" x14ac:dyDescent="0.3">
      <c r="A2720" s="80"/>
      <c r="B2720" s="81"/>
      <c r="C2720" s="82"/>
    </row>
    <row r="2721" spans="1:3" x14ac:dyDescent="0.3">
      <c r="A2721" s="80"/>
      <c r="B2721" s="81"/>
      <c r="C2721" s="82"/>
    </row>
    <row r="2722" spans="1:3" x14ac:dyDescent="0.3">
      <c r="A2722" s="80"/>
      <c r="B2722" s="81"/>
      <c r="C2722" s="82"/>
    </row>
    <row r="2723" spans="1:3" x14ac:dyDescent="0.3">
      <c r="A2723" s="80"/>
      <c r="B2723" s="81"/>
      <c r="C2723" s="82"/>
    </row>
    <row r="2724" spans="1:3" x14ac:dyDescent="0.3">
      <c r="A2724" s="80"/>
      <c r="B2724" s="81"/>
      <c r="C2724" s="82"/>
    </row>
    <row r="2725" spans="1:3" x14ac:dyDescent="0.3">
      <c r="A2725" s="80"/>
      <c r="B2725" s="81"/>
      <c r="C2725" s="82"/>
    </row>
    <row r="2726" spans="1:3" x14ac:dyDescent="0.3">
      <c r="A2726" s="80"/>
      <c r="B2726" s="81"/>
      <c r="C2726" s="82"/>
    </row>
    <row r="2727" spans="1:3" x14ac:dyDescent="0.3">
      <c r="A2727" s="80"/>
      <c r="B2727" s="81"/>
      <c r="C2727" s="82"/>
    </row>
    <row r="2728" spans="1:3" x14ac:dyDescent="0.3">
      <c r="A2728" s="80"/>
      <c r="B2728" s="81"/>
      <c r="C2728" s="82"/>
    </row>
    <row r="2729" spans="1:3" x14ac:dyDescent="0.3">
      <c r="A2729" s="80"/>
      <c r="B2729" s="81"/>
      <c r="C2729" s="82"/>
    </row>
    <row r="2730" spans="1:3" x14ac:dyDescent="0.3">
      <c r="A2730" s="80"/>
      <c r="B2730" s="81"/>
      <c r="C2730" s="82"/>
    </row>
    <row r="2731" spans="1:3" x14ac:dyDescent="0.3">
      <c r="A2731" s="80"/>
      <c r="B2731" s="81"/>
      <c r="C2731" s="82"/>
    </row>
    <row r="2732" spans="1:3" x14ac:dyDescent="0.3">
      <c r="A2732" s="80"/>
      <c r="B2732" s="81"/>
      <c r="C2732" s="82"/>
    </row>
    <row r="2733" spans="1:3" x14ac:dyDescent="0.3">
      <c r="A2733" s="80"/>
      <c r="B2733" s="81"/>
      <c r="C2733" s="82"/>
    </row>
    <row r="2734" spans="1:3" x14ac:dyDescent="0.3">
      <c r="A2734" s="80"/>
      <c r="B2734" s="81"/>
      <c r="C2734" s="82"/>
    </row>
    <row r="2735" spans="1:3" x14ac:dyDescent="0.3">
      <c r="A2735" s="80"/>
      <c r="B2735" s="81"/>
      <c r="C2735" s="82"/>
    </row>
    <row r="2736" spans="1:3" x14ac:dyDescent="0.3">
      <c r="A2736" s="80"/>
      <c r="B2736" s="81"/>
      <c r="C2736" s="82"/>
    </row>
    <row r="2737" spans="1:3" x14ac:dyDescent="0.3">
      <c r="A2737" s="80"/>
      <c r="B2737" s="81"/>
      <c r="C2737" s="82"/>
    </row>
    <row r="2738" spans="1:3" x14ac:dyDescent="0.3">
      <c r="A2738" s="80"/>
      <c r="B2738" s="81"/>
      <c r="C2738" s="82"/>
    </row>
    <row r="2739" spans="1:3" x14ac:dyDescent="0.3">
      <c r="A2739" s="80"/>
      <c r="B2739" s="81"/>
      <c r="C2739" s="82"/>
    </row>
    <row r="2740" spans="1:3" x14ac:dyDescent="0.3">
      <c r="A2740" s="80"/>
      <c r="B2740" s="81"/>
      <c r="C2740" s="82"/>
    </row>
    <row r="2741" spans="1:3" x14ac:dyDescent="0.3">
      <c r="A2741" s="80"/>
      <c r="B2741" s="81"/>
      <c r="C2741" s="82"/>
    </row>
    <row r="2742" spans="1:3" x14ac:dyDescent="0.3">
      <c r="A2742" s="80"/>
      <c r="B2742" s="81"/>
      <c r="C2742" s="82"/>
    </row>
    <row r="2743" spans="1:3" x14ac:dyDescent="0.3">
      <c r="A2743" s="80"/>
      <c r="B2743" s="81"/>
      <c r="C2743" s="82"/>
    </row>
    <row r="2744" spans="1:3" x14ac:dyDescent="0.3">
      <c r="A2744" s="80"/>
      <c r="B2744" s="81"/>
      <c r="C2744" s="82"/>
    </row>
    <row r="2745" spans="1:3" x14ac:dyDescent="0.3">
      <c r="A2745" s="80"/>
      <c r="B2745" s="81"/>
      <c r="C2745" s="82"/>
    </row>
    <row r="2746" spans="1:3" x14ac:dyDescent="0.3">
      <c r="A2746" s="80"/>
      <c r="B2746" s="81"/>
      <c r="C2746" s="82"/>
    </row>
    <row r="2747" spans="1:3" x14ac:dyDescent="0.3">
      <c r="A2747" s="80"/>
      <c r="B2747" s="81"/>
      <c r="C2747" s="82"/>
    </row>
    <row r="2748" spans="1:3" x14ac:dyDescent="0.3">
      <c r="A2748" s="80"/>
      <c r="B2748" s="81"/>
      <c r="C2748" s="82"/>
    </row>
    <row r="2749" spans="1:3" x14ac:dyDescent="0.3">
      <c r="A2749" s="80"/>
      <c r="B2749" s="81"/>
      <c r="C2749" s="82"/>
    </row>
    <row r="2750" spans="1:3" x14ac:dyDescent="0.3">
      <c r="A2750" s="80"/>
      <c r="B2750" s="81"/>
      <c r="C2750" s="82"/>
    </row>
    <row r="2751" spans="1:3" x14ac:dyDescent="0.3">
      <c r="A2751" s="80"/>
      <c r="B2751" s="81"/>
      <c r="C2751" s="82"/>
    </row>
    <row r="2752" spans="1:3" x14ac:dyDescent="0.3">
      <c r="A2752" s="80"/>
      <c r="B2752" s="81"/>
      <c r="C2752" s="82"/>
    </row>
    <row r="2753" spans="1:3" x14ac:dyDescent="0.3">
      <c r="A2753" s="80"/>
      <c r="B2753" s="81"/>
      <c r="C2753" s="82"/>
    </row>
    <row r="2754" spans="1:3" x14ac:dyDescent="0.3">
      <c r="A2754" s="80"/>
      <c r="B2754" s="81"/>
      <c r="C2754" s="82"/>
    </row>
    <row r="2755" spans="1:3" x14ac:dyDescent="0.3">
      <c r="A2755" s="80"/>
      <c r="B2755" s="81"/>
      <c r="C2755" s="82"/>
    </row>
    <row r="2756" spans="1:3" x14ac:dyDescent="0.3">
      <c r="A2756" s="80"/>
      <c r="B2756" s="81"/>
      <c r="C2756" s="82"/>
    </row>
    <row r="2757" spans="1:3" x14ac:dyDescent="0.3">
      <c r="A2757" s="80"/>
      <c r="B2757" s="81"/>
      <c r="C2757" s="82"/>
    </row>
    <row r="2758" spans="1:3" x14ac:dyDescent="0.3">
      <c r="A2758" s="80"/>
      <c r="B2758" s="81"/>
      <c r="C2758" s="82"/>
    </row>
    <row r="2759" spans="1:3" x14ac:dyDescent="0.3">
      <c r="A2759" s="80"/>
      <c r="B2759" s="81"/>
      <c r="C2759" s="82"/>
    </row>
    <row r="2760" spans="1:3" x14ac:dyDescent="0.3">
      <c r="A2760" s="80"/>
      <c r="B2760" s="81"/>
      <c r="C2760" s="82"/>
    </row>
    <row r="2761" spans="1:3" x14ac:dyDescent="0.3">
      <c r="A2761" s="80"/>
      <c r="B2761" s="81"/>
      <c r="C2761" s="82"/>
    </row>
    <row r="2762" spans="1:3" x14ac:dyDescent="0.3">
      <c r="A2762" s="80"/>
      <c r="B2762" s="81"/>
      <c r="C2762" s="82"/>
    </row>
    <row r="2763" spans="1:3" x14ac:dyDescent="0.3">
      <c r="A2763" s="80"/>
      <c r="B2763" s="81"/>
      <c r="C2763" s="82"/>
    </row>
    <row r="2764" spans="1:3" x14ac:dyDescent="0.3">
      <c r="A2764" s="80"/>
      <c r="B2764" s="81"/>
      <c r="C2764" s="82"/>
    </row>
    <row r="2765" spans="1:3" x14ac:dyDescent="0.3">
      <c r="A2765" s="80"/>
      <c r="B2765" s="81"/>
      <c r="C2765" s="82"/>
    </row>
    <row r="2766" spans="1:3" x14ac:dyDescent="0.3">
      <c r="A2766" s="80"/>
      <c r="B2766" s="81"/>
      <c r="C2766" s="82"/>
    </row>
    <row r="2767" spans="1:3" x14ac:dyDescent="0.3">
      <c r="A2767" s="80"/>
      <c r="B2767" s="81"/>
      <c r="C2767" s="82"/>
    </row>
    <row r="2768" spans="1:3" x14ac:dyDescent="0.3">
      <c r="A2768" s="80"/>
      <c r="B2768" s="81"/>
      <c r="C2768" s="82"/>
    </row>
    <row r="2769" spans="1:3" x14ac:dyDescent="0.3">
      <c r="A2769" s="80"/>
      <c r="B2769" s="81"/>
      <c r="C2769" s="82"/>
    </row>
    <row r="2770" spans="1:3" x14ac:dyDescent="0.3">
      <c r="A2770" s="80"/>
      <c r="B2770" s="81"/>
      <c r="C2770" s="82"/>
    </row>
    <row r="2771" spans="1:3" x14ac:dyDescent="0.3">
      <c r="A2771" s="80"/>
      <c r="B2771" s="81"/>
      <c r="C2771" s="82"/>
    </row>
    <row r="2772" spans="1:3" x14ac:dyDescent="0.3">
      <c r="A2772" s="80"/>
      <c r="B2772" s="81"/>
      <c r="C2772" s="82"/>
    </row>
    <row r="2773" spans="1:3" x14ac:dyDescent="0.3">
      <c r="A2773" s="80"/>
      <c r="B2773" s="81"/>
      <c r="C2773" s="82"/>
    </row>
    <row r="2774" spans="1:3" x14ac:dyDescent="0.3">
      <c r="A2774" s="80"/>
      <c r="B2774" s="81"/>
      <c r="C2774" s="82"/>
    </row>
    <row r="2775" spans="1:3" x14ac:dyDescent="0.3">
      <c r="A2775" s="80"/>
      <c r="B2775" s="81"/>
      <c r="C2775" s="82"/>
    </row>
    <row r="2776" spans="1:3" x14ac:dyDescent="0.3">
      <c r="A2776" s="80"/>
      <c r="B2776" s="81"/>
      <c r="C2776" s="82"/>
    </row>
    <row r="2777" spans="1:3" x14ac:dyDescent="0.3">
      <c r="A2777" s="80"/>
      <c r="B2777" s="81"/>
      <c r="C2777" s="82"/>
    </row>
    <row r="2778" spans="1:3" x14ac:dyDescent="0.3">
      <c r="A2778" s="80"/>
      <c r="B2778" s="81"/>
      <c r="C2778" s="82"/>
    </row>
    <row r="2779" spans="1:3" x14ac:dyDescent="0.3">
      <c r="A2779" s="80"/>
      <c r="B2779" s="81"/>
      <c r="C2779" s="82"/>
    </row>
    <row r="2780" spans="1:3" x14ac:dyDescent="0.3">
      <c r="A2780" s="80"/>
      <c r="B2780" s="81"/>
      <c r="C2780" s="82"/>
    </row>
    <row r="2781" spans="1:3" x14ac:dyDescent="0.3">
      <c r="A2781" s="80"/>
      <c r="B2781" s="81"/>
      <c r="C2781" s="82"/>
    </row>
    <row r="2782" spans="1:3" x14ac:dyDescent="0.3">
      <c r="A2782" s="80"/>
      <c r="B2782" s="81"/>
      <c r="C2782" s="82"/>
    </row>
    <row r="2783" spans="1:3" x14ac:dyDescent="0.3">
      <c r="A2783" s="80"/>
      <c r="B2783" s="81"/>
      <c r="C2783" s="82"/>
    </row>
    <row r="2784" spans="1:3" x14ac:dyDescent="0.3">
      <c r="A2784" s="80"/>
      <c r="B2784" s="81"/>
      <c r="C2784" s="82"/>
    </row>
    <row r="2785" spans="1:3" x14ac:dyDescent="0.3">
      <c r="A2785" s="80"/>
      <c r="B2785" s="81"/>
      <c r="C2785" s="82"/>
    </row>
    <row r="2786" spans="1:3" x14ac:dyDescent="0.3">
      <c r="A2786" s="80"/>
      <c r="B2786" s="81"/>
      <c r="C2786" s="82"/>
    </row>
    <row r="2787" spans="1:3" x14ac:dyDescent="0.3">
      <c r="A2787" s="80"/>
      <c r="B2787" s="81"/>
      <c r="C2787" s="82"/>
    </row>
    <row r="2788" spans="1:3" x14ac:dyDescent="0.3">
      <c r="A2788" s="80"/>
      <c r="B2788" s="81"/>
      <c r="C2788" s="82"/>
    </row>
    <row r="2789" spans="1:3" x14ac:dyDescent="0.3">
      <c r="A2789" s="80"/>
      <c r="B2789" s="81"/>
      <c r="C2789" s="82"/>
    </row>
    <row r="2790" spans="1:3" x14ac:dyDescent="0.3">
      <c r="A2790" s="80"/>
      <c r="B2790" s="81"/>
      <c r="C2790" s="82"/>
    </row>
    <row r="2791" spans="1:3" x14ac:dyDescent="0.3">
      <c r="A2791" s="80"/>
      <c r="B2791" s="81"/>
      <c r="C2791" s="82"/>
    </row>
    <row r="2792" spans="1:3" x14ac:dyDescent="0.3">
      <c r="A2792" s="80"/>
      <c r="B2792" s="81"/>
      <c r="C2792" s="82"/>
    </row>
    <row r="2793" spans="1:3" x14ac:dyDescent="0.3">
      <c r="A2793" s="80"/>
      <c r="B2793" s="81"/>
      <c r="C2793" s="82"/>
    </row>
    <row r="2794" spans="1:3" x14ac:dyDescent="0.3">
      <c r="A2794" s="80"/>
      <c r="B2794" s="81"/>
      <c r="C2794" s="82"/>
    </row>
    <row r="2795" spans="1:3" x14ac:dyDescent="0.3">
      <c r="A2795" s="80"/>
      <c r="B2795" s="81"/>
      <c r="C2795" s="82"/>
    </row>
    <row r="2796" spans="1:3" x14ac:dyDescent="0.3">
      <c r="A2796" s="80"/>
      <c r="B2796" s="81"/>
      <c r="C2796" s="82"/>
    </row>
    <row r="2797" spans="1:3" x14ac:dyDescent="0.3">
      <c r="A2797" s="80"/>
      <c r="B2797" s="81"/>
      <c r="C2797" s="82"/>
    </row>
    <row r="2798" spans="1:3" x14ac:dyDescent="0.3">
      <c r="A2798" s="80"/>
      <c r="B2798" s="81"/>
      <c r="C2798" s="82"/>
    </row>
    <row r="2799" spans="1:3" x14ac:dyDescent="0.3">
      <c r="A2799" s="80"/>
      <c r="B2799" s="81"/>
      <c r="C2799" s="82"/>
    </row>
    <row r="2800" spans="1:3" x14ac:dyDescent="0.3">
      <c r="A2800" s="80"/>
      <c r="B2800" s="81"/>
      <c r="C2800" s="82"/>
    </row>
    <row r="2801" spans="1:3" x14ac:dyDescent="0.3">
      <c r="A2801" s="80"/>
      <c r="B2801" s="81"/>
      <c r="C2801" s="82"/>
    </row>
    <row r="2802" spans="1:3" x14ac:dyDescent="0.3">
      <c r="A2802" s="80"/>
      <c r="B2802" s="81"/>
      <c r="C2802" s="82"/>
    </row>
    <row r="2803" spans="1:3" x14ac:dyDescent="0.3">
      <c r="A2803" s="80"/>
      <c r="B2803" s="81"/>
      <c r="C2803" s="82"/>
    </row>
    <row r="2804" spans="1:3" x14ac:dyDescent="0.3">
      <c r="A2804" s="80"/>
      <c r="B2804" s="81"/>
      <c r="C2804" s="82"/>
    </row>
    <row r="2805" spans="1:3" x14ac:dyDescent="0.3">
      <c r="A2805" s="80"/>
      <c r="B2805" s="81"/>
      <c r="C2805" s="82"/>
    </row>
    <row r="2806" spans="1:3" x14ac:dyDescent="0.3">
      <c r="A2806" s="80"/>
      <c r="B2806" s="81"/>
      <c r="C2806" s="82"/>
    </row>
    <row r="2807" spans="1:3" x14ac:dyDescent="0.3">
      <c r="A2807" s="80"/>
      <c r="B2807" s="81"/>
      <c r="C2807" s="82"/>
    </row>
    <row r="2808" spans="1:3" x14ac:dyDescent="0.3">
      <c r="A2808" s="80"/>
      <c r="B2808" s="81"/>
      <c r="C2808" s="82"/>
    </row>
    <row r="2809" spans="1:3" x14ac:dyDescent="0.3">
      <c r="A2809" s="80"/>
      <c r="B2809" s="81"/>
      <c r="C2809" s="82"/>
    </row>
    <row r="2810" spans="1:3" x14ac:dyDescent="0.3">
      <c r="A2810" s="80"/>
      <c r="B2810" s="81"/>
      <c r="C2810" s="82"/>
    </row>
    <row r="2811" spans="1:3" x14ac:dyDescent="0.3">
      <c r="A2811" s="80"/>
      <c r="B2811" s="81"/>
      <c r="C2811" s="82"/>
    </row>
    <row r="2812" spans="1:3" x14ac:dyDescent="0.3">
      <c r="A2812" s="80"/>
      <c r="B2812" s="81"/>
      <c r="C2812" s="82"/>
    </row>
    <row r="2813" spans="1:3" x14ac:dyDescent="0.3">
      <c r="A2813" s="80"/>
      <c r="B2813" s="81"/>
      <c r="C2813" s="82"/>
    </row>
    <row r="2814" spans="1:3" x14ac:dyDescent="0.3">
      <c r="A2814" s="80"/>
      <c r="B2814" s="81"/>
      <c r="C2814" s="82"/>
    </row>
    <row r="2815" spans="1:3" x14ac:dyDescent="0.3">
      <c r="A2815" s="80"/>
      <c r="B2815" s="81"/>
      <c r="C2815" s="82"/>
    </row>
    <row r="2816" spans="1:3" x14ac:dyDescent="0.3">
      <c r="A2816" s="80"/>
      <c r="B2816" s="81"/>
      <c r="C2816" s="82"/>
    </row>
    <row r="2817" spans="1:3" x14ac:dyDescent="0.3">
      <c r="A2817" s="80"/>
      <c r="B2817" s="81"/>
      <c r="C2817" s="82"/>
    </row>
    <row r="2818" spans="1:3" x14ac:dyDescent="0.3">
      <c r="A2818" s="80"/>
      <c r="B2818" s="81"/>
      <c r="C2818" s="82"/>
    </row>
    <row r="2819" spans="1:3" x14ac:dyDescent="0.3">
      <c r="A2819" s="80"/>
      <c r="B2819" s="81"/>
      <c r="C2819" s="82"/>
    </row>
    <row r="2820" spans="1:3" x14ac:dyDescent="0.3">
      <c r="A2820" s="80"/>
      <c r="B2820" s="81"/>
      <c r="C2820" s="82"/>
    </row>
    <row r="2821" spans="1:3" x14ac:dyDescent="0.3">
      <c r="A2821" s="80"/>
      <c r="B2821" s="81"/>
      <c r="C2821" s="82"/>
    </row>
    <row r="2822" spans="1:3" x14ac:dyDescent="0.3">
      <c r="A2822" s="80"/>
      <c r="B2822" s="81"/>
      <c r="C2822" s="82"/>
    </row>
    <row r="2823" spans="1:3" x14ac:dyDescent="0.3">
      <c r="A2823" s="80"/>
      <c r="B2823" s="81"/>
      <c r="C2823" s="82"/>
    </row>
    <row r="2824" spans="1:3" x14ac:dyDescent="0.3">
      <c r="A2824" s="80"/>
      <c r="B2824" s="81"/>
      <c r="C2824" s="82"/>
    </row>
    <row r="2825" spans="1:3" x14ac:dyDescent="0.3">
      <c r="A2825" s="80"/>
      <c r="B2825" s="81"/>
      <c r="C2825" s="82"/>
    </row>
    <row r="2826" spans="1:3" x14ac:dyDescent="0.3">
      <c r="A2826" s="80"/>
      <c r="B2826" s="81"/>
      <c r="C2826" s="82"/>
    </row>
    <row r="2827" spans="1:3" x14ac:dyDescent="0.3">
      <c r="A2827" s="80"/>
      <c r="B2827" s="81"/>
      <c r="C2827" s="82"/>
    </row>
    <row r="2828" spans="1:3" x14ac:dyDescent="0.3">
      <c r="A2828" s="80"/>
      <c r="B2828" s="81"/>
      <c r="C2828" s="82"/>
    </row>
    <row r="2829" spans="1:3" x14ac:dyDescent="0.3">
      <c r="A2829" s="80"/>
      <c r="B2829" s="81"/>
      <c r="C2829" s="82"/>
    </row>
    <row r="2830" spans="1:3" x14ac:dyDescent="0.3">
      <c r="A2830" s="80"/>
      <c r="B2830" s="81"/>
      <c r="C2830" s="82"/>
    </row>
    <row r="2831" spans="1:3" x14ac:dyDescent="0.3">
      <c r="A2831" s="80"/>
      <c r="B2831" s="81"/>
      <c r="C2831" s="82"/>
    </row>
    <row r="2832" spans="1:3" x14ac:dyDescent="0.3">
      <c r="A2832" s="80"/>
      <c r="B2832" s="81"/>
      <c r="C2832" s="82"/>
    </row>
    <row r="2833" spans="1:3" x14ac:dyDescent="0.3">
      <c r="A2833" s="80"/>
      <c r="B2833" s="81"/>
      <c r="C2833" s="82"/>
    </row>
    <row r="2834" spans="1:3" x14ac:dyDescent="0.3">
      <c r="A2834" s="80"/>
      <c r="B2834" s="81"/>
      <c r="C2834" s="82"/>
    </row>
    <row r="2835" spans="1:3" x14ac:dyDescent="0.3">
      <c r="A2835" s="80"/>
      <c r="B2835" s="81"/>
      <c r="C2835" s="82"/>
    </row>
    <row r="2836" spans="1:3" x14ac:dyDescent="0.3">
      <c r="A2836" s="80"/>
      <c r="B2836" s="81"/>
      <c r="C2836" s="82"/>
    </row>
    <row r="2837" spans="1:3" x14ac:dyDescent="0.3">
      <c r="A2837" s="80"/>
      <c r="B2837" s="81"/>
      <c r="C2837" s="82"/>
    </row>
    <row r="2838" spans="1:3" x14ac:dyDescent="0.3">
      <c r="A2838" s="80"/>
      <c r="B2838" s="81"/>
      <c r="C2838" s="82"/>
    </row>
    <row r="2839" spans="1:3" x14ac:dyDescent="0.3">
      <c r="A2839" s="80"/>
      <c r="B2839" s="81"/>
      <c r="C2839" s="82"/>
    </row>
    <row r="2840" spans="1:3" x14ac:dyDescent="0.3">
      <c r="A2840" s="80"/>
      <c r="B2840" s="81"/>
      <c r="C2840" s="82"/>
    </row>
    <row r="2841" spans="1:3" x14ac:dyDescent="0.3">
      <c r="A2841" s="80"/>
      <c r="B2841" s="81"/>
      <c r="C2841" s="82"/>
    </row>
    <row r="2842" spans="1:3" x14ac:dyDescent="0.3">
      <c r="A2842" s="80"/>
      <c r="B2842" s="81"/>
      <c r="C2842" s="82"/>
    </row>
    <row r="2843" spans="1:3" x14ac:dyDescent="0.3">
      <c r="A2843" s="80"/>
      <c r="B2843" s="81"/>
      <c r="C2843" s="82"/>
    </row>
    <row r="2844" spans="1:3" x14ac:dyDescent="0.3">
      <c r="A2844" s="80"/>
      <c r="B2844" s="81"/>
      <c r="C2844" s="82"/>
    </row>
    <row r="2845" spans="1:3" x14ac:dyDescent="0.3">
      <c r="A2845" s="80"/>
      <c r="B2845" s="81"/>
      <c r="C2845" s="82"/>
    </row>
    <row r="2846" spans="1:3" x14ac:dyDescent="0.3">
      <c r="A2846" s="80"/>
      <c r="B2846" s="81"/>
      <c r="C2846" s="82"/>
    </row>
    <row r="2847" spans="1:3" x14ac:dyDescent="0.3">
      <c r="A2847" s="80"/>
      <c r="B2847" s="81"/>
      <c r="C2847" s="82"/>
    </row>
    <row r="2848" spans="1:3" x14ac:dyDescent="0.3">
      <c r="A2848" s="80"/>
      <c r="B2848" s="81"/>
      <c r="C2848" s="82"/>
    </row>
    <row r="2849" spans="1:3" x14ac:dyDescent="0.3">
      <c r="A2849" s="80"/>
      <c r="B2849" s="81"/>
      <c r="C2849" s="82"/>
    </row>
    <row r="2850" spans="1:3" x14ac:dyDescent="0.3">
      <c r="A2850" s="80"/>
      <c r="B2850" s="81"/>
      <c r="C2850" s="82"/>
    </row>
    <row r="2851" spans="1:3" x14ac:dyDescent="0.3">
      <c r="A2851" s="80"/>
      <c r="B2851" s="81"/>
      <c r="C2851" s="82"/>
    </row>
    <row r="2852" spans="1:3" x14ac:dyDescent="0.3">
      <c r="A2852" s="80"/>
      <c r="B2852" s="81"/>
      <c r="C2852" s="82"/>
    </row>
    <row r="2853" spans="1:3" x14ac:dyDescent="0.3">
      <c r="A2853" s="80"/>
      <c r="B2853" s="81"/>
      <c r="C2853" s="82"/>
    </row>
    <row r="2854" spans="1:3" x14ac:dyDescent="0.3">
      <c r="A2854" s="80"/>
      <c r="B2854" s="81"/>
      <c r="C2854" s="82"/>
    </row>
    <row r="2855" spans="1:3" x14ac:dyDescent="0.3">
      <c r="A2855" s="80"/>
      <c r="B2855" s="81"/>
      <c r="C2855" s="82"/>
    </row>
    <row r="2856" spans="1:3" x14ac:dyDescent="0.3">
      <c r="A2856" s="80"/>
      <c r="B2856" s="81"/>
      <c r="C2856" s="82"/>
    </row>
    <row r="2857" spans="1:3" x14ac:dyDescent="0.3">
      <c r="A2857" s="80"/>
      <c r="B2857" s="81"/>
      <c r="C2857" s="82"/>
    </row>
    <row r="2858" spans="1:3" x14ac:dyDescent="0.3">
      <c r="A2858" s="80"/>
      <c r="B2858" s="81"/>
      <c r="C2858" s="82"/>
    </row>
    <row r="2859" spans="1:3" x14ac:dyDescent="0.3">
      <c r="A2859" s="80"/>
      <c r="B2859" s="81"/>
      <c r="C2859" s="82"/>
    </row>
    <row r="2860" spans="1:3" x14ac:dyDescent="0.3">
      <c r="A2860" s="80"/>
      <c r="B2860" s="81"/>
      <c r="C2860" s="82"/>
    </row>
    <row r="2861" spans="1:3" x14ac:dyDescent="0.3">
      <c r="A2861" s="80"/>
      <c r="B2861" s="81"/>
      <c r="C2861" s="82"/>
    </row>
    <row r="2862" spans="1:3" x14ac:dyDescent="0.3">
      <c r="A2862" s="80"/>
      <c r="B2862" s="81"/>
      <c r="C2862" s="82"/>
    </row>
    <row r="2863" spans="1:3" x14ac:dyDescent="0.3">
      <c r="A2863" s="80"/>
      <c r="B2863" s="81"/>
      <c r="C2863" s="82"/>
    </row>
    <row r="2864" spans="1:3" x14ac:dyDescent="0.3">
      <c r="A2864" s="80"/>
      <c r="B2864" s="81"/>
      <c r="C2864" s="82"/>
    </row>
    <row r="2865" spans="1:3" x14ac:dyDescent="0.3">
      <c r="A2865" s="80"/>
      <c r="B2865" s="81"/>
      <c r="C2865" s="82"/>
    </row>
    <row r="2866" spans="1:3" x14ac:dyDescent="0.3">
      <c r="A2866" s="80"/>
      <c r="B2866" s="81"/>
      <c r="C2866" s="82"/>
    </row>
    <row r="2867" spans="1:3" x14ac:dyDescent="0.3">
      <c r="A2867" s="80"/>
      <c r="B2867" s="81"/>
      <c r="C2867" s="82"/>
    </row>
    <row r="2868" spans="1:3" x14ac:dyDescent="0.3">
      <c r="A2868" s="80"/>
      <c r="B2868" s="81"/>
      <c r="C2868" s="82"/>
    </row>
    <row r="2869" spans="1:3" x14ac:dyDescent="0.3">
      <c r="A2869" s="80"/>
      <c r="B2869" s="81"/>
      <c r="C2869" s="82"/>
    </row>
    <row r="2870" spans="1:3" x14ac:dyDescent="0.3">
      <c r="A2870" s="80"/>
      <c r="B2870" s="81"/>
      <c r="C2870" s="82"/>
    </row>
    <row r="2871" spans="1:3" x14ac:dyDescent="0.3">
      <c r="A2871" s="80"/>
      <c r="B2871" s="81"/>
      <c r="C2871" s="82"/>
    </row>
    <row r="2872" spans="1:3" x14ac:dyDescent="0.3">
      <c r="A2872" s="80"/>
      <c r="B2872" s="81"/>
      <c r="C2872" s="82"/>
    </row>
    <row r="2873" spans="1:3" x14ac:dyDescent="0.3">
      <c r="A2873" s="80"/>
      <c r="B2873" s="81"/>
      <c r="C2873" s="82"/>
    </row>
    <row r="2874" spans="1:3" x14ac:dyDescent="0.3">
      <c r="A2874" s="80"/>
      <c r="B2874" s="81"/>
      <c r="C2874" s="82"/>
    </row>
    <row r="2875" spans="1:3" x14ac:dyDescent="0.3">
      <c r="A2875" s="80"/>
      <c r="B2875" s="81"/>
      <c r="C2875" s="82"/>
    </row>
    <row r="2876" spans="1:3" x14ac:dyDescent="0.3">
      <c r="A2876" s="80"/>
      <c r="B2876" s="81"/>
      <c r="C2876" s="82"/>
    </row>
    <row r="2877" spans="1:3" x14ac:dyDescent="0.3">
      <c r="A2877" s="80"/>
      <c r="B2877" s="81"/>
      <c r="C2877" s="82"/>
    </row>
    <row r="2878" spans="1:3" x14ac:dyDescent="0.3">
      <c r="A2878" s="80"/>
      <c r="B2878" s="81"/>
      <c r="C2878" s="82"/>
    </row>
    <row r="2879" spans="1:3" x14ac:dyDescent="0.3">
      <c r="A2879" s="80"/>
      <c r="B2879" s="81"/>
      <c r="C2879" s="82"/>
    </row>
    <row r="2880" spans="1:3" x14ac:dyDescent="0.3">
      <c r="A2880" s="80"/>
      <c r="B2880" s="81"/>
      <c r="C2880" s="82"/>
    </row>
    <row r="2881" spans="1:3" x14ac:dyDescent="0.3">
      <c r="A2881" s="80"/>
      <c r="B2881" s="81"/>
      <c r="C2881" s="82"/>
    </row>
    <row r="2882" spans="1:3" x14ac:dyDescent="0.3">
      <c r="A2882" s="80"/>
      <c r="B2882" s="81"/>
      <c r="C2882" s="82"/>
    </row>
    <row r="2883" spans="1:3" x14ac:dyDescent="0.3">
      <c r="A2883" s="80"/>
      <c r="B2883" s="81"/>
      <c r="C2883" s="82"/>
    </row>
    <row r="2884" spans="1:3" x14ac:dyDescent="0.3">
      <c r="A2884" s="80"/>
      <c r="B2884" s="81"/>
      <c r="C2884" s="82"/>
    </row>
    <row r="2885" spans="1:3" x14ac:dyDescent="0.3">
      <c r="A2885" s="80"/>
      <c r="B2885" s="81"/>
      <c r="C2885" s="82"/>
    </row>
    <row r="2886" spans="1:3" x14ac:dyDescent="0.3">
      <c r="A2886" s="80"/>
      <c r="B2886" s="81"/>
      <c r="C2886" s="82"/>
    </row>
    <row r="2887" spans="1:3" x14ac:dyDescent="0.3">
      <c r="A2887" s="80"/>
      <c r="B2887" s="81"/>
      <c r="C2887" s="82"/>
    </row>
    <row r="2888" spans="1:3" x14ac:dyDescent="0.3">
      <c r="A2888" s="80"/>
      <c r="B2888" s="81"/>
      <c r="C2888" s="82"/>
    </row>
    <row r="2889" spans="1:3" x14ac:dyDescent="0.3">
      <c r="A2889" s="80"/>
      <c r="B2889" s="81"/>
      <c r="C2889" s="82"/>
    </row>
    <row r="2890" spans="1:3" x14ac:dyDescent="0.3">
      <c r="A2890" s="80"/>
      <c r="B2890" s="81"/>
      <c r="C2890" s="82"/>
    </row>
    <row r="2891" spans="1:3" x14ac:dyDescent="0.3">
      <c r="A2891" s="80"/>
      <c r="B2891" s="81"/>
      <c r="C2891" s="82"/>
    </row>
    <row r="2892" spans="1:3" x14ac:dyDescent="0.3">
      <c r="A2892" s="80"/>
      <c r="B2892" s="81"/>
      <c r="C2892" s="82"/>
    </row>
    <row r="2893" spans="1:3" x14ac:dyDescent="0.3">
      <c r="A2893" s="80"/>
      <c r="B2893" s="81"/>
      <c r="C2893" s="82"/>
    </row>
    <row r="2894" spans="1:3" x14ac:dyDescent="0.3">
      <c r="A2894" s="80"/>
      <c r="B2894" s="81"/>
      <c r="C2894" s="82"/>
    </row>
    <row r="2895" spans="1:3" x14ac:dyDescent="0.3">
      <c r="A2895" s="80"/>
      <c r="B2895" s="81"/>
      <c r="C2895" s="82"/>
    </row>
    <row r="2896" spans="1:3" x14ac:dyDescent="0.3">
      <c r="A2896" s="80"/>
      <c r="B2896" s="81"/>
      <c r="C2896" s="82"/>
    </row>
    <row r="2897" spans="1:3" x14ac:dyDescent="0.3">
      <c r="A2897" s="80"/>
      <c r="B2897" s="81"/>
      <c r="C2897" s="82"/>
    </row>
    <row r="2898" spans="1:3" x14ac:dyDescent="0.3">
      <c r="A2898" s="80"/>
      <c r="B2898" s="81"/>
      <c r="C2898" s="82"/>
    </row>
    <row r="2899" spans="1:3" x14ac:dyDescent="0.3">
      <c r="A2899" s="80"/>
      <c r="B2899" s="81"/>
      <c r="C2899" s="82"/>
    </row>
    <row r="2900" spans="1:3" x14ac:dyDescent="0.3">
      <c r="A2900" s="80"/>
      <c r="B2900" s="81"/>
      <c r="C2900" s="82"/>
    </row>
    <row r="2901" spans="1:3" x14ac:dyDescent="0.3">
      <c r="A2901" s="80"/>
      <c r="B2901" s="81"/>
      <c r="C2901" s="82"/>
    </row>
    <row r="2902" spans="1:3" x14ac:dyDescent="0.3">
      <c r="A2902" s="80"/>
      <c r="B2902" s="81"/>
      <c r="C2902" s="82"/>
    </row>
    <row r="2903" spans="1:3" x14ac:dyDescent="0.3">
      <c r="A2903" s="80"/>
      <c r="B2903" s="81"/>
      <c r="C2903" s="82"/>
    </row>
    <row r="2904" spans="1:3" x14ac:dyDescent="0.3">
      <c r="A2904" s="80"/>
      <c r="B2904" s="81"/>
      <c r="C2904" s="82"/>
    </row>
    <row r="2905" spans="1:3" x14ac:dyDescent="0.3">
      <c r="A2905" s="80"/>
      <c r="B2905" s="81"/>
      <c r="C2905" s="82"/>
    </row>
    <row r="2906" spans="1:3" x14ac:dyDescent="0.3">
      <c r="A2906" s="80"/>
      <c r="B2906" s="81"/>
      <c r="C2906" s="82"/>
    </row>
    <row r="2907" spans="1:3" x14ac:dyDescent="0.3">
      <c r="A2907" s="80"/>
      <c r="B2907" s="81"/>
      <c r="C2907" s="82"/>
    </row>
    <row r="2908" spans="1:3" x14ac:dyDescent="0.3">
      <c r="A2908" s="80"/>
      <c r="B2908" s="81"/>
      <c r="C2908" s="82"/>
    </row>
    <row r="2909" spans="1:3" x14ac:dyDescent="0.3">
      <c r="A2909" s="80"/>
      <c r="B2909" s="81"/>
      <c r="C2909" s="82"/>
    </row>
    <row r="2910" spans="1:3" x14ac:dyDescent="0.3">
      <c r="A2910" s="80"/>
      <c r="B2910" s="81"/>
      <c r="C2910" s="82"/>
    </row>
    <row r="2911" spans="1:3" x14ac:dyDescent="0.3">
      <c r="A2911" s="80"/>
      <c r="B2911" s="81"/>
      <c r="C2911" s="82"/>
    </row>
    <row r="2912" spans="1:3" x14ac:dyDescent="0.3">
      <c r="A2912" s="80"/>
      <c r="B2912" s="81"/>
      <c r="C2912" s="82"/>
    </row>
    <row r="2913" spans="1:3" x14ac:dyDescent="0.3">
      <c r="A2913" s="80"/>
      <c r="B2913" s="81"/>
      <c r="C2913" s="82"/>
    </row>
    <row r="2914" spans="1:3" x14ac:dyDescent="0.3">
      <c r="A2914" s="80"/>
      <c r="B2914" s="81"/>
      <c r="C2914" s="82"/>
    </row>
    <row r="2915" spans="1:3" x14ac:dyDescent="0.3">
      <c r="A2915" s="80"/>
      <c r="B2915" s="81"/>
      <c r="C2915" s="82"/>
    </row>
    <row r="2916" spans="1:3" x14ac:dyDescent="0.3">
      <c r="A2916" s="80"/>
      <c r="B2916" s="81"/>
      <c r="C2916" s="82"/>
    </row>
    <row r="2917" spans="1:3" x14ac:dyDescent="0.3">
      <c r="A2917" s="80"/>
      <c r="B2917" s="81"/>
      <c r="C2917" s="82"/>
    </row>
    <row r="2918" spans="1:3" x14ac:dyDescent="0.3">
      <c r="A2918" s="80"/>
      <c r="B2918" s="81"/>
      <c r="C2918" s="82"/>
    </row>
    <row r="2919" spans="1:3" x14ac:dyDescent="0.3">
      <c r="A2919" s="80"/>
      <c r="B2919" s="81"/>
      <c r="C2919" s="82"/>
    </row>
    <row r="2920" spans="1:3" x14ac:dyDescent="0.3">
      <c r="A2920" s="80"/>
      <c r="B2920" s="81"/>
      <c r="C2920" s="82"/>
    </row>
    <row r="2921" spans="1:3" x14ac:dyDescent="0.3">
      <c r="A2921" s="80"/>
      <c r="B2921" s="81"/>
      <c r="C2921" s="82"/>
    </row>
    <row r="2922" spans="1:3" x14ac:dyDescent="0.3">
      <c r="A2922" s="80"/>
      <c r="B2922" s="81"/>
      <c r="C2922" s="82"/>
    </row>
    <row r="2923" spans="1:3" x14ac:dyDescent="0.3">
      <c r="A2923" s="80"/>
      <c r="B2923" s="81"/>
      <c r="C2923" s="82"/>
    </row>
    <row r="2924" spans="1:3" x14ac:dyDescent="0.3">
      <c r="A2924" s="80"/>
      <c r="B2924" s="81"/>
      <c r="C2924" s="82"/>
    </row>
    <row r="2925" spans="1:3" x14ac:dyDescent="0.3">
      <c r="A2925" s="80"/>
      <c r="B2925" s="81"/>
      <c r="C2925" s="82"/>
    </row>
    <row r="2926" spans="1:3" x14ac:dyDescent="0.3">
      <c r="A2926" s="80"/>
      <c r="B2926" s="81"/>
      <c r="C2926" s="82"/>
    </row>
    <row r="2927" spans="1:3" x14ac:dyDescent="0.3">
      <c r="A2927" s="80"/>
      <c r="B2927" s="81"/>
      <c r="C2927" s="82"/>
    </row>
    <row r="2928" spans="1:3" x14ac:dyDescent="0.3">
      <c r="A2928" s="80"/>
      <c r="B2928" s="81"/>
      <c r="C2928" s="82"/>
    </row>
    <row r="2929" spans="1:3" x14ac:dyDescent="0.3">
      <c r="A2929" s="80"/>
      <c r="B2929" s="81"/>
      <c r="C2929" s="82"/>
    </row>
    <row r="2930" spans="1:3" x14ac:dyDescent="0.3">
      <c r="A2930" s="80"/>
      <c r="B2930" s="81"/>
      <c r="C2930" s="82"/>
    </row>
    <row r="2931" spans="1:3" x14ac:dyDescent="0.3">
      <c r="A2931" s="80"/>
      <c r="B2931" s="81"/>
      <c r="C2931" s="82"/>
    </row>
    <row r="2932" spans="1:3" x14ac:dyDescent="0.3">
      <c r="A2932" s="80"/>
      <c r="B2932" s="81"/>
      <c r="C2932" s="82"/>
    </row>
    <row r="2933" spans="1:3" x14ac:dyDescent="0.3">
      <c r="A2933" s="80"/>
      <c r="B2933" s="81"/>
      <c r="C2933" s="82"/>
    </row>
    <row r="2934" spans="1:3" x14ac:dyDescent="0.3">
      <c r="A2934" s="80"/>
      <c r="B2934" s="81"/>
      <c r="C2934" s="82"/>
    </row>
    <row r="2935" spans="1:3" x14ac:dyDescent="0.3">
      <c r="A2935" s="80"/>
      <c r="B2935" s="81"/>
      <c r="C2935" s="82"/>
    </row>
    <row r="2936" spans="1:3" x14ac:dyDescent="0.3">
      <c r="A2936" s="80"/>
      <c r="B2936" s="81"/>
      <c r="C2936" s="82"/>
    </row>
    <row r="2937" spans="1:3" x14ac:dyDescent="0.3">
      <c r="A2937" s="80"/>
      <c r="B2937" s="81"/>
      <c r="C2937" s="82"/>
    </row>
    <row r="2938" spans="1:3" x14ac:dyDescent="0.3">
      <c r="A2938" s="80"/>
      <c r="B2938" s="81"/>
      <c r="C2938" s="82"/>
    </row>
    <row r="2939" spans="1:3" x14ac:dyDescent="0.3">
      <c r="A2939" s="80"/>
      <c r="B2939" s="81"/>
      <c r="C2939" s="82"/>
    </row>
    <row r="2940" spans="1:3" x14ac:dyDescent="0.3">
      <c r="A2940" s="80"/>
      <c r="B2940" s="81"/>
      <c r="C2940" s="82"/>
    </row>
    <row r="2941" spans="1:3" x14ac:dyDescent="0.3">
      <c r="A2941" s="80"/>
      <c r="B2941" s="81"/>
      <c r="C2941" s="82"/>
    </row>
    <row r="2942" spans="1:3" x14ac:dyDescent="0.3">
      <c r="A2942" s="80"/>
      <c r="B2942" s="81"/>
      <c r="C2942" s="82"/>
    </row>
    <row r="2943" spans="1:3" x14ac:dyDescent="0.3">
      <c r="A2943" s="80"/>
      <c r="B2943" s="81"/>
      <c r="C2943" s="82"/>
    </row>
    <row r="2944" spans="1:3" x14ac:dyDescent="0.3">
      <c r="A2944" s="80"/>
      <c r="B2944" s="81"/>
      <c r="C2944" s="82"/>
    </row>
    <row r="2945" spans="1:3" x14ac:dyDescent="0.3">
      <c r="A2945" s="80"/>
      <c r="B2945" s="81"/>
      <c r="C2945" s="82"/>
    </row>
    <row r="2946" spans="1:3" x14ac:dyDescent="0.3">
      <c r="A2946" s="80"/>
      <c r="B2946" s="81"/>
      <c r="C2946" s="82"/>
    </row>
    <row r="2947" spans="1:3" x14ac:dyDescent="0.3">
      <c r="A2947" s="80"/>
      <c r="B2947" s="81"/>
      <c r="C2947" s="82"/>
    </row>
    <row r="2948" spans="1:3" x14ac:dyDescent="0.3">
      <c r="A2948" s="80"/>
      <c r="B2948" s="81"/>
      <c r="C2948" s="82"/>
    </row>
    <row r="2949" spans="1:3" x14ac:dyDescent="0.3">
      <c r="A2949" s="80"/>
      <c r="B2949" s="81"/>
      <c r="C2949" s="82"/>
    </row>
    <row r="2950" spans="1:3" x14ac:dyDescent="0.3">
      <c r="A2950" s="80"/>
      <c r="B2950" s="81"/>
      <c r="C2950" s="82"/>
    </row>
    <row r="2951" spans="1:3" x14ac:dyDescent="0.3">
      <c r="A2951" s="80"/>
      <c r="B2951" s="81"/>
      <c r="C2951" s="82"/>
    </row>
    <row r="2952" spans="1:3" x14ac:dyDescent="0.3">
      <c r="A2952" s="80"/>
      <c r="B2952" s="81"/>
      <c r="C2952" s="82"/>
    </row>
    <row r="2953" spans="1:3" x14ac:dyDescent="0.3">
      <c r="A2953" s="80"/>
      <c r="B2953" s="81"/>
      <c r="C2953" s="82"/>
    </row>
    <row r="2954" spans="1:3" x14ac:dyDescent="0.3">
      <c r="A2954" s="80"/>
      <c r="B2954" s="81"/>
      <c r="C2954" s="82"/>
    </row>
    <row r="2955" spans="1:3" x14ac:dyDescent="0.3">
      <c r="A2955" s="80"/>
      <c r="B2955" s="81"/>
      <c r="C2955" s="82"/>
    </row>
    <row r="2956" spans="1:3" x14ac:dyDescent="0.3">
      <c r="A2956" s="80"/>
      <c r="B2956" s="81"/>
      <c r="C2956" s="82"/>
    </row>
    <row r="2957" spans="1:3" x14ac:dyDescent="0.3">
      <c r="A2957" s="80"/>
      <c r="B2957" s="81"/>
      <c r="C2957" s="82"/>
    </row>
    <row r="2958" spans="1:3" x14ac:dyDescent="0.3">
      <c r="A2958" s="80"/>
      <c r="B2958" s="81"/>
      <c r="C2958" s="82"/>
    </row>
    <row r="2959" spans="1:3" x14ac:dyDescent="0.3">
      <c r="A2959" s="80"/>
      <c r="B2959" s="81"/>
      <c r="C2959" s="82"/>
    </row>
    <row r="2960" spans="1:3" x14ac:dyDescent="0.3">
      <c r="A2960" s="80"/>
      <c r="B2960" s="81"/>
      <c r="C2960" s="82"/>
    </row>
    <row r="2961" spans="1:3" x14ac:dyDescent="0.3">
      <c r="A2961" s="80"/>
      <c r="B2961" s="81"/>
      <c r="C2961" s="82"/>
    </row>
    <row r="2962" spans="1:3" x14ac:dyDescent="0.3">
      <c r="A2962" s="80"/>
      <c r="B2962" s="81"/>
      <c r="C2962" s="82"/>
    </row>
    <row r="2963" spans="1:3" x14ac:dyDescent="0.3">
      <c r="A2963" s="80"/>
      <c r="B2963" s="81"/>
      <c r="C2963" s="82"/>
    </row>
    <row r="2964" spans="1:3" x14ac:dyDescent="0.3">
      <c r="A2964" s="80"/>
      <c r="B2964" s="81"/>
      <c r="C2964" s="82"/>
    </row>
    <row r="2965" spans="1:3" x14ac:dyDescent="0.3">
      <c r="A2965" s="80"/>
      <c r="B2965" s="81"/>
      <c r="C2965" s="82"/>
    </row>
    <row r="2966" spans="1:3" x14ac:dyDescent="0.3">
      <c r="A2966" s="80"/>
      <c r="B2966" s="81"/>
      <c r="C2966" s="82"/>
    </row>
    <row r="2967" spans="1:3" x14ac:dyDescent="0.3">
      <c r="A2967" s="80"/>
      <c r="B2967" s="81"/>
      <c r="C2967" s="82"/>
    </row>
    <row r="2968" spans="1:3" x14ac:dyDescent="0.3">
      <c r="A2968" s="80"/>
      <c r="B2968" s="81"/>
      <c r="C2968" s="82"/>
    </row>
    <row r="2969" spans="1:3" x14ac:dyDescent="0.3">
      <c r="A2969" s="80"/>
      <c r="B2969" s="81"/>
      <c r="C2969" s="82"/>
    </row>
    <row r="2970" spans="1:3" x14ac:dyDescent="0.3">
      <c r="A2970" s="80"/>
      <c r="B2970" s="81"/>
      <c r="C2970" s="82"/>
    </row>
    <row r="2971" spans="1:3" x14ac:dyDescent="0.3">
      <c r="A2971" s="80"/>
      <c r="B2971" s="81"/>
      <c r="C2971" s="82"/>
    </row>
    <row r="2972" spans="1:3" x14ac:dyDescent="0.3">
      <c r="A2972" s="80"/>
      <c r="B2972" s="81"/>
      <c r="C2972" s="82"/>
    </row>
    <row r="2973" spans="1:3" x14ac:dyDescent="0.3">
      <c r="A2973" s="80"/>
      <c r="B2973" s="81"/>
      <c r="C2973" s="82"/>
    </row>
    <row r="2974" spans="1:3" x14ac:dyDescent="0.3">
      <c r="A2974" s="80"/>
      <c r="B2974" s="81"/>
      <c r="C2974" s="82"/>
    </row>
    <row r="2975" spans="1:3" x14ac:dyDescent="0.3">
      <c r="A2975" s="80"/>
      <c r="B2975" s="81"/>
      <c r="C2975" s="82"/>
    </row>
    <row r="2976" spans="1:3" x14ac:dyDescent="0.3">
      <c r="A2976" s="80"/>
      <c r="B2976" s="81"/>
      <c r="C2976" s="82"/>
    </row>
    <row r="2977" spans="1:3" x14ac:dyDescent="0.3">
      <c r="A2977" s="80"/>
      <c r="B2977" s="81"/>
      <c r="C2977" s="82"/>
    </row>
    <row r="2978" spans="1:3" x14ac:dyDescent="0.3">
      <c r="A2978" s="80"/>
      <c r="B2978" s="81"/>
      <c r="C2978" s="82"/>
    </row>
    <row r="2979" spans="1:3" x14ac:dyDescent="0.3">
      <c r="A2979" s="80"/>
      <c r="B2979" s="81"/>
      <c r="C2979" s="82"/>
    </row>
    <row r="2980" spans="1:3" x14ac:dyDescent="0.3">
      <c r="A2980" s="80"/>
      <c r="B2980" s="81"/>
      <c r="C2980" s="82"/>
    </row>
    <row r="2981" spans="1:3" x14ac:dyDescent="0.3">
      <c r="A2981" s="80"/>
      <c r="B2981" s="81"/>
      <c r="C2981" s="82"/>
    </row>
    <row r="2982" spans="1:3" x14ac:dyDescent="0.3">
      <c r="A2982" s="80"/>
      <c r="B2982" s="81"/>
      <c r="C2982" s="82"/>
    </row>
    <row r="2983" spans="1:3" x14ac:dyDescent="0.3">
      <c r="A2983" s="80"/>
      <c r="B2983" s="81"/>
      <c r="C2983" s="82"/>
    </row>
    <row r="2984" spans="1:3" x14ac:dyDescent="0.3">
      <c r="A2984" s="80"/>
      <c r="B2984" s="81"/>
      <c r="C2984" s="82"/>
    </row>
    <row r="2985" spans="1:3" x14ac:dyDescent="0.3">
      <c r="A2985" s="80"/>
      <c r="B2985" s="81"/>
      <c r="C2985" s="82"/>
    </row>
    <row r="2986" spans="1:3" x14ac:dyDescent="0.3">
      <c r="A2986" s="80"/>
      <c r="B2986" s="81"/>
      <c r="C2986" s="82"/>
    </row>
    <row r="2987" spans="1:3" x14ac:dyDescent="0.3">
      <c r="A2987" s="80"/>
      <c r="B2987" s="81"/>
      <c r="C2987" s="82"/>
    </row>
    <row r="2988" spans="1:3" x14ac:dyDescent="0.3">
      <c r="A2988" s="80"/>
      <c r="B2988" s="81"/>
      <c r="C2988" s="82"/>
    </row>
    <row r="2989" spans="1:3" x14ac:dyDescent="0.3">
      <c r="A2989" s="80"/>
      <c r="B2989" s="81"/>
      <c r="C2989" s="82"/>
    </row>
    <row r="2990" spans="1:3" x14ac:dyDescent="0.3">
      <c r="A2990" s="80"/>
      <c r="B2990" s="81"/>
      <c r="C2990" s="82"/>
    </row>
    <row r="2991" spans="1:3" x14ac:dyDescent="0.3">
      <c r="A2991" s="80"/>
      <c r="B2991" s="81"/>
      <c r="C2991" s="82"/>
    </row>
    <row r="2992" spans="1:3" x14ac:dyDescent="0.3">
      <c r="A2992" s="80"/>
      <c r="B2992" s="81"/>
      <c r="C2992" s="82"/>
    </row>
    <row r="2993" spans="1:3" x14ac:dyDescent="0.3">
      <c r="A2993" s="80"/>
      <c r="B2993" s="81"/>
      <c r="C2993" s="82"/>
    </row>
    <row r="2994" spans="1:3" x14ac:dyDescent="0.3">
      <c r="A2994" s="80"/>
      <c r="B2994" s="81"/>
      <c r="C2994" s="82"/>
    </row>
    <row r="2995" spans="1:3" x14ac:dyDescent="0.3">
      <c r="A2995" s="80"/>
      <c r="B2995" s="81"/>
      <c r="C2995" s="82"/>
    </row>
    <row r="2996" spans="1:3" x14ac:dyDescent="0.3">
      <c r="A2996" s="80"/>
      <c r="B2996" s="81"/>
      <c r="C2996" s="82"/>
    </row>
    <row r="2997" spans="1:3" x14ac:dyDescent="0.3">
      <c r="A2997" s="80"/>
      <c r="B2997" s="81"/>
      <c r="C2997" s="82"/>
    </row>
    <row r="2998" spans="1:3" x14ac:dyDescent="0.3">
      <c r="A2998" s="80"/>
      <c r="B2998" s="81"/>
      <c r="C2998" s="82"/>
    </row>
    <row r="2999" spans="1:3" x14ac:dyDescent="0.3">
      <c r="A2999" s="80"/>
      <c r="B2999" s="81"/>
      <c r="C2999" s="82"/>
    </row>
    <row r="3000" spans="1:3" x14ac:dyDescent="0.3">
      <c r="A3000" s="80"/>
      <c r="B3000" s="81"/>
      <c r="C3000" s="82"/>
    </row>
    <row r="3001" spans="1:3" x14ac:dyDescent="0.3">
      <c r="A3001" s="80"/>
      <c r="B3001" s="81"/>
      <c r="C3001" s="82"/>
    </row>
    <row r="3002" spans="1:3" x14ac:dyDescent="0.3">
      <c r="A3002" s="80"/>
      <c r="B3002" s="81"/>
      <c r="C3002" s="82"/>
    </row>
    <row r="3003" spans="1:3" x14ac:dyDescent="0.3">
      <c r="A3003" s="80"/>
      <c r="B3003" s="81"/>
      <c r="C3003" s="82"/>
    </row>
    <row r="3004" spans="1:3" x14ac:dyDescent="0.3">
      <c r="A3004" s="80"/>
      <c r="B3004" s="81"/>
      <c r="C3004" s="82"/>
    </row>
    <row r="3005" spans="1:3" x14ac:dyDescent="0.3">
      <c r="A3005" s="80"/>
      <c r="B3005" s="81"/>
      <c r="C3005" s="82"/>
    </row>
    <row r="3006" spans="1:3" x14ac:dyDescent="0.3">
      <c r="A3006" s="80"/>
      <c r="B3006" s="81"/>
      <c r="C3006" s="82"/>
    </row>
    <row r="3007" spans="1:3" x14ac:dyDescent="0.3">
      <c r="A3007" s="80"/>
      <c r="B3007" s="81"/>
      <c r="C3007" s="82"/>
    </row>
    <row r="3008" spans="1:3" x14ac:dyDescent="0.3">
      <c r="A3008" s="80"/>
      <c r="B3008" s="81"/>
      <c r="C3008" s="82"/>
    </row>
    <row r="3009" spans="1:3" x14ac:dyDescent="0.3">
      <c r="A3009" s="80"/>
      <c r="B3009" s="81"/>
      <c r="C3009" s="82"/>
    </row>
    <row r="3010" spans="1:3" x14ac:dyDescent="0.3">
      <c r="A3010" s="80"/>
      <c r="B3010" s="81"/>
      <c r="C3010" s="82"/>
    </row>
    <row r="3011" spans="1:3" x14ac:dyDescent="0.3">
      <c r="A3011" s="80"/>
      <c r="B3011" s="81"/>
      <c r="C3011" s="82"/>
    </row>
    <row r="3012" spans="1:3" x14ac:dyDescent="0.3">
      <c r="A3012" s="80"/>
      <c r="B3012" s="81"/>
      <c r="C3012" s="82"/>
    </row>
    <row r="3013" spans="1:3" x14ac:dyDescent="0.3">
      <c r="A3013" s="80"/>
      <c r="B3013" s="81"/>
      <c r="C3013" s="82"/>
    </row>
    <row r="3014" spans="1:3" x14ac:dyDescent="0.3">
      <c r="A3014" s="80"/>
      <c r="B3014" s="81"/>
      <c r="C3014" s="82"/>
    </row>
    <row r="3015" spans="1:3" x14ac:dyDescent="0.3">
      <c r="A3015" s="80"/>
      <c r="B3015" s="81"/>
      <c r="C3015" s="82"/>
    </row>
    <row r="3016" spans="1:3" x14ac:dyDescent="0.3">
      <c r="A3016" s="80"/>
      <c r="B3016" s="81"/>
      <c r="C3016" s="82"/>
    </row>
    <row r="3017" spans="1:3" x14ac:dyDescent="0.3">
      <c r="A3017" s="80"/>
      <c r="B3017" s="81"/>
      <c r="C3017" s="82"/>
    </row>
    <row r="3018" spans="1:3" x14ac:dyDescent="0.3">
      <c r="A3018" s="80"/>
      <c r="B3018" s="81"/>
      <c r="C3018" s="82"/>
    </row>
    <row r="3019" spans="1:3" x14ac:dyDescent="0.3">
      <c r="A3019" s="80"/>
      <c r="B3019" s="81"/>
      <c r="C3019" s="82"/>
    </row>
    <row r="3020" spans="1:3" x14ac:dyDescent="0.3">
      <c r="A3020" s="80"/>
      <c r="B3020" s="81"/>
      <c r="C3020" s="82"/>
    </row>
    <row r="3021" spans="1:3" x14ac:dyDescent="0.3">
      <c r="A3021" s="80"/>
      <c r="B3021" s="81"/>
      <c r="C3021" s="82"/>
    </row>
    <row r="3022" spans="1:3" x14ac:dyDescent="0.3">
      <c r="A3022" s="80"/>
      <c r="B3022" s="81"/>
      <c r="C3022" s="82"/>
    </row>
    <row r="3023" spans="1:3" x14ac:dyDescent="0.3">
      <c r="A3023" s="80"/>
      <c r="B3023" s="81"/>
      <c r="C3023" s="82"/>
    </row>
    <row r="3024" spans="1:3" x14ac:dyDescent="0.3">
      <c r="A3024" s="80"/>
      <c r="B3024" s="81"/>
      <c r="C3024" s="82"/>
    </row>
    <row r="3025" spans="1:3" x14ac:dyDescent="0.3">
      <c r="A3025" s="80"/>
      <c r="B3025" s="81"/>
      <c r="C3025" s="82"/>
    </row>
    <row r="3026" spans="1:3" x14ac:dyDescent="0.3">
      <c r="A3026" s="80"/>
      <c r="B3026" s="81"/>
      <c r="C3026" s="82"/>
    </row>
    <row r="3027" spans="1:3" x14ac:dyDescent="0.3">
      <c r="A3027" s="80"/>
      <c r="B3027" s="81"/>
      <c r="C3027" s="82"/>
    </row>
    <row r="3028" spans="1:3" x14ac:dyDescent="0.3">
      <c r="A3028" s="80"/>
      <c r="B3028" s="81"/>
      <c r="C3028" s="82"/>
    </row>
    <row r="3029" spans="1:3" x14ac:dyDescent="0.3">
      <c r="A3029" s="80"/>
      <c r="B3029" s="81"/>
      <c r="C3029" s="82"/>
    </row>
    <row r="3030" spans="1:3" x14ac:dyDescent="0.3">
      <c r="A3030" s="80"/>
      <c r="B3030" s="81"/>
      <c r="C3030" s="82"/>
    </row>
    <row r="3031" spans="1:3" x14ac:dyDescent="0.3">
      <c r="A3031" s="80"/>
      <c r="B3031" s="81"/>
      <c r="C3031" s="82"/>
    </row>
    <row r="3032" spans="1:3" x14ac:dyDescent="0.3">
      <c r="A3032" s="80"/>
      <c r="B3032" s="81"/>
      <c r="C3032" s="82"/>
    </row>
    <row r="3033" spans="1:3" x14ac:dyDescent="0.3">
      <c r="A3033" s="80"/>
      <c r="B3033" s="81"/>
      <c r="C3033" s="82"/>
    </row>
    <row r="3034" spans="1:3" x14ac:dyDescent="0.3">
      <c r="A3034" s="80"/>
      <c r="B3034" s="81"/>
      <c r="C3034" s="82"/>
    </row>
    <row r="3035" spans="1:3" x14ac:dyDescent="0.3">
      <c r="A3035" s="80"/>
      <c r="B3035" s="81"/>
      <c r="C3035" s="82"/>
    </row>
    <row r="3036" spans="1:3" x14ac:dyDescent="0.3">
      <c r="A3036" s="80"/>
      <c r="B3036" s="81"/>
      <c r="C3036" s="82"/>
    </row>
    <row r="3037" spans="1:3" x14ac:dyDescent="0.3">
      <c r="A3037" s="80"/>
      <c r="B3037" s="81"/>
      <c r="C3037" s="82"/>
    </row>
    <row r="3038" spans="1:3" x14ac:dyDescent="0.3">
      <c r="A3038" s="80"/>
      <c r="B3038" s="81"/>
      <c r="C3038" s="82"/>
    </row>
    <row r="3039" spans="1:3" x14ac:dyDescent="0.3">
      <c r="A3039" s="80"/>
      <c r="B3039" s="81"/>
      <c r="C3039" s="82"/>
    </row>
    <row r="3040" spans="1:3" x14ac:dyDescent="0.3">
      <c r="A3040" s="80"/>
      <c r="B3040" s="81"/>
      <c r="C3040" s="82"/>
    </row>
    <row r="3041" spans="1:3" x14ac:dyDescent="0.3">
      <c r="A3041" s="80"/>
      <c r="B3041" s="81"/>
      <c r="C3041" s="82"/>
    </row>
    <row r="3042" spans="1:3" x14ac:dyDescent="0.3">
      <c r="A3042" s="80"/>
      <c r="B3042" s="81"/>
      <c r="C3042" s="82"/>
    </row>
    <row r="3043" spans="1:3" x14ac:dyDescent="0.3">
      <c r="A3043" s="80"/>
      <c r="B3043" s="81"/>
      <c r="C3043" s="82"/>
    </row>
    <row r="3044" spans="1:3" x14ac:dyDescent="0.3">
      <c r="A3044" s="80"/>
      <c r="B3044" s="81"/>
      <c r="C3044" s="82"/>
    </row>
    <row r="3045" spans="1:3" x14ac:dyDescent="0.3">
      <c r="A3045" s="80"/>
      <c r="B3045" s="81"/>
      <c r="C3045" s="82"/>
    </row>
    <row r="3046" spans="1:3" x14ac:dyDescent="0.3">
      <c r="A3046" s="80"/>
      <c r="B3046" s="81"/>
      <c r="C3046" s="82"/>
    </row>
    <row r="3047" spans="1:3" x14ac:dyDescent="0.3">
      <c r="A3047" s="80"/>
      <c r="B3047" s="81"/>
      <c r="C3047" s="82"/>
    </row>
    <row r="3048" spans="1:3" x14ac:dyDescent="0.3">
      <c r="A3048" s="80"/>
      <c r="B3048" s="81"/>
      <c r="C3048" s="82"/>
    </row>
    <row r="3049" spans="1:3" x14ac:dyDescent="0.3">
      <c r="A3049" s="80"/>
      <c r="B3049" s="81"/>
      <c r="C3049" s="82"/>
    </row>
    <row r="3050" spans="1:3" x14ac:dyDescent="0.3">
      <c r="A3050" s="80"/>
      <c r="B3050" s="81"/>
      <c r="C3050" s="82"/>
    </row>
    <row r="3051" spans="1:3" x14ac:dyDescent="0.3">
      <c r="A3051" s="80"/>
      <c r="B3051" s="81"/>
      <c r="C3051" s="82"/>
    </row>
    <row r="3052" spans="1:3" x14ac:dyDescent="0.3">
      <c r="A3052" s="80"/>
      <c r="B3052" s="81"/>
      <c r="C3052" s="82"/>
    </row>
    <row r="3053" spans="1:3" x14ac:dyDescent="0.3">
      <c r="A3053" s="80"/>
      <c r="B3053" s="81"/>
      <c r="C3053" s="82"/>
    </row>
    <row r="3054" spans="1:3" x14ac:dyDescent="0.3">
      <c r="A3054" s="80"/>
      <c r="B3054" s="81"/>
      <c r="C3054" s="82"/>
    </row>
    <row r="3055" spans="1:3" x14ac:dyDescent="0.3">
      <c r="A3055" s="80"/>
      <c r="B3055" s="81"/>
      <c r="C3055" s="82"/>
    </row>
    <row r="3056" spans="1:3" x14ac:dyDescent="0.3">
      <c r="A3056" s="80"/>
      <c r="B3056" s="81"/>
      <c r="C3056" s="82"/>
    </row>
    <row r="3057" spans="1:3" x14ac:dyDescent="0.3">
      <c r="A3057" s="80"/>
      <c r="B3057" s="81"/>
      <c r="C3057" s="82"/>
    </row>
    <row r="3058" spans="1:3" x14ac:dyDescent="0.3">
      <c r="A3058" s="80"/>
      <c r="B3058" s="81"/>
      <c r="C3058" s="82"/>
    </row>
    <row r="3059" spans="1:3" x14ac:dyDescent="0.3">
      <c r="A3059" s="80"/>
      <c r="B3059" s="81"/>
      <c r="C3059" s="82"/>
    </row>
    <row r="3060" spans="1:3" x14ac:dyDescent="0.3">
      <c r="A3060" s="80"/>
      <c r="B3060" s="81"/>
      <c r="C3060" s="82"/>
    </row>
    <row r="3061" spans="1:3" x14ac:dyDescent="0.3">
      <c r="A3061" s="80"/>
      <c r="B3061" s="81"/>
      <c r="C3061" s="82"/>
    </row>
    <row r="3062" spans="1:3" x14ac:dyDescent="0.3">
      <c r="A3062" s="80"/>
      <c r="B3062" s="81"/>
      <c r="C3062" s="82"/>
    </row>
    <row r="3063" spans="1:3" x14ac:dyDescent="0.3">
      <c r="A3063" s="80"/>
      <c r="B3063" s="81"/>
      <c r="C3063" s="82"/>
    </row>
    <row r="3064" spans="1:3" x14ac:dyDescent="0.3">
      <c r="A3064" s="80"/>
      <c r="B3064" s="81"/>
      <c r="C3064" s="82"/>
    </row>
    <row r="3065" spans="1:3" x14ac:dyDescent="0.3">
      <c r="A3065" s="80"/>
      <c r="B3065" s="81"/>
      <c r="C3065" s="82"/>
    </row>
    <row r="3066" spans="1:3" x14ac:dyDescent="0.3">
      <c r="A3066" s="80"/>
      <c r="B3066" s="81"/>
      <c r="C3066" s="82"/>
    </row>
    <row r="3067" spans="1:3" x14ac:dyDescent="0.3">
      <c r="A3067" s="80"/>
      <c r="B3067" s="81"/>
      <c r="C3067" s="82"/>
    </row>
    <row r="3068" spans="1:3" x14ac:dyDescent="0.3">
      <c r="A3068" s="80"/>
      <c r="B3068" s="81"/>
      <c r="C3068" s="82"/>
    </row>
    <row r="3069" spans="1:3" x14ac:dyDescent="0.3">
      <c r="A3069" s="80"/>
      <c r="B3069" s="81"/>
      <c r="C3069" s="82"/>
    </row>
    <row r="3070" spans="1:3" x14ac:dyDescent="0.3">
      <c r="A3070" s="80"/>
      <c r="B3070" s="81"/>
      <c r="C3070" s="82"/>
    </row>
    <row r="3071" spans="1:3" x14ac:dyDescent="0.3">
      <c r="A3071" s="80"/>
      <c r="B3071" s="81"/>
      <c r="C3071" s="82"/>
    </row>
    <row r="3072" spans="1:3" x14ac:dyDescent="0.3">
      <c r="A3072" s="80"/>
      <c r="B3072" s="81"/>
      <c r="C3072" s="82"/>
    </row>
    <row r="3073" spans="1:3" x14ac:dyDescent="0.3">
      <c r="A3073" s="80"/>
      <c r="B3073" s="81"/>
      <c r="C3073" s="82"/>
    </row>
    <row r="3074" spans="1:3" x14ac:dyDescent="0.3">
      <c r="A3074" s="80"/>
      <c r="B3074" s="81"/>
      <c r="C3074" s="82"/>
    </row>
    <row r="3075" spans="1:3" x14ac:dyDescent="0.3">
      <c r="A3075" s="80"/>
      <c r="B3075" s="81"/>
      <c r="C3075" s="82"/>
    </row>
    <row r="3076" spans="1:3" x14ac:dyDescent="0.3">
      <c r="A3076" s="80"/>
      <c r="B3076" s="81"/>
      <c r="C3076" s="82"/>
    </row>
    <row r="3077" spans="1:3" x14ac:dyDescent="0.3">
      <c r="A3077" s="80"/>
      <c r="B3077" s="81"/>
      <c r="C3077" s="82"/>
    </row>
    <row r="3078" spans="1:3" x14ac:dyDescent="0.3">
      <c r="A3078" s="80"/>
      <c r="B3078" s="81"/>
      <c r="C3078" s="82"/>
    </row>
    <row r="3079" spans="1:3" x14ac:dyDescent="0.3">
      <c r="A3079" s="80"/>
      <c r="B3079" s="81"/>
      <c r="C3079" s="82"/>
    </row>
    <row r="3080" spans="1:3" x14ac:dyDescent="0.3">
      <c r="A3080" s="80"/>
      <c r="B3080" s="81"/>
      <c r="C3080" s="82"/>
    </row>
    <row r="3081" spans="1:3" x14ac:dyDescent="0.3">
      <c r="A3081" s="80"/>
      <c r="B3081" s="81"/>
      <c r="C3081" s="82"/>
    </row>
    <row r="3082" spans="1:3" x14ac:dyDescent="0.3">
      <c r="A3082" s="80"/>
      <c r="B3082" s="81"/>
      <c r="C3082" s="82"/>
    </row>
    <row r="3083" spans="1:3" x14ac:dyDescent="0.3">
      <c r="A3083" s="80"/>
      <c r="B3083" s="81"/>
      <c r="C3083" s="82"/>
    </row>
    <row r="3084" spans="1:3" x14ac:dyDescent="0.3">
      <c r="A3084" s="80"/>
      <c r="B3084" s="81"/>
      <c r="C3084" s="82"/>
    </row>
    <row r="3085" spans="1:3" x14ac:dyDescent="0.3">
      <c r="A3085" s="80"/>
      <c r="B3085" s="81"/>
      <c r="C3085" s="82"/>
    </row>
    <row r="3086" spans="1:3" x14ac:dyDescent="0.3">
      <c r="A3086" s="80"/>
      <c r="B3086" s="81"/>
      <c r="C3086" s="82"/>
    </row>
    <row r="3087" spans="1:3" x14ac:dyDescent="0.3">
      <c r="A3087" s="80"/>
      <c r="B3087" s="81"/>
      <c r="C3087" s="82"/>
    </row>
    <row r="3088" spans="1:3" x14ac:dyDescent="0.3">
      <c r="A3088" s="80"/>
      <c r="B3088" s="81"/>
      <c r="C3088" s="82"/>
    </row>
    <row r="3089" spans="1:3" x14ac:dyDescent="0.3">
      <c r="A3089" s="80"/>
      <c r="B3089" s="81"/>
      <c r="C3089" s="82"/>
    </row>
    <row r="3090" spans="1:3" x14ac:dyDescent="0.3">
      <c r="A3090" s="80"/>
      <c r="B3090" s="81"/>
      <c r="C3090" s="82"/>
    </row>
    <row r="3091" spans="1:3" x14ac:dyDescent="0.3">
      <c r="A3091" s="80"/>
      <c r="B3091" s="81"/>
      <c r="C3091" s="82"/>
    </row>
    <row r="3092" spans="1:3" x14ac:dyDescent="0.3">
      <c r="A3092" s="80"/>
      <c r="B3092" s="81"/>
      <c r="C3092" s="82"/>
    </row>
    <row r="3093" spans="1:3" x14ac:dyDescent="0.3">
      <c r="A3093" s="80"/>
      <c r="B3093" s="81"/>
      <c r="C3093" s="82"/>
    </row>
    <row r="3094" spans="1:3" x14ac:dyDescent="0.3">
      <c r="A3094" s="80"/>
      <c r="B3094" s="81"/>
      <c r="C3094" s="82"/>
    </row>
    <row r="3095" spans="1:3" x14ac:dyDescent="0.3">
      <c r="A3095" s="80"/>
      <c r="B3095" s="81"/>
      <c r="C3095" s="82"/>
    </row>
    <row r="3096" spans="1:3" x14ac:dyDescent="0.3">
      <c r="A3096" s="80"/>
      <c r="B3096" s="81"/>
      <c r="C3096" s="82"/>
    </row>
    <row r="3097" spans="1:3" x14ac:dyDescent="0.3">
      <c r="A3097" s="80"/>
      <c r="B3097" s="81"/>
      <c r="C3097" s="82"/>
    </row>
    <row r="3098" spans="1:3" x14ac:dyDescent="0.3">
      <c r="A3098" s="80"/>
      <c r="B3098" s="81"/>
      <c r="C3098" s="82"/>
    </row>
    <row r="3099" spans="1:3" x14ac:dyDescent="0.3">
      <c r="A3099" s="80"/>
      <c r="B3099" s="81"/>
      <c r="C3099" s="82"/>
    </row>
    <row r="3100" spans="1:3" x14ac:dyDescent="0.3">
      <c r="A3100" s="80"/>
      <c r="B3100" s="81"/>
      <c r="C3100" s="82"/>
    </row>
    <row r="3101" spans="1:3" x14ac:dyDescent="0.3">
      <c r="A3101" s="80"/>
      <c r="B3101" s="81"/>
      <c r="C3101" s="82"/>
    </row>
    <row r="3102" spans="1:3" x14ac:dyDescent="0.3">
      <c r="A3102" s="80"/>
      <c r="B3102" s="81"/>
      <c r="C3102" s="82"/>
    </row>
    <row r="3103" spans="1:3" x14ac:dyDescent="0.3">
      <c r="A3103" s="80"/>
      <c r="B3103" s="81"/>
      <c r="C3103" s="82"/>
    </row>
    <row r="3104" spans="1:3" x14ac:dyDescent="0.3">
      <c r="A3104" s="80"/>
      <c r="B3104" s="81"/>
      <c r="C3104" s="82"/>
    </row>
    <row r="3105" spans="1:3" x14ac:dyDescent="0.3">
      <c r="A3105" s="80"/>
      <c r="B3105" s="81"/>
      <c r="C3105" s="82"/>
    </row>
    <row r="3106" spans="1:3" x14ac:dyDescent="0.3">
      <c r="A3106" s="80"/>
      <c r="B3106" s="81"/>
      <c r="C3106" s="82"/>
    </row>
    <row r="3107" spans="1:3" x14ac:dyDescent="0.3">
      <c r="A3107" s="80"/>
      <c r="B3107" s="81"/>
      <c r="C3107" s="82"/>
    </row>
    <row r="3108" spans="1:3" x14ac:dyDescent="0.3">
      <c r="A3108" s="80"/>
      <c r="B3108" s="81"/>
      <c r="C3108" s="82"/>
    </row>
    <row r="3109" spans="1:3" x14ac:dyDescent="0.3">
      <c r="A3109" s="80"/>
      <c r="B3109" s="81"/>
      <c r="C3109" s="82"/>
    </row>
    <row r="3110" spans="1:3" x14ac:dyDescent="0.3">
      <c r="A3110" s="80"/>
      <c r="B3110" s="81"/>
      <c r="C3110" s="82"/>
    </row>
    <row r="3111" spans="1:3" x14ac:dyDescent="0.3">
      <c r="A3111" s="80"/>
      <c r="B3111" s="81"/>
      <c r="C3111" s="82"/>
    </row>
    <row r="3112" spans="1:3" x14ac:dyDescent="0.3">
      <c r="A3112" s="80"/>
      <c r="B3112" s="81"/>
      <c r="C3112" s="82"/>
    </row>
    <row r="3113" spans="1:3" x14ac:dyDescent="0.3">
      <c r="A3113" s="80"/>
      <c r="B3113" s="81"/>
      <c r="C3113" s="82"/>
    </row>
    <row r="3114" spans="1:3" x14ac:dyDescent="0.3">
      <c r="A3114" s="80"/>
      <c r="B3114" s="81"/>
      <c r="C3114" s="82"/>
    </row>
    <row r="3115" spans="1:3" x14ac:dyDescent="0.3">
      <c r="A3115" s="80"/>
      <c r="B3115" s="81"/>
      <c r="C3115" s="82"/>
    </row>
    <row r="3116" spans="1:3" x14ac:dyDescent="0.3">
      <c r="A3116" s="80"/>
      <c r="B3116" s="81"/>
      <c r="C3116" s="82"/>
    </row>
    <row r="3117" spans="1:3" x14ac:dyDescent="0.3">
      <c r="A3117" s="80"/>
      <c r="B3117" s="81"/>
      <c r="C3117" s="82"/>
    </row>
    <row r="3118" spans="1:3" x14ac:dyDescent="0.3">
      <c r="A3118" s="80"/>
      <c r="B3118" s="81"/>
      <c r="C3118" s="82"/>
    </row>
    <row r="3119" spans="1:3" x14ac:dyDescent="0.3">
      <c r="A3119" s="80"/>
      <c r="B3119" s="81"/>
      <c r="C3119" s="82"/>
    </row>
    <row r="3120" spans="1:3" x14ac:dyDescent="0.3">
      <c r="A3120" s="80"/>
      <c r="B3120" s="81"/>
      <c r="C3120" s="82"/>
    </row>
    <row r="3121" spans="1:3" x14ac:dyDescent="0.3">
      <c r="A3121" s="80"/>
      <c r="B3121" s="81"/>
      <c r="C3121" s="82"/>
    </row>
    <row r="3122" spans="1:3" x14ac:dyDescent="0.3">
      <c r="A3122" s="80"/>
      <c r="B3122" s="81"/>
      <c r="C3122" s="82"/>
    </row>
    <row r="3123" spans="1:3" x14ac:dyDescent="0.3">
      <c r="A3123" s="80"/>
      <c r="B3123" s="81"/>
      <c r="C3123" s="82"/>
    </row>
    <row r="3124" spans="1:3" x14ac:dyDescent="0.3">
      <c r="A3124" s="80"/>
      <c r="B3124" s="81"/>
      <c r="C3124" s="82"/>
    </row>
    <row r="3125" spans="1:3" x14ac:dyDescent="0.3">
      <c r="A3125" s="80"/>
      <c r="B3125" s="81"/>
      <c r="C3125" s="82"/>
    </row>
    <row r="3126" spans="1:3" x14ac:dyDescent="0.3">
      <c r="A3126" s="80"/>
      <c r="B3126" s="81"/>
      <c r="C3126" s="82"/>
    </row>
    <row r="3127" spans="1:3" x14ac:dyDescent="0.3">
      <c r="A3127" s="80"/>
      <c r="B3127" s="81"/>
      <c r="C3127" s="82"/>
    </row>
    <row r="3128" spans="1:3" x14ac:dyDescent="0.3">
      <c r="A3128" s="80"/>
      <c r="B3128" s="81"/>
      <c r="C3128" s="82"/>
    </row>
    <row r="3129" spans="1:3" x14ac:dyDescent="0.3">
      <c r="A3129" s="80"/>
      <c r="B3129" s="81"/>
      <c r="C3129" s="82"/>
    </row>
    <row r="3130" spans="1:3" x14ac:dyDescent="0.3">
      <c r="A3130" s="80"/>
      <c r="B3130" s="81"/>
      <c r="C3130" s="82"/>
    </row>
    <row r="3131" spans="1:3" x14ac:dyDescent="0.3">
      <c r="A3131" s="80"/>
      <c r="B3131" s="81"/>
      <c r="C3131" s="82"/>
    </row>
    <row r="3132" spans="1:3" x14ac:dyDescent="0.3">
      <c r="A3132" s="80"/>
      <c r="B3132" s="81"/>
      <c r="C3132" s="82"/>
    </row>
    <row r="3133" spans="1:3" x14ac:dyDescent="0.3">
      <c r="A3133" s="80"/>
      <c r="B3133" s="81"/>
      <c r="C3133" s="82"/>
    </row>
    <row r="3134" spans="1:3" x14ac:dyDescent="0.3">
      <c r="A3134" s="80"/>
      <c r="B3134" s="81"/>
      <c r="C3134" s="82"/>
    </row>
    <row r="3135" spans="1:3" x14ac:dyDescent="0.3">
      <c r="A3135" s="80"/>
      <c r="B3135" s="81"/>
      <c r="C3135" s="82"/>
    </row>
    <row r="3136" spans="1:3" x14ac:dyDescent="0.3">
      <c r="A3136" s="80"/>
      <c r="B3136" s="81"/>
      <c r="C3136" s="82"/>
    </row>
    <row r="3137" spans="1:3" x14ac:dyDescent="0.3">
      <c r="A3137" s="80"/>
      <c r="B3137" s="81"/>
      <c r="C3137" s="82"/>
    </row>
    <row r="3138" spans="1:3" x14ac:dyDescent="0.3">
      <c r="A3138" s="80"/>
      <c r="B3138" s="81"/>
      <c r="C3138" s="82"/>
    </row>
    <row r="3139" spans="1:3" x14ac:dyDescent="0.3">
      <c r="A3139" s="80"/>
      <c r="B3139" s="81"/>
      <c r="C3139" s="82"/>
    </row>
    <row r="3140" spans="1:3" x14ac:dyDescent="0.3">
      <c r="A3140" s="80"/>
      <c r="B3140" s="81"/>
      <c r="C3140" s="82"/>
    </row>
    <row r="3141" spans="1:3" x14ac:dyDescent="0.3">
      <c r="A3141" s="80"/>
      <c r="B3141" s="81"/>
      <c r="C3141" s="82"/>
    </row>
    <row r="3142" spans="1:3" x14ac:dyDescent="0.3">
      <c r="A3142" s="80"/>
      <c r="B3142" s="81"/>
      <c r="C3142" s="82"/>
    </row>
    <row r="3143" spans="1:3" x14ac:dyDescent="0.3">
      <c r="A3143" s="80"/>
      <c r="B3143" s="81"/>
      <c r="C3143" s="82"/>
    </row>
    <row r="3144" spans="1:3" x14ac:dyDescent="0.3">
      <c r="A3144" s="80"/>
      <c r="B3144" s="81"/>
      <c r="C3144" s="82"/>
    </row>
    <row r="3145" spans="1:3" x14ac:dyDescent="0.3">
      <c r="A3145" s="80"/>
      <c r="B3145" s="81"/>
      <c r="C3145" s="82"/>
    </row>
    <row r="3146" spans="1:3" x14ac:dyDescent="0.3">
      <c r="A3146" s="80"/>
      <c r="B3146" s="81"/>
      <c r="C3146" s="82"/>
    </row>
    <row r="3147" spans="1:3" x14ac:dyDescent="0.3">
      <c r="A3147" s="80"/>
      <c r="B3147" s="81"/>
      <c r="C3147" s="82"/>
    </row>
    <row r="3148" spans="1:3" x14ac:dyDescent="0.3">
      <c r="A3148" s="80"/>
      <c r="B3148" s="81"/>
      <c r="C3148" s="82"/>
    </row>
    <row r="3149" spans="1:3" x14ac:dyDescent="0.3">
      <c r="A3149" s="80"/>
      <c r="B3149" s="81"/>
      <c r="C3149" s="82"/>
    </row>
    <row r="3150" spans="1:3" x14ac:dyDescent="0.3">
      <c r="A3150" s="80"/>
      <c r="B3150" s="81"/>
      <c r="C3150" s="82"/>
    </row>
    <row r="3151" spans="1:3" x14ac:dyDescent="0.3">
      <c r="A3151" s="80"/>
      <c r="B3151" s="81"/>
      <c r="C3151" s="82"/>
    </row>
    <row r="3152" spans="1:3" x14ac:dyDescent="0.3">
      <c r="A3152" s="80"/>
      <c r="B3152" s="81"/>
      <c r="C3152" s="82"/>
    </row>
    <row r="3153" spans="1:3" x14ac:dyDescent="0.3">
      <c r="A3153" s="80"/>
      <c r="B3153" s="81"/>
      <c r="C3153" s="82"/>
    </row>
    <row r="3154" spans="1:3" x14ac:dyDescent="0.3">
      <c r="A3154" s="80"/>
      <c r="B3154" s="81"/>
      <c r="C3154" s="82"/>
    </row>
    <row r="3155" spans="1:3" x14ac:dyDescent="0.3">
      <c r="A3155" s="80"/>
      <c r="B3155" s="81"/>
      <c r="C3155" s="82"/>
    </row>
    <row r="3156" spans="1:3" x14ac:dyDescent="0.3">
      <c r="A3156" s="80"/>
      <c r="B3156" s="81"/>
      <c r="C3156" s="82"/>
    </row>
    <row r="3157" spans="1:3" x14ac:dyDescent="0.3">
      <c r="A3157" s="80"/>
      <c r="B3157" s="81"/>
      <c r="C3157" s="82"/>
    </row>
    <row r="3158" spans="1:3" x14ac:dyDescent="0.3">
      <c r="A3158" s="80"/>
      <c r="B3158" s="81"/>
      <c r="C3158" s="82"/>
    </row>
    <row r="3159" spans="1:3" x14ac:dyDescent="0.3">
      <c r="A3159" s="80"/>
      <c r="B3159" s="81"/>
      <c r="C3159" s="82"/>
    </row>
    <row r="3160" spans="1:3" x14ac:dyDescent="0.3">
      <c r="A3160" s="80"/>
      <c r="B3160" s="81"/>
      <c r="C3160" s="82"/>
    </row>
    <row r="3161" spans="1:3" x14ac:dyDescent="0.3">
      <c r="A3161" s="80"/>
      <c r="B3161" s="81"/>
      <c r="C3161" s="82"/>
    </row>
    <row r="3162" spans="1:3" x14ac:dyDescent="0.3">
      <c r="A3162" s="80"/>
      <c r="B3162" s="81"/>
      <c r="C3162" s="82"/>
    </row>
    <row r="3163" spans="1:3" x14ac:dyDescent="0.3">
      <c r="A3163" s="80"/>
      <c r="B3163" s="81"/>
      <c r="C3163" s="82"/>
    </row>
    <row r="3164" spans="1:3" x14ac:dyDescent="0.3">
      <c r="A3164" s="80"/>
      <c r="B3164" s="81"/>
      <c r="C3164" s="82"/>
    </row>
    <row r="3165" spans="1:3" x14ac:dyDescent="0.3">
      <c r="A3165" s="80"/>
      <c r="B3165" s="81"/>
      <c r="C3165" s="82"/>
    </row>
    <row r="3166" spans="1:3" x14ac:dyDescent="0.3">
      <c r="A3166" s="80"/>
      <c r="B3166" s="81"/>
      <c r="C3166" s="82"/>
    </row>
    <row r="3167" spans="1:3" x14ac:dyDescent="0.3">
      <c r="A3167" s="80"/>
      <c r="B3167" s="81"/>
      <c r="C3167" s="82"/>
    </row>
    <row r="3168" spans="1:3" x14ac:dyDescent="0.3">
      <c r="A3168" s="80"/>
      <c r="B3168" s="81"/>
      <c r="C3168" s="82"/>
    </row>
    <row r="3169" spans="1:3" x14ac:dyDescent="0.3">
      <c r="A3169" s="80"/>
      <c r="B3169" s="81"/>
      <c r="C3169" s="82"/>
    </row>
    <row r="3170" spans="1:3" x14ac:dyDescent="0.3">
      <c r="A3170" s="80"/>
      <c r="B3170" s="81"/>
      <c r="C3170" s="82"/>
    </row>
    <row r="3171" spans="1:3" x14ac:dyDescent="0.3">
      <c r="A3171" s="80"/>
      <c r="B3171" s="81"/>
      <c r="C3171" s="82"/>
    </row>
    <row r="3172" spans="1:3" x14ac:dyDescent="0.3">
      <c r="A3172" s="80"/>
      <c r="B3172" s="81"/>
      <c r="C3172" s="82"/>
    </row>
    <row r="3173" spans="1:3" x14ac:dyDescent="0.3">
      <c r="A3173" s="80"/>
      <c r="B3173" s="81"/>
      <c r="C3173" s="82"/>
    </row>
    <row r="3174" spans="1:3" x14ac:dyDescent="0.3">
      <c r="A3174" s="80"/>
      <c r="B3174" s="81"/>
      <c r="C3174" s="82"/>
    </row>
    <row r="3175" spans="1:3" x14ac:dyDescent="0.3">
      <c r="A3175" s="80"/>
      <c r="B3175" s="81"/>
      <c r="C3175" s="82"/>
    </row>
    <row r="3176" spans="1:3" x14ac:dyDescent="0.3">
      <c r="A3176" s="80"/>
      <c r="B3176" s="81"/>
      <c r="C3176" s="82"/>
    </row>
    <row r="3177" spans="1:3" x14ac:dyDescent="0.3">
      <c r="A3177" s="80"/>
      <c r="B3177" s="81"/>
      <c r="C3177" s="82"/>
    </row>
    <row r="3178" spans="1:3" x14ac:dyDescent="0.3">
      <c r="A3178" s="80"/>
      <c r="B3178" s="81"/>
      <c r="C3178" s="82"/>
    </row>
    <row r="3179" spans="1:3" x14ac:dyDescent="0.3">
      <c r="A3179" s="80"/>
      <c r="B3179" s="81"/>
      <c r="C3179" s="82"/>
    </row>
    <row r="3180" spans="1:3" x14ac:dyDescent="0.3">
      <c r="A3180" s="80"/>
      <c r="B3180" s="81"/>
      <c r="C3180" s="82"/>
    </row>
    <row r="3181" spans="1:3" x14ac:dyDescent="0.3">
      <c r="A3181" s="80"/>
      <c r="B3181" s="81"/>
      <c r="C3181" s="82"/>
    </row>
    <row r="3182" spans="1:3" x14ac:dyDescent="0.3">
      <c r="A3182" s="80"/>
      <c r="B3182" s="81"/>
      <c r="C3182" s="82"/>
    </row>
    <row r="3183" spans="1:3" x14ac:dyDescent="0.3">
      <c r="A3183" s="80"/>
      <c r="B3183" s="81"/>
      <c r="C3183" s="82"/>
    </row>
    <row r="3184" spans="1:3" x14ac:dyDescent="0.3">
      <c r="A3184" s="80"/>
      <c r="B3184" s="81"/>
      <c r="C3184" s="82"/>
    </row>
    <row r="3185" spans="1:3" x14ac:dyDescent="0.3">
      <c r="A3185" s="80"/>
      <c r="B3185" s="81"/>
      <c r="C3185" s="82"/>
    </row>
    <row r="3186" spans="1:3" x14ac:dyDescent="0.3">
      <c r="A3186" s="80"/>
      <c r="B3186" s="81"/>
      <c r="C3186" s="82"/>
    </row>
    <row r="3187" spans="1:3" x14ac:dyDescent="0.3">
      <c r="A3187" s="80"/>
      <c r="B3187" s="81"/>
      <c r="C3187" s="82"/>
    </row>
    <row r="3188" spans="1:3" x14ac:dyDescent="0.3">
      <c r="A3188" s="80"/>
      <c r="B3188" s="81"/>
      <c r="C3188" s="82"/>
    </row>
    <row r="3189" spans="1:3" x14ac:dyDescent="0.3">
      <c r="A3189" s="80"/>
      <c r="B3189" s="81"/>
      <c r="C3189" s="82"/>
    </row>
    <row r="3190" spans="1:3" x14ac:dyDescent="0.3">
      <c r="A3190" s="80"/>
      <c r="B3190" s="81"/>
      <c r="C3190" s="82"/>
    </row>
    <row r="3191" spans="1:3" x14ac:dyDescent="0.3">
      <c r="A3191" s="80"/>
      <c r="B3191" s="81"/>
      <c r="C3191" s="82"/>
    </row>
    <row r="3192" spans="1:3" x14ac:dyDescent="0.3">
      <c r="A3192" s="80"/>
      <c r="B3192" s="81"/>
      <c r="C3192" s="82"/>
    </row>
    <row r="3193" spans="1:3" x14ac:dyDescent="0.3">
      <c r="A3193" s="80"/>
      <c r="B3193" s="81"/>
      <c r="C3193" s="82"/>
    </row>
    <row r="3194" spans="1:3" x14ac:dyDescent="0.3">
      <c r="A3194" s="80"/>
      <c r="B3194" s="81"/>
      <c r="C3194" s="82"/>
    </row>
    <row r="3195" spans="1:3" x14ac:dyDescent="0.3">
      <c r="A3195" s="80"/>
      <c r="B3195" s="81"/>
      <c r="C3195" s="82"/>
    </row>
    <row r="3196" spans="1:3" x14ac:dyDescent="0.3">
      <c r="A3196" s="80"/>
      <c r="B3196" s="81"/>
      <c r="C3196" s="82"/>
    </row>
    <row r="3197" spans="1:3" x14ac:dyDescent="0.3">
      <c r="A3197" s="80"/>
      <c r="B3197" s="81"/>
      <c r="C3197" s="82"/>
    </row>
    <row r="3198" spans="1:3" x14ac:dyDescent="0.3">
      <c r="A3198" s="80"/>
      <c r="B3198" s="81"/>
      <c r="C3198" s="82"/>
    </row>
    <row r="3199" spans="1:3" x14ac:dyDescent="0.3">
      <c r="A3199" s="80"/>
      <c r="B3199" s="81"/>
      <c r="C3199" s="82"/>
    </row>
    <row r="3200" spans="1:3" x14ac:dyDescent="0.3">
      <c r="A3200" s="80"/>
      <c r="B3200" s="81"/>
      <c r="C3200" s="82"/>
    </row>
    <row r="3201" spans="1:3" x14ac:dyDescent="0.3">
      <c r="A3201" s="80"/>
      <c r="B3201" s="81"/>
      <c r="C3201" s="82"/>
    </row>
    <row r="3202" spans="1:3" x14ac:dyDescent="0.3">
      <c r="A3202" s="80"/>
      <c r="B3202" s="81"/>
      <c r="C3202" s="82"/>
    </row>
    <row r="3203" spans="1:3" x14ac:dyDescent="0.3">
      <c r="A3203" s="80"/>
      <c r="B3203" s="81"/>
      <c r="C3203" s="82"/>
    </row>
    <row r="3204" spans="1:3" x14ac:dyDescent="0.3">
      <c r="A3204" s="80"/>
      <c r="B3204" s="81"/>
      <c r="C3204" s="82"/>
    </row>
    <row r="3205" spans="1:3" x14ac:dyDescent="0.3">
      <c r="A3205" s="80"/>
      <c r="B3205" s="81"/>
      <c r="C3205" s="82"/>
    </row>
    <row r="3206" spans="1:3" x14ac:dyDescent="0.3">
      <c r="A3206" s="80"/>
      <c r="B3206" s="81"/>
      <c r="C3206" s="82"/>
    </row>
    <row r="3207" spans="1:3" x14ac:dyDescent="0.3">
      <c r="A3207" s="80"/>
      <c r="B3207" s="81"/>
      <c r="C3207" s="82"/>
    </row>
    <row r="3208" spans="1:3" x14ac:dyDescent="0.3">
      <c r="A3208" s="80"/>
      <c r="B3208" s="81"/>
      <c r="C3208" s="82"/>
    </row>
    <row r="3209" spans="1:3" x14ac:dyDescent="0.3">
      <c r="A3209" s="80"/>
      <c r="B3209" s="81"/>
      <c r="C3209" s="82"/>
    </row>
    <row r="3210" spans="1:3" x14ac:dyDescent="0.3">
      <c r="A3210" s="80"/>
      <c r="B3210" s="81"/>
      <c r="C3210" s="82"/>
    </row>
    <row r="3211" spans="1:3" x14ac:dyDescent="0.3">
      <c r="A3211" s="80"/>
      <c r="B3211" s="81"/>
      <c r="C3211" s="82"/>
    </row>
    <row r="3212" spans="1:3" x14ac:dyDescent="0.3">
      <c r="A3212" s="80"/>
      <c r="B3212" s="81"/>
      <c r="C3212" s="82"/>
    </row>
    <row r="3213" spans="1:3" x14ac:dyDescent="0.3">
      <c r="A3213" s="80"/>
      <c r="B3213" s="81"/>
      <c r="C3213" s="82"/>
    </row>
    <row r="3214" spans="1:3" x14ac:dyDescent="0.3">
      <c r="A3214" s="80"/>
      <c r="B3214" s="81"/>
      <c r="C3214" s="82"/>
    </row>
    <row r="3215" spans="1:3" x14ac:dyDescent="0.3">
      <c r="A3215" s="80"/>
      <c r="B3215" s="81"/>
      <c r="C3215" s="82"/>
    </row>
    <row r="3216" spans="1:3" x14ac:dyDescent="0.3">
      <c r="A3216" s="80"/>
      <c r="B3216" s="81"/>
      <c r="C3216" s="82"/>
    </row>
    <row r="3217" spans="1:3" x14ac:dyDescent="0.3">
      <c r="A3217" s="80"/>
      <c r="B3217" s="81"/>
      <c r="C3217" s="82"/>
    </row>
    <row r="3218" spans="1:3" x14ac:dyDescent="0.3">
      <c r="A3218" s="80"/>
      <c r="B3218" s="81"/>
      <c r="C3218" s="82"/>
    </row>
    <row r="3219" spans="1:3" x14ac:dyDescent="0.3">
      <c r="A3219" s="80"/>
      <c r="B3219" s="81"/>
      <c r="C3219" s="82"/>
    </row>
    <row r="3220" spans="1:3" x14ac:dyDescent="0.3">
      <c r="A3220" s="80"/>
      <c r="B3220" s="81"/>
      <c r="C3220" s="82"/>
    </row>
    <row r="3221" spans="1:3" x14ac:dyDescent="0.3">
      <c r="A3221" s="80"/>
      <c r="B3221" s="81"/>
      <c r="C3221" s="82"/>
    </row>
    <row r="3222" spans="1:3" x14ac:dyDescent="0.3">
      <c r="A3222" s="80"/>
      <c r="B3222" s="81"/>
      <c r="C3222" s="82"/>
    </row>
    <row r="3223" spans="1:3" x14ac:dyDescent="0.3">
      <c r="A3223" s="80"/>
      <c r="B3223" s="81"/>
      <c r="C3223" s="82"/>
    </row>
    <row r="3224" spans="1:3" x14ac:dyDescent="0.3">
      <c r="A3224" s="80"/>
      <c r="B3224" s="81"/>
      <c r="C3224" s="82"/>
    </row>
    <row r="3225" spans="1:3" x14ac:dyDescent="0.3">
      <c r="A3225" s="80"/>
      <c r="B3225" s="81"/>
      <c r="C3225" s="82"/>
    </row>
    <row r="3226" spans="1:3" x14ac:dyDescent="0.3">
      <c r="A3226" s="80"/>
      <c r="B3226" s="81"/>
      <c r="C3226" s="82"/>
    </row>
    <row r="3227" spans="1:3" x14ac:dyDescent="0.3">
      <c r="A3227" s="80"/>
      <c r="B3227" s="81"/>
      <c r="C3227" s="82"/>
    </row>
    <row r="3228" spans="1:3" x14ac:dyDescent="0.3">
      <c r="A3228" s="80"/>
      <c r="B3228" s="81"/>
      <c r="C3228" s="82"/>
    </row>
    <row r="3229" spans="1:3" x14ac:dyDescent="0.3">
      <c r="A3229" s="80"/>
      <c r="B3229" s="81"/>
      <c r="C3229" s="82"/>
    </row>
    <row r="3230" spans="1:3" x14ac:dyDescent="0.3">
      <c r="A3230" s="80"/>
      <c r="B3230" s="81"/>
      <c r="C3230" s="82"/>
    </row>
    <row r="3231" spans="1:3" x14ac:dyDescent="0.3">
      <c r="A3231" s="80"/>
      <c r="B3231" s="81"/>
      <c r="C3231" s="82"/>
    </row>
    <row r="3232" spans="1:3" x14ac:dyDescent="0.3">
      <c r="A3232" s="80"/>
      <c r="B3232" s="81"/>
      <c r="C3232" s="82"/>
    </row>
    <row r="3233" spans="1:3" x14ac:dyDescent="0.3">
      <c r="A3233" s="80"/>
      <c r="B3233" s="81"/>
      <c r="C3233" s="82"/>
    </row>
    <row r="3234" spans="1:3" x14ac:dyDescent="0.3">
      <c r="A3234" s="80"/>
      <c r="B3234" s="81"/>
      <c r="C3234" s="82"/>
    </row>
    <row r="3235" spans="1:3" x14ac:dyDescent="0.3">
      <c r="A3235" s="80"/>
      <c r="B3235" s="81"/>
      <c r="C3235" s="82"/>
    </row>
    <row r="3236" spans="1:3" x14ac:dyDescent="0.3">
      <c r="A3236" s="80"/>
      <c r="B3236" s="81"/>
      <c r="C3236" s="82"/>
    </row>
    <row r="3237" spans="1:3" x14ac:dyDescent="0.3">
      <c r="A3237" s="80"/>
      <c r="B3237" s="81"/>
      <c r="C3237" s="82"/>
    </row>
    <row r="3238" spans="1:3" x14ac:dyDescent="0.3">
      <c r="A3238" s="80"/>
      <c r="B3238" s="81"/>
      <c r="C3238" s="82"/>
    </row>
    <row r="3239" spans="1:3" x14ac:dyDescent="0.3">
      <c r="A3239" s="80"/>
      <c r="B3239" s="81"/>
      <c r="C3239" s="82"/>
    </row>
    <row r="3240" spans="1:3" x14ac:dyDescent="0.3">
      <c r="A3240" s="80"/>
      <c r="B3240" s="81"/>
      <c r="C3240" s="82"/>
    </row>
    <row r="3241" spans="1:3" x14ac:dyDescent="0.3">
      <c r="A3241" s="80"/>
      <c r="B3241" s="81"/>
      <c r="C3241" s="82"/>
    </row>
    <row r="3242" spans="1:3" x14ac:dyDescent="0.3">
      <c r="A3242" s="80"/>
      <c r="B3242" s="81"/>
      <c r="C3242" s="82"/>
    </row>
    <row r="3243" spans="1:3" x14ac:dyDescent="0.3">
      <c r="A3243" s="80"/>
      <c r="B3243" s="81"/>
      <c r="C3243" s="82"/>
    </row>
    <row r="3244" spans="1:3" x14ac:dyDescent="0.3">
      <c r="A3244" s="80"/>
      <c r="B3244" s="81"/>
      <c r="C3244" s="82"/>
    </row>
    <row r="3245" spans="1:3" x14ac:dyDescent="0.3">
      <c r="A3245" s="80"/>
      <c r="B3245" s="81"/>
      <c r="C3245" s="82"/>
    </row>
    <row r="3246" spans="1:3" x14ac:dyDescent="0.3">
      <c r="A3246" s="80"/>
      <c r="B3246" s="81"/>
      <c r="C3246" s="82"/>
    </row>
    <row r="3247" spans="1:3" x14ac:dyDescent="0.3">
      <c r="A3247" s="80"/>
      <c r="B3247" s="81"/>
      <c r="C3247" s="82"/>
    </row>
    <row r="3248" spans="1:3" x14ac:dyDescent="0.3">
      <c r="A3248" s="80"/>
      <c r="B3248" s="81"/>
      <c r="C3248" s="82"/>
    </row>
    <row r="3249" spans="1:3" x14ac:dyDescent="0.3">
      <c r="A3249" s="80"/>
      <c r="B3249" s="81"/>
      <c r="C3249" s="82"/>
    </row>
    <row r="3250" spans="1:3" x14ac:dyDescent="0.3">
      <c r="A3250" s="80"/>
      <c r="B3250" s="81"/>
      <c r="C3250" s="82"/>
    </row>
    <row r="3251" spans="1:3" x14ac:dyDescent="0.3">
      <c r="A3251" s="80"/>
      <c r="B3251" s="81"/>
      <c r="C3251" s="82"/>
    </row>
    <row r="3252" spans="1:3" x14ac:dyDescent="0.3">
      <c r="A3252" s="80"/>
      <c r="B3252" s="81"/>
      <c r="C3252" s="82"/>
    </row>
    <row r="3253" spans="1:3" x14ac:dyDescent="0.3">
      <c r="A3253" s="80"/>
      <c r="B3253" s="81"/>
      <c r="C3253" s="82"/>
    </row>
    <row r="3254" spans="1:3" x14ac:dyDescent="0.3">
      <c r="A3254" s="80"/>
      <c r="B3254" s="81"/>
      <c r="C3254" s="82"/>
    </row>
    <row r="3255" spans="1:3" x14ac:dyDescent="0.3">
      <c r="A3255" s="80"/>
      <c r="B3255" s="81"/>
      <c r="C3255" s="82"/>
    </row>
    <row r="3256" spans="1:3" x14ac:dyDescent="0.3">
      <c r="A3256" s="80"/>
      <c r="B3256" s="81"/>
      <c r="C3256" s="82"/>
    </row>
    <row r="3257" spans="1:3" x14ac:dyDescent="0.3">
      <c r="A3257" s="80"/>
      <c r="B3257" s="81"/>
      <c r="C3257" s="82"/>
    </row>
    <row r="3258" spans="1:3" x14ac:dyDescent="0.3">
      <c r="A3258" s="80"/>
      <c r="B3258" s="81"/>
      <c r="C3258" s="82"/>
    </row>
    <row r="3259" spans="1:3" x14ac:dyDescent="0.3">
      <c r="A3259" s="80"/>
      <c r="B3259" s="81"/>
      <c r="C3259" s="82"/>
    </row>
    <row r="3260" spans="1:3" x14ac:dyDescent="0.3">
      <c r="A3260" s="80"/>
      <c r="B3260" s="81"/>
      <c r="C3260" s="82"/>
    </row>
    <row r="3261" spans="1:3" x14ac:dyDescent="0.3">
      <c r="A3261" s="80"/>
      <c r="B3261" s="81"/>
      <c r="C3261" s="82"/>
    </row>
    <row r="3262" spans="1:3" x14ac:dyDescent="0.3">
      <c r="A3262" s="80"/>
      <c r="B3262" s="81"/>
      <c r="C3262" s="82"/>
    </row>
    <row r="3263" spans="1:3" x14ac:dyDescent="0.3">
      <c r="A3263" s="80"/>
      <c r="B3263" s="81"/>
      <c r="C3263" s="82"/>
    </row>
    <row r="3264" spans="1:3" x14ac:dyDescent="0.3">
      <c r="A3264" s="80"/>
      <c r="B3264" s="81"/>
      <c r="C3264" s="82"/>
    </row>
    <row r="3265" spans="1:3" x14ac:dyDescent="0.3">
      <c r="A3265" s="80"/>
      <c r="B3265" s="81"/>
      <c r="C3265" s="82"/>
    </row>
    <row r="3266" spans="1:3" x14ac:dyDescent="0.3">
      <c r="A3266" s="80"/>
      <c r="B3266" s="81"/>
      <c r="C3266" s="82"/>
    </row>
    <row r="3267" spans="1:3" x14ac:dyDescent="0.3">
      <c r="A3267" s="80"/>
      <c r="B3267" s="81"/>
      <c r="C3267" s="82"/>
    </row>
    <row r="3268" spans="1:3" x14ac:dyDescent="0.3">
      <c r="A3268" s="80"/>
      <c r="B3268" s="81"/>
      <c r="C3268" s="82"/>
    </row>
    <row r="3269" spans="1:3" x14ac:dyDescent="0.3">
      <c r="A3269" s="80"/>
      <c r="B3269" s="81"/>
      <c r="C3269" s="82"/>
    </row>
    <row r="3270" spans="1:3" x14ac:dyDescent="0.3">
      <c r="A3270" s="80"/>
      <c r="B3270" s="81"/>
      <c r="C3270" s="82"/>
    </row>
    <row r="3271" spans="1:3" x14ac:dyDescent="0.3">
      <c r="A3271" s="80"/>
      <c r="B3271" s="81"/>
      <c r="C3271" s="82"/>
    </row>
    <row r="3272" spans="1:3" x14ac:dyDescent="0.3">
      <c r="A3272" s="80"/>
      <c r="B3272" s="81"/>
      <c r="C3272" s="82"/>
    </row>
    <row r="3273" spans="1:3" x14ac:dyDescent="0.3">
      <c r="A3273" s="80"/>
      <c r="B3273" s="81"/>
      <c r="C3273" s="82"/>
    </row>
    <row r="3274" spans="1:3" x14ac:dyDescent="0.3">
      <c r="A3274" s="80"/>
      <c r="B3274" s="81"/>
      <c r="C3274" s="82"/>
    </row>
    <row r="3275" spans="1:3" x14ac:dyDescent="0.3">
      <c r="A3275" s="80"/>
      <c r="B3275" s="81"/>
      <c r="C3275" s="82"/>
    </row>
    <row r="3276" spans="1:3" x14ac:dyDescent="0.3">
      <c r="A3276" s="80"/>
      <c r="B3276" s="81"/>
      <c r="C3276" s="82"/>
    </row>
    <row r="3277" spans="1:3" x14ac:dyDescent="0.3">
      <c r="A3277" s="80"/>
      <c r="B3277" s="81"/>
      <c r="C3277" s="82"/>
    </row>
    <row r="3278" spans="1:3" x14ac:dyDescent="0.3">
      <c r="A3278" s="80"/>
      <c r="B3278" s="81"/>
      <c r="C3278" s="82"/>
    </row>
    <row r="3279" spans="1:3" x14ac:dyDescent="0.3">
      <c r="A3279" s="80"/>
      <c r="B3279" s="81"/>
      <c r="C3279" s="82"/>
    </row>
    <row r="3280" spans="1:3" x14ac:dyDescent="0.3">
      <c r="A3280" s="80"/>
      <c r="B3280" s="81"/>
      <c r="C3280" s="82"/>
    </row>
    <row r="3281" spans="1:3" x14ac:dyDescent="0.3">
      <c r="A3281" s="80"/>
      <c r="B3281" s="81"/>
      <c r="C3281" s="82"/>
    </row>
    <row r="3282" spans="1:3" x14ac:dyDescent="0.3">
      <c r="A3282" s="80"/>
      <c r="B3282" s="81"/>
      <c r="C3282" s="82"/>
    </row>
    <row r="3283" spans="1:3" x14ac:dyDescent="0.3">
      <c r="A3283" s="80"/>
      <c r="B3283" s="81"/>
      <c r="C3283" s="82"/>
    </row>
    <row r="3284" spans="1:3" x14ac:dyDescent="0.3">
      <c r="A3284" s="80"/>
      <c r="B3284" s="81"/>
      <c r="C3284" s="82"/>
    </row>
    <row r="3285" spans="1:3" x14ac:dyDescent="0.3">
      <c r="A3285" s="80"/>
      <c r="B3285" s="81"/>
      <c r="C3285" s="82"/>
    </row>
    <row r="3286" spans="1:3" x14ac:dyDescent="0.3">
      <c r="A3286" s="80"/>
      <c r="B3286" s="81"/>
      <c r="C3286" s="82"/>
    </row>
    <row r="3287" spans="1:3" x14ac:dyDescent="0.3">
      <c r="A3287" s="80"/>
      <c r="B3287" s="81"/>
      <c r="C3287" s="82"/>
    </row>
    <row r="3288" spans="1:3" x14ac:dyDescent="0.3">
      <c r="A3288" s="80"/>
      <c r="B3288" s="81"/>
      <c r="C3288" s="82"/>
    </row>
    <row r="3289" spans="1:3" x14ac:dyDescent="0.3">
      <c r="A3289" s="80"/>
      <c r="B3289" s="81"/>
      <c r="C3289" s="82"/>
    </row>
    <row r="3290" spans="1:3" x14ac:dyDescent="0.3">
      <c r="A3290" s="80"/>
      <c r="B3290" s="81"/>
      <c r="C3290" s="82"/>
    </row>
    <row r="3291" spans="1:3" x14ac:dyDescent="0.3">
      <c r="A3291" s="80"/>
      <c r="B3291" s="81"/>
      <c r="C3291" s="82"/>
    </row>
    <row r="3292" spans="1:3" x14ac:dyDescent="0.3">
      <c r="A3292" s="80"/>
      <c r="B3292" s="81"/>
      <c r="C3292" s="82"/>
    </row>
    <row r="3293" spans="1:3" x14ac:dyDescent="0.3">
      <c r="A3293" s="80"/>
      <c r="B3293" s="81"/>
      <c r="C3293" s="82"/>
    </row>
    <row r="3294" spans="1:3" x14ac:dyDescent="0.3">
      <c r="A3294" s="80"/>
      <c r="B3294" s="81"/>
      <c r="C3294" s="82"/>
    </row>
    <row r="3295" spans="1:3" x14ac:dyDescent="0.3">
      <c r="A3295" s="80"/>
      <c r="B3295" s="81"/>
      <c r="C3295" s="82"/>
    </row>
    <row r="3296" spans="1:3" x14ac:dyDescent="0.3">
      <c r="A3296" s="80"/>
      <c r="B3296" s="81"/>
      <c r="C3296" s="82"/>
    </row>
    <row r="3297" spans="1:3" x14ac:dyDescent="0.3">
      <c r="A3297" s="80"/>
      <c r="B3297" s="81"/>
      <c r="C3297" s="82"/>
    </row>
    <row r="3298" spans="1:3" x14ac:dyDescent="0.3">
      <c r="A3298" s="80"/>
      <c r="B3298" s="81"/>
      <c r="C3298" s="82"/>
    </row>
    <row r="3299" spans="1:3" x14ac:dyDescent="0.3">
      <c r="A3299" s="80"/>
      <c r="B3299" s="81"/>
      <c r="C3299" s="82"/>
    </row>
    <row r="3300" spans="1:3" x14ac:dyDescent="0.3">
      <c r="A3300" s="80"/>
      <c r="B3300" s="81"/>
      <c r="C3300" s="82"/>
    </row>
    <row r="3301" spans="1:3" x14ac:dyDescent="0.3">
      <c r="A3301" s="80"/>
      <c r="B3301" s="81"/>
      <c r="C3301" s="82"/>
    </row>
    <row r="3302" spans="1:3" x14ac:dyDescent="0.3">
      <c r="A3302" s="80"/>
      <c r="B3302" s="81"/>
      <c r="C3302" s="82"/>
    </row>
    <row r="3303" spans="1:3" x14ac:dyDescent="0.3">
      <c r="A3303" s="80"/>
      <c r="B3303" s="81"/>
      <c r="C3303" s="82"/>
    </row>
    <row r="3304" spans="1:3" x14ac:dyDescent="0.3">
      <c r="A3304" s="80"/>
      <c r="B3304" s="81"/>
      <c r="C3304" s="82"/>
    </row>
    <row r="3305" spans="1:3" x14ac:dyDescent="0.3">
      <c r="A3305" s="80"/>
      <c r="B3305" s="81"/>
      <c r="C3305" s="82"/>
    </row>
    <row r="3306" spans="1:3" x14ac:dyDescent="0.3">
      <c r="A3306" s="80"/>
      <c r="B3306" s="81"/>
      <c r="C3306" s="82"/>
    </row>
    <row r="3307" spans="1:3" x14ac:dyDescent="0.3">
      <c r="A3307" s="80"/>
      <c r="B3307" s="81"/>
      <c r="C3307" s="82"/>
    </row>
    <row r="3308" spans="1:3" x14ac:dyDescent="0.3">
      <c r="A3308" s="80"/>
      <c r="B3308" s="81"/>
      <c r="C3308" s="82"/>
    </row>
    <row r="3309" spans="1:3" x14ac:dyDescent="0.3">
      <c r="A3309" s="80"/>
      <c r="B3309" s="81"/>
      <c r="C3309" s="82"/>
    </row>
    <row r="3310" spans="1:3" x14ac:dyDescent="0.3">
      <c r="A3310" s="80"/>
      <c r="B3310" s="81"/>
      <c r="C3310" s="82"/>
    </row>
    <row r="3311" spans="1:3" x14ac:dyDescent="0.3">
      <c r="A3311" s="80"/>
      <c r="B3311" s="81"/>
      <c r="C3311" s="82"/>
    </row>
    <row r="3312" spans="1:3" x14ac:dyDescent="0.3">
      <c r="A3312" s="80"/>
      <c r="B3312" s="81"/>
      <c r="C3312" s="82"/>
    </row>
    <row r="3313" spans="1:3" x14ac:dyDescent="0.3">
      <c r="A3313" s="80"/>
      <c r="B3313" s="81"/>
      <c r="C3313" s="82"/>
    </row>
    <row r="3314" spans="1:3" x14ac:dyDescent="0.3">
      <c r="A3314" s="80"/>
      <c r="B3314" s="81"/>
      <c r="C3314" s="82"/>
    </row>
    <row r="3315" spans="1:3" x14ac:dyDescent="0.3">
      <c r="A3315" s="80"/>
      <c r="B3315" s="81"/>
      <c r="C3315" s="82"/>
    </row>
    <row r="3316" spans="1:3" x14ac:dyDescent="0.3">
      <c r="A3316" s="80"/>
      <c r="B3316" s="81"/>
      <c r="C3316" s="82"/>
    </row>
    <row r="3317" spans="1:3" x14ac:dyDescent="0.3">
      <c r="A3317" s="80"/>
      <c r="B3317" s="81"/>
      <c r="C3317" s="82"/>
    </row>
    <row r="3318" spans="1:3" x14ac:dyDescent="0.3">
      <c r="A3318" s="80"/>
      <c r="B3318" s="81"/>
      <c r="C3318" s="82"/>
    </row>
    <row r="3319" spans="1:3" x14ac:dyDescent="0.3">
      <c r="A3319" s="80"/>
      <c r="B3319" s="81"/>
      <c r="C3319" s="82"/>
    </row>
    <row r="3320" spans="1:3" x14ac:dyDescent="0.3">
      <c r="A3320" s="80"/>
      <c r="B3320" s="81"/>
      <c r="C3320" s="82"/>
    </row>
    <row r="3321" spans="1:3" x14ac:dyDescent="0.3">
      <c r="A3321" s="80"/>
      <c r="B3321" s="81"/>
      <c r="C3321" s="82"/>
    </row>
    <row r="3322" spans="1:3" x14ac:dyDescent="0.3">
      <c r="A3322" s="80"/>
      <c r="B3322" s="81"/>
      <c r="C3322" s="82"/>
    </row>
    <row r="3323" spans="1:3" x14ac:dyDescent="0.3">
      <c r="A3323" s="80"/>
      <c r="B3323" s="81"/>
      <c r="C3323" s="82"/>
    </row>
    <row r="3324" spans="1:3" x14ac:dyDescent="0.3">
      <c r="A3324" s="80"/>
      <c r="B3324" s="81"/>
      <c r="C3324" s="82"/>
    </row>
    <row r="3325" spans="1:3" x14ac:dyDescent="0.3">
      <c r="A3325" s="80"/>
      <c r="B3325" s="81"/>
      <c r="C3325" s="82"/>
    </row>
    <row r="3326" spans="1:3" x14ac:dyDescent="0.3">
      <c r="A3326" s="80"/>
      <c r="B3326" s="81"/>
      <c r="C3326" s="82"/>
    </row>
    <row r="3327" spans="1:3" x14ac:dyDescent="0.3">
      <c r="A3327" s="80"/>
      <c r="B3327" s="81"/>
      <c r="C3327" s="82"/>
    </row>
    <row r="3328" spans="1:3" x14ac:dyDescent="0.3">
      <c r="A3328" s="80"/>
      <c r="B3328" s="81"/>
      <c r="C3328" s="82"/>
    </row>
    <row r="3329" spans="1:3" x14ac:dyDescent="0.3">
      <c r="A3329" s="80"/>
      <c r="B3329" s="81"/>
      <c r="C3329" s="82"/>
    </row>
    <row r="3330" spans="1:3" x14ac:dyDescent="0.3">
      <c r="A3330" s="80"/>
      <c r="B3330" s="81"/>
      <c r="C3330" s="82"/>
    </row>
    <row r="3331" spans="1:3" x14ac:dyDescent="0.3">
      <c r="A3331" s="80"/>
      <c r="B3331" s="81"/>
      <c r="C3331" s="82"/>
    </row>
    <row r="3332" spans="1:3" x14ac:dyDescent="0.3">
      <c r="A3332" s="80"/>
      <c r="B3332" s="81"/>
      <c r="C3332" s="82"/>
    </row>
    <row r="3333" spans="1:3" x14ac:dyDescent="0.3">
      <c r="A3333" s="80"/>
      <c r="B3333" s="81"/>
      <c r="C3333" s="82"/>
    </row>
    <row r="3334" spans="1:3" x14ac:dyDescent="0.3">
      <c r="A3334" s="80"/>
      <c r="B3334" s="81"/>
      <c r="C3334" s="82"/>
    </row>
    <row r="3335" spans="1:3" x14ac:dyDescent="0.3">
      <c r="A3335" s="80"/>
      <c r="B3335" s="81"/>
      <c r="C3335" s="82"/>
    </row>
    <row r="3336" spans="1:3" x14ac:dyDescent="0.3">
      <c r="A3336" s="80"/>
      <c r="B3336" s="81"/>
      <c r="C3336" s="82"/>
    </row>
    <row r="3337" spans="1:3" x14ac:dyDescent="0.3">
      <c r="A3337" s="80"/>
      <c r="B3337" s="81"/>
      <c r="C3337" s="82"/>
    </row>
    <row r="3338" spans="1:3" x14ac:dyDescent="0.3">
      <c r="A3338" s="80"/>
      <c r="B3338" s="81"/>
      <c r="C3338" s="82"/>
    </row>
    <row r="3339" spans="1:3" x14ac:dyDescent="0.3">
      <c r="A3339" s="80"/>
      <c r="B3339" s="81"/>
      <c r="C3339" s="82"/>
    </row>
    <row r="3340" spans="1:3" x14ac:dyDescent="0.3">
      <c r="A3340" s="80"/>
      <c r="B3340" s="81"/>
      <c r="C3340" s="82"/>
    </row>
    <row r="3341" spans="1:3" x14ac:dyDescent="0.3">
      <c r="A3341" s="80"/>
      <c r="B3341" s="81"/>
      <c r="C3341" s="82"/>
    </row>
    <row r="3342" spans="1:3" x14ac:dyDescent="0.3">
      <c r="A3342" s="80"/>
      <c r="B3342" s="81"/>
      <c r="C3342" s="82"/>
    </row>
    <row r="3343" spans="1:3" x14ac:dyDescent="0.3">
      <c r="A3343" s="80"/>
      <c r="B3343" s="81"/>
      <c r="C3343" s="82"/>
    </row>
    <row r="3344" spans="1:3" x14ac:dyDescent="0.3">
      <c r="A3344" s="80"/>
      <c r="B3344" s="81"/>
      <c r="C3344" s="82"/>
    </row>
    <row r="3345" spans="1:3" x14ac:dyDescent="0.3">
      <c r="A3345" s="80"/>
      <c r="B3345" s="81"/>
      <c r="C3345" s="82"/>
    </row>
    <row r="3346" spans="1:3" x14ac:dyDescent="0.3">
      <c r="A3346" s="80"/>
      <c r="B3346" s="81"/>
      <c r="C3346" s="82"/>
    </row>
    <row r="3347" spans="1:3" x14ac:dyDescent="0.3">
      <c r="A3347" s="80"/>
      <c r="B3347" s="81"/>
      <c r="C3347" s="82"/>
    </row>
    <row r="3348" spans="1:3" x14ac:dyDescent="0.3">
      <c r="A3348" s="80"/>
      <c r="B3348" s="81"/>
      <c r="C3348" s="82"/>
    </row>
    <row r="3349" spans="1:3" x14ac:dyDescent="0.3">
      <c r="A3349" s="80"/>
      <c r="B3349" s="81"/>
      <c r="C3349" s="82"/>
    </row>
    <row r="3350" spans="1:3" x14ac:dyDescent="0.3">
      <c r="A3350" s="80"/>
      <c r="B3350" s="81"/>
      <c r="C3350" s="82"/>
    </row>
    <row r="3351" spans="1:3" x14ac:dyDescent="0.3">
      <c r="A3351" s="80"/>
      <c r="B3351" s="81"/>
      <c r="C3351" s="82"/>
    </row>
    <row r="3352" spans="1:3" x14ac:dyDescent="0.3">
      <c r="A3352" s="80"/>
      <c r="B3352" s="81"/>
      <c r="C3352" s="82"/>
    </row>
    <row r="3353" spans="1:3" x14ac:dyDescent="0.3">
      <c r="A3353" s="80"/>
      <c r="B3353" s="81"/>
      <c r="C3353" s="82"/>
    </row>
    <row r="3354" spans="1:3" x14ac:dyDescent="0.3">
      <c r="A3354" s="80"/>
      <c r="B3354" s="81"/>
      <c r="C3354" s="82"/>
    </row>
    <row r="3355" spans="1:3" x14ac:dyDescent="0.3">
      <c r="A3355" s="80"/>
      <c r="B3355" s="81"/>
      <c r="C3355" s="82"/>
    </row>
    <row r="3356" spans="1:3" x14ac:dyDescent="0.3">
      <c r="A3356" s="80"/>
      <c r="B3356" s="81"/>
      <c r="C3356" s="82"/>
    </row>
    <row r="3357" spans="1:3" x14ac:dyDescent="0.3">
      <c r="A3357" s="80"/>
      <c r="B3357" s="81"/>
      <c r="C3357" s="82"/>
    </row>
    <row r="3358" spans="1:3" x14ac:dyDescent="0.3">
      <c r="A3358" s="80"/>
      <c r="B3358" s="81"/>
      <c r="C3358" s="82"/>
    </row>
    <row r="3359" spans="1:3" x14ac:dyDescent="0.3">
      <c r="A3359" s="80"/>
      <c r="B3359" s="81"/>
      <c r="C3359" s="82"/>
    </row>
    <row r="3360" spans="1:3" x14ac:dyDescent="0.3">
      <c r="A3360" s="80"/>
      <c r="B3360" s="81"/>
      <c r="C3360" s="82"/>
    </row>
    <row r="3361" spans="1:3" x14ac:dyDescent="0.3">
      <c r="A3361" s="80"/>
      <c r="B3361" s="81"/>
      <c r="C3361" s="82"/>
    </row>
    <row r="3362" spans="1:3" x14ac:dyDescent="0.3">
      <c r="A3362" s="80"/>
      <c r="B3362" s="81"/>
      <c r="C3362" s="82"/>
    </row>
    <row r="3363" spans="1:3" x14ac:dyDescent="0.3">
      <c r="A3363" s="80"/>
      <c r="B3363" s="81"/>
      <c r="C3363" s="82"/>
    </row>
    <row r="3364" spans="1:3" x14ac:dyDescent="0.3">
      <c r="A3364" s="80"/>
      <c r="B3364" s="81"/>
      <c r="C3364" s="82"/>
    </row>
    <row r="3365" spans="1:3" x14ac:dyDescent="0.3">
      <c r="A3365" s="80"/>
      <c r="B3365" s="81"/>
      <c r="C3365" s="82"/>
    </row>
    <row r="3366" spans="1:3" x14ac:dyDescent="0.3">
      <c r="A3366" s="80"/>
      <c r="B3366" s="81"/>
      <c r="C3366" s="82"/>
    </row>
    <row r="3367" spans="1:3" x14ac:dyDescent="0.3">
      <c r="A3367" s="80"/>
      <c r="B3367" s="81"/>
      <c r="C3367" s="82"/>
    </row>
    <row r="3368" spans="1:3" x14ac:dyDescent="0.3">
      <c r="A3368" s="80"/>
      <c r="B3368" s="81"/>
      <c r="C3368" s="82"/>
    </row>
    <row r="3369" spans="1:3" x14ac:dyDescent="0.3">
      <c r="A3369" s="80"/>
      <c r="B3369" s="81"/>
      <c r="C3369" s="82"/>
    </row>
    <row r="3370" spans="1:3" x14ac:dyDescent="0.3">
      <c r="A3370" s="80"/>
      <c r="B3370" s="81"/>
      <c r="C3370" s="82"/>
    </row>
    <row r="3371" spans="1:3" x14ac:dyDescent="0.3">
      <c r="A3371" s="80"/>
      <c r="B3371" s="81"/>
      <c r="C3371" s="82"/>
    </row>
    <row r="3372" spans="1:3" x14ac:dyDescent="0.3">
      <c r="A3372" s="80"/>
      <c r="B3372" s="81"/>
      <c r="C3372" s="82"/>
    </row>
    <row r="3373" spans="1:3" x14ac:dyDescent="0.3">
      <c r="A3373" s="80"/>
      <c r="B3373" s="81"/>
      <c r="C3373" s="82"/>
    </row>
    <row r="3374" spans="1:3" x14ac:dyDescent="0.3">
      <c r="A3374" s="80"/>
      <c r="B3374" s="81"/>
      <c r="C3374" s="82"/>
    </row>
    <row r="3375" spans="1:3" x14ac:dyDescent="0.3">
      <c r="A3375" s="80"/>
      <c r="B3375" s="81"/>
      <c r="C3375" s="82"/>
    </row>
    <row r="3376" spans="1:3" x14ac:dyDescent="0.3">
      <c r="A3376" s="80"/>
      <c r="B3376" s="81"/>
      <c r="C3376" s="82"/>
    </row>
    <row r="3377" spans="1:3" x14ac:dyDescent="0.3">
      <c r="A3377" s="80"/>
      <c r="B3377" s="81"/>
      <c r="C3377" s="82"/>
    </row>
    <row r="3378" spans="1:3" x14ac:dyDescent="0.3">
      <c r="A3378" s="80"/>
      <c r="B3378" s="81"/>
      <c r="C3378" s="82"/>
    </row>
    <row r="3379" spans="1:3" x14ac:dyDescent="0.3">
      <c r="A3379" s="80"/>
      <c r="B3379" s="81"/>
      <c r="C3379" s="82"/>
    </row>
    <row r="3380" spans="1:3" x14ac:dyDescent="0.3">
      <c r="A3380" s="80"/>
      <c r="B3380" s="81"/>
      <c r="C3380" s="82"/>
    </row>
    <row r="3381" spans="1:3" x14ac:dyDescent="0.3">
      <c r="A3381" s="80"/>
      <c r="B3381" s="81"/>
      <c r="C3381" s="82"/>
    </row>
    <row r="3382" spans="1:3" x14ac:dyDescent="0.3">
      <c r="A3382" s="80"/>
      <c r="B3382" s="81"/>
      <c r="C3382" s="82"/>
    </row>
    <row r="3383" spans="1:3" x14ac:dyDescent="0.3">
      <c r="A3383" s="80"/>
      <c r="B3383" s="81"/>
      <c r="C3383" s="82"/>
    </row>
    <row r="3384" spans="1:3" x14ac:dyDescent="0.3">
      <c r="A3384" s="80"/>
      <c r="B3384" s="81"/>
      <c r="C3384" s="82"/>
    </row>
    <row r="3385" spans="1:3" x14ac:dyDescent="0.3">
      <c r="A3385" s="80"/>
      <c r="B3385" s="81"/>
      <c r="C3385" s="82"/>
    </row>
    <row r="3386" spans="1:3" x14ac:dyDescent="0.3">
      <c r="A3386" s="80"/>
      <c r="B3386" s="81"/>
      <c r="C3386" s="82"/>
    </row>
    <row r="3387" spans="1:3" x14ac:dyDescent="0.3">
      <c r="A3387" s="80"/>
      <c r="B3387" s="81"/>
      <c r="C3387" s="82"/>
    </row>
    <row r="3388" spans="1:3" x14ac:dyDescent="0.3">
      <c r="A3388" s="80"/>
      <c r="B3388" s="81"/>
      <c r="C3388" s="82"/>
    </row>
    <row r="3389" spans="1:3" x14ac:dyDescent="0.3">
      <c r="A3389" s="80"/>
      <c r="B3389" s="81"/>
      <c r="C3389" s="82"/>
    </row>
    <row r="3390" spans="1:3" x14ac:dyDescent="0.3">
      <c r="A3390" s="80"/>
      <c r="B3390" s="81"/>
      <c r="C3390" s="82"/>
    </row>
    <row r="3391" spans="1:3" x14ac:dyDescent="0.3">
      <c r="A3391" s="80"/>
      <c r="B3391" s="81"/>
      <c r="C3391" s="82"/>
    </row>
    <row r="3392" spans="1:3" x14ac:dyDescent="0.3">
      <c r="A3392" s="80"/>
      <c r="B3392" s="81"/>
      <c r="C3392" s="82"/>
    </row>
    <row r="3393" spans="1:3" x14ac:dyDescent="0.3">
      <c r="A3393" s="80"/>
      <c r="B3393" s="81"/>
      <c r="C3393" s="82"/>
    </row>
    <row r="3394" spans="1:3" x14ac:dyDescent="0.3">
      <c r="A3394" s="80"/>
      <c r="B3394" s="81"/>
      <c r="C3394" s="82"/>
    </row>
    <row r="3395" spans="1:3" x14ac:dyDescent="0.3">
      <c r="A3395" s="80"/>
      <c r="B3395" s="81"/>
      <c r="C3395" s="82"/>
    </row>
    <row r="3396" spans="1:3" x14ac:dyDescent="0.3">
      <c r="A3396" s="80"/>
      <c r="B3396" s="81"/>
      <c r="C3396" s="82"/>
    </row>
    <row r="3397" spans="1:3" x14ac:dyDescent="0.3">
      <c r="A3397" s="80"/>
      <c r="B3397" s="81"/>
      <c r="C3397" s="82"/>
    </row>
    <row r="3398" spans="1:3" x14ac:dyDescent="0.3">
      <c r="A3398" s="80"/>
      <c r="B3398" s="81"/>
      <c r="C3398" s="82"/>
    </row>
    <row r="3399" spans="1:3" x14ac:dyDescent="0.3">
      <c r="A3399" s="80"/>
      <c r="B3399" s="81"/>
      <c r="C3399" s="82"/>
    </row>
    <row r="3400" spans="1:3" x14ac:dyDescent="0.3">
      <c r="A3400" s="80"/>
      <c r="B3400" s="81"/>
      <c r="C3400" s="82"/>
    </row>
    <row r="3401" spans="1:3" x14ac:dyDescent="0.3">
      <c r="A3401" s="80"/>
      <c r="B3401" s="81"/>
      <c r="C3401" s="82"/>
    </row>
    <row r="3402" spans="1:3" x14ac:dyDescent="0.3">
      <c r="A3402" s="80"/>
      <c r="B3402" s="81"/>
      <c r="C3402" s="82"/>
    </row>
    <row r="3403" spans="1:3" x14ac:dyDescent="0.3">
      <c r="A3403" s="80"/>
      <c r="B3403" s="81"/>
      <c r="C3403" s="82"/>
    </row>
    <row r="3404" spans="1:3" x14ac:dyDescent="0.3">
      <c r="A3404" s="80"/>
      <c r="B3404" s="81"/>
      <c r="C3404" s="82"/>
    </row>
    <row r="3405" spans="1:3" x14ac:dyDescent="0.3">
      <c r="A3405" s="80"/>
      <c r="B3405" s="81"/>
      <c r="C3405" s="82"/>
    </row>
    <row r="3406" spans="1:3" x14ac:dyDescent="0.3">
      <c r="A3406" s="80"/>
      <c r="B3406" s="81"/>
      <c r="C3406" s="82"/>
    </row>
    <row r="3407" spans="1:3" x14ac:dyDescent="0.3">
      <c r="A3407" s="80"/>
      <c r="B3407" s="81"/>
      <c r="C3407" s="82"/>
    </row>
    <row r="3408" spans="1:3" x14ac:dyDescent="0.3">
      <c r="A3408" s="80"/>
      <c r="B3408" s="81"/>
      <c r="C3408" s="82"/>
    </row>
    <row r="3409" spans="1:3" x14ac:dyDescent="0.3">
      <c r="A3409" s="80"/>
      <c r="B3409" s="81"/>
      <c r="C3409" s="82"/>
    </row>
    <row r="3410" spans="1:3" x14ac:dyDescent="0.3">
      <c r="A3410" s="80"/>
      <c r="B3410" s="81"/>
      <c r="C3410" s="82"/>
    </row>
    <row r="3411" spans="1:3" x14ac:dyDescent="0.3">
      <c r="A3411" s="80"/>
      <c r="B3411" s="81"/>
      <c r="C3411" s="82"/>
    </row>
    <row r="3412" spans="1:3" x14ac:dyDescent="0.3">
      <c r="A3412" s="80"/>
      <c r="B3412" s="81"/>
      <c r="C3412" s="82"/>
    </row>
    <row r="3413" spans="1:3" x14ac:dyDescent="0.3">
      <c r="A3413" s="80"/>
      <c r="B3413" s="81"/>
      <c r="C3413" s="82"/>
    </row>
    <row r="3414" spans="1:3" x14ac:dyDescent="0.3">
      <c r="A3414" s="80"/>
      <c r="B3414" s="81"/>
      <c r="C3414" s="82"/>
    </row>
    <row r="3415" spans="1:3" x14ac:dyDescent="0.3">
      <c r="A3415" s="80"/>
      <c r="B3415" s="81"/>
      <c r="C3415" s="82"/>
    </row>
    <row r="3416" spans="1:3" x14ac:dyDescent="0.3">
      <c r="A3416" s="80"/>
      <c r="B3416" s="81"/>
      <c r="C3416" s="82"/>
    </row>
    <row r="3417" spans="1:3" x14ac:dyDescent="0.3">
      <c r="A3417" s="80"/>
      <c r="B3417" s="81"/>
      <c r="C3417" s="82"/>
    </row>
    <row r="3418" spans="1:3" x14ac:dyDescent="0.3">
      <c r="A3418" s="80"/>
      <c r="B3418" s="81"/>
      <c r="C3418" s="82"/>
    </row>
    <row r="3419" spans="1:3" x14ac:dyDescent="0.3">
      <c r="A3419" s="80"/>
      <c r="B3419" s="81"/>
      <c r="C3419" s="82"/>
    </row>
    <row r="3420" spans="1:3" x14ac:dyDescent="0.3">
      <c r="A3420" s="80"/>
      <c r="B3420" s="81"/>
      <c r="C3420" s="82"/>
    </row>
    <row r="3421" spans="1:3" x14ac:dyDescent="0.3">
      <c r="A3421" s="80"/>
      <c r="B3421" s="81"/>
      <c r="C3421" s="82"/>
    </row>
    <row r="3422" spans="1:3" x14ac:dyDescent="0.3">
      <c r="A3422" s="80"/>
      <c r="B3422" s="81"/>
      <c r="C3422" s="82"/>
    </row>
    <row r="3423" spans="1:3" x14ac:dyDescent="0.3">
      <c r="A3423" s="80"/>
      <c r="B3423" s="81"/>
      <c r="C3423" s="82"/>
    </row>
    <row r="3424" spans="1:3" x14ac:dyDescent="0.3">
      <c r="A3424" s="80"/>
      <c r="B3424" s="81"/>
      <c r="C3424" s="82"/>
    </row>
    <row r="3425" spans="1:3" x14ac:dyDescent="0.3">
      <c r="A3425" s="80"/>
      <c r="B3425" s="81"/>
      <c r="C3425" s="82"/>
    </row>
    <row r="3426" spans="1:3" x14ac:dyDescent="0.3">
      <c r="A3426" s="80"/>
      <c r="B3426" s="81"/>
      <c r="C3426" s="82"/>
    </row>
    <row r="3427" spans="1:3" x14ac:dyDescent="0.3">
      <c r="A3427" s="80"/>
      <c r="B3427" s="81"/>
      <c r="C3427" s="82"/>
    </row>
    <row r="3428" spans="1:3" x14ac:dyDescent="0.3">
      <c r="A3428" s="80"/>
      <c r="B3428" s="81"/>
      <c r="C3428" s="82"/>
    </row>
    <row r="3429" spans="1:3" x14ac:dyDescent="0.3">
      <c r="A3429" s="80"/>
      <c r="B3429" s="81"/>
      <c r="C3429" s="82"/>
    </row>
    <row r="3430" spans="1:3" x14ac:dyDescent="0.3">
      <c r="A3430" s="80"/>
      <c r="B3430" s="81"/>
      <c r="C3430" s="82"/>
    </row>
    <row r="3431" spans="1:3" x14ac:dyDescent="0.3">
      <c r="A3431" s="80"/>
      <c r="B3431" s="81"/>
      <c r="C3431" s="82"/>
    </row>
    <row r="3432" spans="1:3" x14ac:dyDescent="0.3">
      <c r="A3432" s="80"/>
      <c r="B3432" s="81"/>
      <c r="C3432" s="82"/>
    </row>
    <row r="3433" spans="1:3" x14ac:dyDescent="0.3">
      <c r="A3433" s="80"/>
      <c r="B3433" s="81"/>
      <c r="C3433" s="82"/>
    </row>
    <row r="3434" spans="1:3" x14ac:dyDescent="0.3">
      <c r="A3434" s="80"/>
      <c r="B3434" s="81"/>
      <c r="C3434" s="82"/>
    </row>
    <row r="3435" spans="1:3" x14ac:dyDescent="0.3">
      <c r="A3435" s="80"/>
      <c r="B3435" s="81"/>
      <c r="C3435" s="82"/>
    </row>
    <row r="3436" spans="1:3" x14ac:dyDescent="0.3">
      <c r="A3436" s="80"/>
      <c r="B3436" s="81"/>
      <c r="C3436" s="82"/>
    </row>
    <row r="3437" spans="1:3" x14ac:dyDescent="0.3">
      <c r="A3437" s="80"/>
      <c r="B3437" s="81"/>
      <c r="C3437" s="82"/>
    </row>
    <row r="3438" spans="1:3" x14ac:dyDescent="0.3">
      <c r="A3438" s="80"/>
      <c r="B3438" s="81"/>
      <c r="C3438" s="82"/>
    </row>
    <row r="3439" spans="1:3" x14ac:dyDescent="0.3">
      <c r="A3439" s="80"/>
      <c r="B3439" s="81"/>
      <c r="C3439" s="82"/>
    </row>
    <row r="3440" spans="1:3" x14ac:dyDescent="0.3">
      <c r="A3440" s="80"/>
      <c r="B3440" s="81"/>
      <c r="C3440" s="82"/>
    </row>
    <row r="3441" spans="1:3" x14ac:dyDescent="0.3">
      <c r="A3441" s="80"/>
      <c r="B3441" s="81"/>
      <c r="C3441" s="82"/>
    </row>
    <row r="3442" spans="1:3" x14ac:dyDescent="0.3">
      <c r="A3442" s="80"/>
      <c r="B3442" s="81"/>
      <c r="C3442" s="82"/>
    </row>
    <row r="3443" spans="1:3" x14ac:dyDescent="0.3">
      <c r="A3443" s="80"/>
      <c r="B3443" s="81"/>
      <c r="C3443" s="82"/>
    </row>
    <row r="3444" spans="1:3" x14ac:dyDescent="0.3">
      <c r="A3444" s="80"/>
      <c r="B3444" s="81"/>
      <c r="C3444" s="82"/>
    </row>
    <row r="3445" spans="1:3" x14ac:dyDescent="0.3">
      <c r="A3445" s="80"/>
      <c r="B3445" s="81"/>
      <c r="C3445" s="82"/>
    </row>
    <row r="3446" spans="1:3" x14ac:dyDescent="0.3">
      <c r="A3446" s="80"/>
      <c r="B3446" s="81"/>
      <c r="C3446" s="82"/>
    </row>
    <row r="3447" spans="1:3" x14ac:dyDescent="0.3">
      <c r="A3447" s="80"/>
      <c r="B3447" s="81"/>
      <c r="C3447" s="82"/>
    </row>
    <row r="3448" spans="1:3" x14ac:dyDescent="0.3">
      <c r="A3448" s="80"/>
      <c r="B3448" s="81"/>
      <c r="C3448" s="82"/>
    </row>
    <row r="3449" spans="1:3" x14ac:dyDescent="0.3">
      <c r="A3449" s="80"/>
      <c r="B3449" s="81"/>
      <c r="C3449" s="82"/>
    </row>
    <row r="3450" spans="1:3" x14ac:dyDescent="0.3">
      <c r="A3450" s="80"/>
      <c r="B3450" s="81"/>
      <c r="C3450" s="82"/>
    </row>
    <row r="3451" spans="1:3" x14ac:dyDescent="0.3">
      <c r="A3451" s="80"/>
      <c r="B3451" s="81"/>
      <c r="C3451" s="82"/>
    </row>
    <row r="3452" spans="1:3" x14ac:dyDescent="0.3">
      <c r="A3452" s="80"/>
      <c r="B3452" s="81"/>
      <c r="C3452" s="82"/>
    </row>
    <row r="3453" spans="1:3" x14ac:dyDescent="0.3">
      <c r="A3453" s="80"/>
      <c r="B3453" s="81"/>
      <c r="C3453" s="82"/>
    </row>
    <row r="3454" spans="1:3" x14ac:dyDescent="0.3">
      <c r="A3454" s="80"/>
      <c r="B3454" s="81"/>
      <c r="C3454" s="82"/>
    </row>
    <row r="3455" spans="1:3" x14ac:dyDescent="0.3">
      <c r="A3455" s="80"/>
      <c r="B3455" s="81"/>
      <c r="C3455" s="82"/>
    </row>
    <row r="3456" spans="1:3" x14ac:dyDescent="0.3">
      <c r="A3456" s="80"/>
      <c r="B3456" s="81"/>
      <c r="C3456" s="82"/>
    </row>
    <row r="3457" spans="1:3" x14ac:dyDescent="0.3">
      <c r="A3457" s="80"/>
      <c r="B3457" s="81"/>
      <c r="C3457" s="82"/>
    </row>
    <row r="3458" spans="1:3" x14ac:dyDescent="0.3">
      <c r="A3458" s="80"/>
      <c r="B3458" s="81"/>
      <c r="C3458" s="82"/>
    </row>
    <row r="3459" spans="1:3" x14ac:dyDescent="0.3">
      <c r="A3459" s="80"/>
      <c r="B3459" s="81"/>
      <c r="C3459" s="82"/>
    </row>
    <row r="3460" spans="1:3" x14ac:dyDescent="0.3">
      <c r="A3460" s="80"/>
      <c r="B3460" s="81"/>
      <c r="C3460" s="82"/>
    </row>
    <row r="3461" spans="1:3" x14ac:dyDescent="0.3">
      <c r="A3461" s="80"/>
      <c r="B3461" s="81"/>
      <c r="C3461" s="82"/>
    </row>
    <row r="3462" spans="1:3" x14ac:dyDescent="0.3">
      <c r="A3462" s="80"/>
      <c r="B3462" s="81"/>
      <c r="C3462" s="82"/>
    </row>
    <row r="3463" spans="1:3" x14ac:dyDescent="0.3">
      <c r="A3463" s="80"/>
      <c r="B3463" s="81"/>
      <c r="C3463" s="82"/>
    </row>
    <row r="3464" spans="1:3" x14ac:dyDescent="0.3">
      <c r="A3464" s="80"/>
      <c r="B3464" s="81"/>
      <c r="C3464" s="82"/>
    </row>
    <row r="3465" spans="1:3" x14ac:dyDescent="0.3">
      <c r="A3465" s="80"/>
      <c r="B3465" s="81"/>
      <c r="C3465" s="82"/>
    </row>
    <row r="3466" spans="1:3" x14ac:dyDescent="0.3">
      <c r="A3466" s="80"/>
      <c r="B3466" s="81"/>
      <c r="C3466" s="82"/>
    </row>
    <row r="3467" spans="1:3" x14ac:dyDescent="0.3">
      <c r="A3467" s="80"/>
      <c r="B3467" s="81"/>
      <c r="C3467" s="82"/>
    </row>
    <row r="3468" spans="1:3" x14ac:dyDescent="0.3">
      <c r="A3468" s="80"/>
      <c r="B3468" s="81"/>
      <c r="C3468" s="82"/>
    </row>
    <row r="3469" spans="1:3" x14ac:dyDescent="0.3">
      <c r="A3469" s="80"/>
      <c r="B3469" s="81"/>
      <c r="C3469" s="82"/>
    </row>
    <row r="3470" spans="1:3" x14ac:dyDescent="0.3">
      <c r="A3470" s="80"/>
      <c r="B3470" s="81"/>
      <c r="C3470" s="82"/>
    </row>
    <row r="3471" spans="1:3" x14ac:dyDescent="0.3">
      <c r="A3471" s="80"/>
      <c r="B3471" s="81"/>
      <c r="C3471" s="82"/>
    </row>
    <row r="3472" spans="1:3" x14ac:dyDescent="0.3">
      <c r="A3472" s="80"/>
      <c r="B3472" s="81"/>
      <c r="C3472" s="82"/>
    </row>
    <row r="3473" spans="1:3" x14ac:dyDescent="0.3">
      <c r="A3473" s="80"/>
      <c r="B3473" s="81"/>
      <c r="C3473" s="82"/>
    </row>
    <row r="3474" spans="1:3" x14ac:dyDescent="0.3">
      <c r="A3474" s="80"/>
      <c r="B3474" s="81"/>
      <c r="C3474" s="82"/>
    </row>
    <row r="3475" spans="1:3" x14ac:dyDescent="0.3">
      <c r="A3475" s="80"/>
      <c r="B3475" s="81"/>
      <c r="C3475" s="82"/>
    </row>
    <row r="3476" spans="1:3" x14ac:dyDescent="0.3">
      <c r="A3476" s="80"/>
      <c r="B3476" s="81"/>
      <c r="C3476" s="82"/>
    </row>
    <row r="3477" spans="1:3" x14ac:dyDescent="0.3">
      <c r="A3477" s="80"/>
      <c r="B3477" s="81"/>
      <c r="C3477" s="82"/>
    </row>
    <row r="3478" spans="1:3" x14ac:dyDescent="0.3">
      <c r="A3478" s="80"/>
      <c r="B3478" s="81"/>
      <c r="C3478" s="82"/>
    </row>
    <row r="3479" spans="1:3" x14ac:dyDescent="0.3">
      <c r="A3479" s="80"/>
      <c r="B3479" s="81"/>
      <c r="C3479" s="82"/>
    </row>
    <row r="3480" spans="1:3" x14ac:dyDescent="0.3">
      <c r="A3480" s="80"/>
      <c r="B3480" s="81"/>
      <c r="C3480" s="82"/>
    </row>
    <row r="3481" spans="1:3" x14ac:dyDescent="0.3">
      <c r="A3481" s="80"/>
      <c r="B3481" s="81"/>
      <c r="C3481" s="82"/>
    </row>
    <row r="3482" spans="1:3" x14ac:dyDescent="0.3">
      <c r="A3482" s="80"/>
      <c r="B3482" s="81"/>
      <c r="C3482" s="82"/>
    </row>
    <row r="3483" spans="1:3" x14ac:dyDescent="0.3">
      <c r="A3483" s="80"/>
      <c r="B3483" s="81"/>
      <c r="C3483" s="82"/>
    </row>
    <row r="3484" spans="1:3" x14ac:dyDescent="0.3">
      <c r="A3484" s="80"/>
      <c r="B3484" s="81"/>
      <c r="C3484" s="82"/>
    </row>
    <row r="3485" spans="1:3" x14ac:dyDescent="0.3">
      <c r="A3485" s="80"/>
      <c r="B3485" s="81"/>
      <c r="C3485" s="82"/>
    </row>
    <row r="3486" spans="1:3" x14ac:dyDescent="0.3">
      <c r="A3486" s="80"/>
      <c r="B3486" s="81"/>
      <c r="C3486" s="82"/>
    </row>
    <row r="3487" spans="1:3" x14ac:dyDescent="0.3">
      <c r="A3487" s="80"/>
      <c r="B3487" s="81"/>
      <c r="C3487" s="82"/>
    </row>
    <row r="3488" spans="1:3" x14ac:dyDescent="0.3">
      <c r="A3488" s="80"/>
      <c r="B3488" s="81"/>
      <c r="C3488" s="82"/>
    </row>
    <row r="3489" spans="1:3" x14ac:dyDescent="0.3">
      <c r="A3489" s="80"/>
      <c r="B3489" s="81"/>
      <c r="C3489" s="82"/>
    </row>
    <row r="3490" spans="1:3" x14ac:dyDescent="0.3">
      <c r="A3490" s="80"/>
      <c r="B3490" s="81"/>
      <c r="C3490" s="82"/>
    </row>
    <row r="3491" spans="1:3" x14ac:dyDescent="0.3">
      <c r="A3491" s="80"/>
      <c r="B3491" s="81"/>
      <c r="C3491" s="82"/>
    </row>
    <row r="3492" spans="1:3" x14ac:dyDescent="0.3">
      <c r="A3492" s="80"/>
      <c r="B3492" s="81"/>
      <c r="C3492" s="82"/>
    </row>
    <row r="3493" spans="1:3" x14ac:dyDescent="0.3">
      <c r="A3493" s="80"/>
      <c r="B3493" s="81"/>
      <c r="C3493" s="82"/>
    </row>
    <row r="3494" spans="1:3" x14ac:dyDescent="0.3">
      <c r="A3494" s="80"/>
      <c r="B3494" s="81"/>
      <c r="C3494" s="82"/>
    </row>
    <row r="3495" spans="1:3" x14ac:dyDescent="0.3">
      <c r="A3495" s="80"/>
      <c r="B3495" s="81"/>
      <c r="C3495" s="82"/>
    </row>
    <row r="3496" spans="1:3" x14ac:dyDescent="0.3">
      <c r="A3496" s="80"/>
      <c r="B3496" s="81"/>
      <c r="C3496" s="82"/>
    </row>
    <row r="3497" spans="1:3" x14ac:dyDescent="0.3">
      <c r="A3497" s="80"/>
      <c r="B3497" s="81"/>
      <c r="C3497" s="82"/>
    </row>
    <row r="3498" spans="1:3" x14ac:dyDescent="0.3">
      <c r="A3498" s="80"/>
      <c r="B3498" s="81"/>
      <c r="C3498" s="82"/>
    </row>
    <row r="3499" spans="1:3" x14ac:dyDescent="0.3">
      <c r="A3499" s="80"/>
      <c r="B3499" s="81"/>
      <c r="C3499" s="82"/>
    </row>
    <row r="3500" spans="1:3" x14ac:dyDescent="0.3">
      <c r="A3500" s="80"/>
      <c r="B3500" s="81"/>
      <c r="C3500" s="82"/>
    </row>
    <row r="3501" spans="1:3" x14ac:dyDescent="0.3">
      <c r="A3501" s="80"/>
      <c r="B3501" s="81"/>
      <c r="C3501" s="82"/>
    </row>
    <row r="3502" spans="1:3" x14ac:dyDescent="0.3">
      <c r="A3502" s="80"/>
      <c r="B3502" s="81"/>
      <c r="C3502" s="82"/>
    </row>
    <row r="3503" spans="1:3" x14ac:dyDescent="0.3">
      <c r="A3503" s="80"/>
      <c r="B3503" s="81"/>
      <c r="C3503" s="82"/>
    </row>
    <row r="3504" spans="1:3" x14ac:dyDescent="0.3">
      <c r="A3504" s="80"/>
      <c r="B3504" s="81"/>
      <c r="C3504" s="82"/>
    </row>
    <row r="3505" spans="1:3" x14ac:dyDescent="0.3">
      <c r="A3505" s="80"/>
      <c r="B3505" s="81"/>
      <c r="C3505" s="82"/>
    </row>
    <row r="3506" spans="1:3" x14ac:dyDescent="0.3">
      <c r="A3506" s="80"/>
      <c r="B3506" s="81"/>
      <c r="C3506" s="82"/>
    </row>
    <row r="3507" spans="1:3" x14ac:dyDescent="0.3">
      <c r="A3507" s="80"/>
      <c r="B3507" s="81"/>
      <c r="C3507" s="82"/>
    </row>
    <row r="3508" spans="1:3" x14ac:dyDescent="0.3">
      <c r="A3508" s="80"/>
      <c r="B3508" s="81"/>
      <c r="C3508" s="82"/>
    </row>
    <row r="3509" spans="1:3" x14ac:dyDescent="0.3">
      <c r="A3509" s="80"/>
      <c r="B3509" s="81"/>
      <c r="C3509" s="82"/>
    </row>
    <row r="3510" spans="1:3" x14ac:dyDescent="0.3">
      <c r="A3510" s="80"/>
      <c r="B3510" s="81"/>
      <c r="C3510" s="82"/>
    </row>
    <row r="3511" spans="1:3" x14ac:dyDescent="0.3">
      <c r="A3511" s="80"/>
      <c r="B3511" s="81"/>
      <c r="C3511" s="82"/>
    </row>
    <row r="3512" spans="1:3" x14ac:dyDescent="0.3">
      <c r="A3512" s="80"/>
      <c r="B3512" s="81"/>
      <c r="C3512" s="82"/>
    </row>
    <row r="3513" spans="1:3" x14ac:dyDescent="0.3">
      <c r="A3513" s="80"/>
      <c r="B3513" s="81"/>
      <c r="C3513" s="82"/>
    </row>
    <row r="3514" spans="1:3" x14ac:dyDescent="0.3">
      <c r="A3514" s="80"/>
      <c r="B3514" s="81"/>
      <c r="C3514" s="82"/>
    </row>
    <row r="3515" spans="1:3" x14ac:dyDescent="0.3">
      <c r="A3515" s="80"/>
      <c r="B3515" s="81"/>
      <c r="C3515" s="82"/>
    </row>
    <row r="3516" spans="1:3" x14ac:dyDescent="0.3">
      <c r="A3516" s="80"/>
      <c r="B3516" s="81"/>
      <c r="C3516" s="82"/>
    </row>
    <row r="3517" spans="1:3" x14ac:dyDescent="0.3">
      <c r="A3517" s="80"/>
      <c r="B3517" s="81"/>
      <c r="C3517" s="82"/>
    </row>
    <row r="3518" spans="1:3" x14ac:dyDescent="0.3">
      <c r="A3518" s="80"/>
      <c r="B3518" s="81"/>
      <c r="C3518" s="82"/>
    </row>
    <row r="3519" spans="1:3" x14ac:dyDescent="0.3">
      <c r="A3519" s="80"/>
      <c r="B3519" s="81"/>
      <c r="C3519" s="82"/>
    </row>
    <row r="3520" spans="1:3" x14ac:dyDescent="0.3">
      <c r="A3520" s="80"/>
      <c r="B3520" s="81"/>
      <c r="C3520" s="82"/>
    </row>
    <row r="3521" spans="1:3" x14ac:dyDescent="0.3">
      <c r="A3521" s="80"/>
      <c r="B3521" s="81"/>
      <c r="C3521" s="82"/>
    </row>
    <row r="3522" spans="1:3" x14ac:dyDescent="0.3">
      <c r="A3522" s="80"/>
      <c r="B3522" s="81"/>
      <c r="C3522" s="82"/>
    </row>
    <row r="3523" spans="1:3" x14ac:dyDescent="0.3">
      <c r="A3523" s="80"/>
      <c r="B3523" s="81"/>
      <c r="C3523" s="82"/>
    </row>
    <row r="3524" spans="1:3" x14ac:dyDescent="0.3">
      <c r="A3524" s="80"/>
      <c r="B3524" s="81"/>
      <c r="C3524" s="82"/>
    </row>
    <row r="3525" spans="1:3" x14ac:dyDescent="0.3">
      <c r="A3525" s="80"/>
      <c r="B3525" s="81"/>
      <c r="C3525" s="82"/>
    </row>
    <row r="3526" spans="1:3" x14ac:dyDescent="0.3">
      <c r="A3526" s="80"/>
      <c r="B3526" s="81"/>
      <c r="C3526" s="82"/>
    </row>
    <row r="3527" spans="1:3" x14ac:dyDescent="0.3">
      <c r="A3527" s="80"/>
      <c r="B3527" s="81"/>
      <c r="C3527" s="82"/>
    </row>
    <row r="3528" spans="1:3" x14ac:dyDescent="0.3">
      <c r="A3528" s="80"/>
      <c r="B3528" s="81"/>
      <c r="C3528" s="82"/>
    </row>
    <row r="3529" spans="1:3" x14ac:dyDescent="0.3">
      <c r="A3529" s="80"/>
      <c r="B3529" s="81"/>
      <c r="C3529" s="82"/>
    </row>
    <row r="3530" spans="1:3" x14ac:dyDescent="0.3">
      <c r="A3530" s="80"/>
      <c r="B3530" s="81"/>
      <c r="C3530" s="82"/>
    </row>
    <row r="3531" spans="1:3" x14ac:dyDescent="0.3">
      <c r="A3531" s="80"/>
      <c r="B3531" s="81"/>
      <c r="C3531" s="82"/>
    </row>
    <row r="3532" spans="1:3" x14ac:dyDescent="0.3">
      <c r="A3532" s="80"/>
      <c r="B3532" s="81"/>
      <c r="C3532" s="82"/>
    </row>
    <row r="3533" spans="1:3" x14ac:dyDescent="0.3">
      <c r="A3533" s="80"/>
      <c r="B3533" s="81"/>
      <c r="C3533" s="82"/>
    </row>
    <row r="3534" spans="1:3" x14ac:dyDescent="0.3">
      <c r="A3534" s="80"/>
      <c r="B3534" s="81"/>
      <c r="C3534" s="82"/>
    </row>
    <row r="3535" spans="1:3" x14ac:dyDescent="0.3">
      <c r="A3535" s="80"/>
      <c r="B3535" s="81"/>
      <c r="C3535" s="82"/>
    </row>
    <row r="3536" spans="1:3" x14ac:dyDescent="0.3">
      <c r="A3536" s="80"/>
      <c r="B3536" s="81"/>
      <c r="C3536" s="82"/>
    </row>
    <row r="3537" spans="1:3" x14ac:dyDescent="0.3">
      <c r="A3537" s="80"/>
      <c r="B3537" s="81"/>
      <c r="C3537" s="82"/>
    </row>
    <row r="3538" spans="1:3" x14ac:dyDescent="0.3">
      <c r="A3538" s="80"/>
      <c r="B3538" s="81"/>
      <c r="C3538" s="82"/>
    </row>
    <row r="3539" spans="1:3" x14ac:dyDescent="0.3">
      <c r="A3539" s="80"/>
      <c r="B3539" s="81"/>
      <c r="C3539" s="82"/>
    </row>
    <row r="3540" spans="1:3" x14ac:dyDescent="0.3">
      <c r="A3540" s="80"/>
      <c r="B3540" s="81"/>
      <c r="C3540" s="82"/>
    </row>
    <row r="3541" spans="1:3" x14ac:dyDescent="0.3">
      <c r="A3541" s="80"/>
      <c r="B3541" s="81"/>
      <c r="C3541" s="82"/>
    </row>
    <row r="3542" spans="1:3" x14ac:dyDescent="0.3">
      <c r="A3542" s="80"/>
      <c r="B3542" s="81"/>
      <c r="C3542" s="82"/>
    </row>
    <row r="3543" spans="1:3" x14ac:dyDescent="0.3">
      <c r="A3543" s="80"/>
      <c r="B3543" s="81"/>
      <c r="C3543" s="82"/>
    </row>
    <row r="3544" spans="1:3" x14ac:dyDescent="0.3">
      <c r="A3544" s="80"/>
      <c r="B3544" s="81"/>
      <c r="C3544" s="82"/>
    </row>
    <row r="3545" spans="1:3" x14ac:dyDescent="0.3">
      <c r="A3545" s="80"/>
      <c r="B3545" s="81"/>
      <c r="C3545" s="82"/>
    </row>
    <row r="3546" spans="1:3" x14ac:dyDescent="0.3">
      <c r="A3546" s="80"/>
      <c r="B3546" s="81"/>
      <c r="C3546" s="82"/>
    </row>
    <row r="3547" spans="1:3" x14ac:dyDescent="0.3">
      <c r="A3547" s="80"/>
      <c r="B3547" s="81"/>
      <c r="C3547" s="82"/>
    </row>
    <row r="3548" spans="1:3" x14ac:dyDescent="0.3">
      <c r="A3548" s="80"/>
      <c r="B3548" s="81"/>
      <c r="C3548" s="82"/>
    </row>
    <row r="3549" spans="1:3" x14ac:dyDescent="0.3">
      <c r="A3549" s="80"/>
      <c r="B3549" s="81"/>
      <c r="C3549" s="82"/>
    </row>
    <row r="3550" spans="1:3" x14ac:dyDescent="0.3">
      <c r="A3550" s="80"/>
      <c r="B3550" s="81"/>
      <c r="C3550" s="82"/>
    </row>
    <row r="3551" spans="1:3" x14ac:dyDescent="0.3">
      <c r="A3551" s="80"/>
      <c r="B3551" s="81"/>
      <c r="C3551" s="82"/>
    </row>
    <row r="3552" spans="1:3" x14ac:dyDescent="0.3">
      <c r="A3552" s="80"/>
      <c r="B3552" s="81"/>
      <c r="C3552" s="82"/>
    </row>
    <row r="3553" spans="1:3" x14ac:dyDescent="0.3">
      <c r="A3553" s="80"/>
      <c r="B3553" s="81"/>
      <c r="C3553" s="82"/>
    </row>
    <row r="3554" spans="1:3" x14ac:dyDescent="0.3">
      <c r="A3554" s="80"/>
      <c r="B3554" s="81"/>
      <c r="C3554" s="82"/>
    </row>
    <row r="3555" spans="1:3" x14ac:dyDescent="0.3">
      <c r="A3555" s="80"/>
      <c r="B3555" s="81"/>
      <c r="C3555" s="82"/>
    </row>
    <row r="3556" spans="1:3" x14ac:dyDescent="0.3">
      <c r="A3556" s="80"/>
      <c r="B3556" s="81"/>
      <c r="C3556" s="82"/>
    </row>
    <row r="3557" spans="1:3" x14ac:dyDescent="0.3">
      <c r="A3557" s="80"/>
      <c r="B3557" s="81"/>
      <c r="C3557" s="82"/>
    </row>
    <row r="3558" spans="1:3" x14ac:dyDescent="0.3">
      <c r="A3558" s="80"/>
      <c r="B3558" s="81"/>
      <c r="C3558" s="82"/>
    </row>
    <row r="3559" spans="1:3" x14ac:dyDescent="0.3">
      <c r="A3559" s="80"/>
      <c r="B3559" s="81"/>
      <c r="C3559" s="82"/>
    </row>
    <row r="3560" spans="1:3" x14ac:dyDescent="0.3">
      <c r="A3560" s="80"/>
      <c r="B3560" s="81"/>
      <c r="C3560" s="82"/>
    </row>
    <row r="3561" spans="1:3" x14ac:dyDescent="0.3">
      <c r="A3561" s="80"/>
      <c r="B3561" s="81"/>
      <c r="C3561" s="82"/>
    </row>
    <row r="3562" spans="1:3" x14ac:dyDescent="0.3">
      <c r="A3562" s="80"/>
      <c r="B3562" s="81"/>
      <c r="C3562" s="82"/>
    </row>
    <row r="3563" spans="1:3" x14ac:dyDescent="0.3">
      <c r="A3563" s="80"/>
      <c r="B3563" s="81"/>
      <c r="C3563" s="82"/>
    </row>
    <row r="3564" spans="1:3" x14ac:dyDescent="0.3">
      <c r="A3564" s="80"/>
      <c r="B3564" s="81"/>
      <c r="C3564" s="82"/>
    </row>
    <row r="3565" spans="1:3" x14ac:dyDescent="0.3">
      <c r="A3565" s="80"/>
      <c r="B3565" s="81"/>
      <c r="C3565" s="82"/>
    </row>
    <row r="3566" spans="1:3" x14ac:dyDescent="0.3">
      <c r="A3566" s="80"/>
      <c r="B3566" s="81"/>
      <c r="C3566" s="82"/>
    </row>
    <row r="3567" spans="1:3" x14ac:dyDescent="0.3">
      <c r="A3567" s="80"/>
      <c r="B3567" s="81"/>
      <c r="C3567" s="82"/>
    </row>
    <row r="3568" spans="1:3" x14ac:dyDescent="0.3">
      <c r="A3568" s="80"/>
      <c r="B3568" s="81"/>
      <c r="C3568" s="82"/>
    </row>
    <row r="3569" spans="1:3" x14ac:dyDescent="0.3">
      <c r="A3569" s="80"/>
      <c r="B3569" s="81"/>
      <c r="C3569" s="82"/>
    </row>
    <row r="3570" spans="1:3" x14ac:dyDescent="0.3">
      <c r="A3570" s="80"/>
      <c r="B3570" s="81"/>
      <c r="C3570" s="82"/>
    </row>
    <row r="3571" spans="1:3" x14ac:dyDescent="0.3">
      <c r="A3571" s="80"/>
      <c r="B3571" s="81"/>
      <c r="C3571" s="82"/>
    </row>
    <row r="3572" spans="1:3" x14ac:dyDescent="0.3">
      <c r="A3572" s="80"/>
      <c r="B3572" s="81"/>
      <c r="C3572" s="82"/>
    </row>
    <row r="3573" spans="1:3" x14ac:dyDescent="0.3">
      <c r="A3573" s="80"/>
      <c r="B3573" s="81"/>
      <c r="C3573" s="82"/>
    </row>
    <row r="3574" spans="1:3" x14ac:dyDescent="0.3">
      <c r="A3574" s="80"/>
      <c r="B3574" s="81"/>
      <c r="C3574" s="82"/>
    </row>
    <row r="3575" spans="1:3" x14ac:dyDescent="0.3">
      <c r="A3575" s="80"/>
      <c r="B3575" s="81"/>
      <c r="C3575" s="82"/>
    </row>
    <row r="3576" spans="1:3" x14ac:dyDescent="0.3">
      <c r="A3576" s="80"/>
      <c r="B3576" s="81"/>
      <c r="C3576" s="82"/>
    </row>
    <row r="3577" spans="1:3" x14ac:dyDescent="0.3">
      <c r="A3577" s="80"/>
      <c r="B3577" s="81"/>
      <c r="C3577" s="82"/>
    </row>
    <row r="3578" spans="1:3" x14ac:dyDescent="0.3">
      <c r="A3578" s="80"/>
      <c r="B3578" s="81"/>
      <c r="C3578" s="82"/>
    </row>
    <row r="3579" spans="1:3" x14ac:dyDescent="0.3">
      <c r="A3579" s="80"/>
      <c r="B3579" s="81"/>
      <c r="C3579" s="82"/>
    </row>
    <row r="3580" spans="1:3" x14ac:dyDescent="0.3">
      <c r="A3580" s="80"/>
      <c r="B3580" s="81"/>
      <c r="C3580" s="82"/>
    </row>
    <row r="3581" spans="1:3" x14ac:dyDescent="0.3">
      <c r="A3581" s="80"/>
      <c r="B3581" s="81"/>
      <c r="C3581" s="82"/>
    </row>
    <row r="3582" spans="1:3" x14ac:dyDescent="0.3">
      <c r="A3582" s="80"/>
      <c r="B3582" s="81"/>
      <c r="C3582" s="82"/>
    </row>
    <row r="3583" spans="1:3" x14ac:dyDescent="0.3">
      <c r="A3583" s="80"/>
      <c r="B3583" s="81"/>
      <c r="C3583" s="82"/>
    </row>
    <row r="3584" spans="1:3" x14ac:dyDescent="0.3">
      <c r="A3584" s="80"/>
      <c r="B3584" s="81"/>
      <c r="C3584" s="82"/>
    </row>
    <row r="3585" spans="1:3" x14ac:dyDescent="0.3">
      <c r="A3585" s="80"/>
      <c r="B3585" s="81"/>
      <c r="C3585" s="82"/>
    </row>
    <row r="3586" spans="1:3" x14ac:dyDescent="0.3">
      <c r="A3586" s="80"/>
      <c r="B3586" s="81"/>
      <c r="C3586" s="82"/>
    </row>
    <row r="3587" spans="1:3" x14ac:dyDescent="0.3">
      <c r="A3587" s="80"/>
      <c r="B3587" s="81"/>
      <c r="C3587" s="82"/>
    </row>
    <row r="3588" spans="1:3" x14ac:dyDescent="0.3">
      <c r="A3588" s="80"/>
      <c r="B3588" s="81"/>
      <c r="C3588" s="82"/>
    </row>
    <row r="3589" spans="1:3" x14ac:dyDescent="0.3">
      <c r="A3589" s="80"/>
      <c r="B3589" s="81"/>
      <c r="C3589" s="82"/>
    </row>
    <row r="3590" spans="1:3" x14ac:dyDescent="0.3">
      <c r="A3590" s="80"/>
      <c r="B3590" s="81"/>
      <c r="C3590" s="82"/>
    </row>
    <row r="3591" spans="1:3" x14ac:dyDescent="0.3">
      <c r="A3591" s="80"/>
      <c r="B3591" s="81"/>
      <c r="C3591" s="82"/>
    </row>
    <row r="3592" spans="1:3" x14ac:dyDescent="0.3">
      <c r="A3592" s="80"/>
      <c r="B3592" s="81"/>
      <c r="C3592" s="82"/>
    </row>
    <row r="3593" spans="1:3" x14ac:dyDescent="0.3">
      <c r="A3593" s="80"/>
      <c r="B3593" s="81"/>
      <c r="C3593" s="82"/>
    </row>
    <row r="3594" spans="1:3" x14ac:dyDescent="0.3">
      <c r="A3594" s="80"/>
      <c r="B3594" s="81"/>
      <c r="C3594" s="82"/>
    </row>
    <row r="3595" spans="1:3" x14ac:dyDescent="0.3">
      <c r="A3595" s="80"/>
      <c r="B3595" s="81"/>
      <c r="C3595" s="82"/>
    </row>
    <row r="3596" spans="1:3" x14ac:dyDescent="0.3">
      <c r="A3596" s="80"/>
      <c r="B3596" s="81"/>
      <c r="C3596" s="82"/>
    </row>
    <row r="3597" spans="1:3" x14ac:dyDescent="0.3">
      <c r="A3597" s="80"/>
      <c r="B3597" s="81"/>
      <c r="C3597" s="82"/>
    </row>
    <row r="3598" spans="1:3" x14ac:dyDescent="0.3">
      <c r="A3598" s="80"/>
      <c r="B3598" s="81"/>
      <c r="C3598" s="82"/>
    </row>
    <row r="3599" spans="1:3" x14ac:dyDescent="0.3">
      <c r="A3599" s="80"/>
      <c r="B3599" s="81"/>
      <c r="C3599" s="82"/>
    </row>
    <row r="3600" spans="1:3" x14ac:dyDescent="0.3">
      <c r="A3600" s="80"/>
      <c r="B3600" s="81"/>
      <c r="C3600" s="82"/>
    </row>
    <row r="3601" spans="1:3" x14ac:dyDescent="0.3">
      <c r="A3601" s="80"/>
      <c r="B3601" s="81"/>
      <c r="C3601" s="82"/>
    </row>
    <row r="3602" spans="1:3" x14ac:dyDescent="0.3">
      <c r="A3602" s="80"/>
      <c r="B3602" s="81"/>
      <c r="C3602" s="82"/>
    </row>
    <row r="3603" spans="1:3" x14ac:dyDescent="0.3">
      <c r="A3603" s="80"/>
      <c r="B3603" s="81"/>
      <c r="C3603" s="82"/>
    </row>
    <row r="3604" spans="1:3" x14ac:dyDescent="0.3">
      <c r="A3604" s="80"/>
      <c r="B3604" s="81"/>
      <c r="C3604" s="82"/>
    </row>
    <row r="3605" spans="1:3" x14ac:dyDescent="0.3">
      <c r="A3605" s="80"/>
      <c r="B3605" s="81"/>
      <c r="C3605" s="82"/>
    </row>
    <row r="3606" spans="1:3" x14ac:dyDescent="0.3">
      <c r="A3606" s="80"/>
      <c r="B3606" s="81"/>
      <c r="C3606" s="82"/>
    </row>
    <row r="3607" spans="1:3" x14ac:dyDescent="0.3">
      <c r="A3607" s="80"/>
      <c r="B3607" s="81"/>
      <c r="C3607" s="82"/>
    </row>
    <row r="3608" spans="1:3" x14ac:dyDescent="0.3">
      <c r="A3608" s="80"/>
      <c r="B3608" s="81"/>
      <c r="C3608" s="82"/>
    </row>
    <row r="3609" spans="1:3" x14ac:dyDescent="0.3">
      <c r="A3609" s="80"/>
      <c r="B3609" s="81"/>
      <c r="C3609" s="82"/>
    </row>
    <row r="3610" spans="1:3" x14ac:dyDescent="0.3">
      <c r="A3610" s="80"/>
      <c r="B3610" s="81"/>
      <c r="C3610" s="82"/>
    </row>
    <row r="3611" spans="1:3" x14ac:dyDescent="0.3">
      <c r="A3611" s="80"/>
      <c r="B3611" s="81"/>
      <c r="C3611" s="82"/>
    </row>
    <row r="3612" spans="1:3" x14ac:dyDescent="0.3">
      <c r="A3612" s="80"/>
      <c r="B3612" s="81"/>
      <c r="C3612" s="82"/>
    </row>
    <row r="3613" spans="1:3" x14ac:dyDescent="0.3">
      <c r="A3613" s="80"/>
      <c r="B3613" s="81"/>
      <c r="C3613" s="82"/>
    </row>
    <row r="3614" spans="1:3" x14ac:dyDescent="0.3">
      <c r="A3614" s="80"/>
      <c r="B3614" s="81"/>
      <c r="C3614" s="82"/>
    </row>
    <row r="3615" spans="1:3" x14ac:dyDescent="0.3">
      <c r="A3615" s="80"/>
      <c r="B3615" s="81"/>
      <c r="C3615" s="82"/>
    </row>
    <row r="3616" spans="1:3" x14ac:dyDescent="0.3">
      <c r="A3616" s="80"/>
      <c r="B3616" s="81"/>
      <c r="C3616" s="82"/>
    </row>
    <row r="3617" spans="1:3" x14ac:dyDescent="0.3">
      <c r="A3617" s="80"/>
      <c r="B3617" s="81"/>
      <c r="C3617" s="82"/>
    </row>
    <row r="3618" spans="1:3" x14ac:dyDescent="0.3">
      <c r="A3618" s="80"/>
      <c r="B3618" s="81"/>
      <c r="C3618" s="82"/>
    </row>
    <row r="3619" spans="1:3" x14ac:dyDescent="0.3">
      <c r="A3619" s="80"/>
      <c r="B3619" s="81"/>
      <c r="C3619" s="82"/>
    </row>
    <row r="3620" spans="1:3" x14ac:dyDescent="0.3">
      <c r="A3620" s="80"/>
      <c r="B3620" s="81"/>
      <c r="C3620" s="82"/>
    </row>
    <row r="3621" spans="1:3" x14ac:dyDescent="0.3">
      <c r="A3621" s="80"/>
      <c r="B3621" s="81"/>
      <c r="C3621" s="82"/>
    </row>
    <row r="3622" spans="1:3" x14ac:dyDescent="0.3">
      <c r="A3622" s="80"/>
      <c r="B3622" s="81"/>
      <c r="C3622" s="82"/>
    </row>
    <row r="3623" spans="1:3" x14ac:dyDescent="0.3">
      <c r="A3623" s="80"/>
      <c r="B3623" s="81"/>
      <c r="C3623" s="82"/>
    </row>
    <row r="3624" spans="1:3" x14ac:dyDescent="0.3">
      <c r="A3624" s="80"/>
      <c r="B3624" s="81"/>
      <c r="C3624" s="82"/>
    </row>
    <row r="3625" spans="1:3" x14ac:dyDescent="0.3">
      <c r="A3625" s="80"/>
      <c r="B3625" s="81"/>
      <c r="C3625" s="82"/>
    </row>
    <row r="3626" spans="1:3" x14ac:dyDescent="0.3">
      <c r="A3626" s="80"/>
      <c r="B3626" s="81"/>
      <c r="C3626" s="82"/>
    </row>
    <row r="3627" spans="1:3" x14ac:dyDescent="0.3">
      <c r="A3627" s="80"/>
      <c r="B3627" s="81"/>
      <c r="C3627" s="82"/>
    </row>
    <row r="3628" spans="1:3" x14ac:dyDescent="0.3">
      <c r="A3628" s="80"/>
      <c r="B3628" s="81"/>
      <c r="C3628" s="82"/>
    </row>
    <row r="3629" spans="1:3" x14ac:dyDescent="0.3">
      <c r="A3629" s="80"/>
      <c r="B3629" s="81"/>
      <c r="C3629" s="82"/>
    </row>
    <row r="3630" spans="1:3" x14ac:dyDescent="0.3">
      <c r="A3630" s="80"/>
      <c r="B3630" s="81"/>
      <c r="C3630" s="82"/>
    </row>
    <row r="3631" spans="1:3" x14ac:dyDescent="0.3">
      <c r="A3631" s="80"/>
      <c r="B3631" s="81"/>
      <c r="C3631" s="82"/>
    </row>
    <row r="3632" spans="1:3" x14ac:dyDescent="0.3">
      <c r="A3632" s="80"/>
      <c r="B3632" s="81"/>
      <c r="C3632" s="82"/>
    </row>
    <row r="3633" spans="1:3" x14ac:dyDescent="0.3">
      <c r="A3633" s="80"/>
      <c r="B3633" s="81"/>
      <c r="C3633" s="82"/>
    </row>
    <row r="3634" spans="1:3" x14ac:dyDescent="0.3">
      <c r="A3634" s="80"/>
      <c r="B3634" s="81"/>
      <c r="C3634" s="82"/>
    </row>
    <row r="3635" spans="1:3" x14ac:dyDescent="0.3">
      <c r="A3635" s="80"/>
      <c r="B3635" s="81"/>
      <c r="C3635" s="82"/>
    </row>
    <row r="3636" spans="1:3" x14ac:dyDescent="0.3">
      <c r="A3636" s="80"/>
      <c r="B3636" s="81"/>
      <c r="C3636" s="82"/>
    </row>
    <row r="3637" spans="1:3" x14ac:dyDescent="0.3">
      <c r="A3637" s="80"/>
      <c r="B3637" s="81"/>
      <c r="C3637" s="82"/>
    </row>
    <row r="3638" spans="1:3" x14ac:dyDescent="0.3">
      <c r="A3638" s="80"/>
      <c r="B3638" s="81"/>
      <c r="C3638" s="82"/>
    </row>
    <row r="3639" spans="1:3" x14ac:dyDescent="0.3">
      <c r="A3639" s="80"/>
      <c r="B3639" s="81"/>
      <c r="C3639" s="82"/>
    </row>
    <row r="3640" spans="1:3" x14ac:dyDescent="0.3">
      <c r="A3640" s="80"/>
      <c r="B3640" s="81"/>
      <c r="C3640" s="82"/>
    </row>
    <row r="3641" spans="1:3" x14ac:dyDescent="0.3">
      <c r="A3641" s="80"/>
      <c r="B3641" s="81"/>
      <c r="C3641" s="82"/>
    </row>
    <row r="3642" spans="1:3" x14ac:dyDescent="0.3">
      <c r="A3642" s="80"/>
      <c r="B3642" s="81"/>
      <c r="C3642" s="82"/>
    </row>
    <row r="3643" spans="1:3" x14ac:dyDescent="0.3">
      <c r="A3643" s="80"/>
      <c r="B3643" s="81"/>
      <c r="C3643" s="82"/>
    </row>
    <row r="3644" spans="1:3" x14ac:dyDescent="0.3">
      <c r="A3644" s="80"/>
      <c r="B3644" s="81"/>
      <c r="C3644" s="82"/>
    </row>
    <row r="3645" spans="1:3" x14ac:dyDescent="0.3">
      <c r="A3645" s="80"/>
      <c r="B3645" s="81"/>
      <c r="C3645" s="82"/>
    </row>
    <row r="3646" spans="1:3" x14ac:dyDescent="0.3">
      <c r="A3646" s="80"/>
      <c r="B3646" s="81"/>
      <c r="C3646" s="82"/>
    </row>
    <row r="3647" spans="1:3" x14ac:dyDescent="0.3">
      <c r="A3647" s="80"/>
      <c r="B3647" s="81"/>
      <c r="C3647" s="82"/>
    </row>
    <row r="3648" spans="1:3" x14ac:dyDescent="0.3">
      <c r="A3648" s="80"/>
      <c r="B3648" s="81"/>
      <c r="C3648" s="82"/>
    </row>
    <row r="3649" spans="1:3" x14ac:dyDescent="0.3">
      <c r="A3649" s="80"/>
      <c r="B3649" s="81"/>
      <c r="C3649" s="82"/>
    </row>
    <row r="3650" spans="1:3" x14ac:dyDescent="0.3">
      <c r="A3650" s="80"/>
      <c r="B3650" s="81"/>
      <c r="C3650" s="82"/>
    </row>
    <row r="3651" spans="1:3" x14ac:dyDescent="0.3">
      <c r="A3651" s="80"/>
      <c r="B3651" s="81"/>
      <c r="C3651" s="82"/>
    </row>
    <row r="3652" spans="1:3" x14ac:dyDescent="0.3">
      <c r="A3652" s="80"/>
      <c r="B3652" s="81"/>
      <c r="C3652" s="82"/>
    </row>
    <row r="3653" spans="1:3" x14ac:dyDescent="0.3">
      <c r="A3653" s="80"/>
      <c r="B3653" s="81"/>
      <c r="C3653" s="82"/>
    </row>
    <row r="3654" spans="1:3" x14ac:dyDescent="0.3">
      <c r="A3654" s="80"/>
      <c r="B3654" s="81"/>
      <c r="C3654" s="82"/>
    </row>
    <row r="3655" spans="1:3" x14ac:dyDescent="0.3">
      <c r="A3655" s="80"/>
      <c r="B3655" s="81"/>
      <c r="C3655" s="82"/>
    </row>
    <row r="3656" spans="1:3" x14ac:dyDescent="0.3">
      <c r="A3656" s="80"/>
      <c r="B3656" s="81"/>
      <c r="C3656" s="82"/>
    </row>
    <row r="3657" spans="1:3" x14ac:dyDescent="0.3">
      <c r="A3657" s="80"/>
      <c r="B3657" s="81"/>
      <c r="C3657" s="82"/>
    </row>
    <row r="3658" spans="1:3" x14ac:dyDescent="0.3">
      <c r="A3658" s="80"/>
      <c r="B3658" s="81"/>
      <c r="C3658" s="82"/>
    </row>
    <row r="3659" spans="1:3" x14ac:dyDescent="0.3">
      <c r="A3659" s="80"/>
      <c r="B3659" s="81"/>
      <c r="C3659" s="82"/>
    </row>
    <row r="3660" spans="1:3" x14ac:dyDescent="0.3">
      <c r="A3660" s="80"/>
      <c r="B3660" s="81"/>
      <c r="C3660" s="82"/>
    </row>
    <row r="3661" spans="1:3" x14ac:dyDescent="0.3">
      <c r="A3661" s="80"/>
      <c r="B3661" s="81"/>
      <c r="C3661" s="82"/>
    </row>
    <row r="3662" spans="1:3" x14ac:dyDescent="0.3">
      <c r="A3662" s="80"/>
      <c r="B3662" s="81"/>
      <c r="C3662" s="82"/>
    </row>
    <row r="3663" spans="1:3" x14ac:dyDescent="0.3">
      <c r="A3663" s="80"/>
      <c r="B3663" s="81"/>
      <c r="C3663" s="82"/>
    </row>
    <row r="3664" spans="1:3" x14ac:dyDescent="0.3">
      <c r="A3664" s="80"/>
      <c r="B3664" s="81"/>
      <c r="C3664" s="82"/>
    </row>
    <row r="3665" spans="1:3" x14ac:dyDescent="0.3">
      <c r="A3665" s="80"/>
      <c r="B3665" s="81"/>
      <c r="C3665" s="82"/>
    </row>
    <row r="3666" spans="1:3" x14ac:dyDescent="0.3">
      <c r="A3666" s="80"/>
      <c r="B3666" s="81"/>
      <c r="C3666" s="82"/>
    </row>
    <row r="3667" spans="1:3" x14ac:dyDescent="0.3">
      <c r="A3667" s="80"/>
      <c r="B3667" s="81"/>
      <c r="C3667" s="82"/>
    </row>
    <row r="3668" spans="1:3" x14ac:dyDescent="0.3">
      <c r="A3668" s="80"/>
      <c r="B3668" s="81"/>
      <c r="C3668" s="82"/>
    </row>
    <row r="3669" spans="1:3" x14ac:dyDescent="0.3">
      <c r="A3669" s="80"/>
      <c r="B3669" s="81"/>
      <c r="C3669" s="82"/>
    </row>
    <row r="3670" spans="1:3" x14ac:dyDescent="0.3">
      <c r="A3670" s="80"/>
      <c r="B3670" s="81"/>
      <c r="C3670" s="82"/>
    </row>
    <row r="3671" spans="1:3" x14ac:dyDescent="0.3">
      <c r="A3671" s="80"/>
      <c r="B3671" s="81"/>
      <c r="C3671" s="82"/>
    </row>
    <row r="3672" spans="1:3" x14ac:dyDescent="0.3">
      <c r="A3672" s="80"/>
      <c r="B3672" s="81"/>
      <c r="C3672" s="82"/>
    </row>
    <row r="3673" spans="1:3" x14ac:dyDescent="0.3">
      <c r="A3673" s="80"/>
      <c r="B3673" s="81"/>
      <c r="C3673" s="82"/>
    </row>
    <row r="3674" spans="1:3" x14ac:dyDescent="0.3">
      <c r="A3674" s="80"/>
      <c r="B3674" s="81"/>
      <c r="C3674" s="82"/>
    </row>
    <row r="3675" spans="1:3" x14ac:dyDescent="0.3">
      <c r="A3675" s="80"/>
      <c r="B3675" s="81"/>
      <c r="C3675" s="82"/>
    </row>
    <row r="3676" spans="1:3" x14ac:dyDescent="0.3">
      <c r="A3676" s="80"/>
      <c r="B3676" s="81"/>
      <c r="C3676" s="82"/>
    </row>
    <row r="3677" spans="1:3" x14ac:dyDescent="0.3">
      <c r="A3677" s="80"/>
      <c r="B3677" s="81"/>
      <c r="C3677" s="82"/>
    </row>
    <row r="3678" spans="1:3" x14ac:dyDescent="0.3">
      <c r="A3678" s="80"/>
      <c r="B3678" s="81"/>
      <c r="C3678" s="82"/>
    </row>
    <row r="3679" spans="1:3" x14ac:dyDescent="0.3">
      <c r="A3679" s="80"/>
      <c r="B3679" s="81"/>
      <c r="C3679" s="82"/>
    </row>
    <row r="3680" spans="1:3" x14ac:dyDescent="0.3">
      <c r="A3680" s="80"/>
      <c r="B3680" s="81"/>
      <c r="C3680" s="82"/>
    </row>
    <row r="3681" spans="1:3" x14ac:dyDescent="0.3">
      <c r="A3681" s="80"/>
      <c r="B3681" s="81"/>
      <c r="C3681" s="82"/>
    </row>
    <row r="3682" spans="1:3" x14ac:dyDescent="0.3">
      <c r="A3682" s="80"/>
      <c r="B3682" s="81"/>
      <c r="C3682" s="82"/>
    </row>
    <row r="3683" spans="1:3" x14ac:dyDescent="0.3">
      <c r="A3683" s="80"/>
      <c r="B3683" s="81"/>
      <c r="C3683" s="82"/>
    </row>
    <row r="3684" spans="1:3" x14ac:dyDescent="0.3">
      <c r="A3684" s="80"/>
      <c r="B3684" s="81"/>
      <c r="C3684" s="82"/>
    </row>
    <row r="3685" spans="1:3" x14ac:dyDescent="0.3">
      <c r="A3685" s="80"/>
      <c r="B3685" s="81"/>
      <c r="C3685" s="82"/>
    </row>
    <row r="3686" spans="1:3" x14ac:dyDescent="0.3">
      <c r="A3686" s="80"/>
      <c r="B3686" s="81"/>
      <c r="C3686" s="82"/>
    </row>
    <row r="3687" spans="1:3" x14ac:dyDescent="0.3">
      <c r="A3687" s="80"/>
      <c r="B3687" s="81"/>
      <c r="C3687" s="82"/>
    </row>
    <row r="3688" spans="1:3" x14ac:dyDescent="0.3">
      <c r="A3688" s="80"/>
      <c r="B3688" s="81"/>
      <c r="C3688" s="82"/>
    </row>
    <row r="3689" spans="1:3" x14ac:dyDescent="0.3">
      <c r="A3689" s="80"/>
      <c r="B3689" s="81"/>
      <c r="C3689" s="82"/>
    </row>
    <row r="3690" spans="1:3" x14ac:dyDescent="0.3">
      <c r="A3690" s="80"/>
      <c r="B3690" s="81"/>
      <c r="C3690" s="82"/>
    </row>
    <row r="3691" spans="1:3" x14ac:dyDescent="0.3">
      <c r="A3691" s="80"/>
      <c r="B3691" s="81"/>
      <c r="C3691" s="82"/>
    </row>
    <row r="3692" spans="1:3" x14ac:dyDescent="0.3">
      <c r="A3692" s="80"/>
      <c r="B3692" s="81"/>
      <c r="C3692" s="82"/>
    </row>
    <row r="3693" spans="1:3" x14ac:dyDescent="0.3">
      <c r="A3693" s="80"/>
      <c r="B3693" s="81"/>
      <c r="C3693" s="82"/>
    </row>
    <row r="3694" spans="1:3" x14ac:dyDescent="0.3">
      <c r="A3694" s="80"/>
      <c r="B3694" s="81"/>
      <c r="C3694" s="82"/>
    </row>
    <row r="3695" spans="1:3" x14ac:dyDescent="0.3">
      <c r="A3695" s="80"/>
      <c r="B3695" s="81"/>
      <c r="C3695" s="82"/>
    </row>
    <row r="3696" spans="1:3" x14ac:dyDescent="0.3">
      <c r="A3696" s="80"/>
      <c r="B3696" s="81"/>
      <c r="C3696" s="82"/>
    </row>
    <row r="3697" spans="1:3" x14ac:dyDescent="0.3">
      <c r="A3697" s="80"/>
      <c r="B3697" s="81"/>
      <c r="C3697" s="82"/>
    </row>
    <row r="3698" spans="1:3" x14ac:dyDescent="0.3">
      <c r="A3698" s="80"/>
      <c r="B3698" s="81"/>
      <c r="C3698" s="82"/>
    </row>
    <row r="3699" spans="1:3" x14ac:dyDescent="0.3">
      <c r="A3699" s="80"/>
      <c r="B3699" s="81"/>
      <c r="C3699" s="82"/>
    </row>
    <row r="3700" spans="1:3" x14ac:dyDescent="0.3">
      <c r="A3700" s="80"/>
      <c r="B3700" s="81"/>
      <c r="C3700" s="82"/>
    </row>
    <row r="3701" spans="1:3" x14ac:dyDescent="0.3">
      <c r="A3701" s="80"/>
      <c r="B3701" s="81"/>
      <c r="C3701" s="82"/>
    </row>
    <row r="3702" spans="1:3" x14ac:dyDescent="0.3">
      <c r="A3702" s="80"/>
      <c r="B3702" s="81"/>
      <c r="C3702" s="82"/>
    </row>
    <row r="3703" spans="1:3" x14ac:dyDescent="0.3">
      <c r="A3703" s="80"/>
      <c r="B3703" s="81"/>
      <c r="C3703" s="82"/>
    </row>
    <row r="3704" spans="1:3" x14ac:dyDescent="0.3">
      <c r="A3704" s="80"/>
      <c r="B3704" s="81"/>
      <c r="C3704" s="82"/>
    </row>
    <row r="3705" spans="1:3" x14ac:dyDescent="0.3">
      <c r="A3705" s="80"/>
      <c r="B3705" s="81"/>
      <c r="C3705" s="82"/>
    </row>
    <row r="3706" spans="1:3" x14ac:dyDescent="0.3">
      <c r="A3706" s="80"/>
      <c r="B3706" s="81"/>
      <c r="C3706" s="82"/>
    </row>
    <row r="3707" spans="1:3" x14ac:dyDescent="0.3">
      <c r="A3707" s="80"/>
      <c r="B3707" s="81"/>
      <c r="C3707" s="82"/>
    </row>
    <row r="3708" spans="1:3" x14ac:dyDescent="0.3">
      <c r="A3708" s="80"/>
      <c r="B3708" s="81"/>
      <c r="C3708" s="82"/>
    </row>
    <row r="3709" spans="1:3" x14ac:dyDescent="0.3">
      <c r="A3709" s="80"/>
      <c r="B3709" s="81"/>
      <c r="C3709" s="82"/>
    </row>
    <row r="3710" spans="1:3" x14ac:dyDescent="0.3">
      <c r="A3710" s="80"/>
      <c r="B3710" s="81"/>
      <c r="C3710" s="82"/>
    </row>
    <row r="3711" spans="1:3" x14ac:dyDescent="0.3">
      <c r="A3711" s="80"/>
      <c r="B3711" s="81"/>
      <c r="C3711" s="82"/>
    </row>
    <row r="3712" spans="1:3" x14ac:dyDescent="0.3">
      <c r="A3712" s="80"/>
      <c r="B3712" s="81"/>
      <c r="C3712" s="82"/>
    </row>
    <row r="3713" spans="1:3" x14ac:dyDescent="0.3">
      <c r="A3713" s="80"/>
      <c r="B3713" s="81"/>
      <c r="C3713" s="82"/>
    </row>
    <row r="3714" spans="1:3" x14ac:dyDescent="0.3">
      <c r="A3714" s="80"/>
      <c r="B3714" s="81"/>
      <c r="C3714" s="82"/>
    </row>
    <row r="3715" spans="1:3" x14ac:dyDescent="0.3">
      <c r="A3715" s="80"/>
      <c r="B3715" s="81"/>
      <c r="C3715" s="82"/>
    </row>
    <row r="3716" spans="1:3" x14ac:dyDescent="0.3">
      <c r="A3716" s="80"/>
      <c r="B3716" s="81"/>
      <c r="C3716" s="82"/>
    </row>
    <row r="3717" spans="1:3" x14ac:dyDescent="0.3">
      <c r="A3717" s="80"/>
      <c r="B3717" s="81"/>
      <c r="C3717" s="82"/>
    </row>
    <row r="3718" spans="1:3" x14ac:dyDescent="0.3">
      <c r="A3718" s="80"/>
      <c r="B3718" s="81"/>
      <c r="C3718" s="82"/>
    </row>
    <row r="3719" spans="1:3" x14ac:dyDescent="0.3">
      <c r="A3719" s="80"/>
      <c r="B3719" s="81"/>
      <c r="C3719" s="82"/>
    </row>
    <row r="3720" spans="1:3" x14ac:dyDescent="0.3">
      <c r="A3720" s="80"/>
      <c r="B3720" s="81"/>
      <c r="C3720" s="82"/>
    </row>
    <row r="3721" spans="1:3" x14ac:dyDescent="0.3">
      <c r="A3721" s="80"/>
      <c r="B3721" s="81"/>
      <c r="C3721" s="82"/>
    </row>
    <row r="3722" spans="1:3" x14ac:dyDescent="0.3">
      <c r="A3722" s="80"/>
      <c r="B3722" s="81"/>
      <c r="C3722" s="82"/>
    </row>
    <row r="3723" spans="1:3" x14ac:dyDescent="0.3">
      <c r="A3723" s="80"/>
      <c r="B3723" s="81"/>
      <c r="C3723" s="82"/>
    </row>
    <row r="3724" spans="1:3" x14ac:dyDescent="0.3">
      <c r="A3724" s="80"/>
      <c r="B3724" s="81"/>
      <c r="C3724" s="82"/>
    </row>
    <row r="3725" spans="1:3" x14ac:dyDescent="0.3">
      <c r="A3725" s="80"/>
      <c r="B3725" s="81"/>
      <c r="C3725" s="82"/>
    </row>
    <row r="3726" spans="1:3" x14ac:dyDescent="0.3">
      <c r="A3726" s="80"/>
      <c r="B3726" s="81"/>
      <c r="C3726" s="82"/>
    </row>
    <row r="3727" spans="1:3" x14ac:dyDescent="0.3">
      <c r="A3727" s="80"/>
      <c r="B3727" s="81"/>
      <c r="C3727" s="82"/>
    </row>
    <row r="3728" spans="1:3" x14ac:dyDescent="0.3">
      <c r="A3728" s="80"/>
      <c r="B3728" s="81"/>
      <c r="C3728" s="82"/>
    </row>
    <row r="3729" spans="1:3" x14ac:dyDescent="0.3">
      <c r="A3729" s="80"/>
      <c r="B3729" s="81"/>
      <c r="C3729" s="82"/>
    </row>
    <row r="3730" spans="1:3" x14ac:dyDescent="0.3">
      <c r="A3730" s="80"/>
      <c r="B3730" s="81"/>
      <c r="C3730" s="82"/>
    </row>
    <row r="3731" spans="1:3" x14ac:dyDescent="0.3">
      <c r="A3731" s="80"/>
      <c r="B3731" s="81"/>
      <c r="C3731" s="82"/>
    </row>
    <row r="3732" spans="1:3" x14ac:dyDescent="0.3">
      <c r="A3732" s="80"/>
      <c r="B3732" s="81"/>
      <c r="C3732" s="82"/>
    </row>
    <row r="3733" spans="1:3" x14ac:dyDescent="0.3">
      <c r="A3733" s="80"/>
      <c r="B3733" s="81"/>
      <c r="C3733" s="82"/>
    </row>
    <row r="3734" spans="1:3" x14ac:dyDescent="0.3">
      <c r="A3734" s="80"/>
      <c r="B3734" s="81"/>
      <c r="C3734" s="82"/>
    </row>
    <row r="3735" spans="1:3" x14ac:dyDescent="0.3">
      <c r="A3735" s="80"/>
      <c r="B3735" s="81"/>
      <c r="C3735" s="82"/>
    </row>
    <row r="3736" spans="1:3" x14ac:dyDescent="0.3">
      <c r="A3736" s="80"/>
      <c r="B3736" s="81"/>
      <c r="C3736" s="82"/>
    </row>
    <row r="3737" spans="1:3" x14ac:dyDescent="0.3">
      <c r="A3737" s="80"/>
      <c r="B3737" s="81"/>
      <c r="C3737" s="82"/>
    </row>
    <row r="3738" spans="1:3" x14ac:dyDescent="0.3">
      <c r="A3738" s="80"/>
      <c r="B3738" s="81"/>
      <c r="C3738" s="82"/>
    </row>
    <row r="3739" spans="1:3" x14ac:dyDescent="0.3">
      <c r="A3739" s="80"/>
      <c r="B3739" s="81"/>
      <c r="C3739" s="82"/>
    </row>
    <row r="3740" spans="1:3" x14ac:dyDescent="0.3">
      <c r="A3740" s="80"/>
      <c r="B3740" s="81"/>
      <c r="C3740" s="82"/>
    </row>
    <row r="3741" spans="1:3" x14ac:dyDescent="0.3">
      <c r="A3741" s="80"/>
      <c r="B3741" s="81"/>
      <c r="C3741" s="82"/>
    </row>
    <row r="3742" spans="1:3" x14ac:dyDescent="0.3">
      <c r="A3742" s="80"/>
      <c r="B3742" s="81"/>
      <c r="C3742" s="82"/>
    </row>
    <row r="3743" spans="1:3" x14ac:dyDescent="0.3">
      <c r="A3743" s="80"/>
      <c r="B3743" s="81"/>
      <c r="C3743" s="82"/>
    </row>
    <row r="3744" spans="1:3" x14ac:dyDescent="0.3">
      <c r="A3744" s="80"/>
      <c r="B3744" s="81"/>
      <c r="C3744" s="82"/>
    </row>
    <row r="3745" spans="1:3" x14ac:dyDescent="0.3">
      <c r="A3745" s="80"/>
      <c r="B3745" s="81"/>
      <c r="C3745" s="82"/>
    </row>
    <row r="3746" spans="1:3" x14ac:dyDescent="0.3">
      <c r="A3746" s="80"/>
      <c r="B3746" s="81"/>
      <c r="C3746" s="82"/>
    </row>
    <row r="3747" spans="1:3" x14ac:dyDescent="0.3">
      <c r="A3747" s="80"/>
      <c r="B3747" s="81"/>
      <c r="C3747" s="82"/>
    </row>
    <row r="3748" spans="1:3" x14ac:dyDescent="0.3">
      <c r="A3748" s="80"/>
      <c r="B3748" s="81"/>
      <c r="C3748" s="82"/>
    </row>
    <row r="3749" spans="1:3" x14ac:dyDescent="0.3">
      <c r="A3749" s="80"/>
      <c r="B3749" s="81"/>
      <c r="C3749" s="82"/>
    </row>
    <row r="3750" spans="1:3" x14ac:dyDescent="0.3">
      <c r="A3750" s="80"/>
      <c r="B3750" s="81"/>
      <c r="C3750" s="82"/>
    </row>
    <row r="3751" spans="1:3" x14ac:dyDescent="0.3">
      <c r="A3751" s="80"/>
      <c r="B3751" s="81"/>
      <c r="C3751" s="82"/>
    </row>
    <row r="3752" spans="1:3" x14ac:dyDescent="0.3">
      <c r="A3752" s="80"/>
      <c r="B3752" s="81"/>
      <c r="C3752" s="82"/>
    </row>
    <row r="3753" spans="1:3" x14ac:dyDescent="0.3">
      <c r="A3753" s="80"/>
      <c r="B3753" s="81"/>
      <c r="C3753" s="82"/>
    </row>
    <row r="3754" spans="1:3" x14ac:dyDescent="0.3">
      <c r="A3754" s="80"/>
      <c r="B3754" s="81"/>
      <c r="C3754" s="82"/>
    </row>
    <row r="3755" spans="1:3" x14ac:dyDescent="0.3">
      <c r="A3755" s="80"/>
      <c r="B3755" s="81"/>
      <c r="C3755" s="82"/>
    </row>
    <row r="3756" spans="1:3" x14ac:dyDescent="0.3">
      <c r="A3756" s="80"/>
      <c r="B3756" s="81"/>
      <c r="C3756" s="82"/>
    </row>
    <row r="3757" spans="1:3" x14ac:dyDescent="0.3">
      <c r="A3757" s="80"/>
      <c r="B3757" s="81"/>
      <c r="C3757" s="82"/>
    </row>
    <row r="3758" spans="1:3" x14ac:dyDescent="0.3">
      <c r="A3758" s="80"/>
      <c r="B3758" s="81"/>
      <c r="C3758" s="82"/>
    </row>
    <row r="3759" spans="1:3" x14ac:dyDescent="0.3">
      <c r="A3759" s="80"/>
      <c r="B3759" s="81"/>
      <c r="C3759" s="82"/>
    </row>
    <row r="3760" spans="1:3" x14ac:dyDescent="0.3">
      <c r="A3760" s="80"/>
      <c r="B3760" s="81"/>
      <c r="C3760" s="82"/>
    </row>
    <row r="3761" spans="1:3" x14ac:dyDescent="0.3">
      <c r="A3761" s="80"/>
      <c r="B3761" s="81"/>
      <c r="C3761" s="82"/>
    </row>
    <row r="3762" spans="1:3" x14ac:dyDescent="0.3">
      <c r="A3762" s="80"/>
      <c r="B3762" s="81"/>
      <c r="C3762" s="82"/>
    </row>
    <row r="3763" spans="1:3" x14ac:dyDescent="0.3">
      <c r="A3763" s="80"/>
      <c r="B3763" s="81"/>
      <c r="C3763" s="82"/>
    </row>
    <row r="3764" spans="1:3" x14ac:dyDescent="0.3">
      <c r="A3764" s="80"/>
      <c r="B3764" s="81"/>
      <c r="C3764" s="82"/>
    </row>
    <row r="3765" spans="1:3" x14ac:dyDescent="0.3">
      <c r="A3765" s="80"/>
      <c r="B3765" s="81"/>
      <c r="C3765" s="82"/>
    </row>
    <row r="3766" spans="1:3" x14ac:dyDescent="0.3">
      <c r="A3766" s="80"/>
      <c r="B3766" s="81"/>
      <c r="C3766" s="82"/>
    </row>
    <row r="3767" spans="1:3" x14ac:dyDescent="0.3">
      <c r="A3767" s="80"/>
      <c r="B3767" s="81"/>
      <c r="C3767" s="82"/>
    </row>
    <row r="3768" spans="1:3" x14ac:dyDescent="0.3">
      <c r="A3768" s="80"/>
      <c r="B3768" s="81"/>
      <c r="C3768" s="82"/>
    </row>
    <row r="3769" spans="1:3" x14ac:dyDescent="0.3">
      <c r="A3769" s="80"/>
      <c r="B3769" s="81"/>
      <c r="C3769" s="82"/>
    </row>
    <row r="3770" spans="1:3" x14ac:dyDescent="0.3">
      <c r="A3770" s="80"/>
      <c r="B3770" s="81"/>
      <c r="C3770" s="82"/>
    </row>
    <row r="3771" spans="1:3" x14ac:dyDescent="0.3">
      <c r="A3771" s="80"/>
      <c r="B3771" s="81"/>
      <c r="C3771" s="82"/>
    </row>
    <row r="3772" spans="1:3" x14ac:dyDescent="0.3">
      <c r="A3772" s="80"/>
      <c r="B3772" s="81"/>
      <c r="C3772" s="82"/>
    </row>
    <row r="3773" spans="1:3" x14ac:dyDescent="0.3">
      <c r="A3773" s="80"/>
      <c r="B3773" s="81"/>
      <c r="C3773" s="82"/>
    </row>
    <row r="3774" spans="1:3" x14ac:dyDescent="0.3">
      <c r="A3774" s="80"/>
      <c r="B3774" s="81"/>
      <c r="C3774" s="82"/>
    </row>
    <row r="3775" spans="1:3" x14ac:dyDescent="0.3">
      <c r="A3775" s="80"/>
      <c r="B3775" s="81"/>
      <c r="C3775" s="82"/>
    </row>
    <row r="3776" spans="1:3" x14ac:dyDescent="0.3">
      <c r="A3776" s="80"/>
      <c r="B3776" s="81"/>
      <c r="C3776" s="82"/>
    </row>
    <row r="3777" spans="1:3" x14ac:dyDescent="0.3">
      <c r="A3777" s="80"/>
      <c r="B3777" s="81"/>
      <c r="C3777" s="82"/>
    </row>
    <row r="3778" spans="1:3" x14ac:dyDescent="0.3">
      <c r="A3778" s="80"/>
      <c r="B3778" s="81"/>
      <c r="C3778" s="82"/>
    </row>
    <row r="3779" spans="1:3" x14ac:dyDescent="0.3">
      <c r="A3779" s="80"/>
      <c r="B3779" s="81"/>
      <c r="C3779" s="82"/>
    </row>
    <row r="3780" spans="1:3" x14ac:dyDescent="0.3">
      <c r="A3780" s="80"/>
      <c r="B3780" s="81"/>
      <c r="C3780" s="82"/>
    </row>
    <row r="3781" spans="1:3" x14ac:dyDescent="0.3">
      <c r="A3781" s="80"/>
      <c r="B3781" s="81"/>
      <c r="C3781" s="82"/>
    </row>
    <row r="3782" spans="1:3" x14ac:dyDescent="0.3">
      <c r="A3782" s="80"/>
      <c r="B3782" s="81"/>
      <c r="C3782" s="82"/>
    </row>
    <row r="3783" spans="1:3" x14ac:dyDescent="0.3">
      <c r="A3783" s="80"/>
      <c r="B3783" s="81"/>
      <c r="C3783" s="82"/>
    </row>
    <row r="3784" spans="1:3" x14ac:dyDescent="0.3">
      <c r="A3784" s="80"/>
      <c r="B3784" s="81"/>
      <c r="C3784" s="82"/>
    </row>
    <row r="3785" spans="1:3" x14ac:dyDescent="0.3">
      <c r="A3785" s="80"/>
      <c r="B3785" s="81"/>
      <c r="C3785" s="82"/>
    </row>
    <row r="3786" spans="1:3" x14ac:dyDescent="0.3">
      <c r="A3786" s="80"/>
      <c r="B3786" s="81"/>
      <c r="C3786" s="82"/>
    </row>
    <row r="3787" spans="1:3" x14ac:dyDescent="0.3">
      <c r="A3787" s="80"/>
      <c r="B3787" s="81"/>
      <c r="C3787" s="82"/>
    </row>
    <row r="3788" spans="1:3" x14ac:dyDescent="0.3">
      <c r="A3788" s="80"/>
      <c r="B3788" s="81"/>
      <c r="C3788" s="82"/>
    </row>
    <row r="3789" spans="1:3" x14ac:dyDescent="0.3">
      <c r="A3789" s="80"/>
      <c r="B3789" s="81"/>
      <c r="C3789" s="82"/>
    </row>
    <row r="3790" spans="1:3" x14ac:dyDescent="0.3">
      <c r="A3790" s="80"/>
      <c r="B3790" s="81"/>
      <c r="C3790" s="82"/>
    </row>
    <row r="3791" spans="1:3" x14ac:dyDescent="0.3">
      <c r="A3791" s="80"/>
      <c r="B3791" s="81"/>
      <c r="C3791" s="82"/>
    </row>
    <row r="3792" spans="1:3" x14ac:dyDescent="0.3">
      <c r="A3792" s="80"/>
      <c r="B3792" s="81"/>
      <c r="C3792" s="82"/>
    </row>
    <row r="3793" spans="1:3" x14ac:dyDescent="0.3">
      <c r="A3793" s="80"/>
      <c r="B3793" s="81"/>
      <c r="C3793" s="82"/>
    </row>
    <row r="3794" spans="1:3" x14ac:dyDescent="0.3">
      <c r="A3794" s="80"/>
      <c r="B3794" s="81"/>
      <c r="C3794" s="82"/>
    </row>
    <row r="3795" spans="1:3" x14ac:dyDescent="0.3">
      <c r="A3795" s="80"/>
      <c r="B3795" s="81"/>
      <c r="C3795" s="82"/>
    </row>
    <row r="3796" spans="1:3" x14ac:dyDescent="0.3">
      <c r="A3796" s="80"/>
      <c r="B3796" s="81"/>
      <c r="C3796" s="82"/>
    </row>
    <row r="3797" spans="1:3" x14ac:dyDescent="0.3">
      <c r="A3797" s="80"/>
      <c r="B3797" s="81"/>
      <c r="C3797" s="82"/>
    </row>
    <row r="3798" spans="1:3" x14ac:dyDescent="0.3">
      <c r="A3798" s="80"/>
      <c r="B3798" s="81"/>
      <c r="C3798" s="82"/>
    </row>
    <row r="3799" spans="1:3" x14ac:dyDescent="0.3">
      <c r="A3799" s="80"/>
      <c r="B3799" s="81"/>
      <c r="C3799" s="82"/>
    </row>
    <row r="3800" spans="1:3" x14ac:dyDescent="0.3">
      <c r="A3800" s="80"/>
      <c r="B3800" s="81"/>
      <c r="C3800" s="82"/>
    </row>
    <row r="3801" spans="1:3" x14ac:dyDescent="0.3">
      <c r="A3801" s="80"/>
      <c r="B3801" s="81"/>
      <c r="C3801" s="82"/>
    </row>
    <row r="3802" spans="1:3" x14ac:dyDescent="0.3">
      <c r="A3802" s="80"/>
      <c r="B3802" s="81"/>
      <c r="C3802" s="82"/>
    </row>
    <row r="3803" spans="1:3" x14ac:dyDescent="0.3">
      <c r="A3803" s="80"/>
      <c r="B3803" s="81"/>
      <c r="C3803" s="82"/>
    </row>
    <row r="3804" spans="1:3" x14ac:dyDescent="0.3">
      <c r="A3804" s="80"/>
      <c r="B3804" s="81"/>
      <c r="C3804" s="82"/>
    </row>
    <row r="3805" spans="1:3" x14ac:dyDescent="0.3">
      <c r="A3805" s="80"/>
      <c r="B3805" s="81"/>
      <c r="C3805" s="82"/>
    </row>
    <row r="3806" spans="1:3" x14ac:dyDescent="0.3">
      <c r="A3806" s="80"/>
      <c r="B3806" s="81"/>
      <c r="C3806" s="82"/>
    </row>
    <row r="3807" spans="1:3" x14ac:dyDescent="0.3">
      <c r="A3807" s="80"/>
      <c r="B3807" s="81"/>
      <c r="C3807" s="82"/>
    </row>
    <row r="3808" spans="1:3" x14ac:dyDescent="0.3">
      <c r="A3808" s="80"/>
      <c r="B3808" s="81"/>
      <c r="C3808" s="82"/>
    </row>
    <row r="3809" spans="1:3" x14ac:dyDescent="0.3">
      <c r="A3809" s="80"/>
      <c r="B3809" s="81"/>
      <c r="C3809" s="82"/>
    </row>
    <row r="3810" spans="1:3" x14ac:dyDescent="0.3">
      <c r="A3810" s="80"/>
      <c r="B3810" s="81"/>
      <c r="C3810" s="82"/>
    </row>
    <row r="3811" spans="1:3" x14ac:dyDescent="0.3">
      <c r="A3811" s="80"/>
      <c r="B3811" s="81"/>
      <c r="C3811" s="82"/>
    </row>
    <row r="3812" spans="1:3" x14ac:dyDescent="0.3">
      <c r="A3812" s="80"/>
      <c r="B3812" s="81"/>
      <c r="C3812" s="82"/>
    </row>
    <row r="3813" spans="1:3" x14ac:dyDescent="0.3">
      <c r="A3813" s="80"/>
      <c r="B3813" s="81"/>
      <c r="C3813" s="82"/>
    </row>
    <row r="3814" spans="1:3" x14ac:dyDescent="0.3">
      <c r="A3814" s="80"/>
      <c r="B3814" s="81"/>
      <c r="C3814" s="82"/>
    </row>
    <row r="3815" spans="1:3" x14ac:dyDescent="0.3">
      <c r="A3815" s="80"/>
      <c r="B3815" s="81"/>
      <c r="C3815" s="82"/>
    </row>
    <row r="3816" spans="1:3" x14ac:dyDescent="0.3">
      <c r="A3816" s="80"/>
      <c r="B3816" s="81"/>
      <c r="C3816" s="82"/>
    </row>
    <row r="3817" spans="1:3" x14ac:dyDescent="0.3">
      <c r="A3817" s="80"/>
      <c r="B3817" s="81"/>
      <c r="C3817" s="82"/>
    </row>
    <row r="3818" spans="1:3" x14ac:dyDescent="0.3">
      <c r="A3818" s="80"/>
      <c r="B3818" s="81"/>
      <c r="C3818" s="82"/>
    </row>
    <row r="3819" spans="1:3" x14ac:dyDescent="0.3">
      <c r="A3819" s="80"/>
      <c r="B3819" s="81"/>
      <c r="C3819" s="82"/>
    </row>
    <row r="3820" spans="1:3" x14ac:dyDescent="0.3">
      <c r="A3820" s="80"/>
      <c r="B3820" s="81"/>
      <c r="C3820" s="82"/>
    </row>
    <row r="3821" spans="1:3" x14ac:dyDescent="0.3">
      <c r="A3821" s="80"/>
      <c r="B3821" s="81"/>
      <c r="C3821" s="82"/>
    </row>
    <row r="3822" spans="1:3" x14ac:dyDescent="0.3">
      <c r="A3822" s="80"/>
      <c r="B3822" s="81"/>
      <c r="C3822" s="82"/>
    </row>
    <row r="3823" spans="1:3" x14ac:dyDescent="0.3">
      <c r="A3823" s="80"/>
      <c r="B3823" s="81"/>
      <c r="C3823" s="82"/>
    </row>
    <row r="3824" spans="1:3" x14ac:dyDescent="0.3">
      <c r="A3824" s="80"/>
      <c r="B3824" s="81"/>
      <c r="C3824" s="82"/>
    </row>
    <row r="3825" spans="1:3" x14ac:dyDescent="0.3">
      <c r="A3825" s="80"/>
      <c r="B3825" s="81"/>
      <c r="C3825" s="82"/>
    </row>
    <row r="3826" spans="1:3" x14ac:dyDescent="0.3">
      <c r="A3826" s="80"/>
      <c r="B3826" s="81"/>
      <c r="C3826" s="82"/>
    </row>
    <row r="3827" spans="1:3" x14ac:dyDescent="0.3">
      <c r="A3827" s="80"/>
      <c r="B3827" s="81"/>
      <c r="C3827" s="82"/>
    </row>
    <row r="3828" spans="1:3" x14ac:dyDescent="0.3">
      <c r="A3828" s="80"/>
      <c r="B3828" s="81"/>
      <c r="C3828" s="82"/>
    </row>
    <row r="3829" spans="1:3" x14ac:dyDescent="0.3">
      <c r="A3829" s="80"/>
      <c r="B3829" s="81"/>
      <c r="C3829" s="82"/>
    </row>
    <row r="3830" spans="1:3" x14ac:dyDescent="0.3">
      <c r="A3830" s="80"/>
      <c r="B3830" s="81"/>
      <c r="C3830" s="82"/>
    </row>
    <row r="3831" spans="1:3" x14ac:dyDescent="0.3">
      <c r="A3831" s="80"/>
      <c r="B3831" s="81"/>
      <c r="C3831" s="82"/>
    </row>
    <row r="3832" spans="1:3" x14ac:dyDescent="0.3">
      <c r="A3832" s="80"/>
      <c r="B3832" s="81"/>
      <c r="C3832" s="82"/>
    </row>
    <row r="3833" spans="1:3" x14ac:dyDescent="0.3">
      <c r="A3833" s="80"/>
      <c r="B3833" s="81"/>
      <c r="C3833" s="82"/>
    </row>
    <row r="3834" spans="1:3" x14ac:dyDescent="0.3">
      <c r="A3834" s="80"/>
      <c r="B3834" s="81"/>
      <c r="C3834" s="82"/>
    </row>
    <row r="3835" spans="1:3" x14ac:dyDescent="0.3">
      <c r="A3835" s="80"/>
      <c r="B3835" s="81"/>
      <c r="C3835" s="82"/>
    </row>
    <row r="3836" spans="1:3" x14ac:dyDescent="0.3">
      <c r="A3836" s="80"/>
      <c r="B3836" s="81"/>
      <c r="C3836" s="82"/>
    </row>
    <row r="3837" spans="1:3" x14ac:dyDescent="0.3">
      <c r="A3837" s="80"/>
      <c r="B3837" s="81"/>
      <c r="C3837" s="82"/>
    </row>
    <row r="3838" spans="1:3" x14ac:dyDescent="0.3">
      <c r="A3838" s="80"/>
      <c r="B3838" s="81"/>
      <c r="C3838" s="82"/>
    </row>
    <row r="3839" spans="1:3" x14ac:dyDescent="0.3">
      <c r="A3839" s="80"/>
      <c r="B3839" s="81"/>
      <c r="C3839" s="82"/>
    </row>
    <row r="3840" spans="1:3" x14ac:dyDescent="0.3">
      <c r="A3840" s="80"/>
      <c r="B3840" s="81"/>
      <c r="C3840" s="82"/>
    </row>
    <row r="3841" spans="1:3" x14ac:dyDescent="0.3">
      <c r="A3841" s="80"/>
      <c r="B3841" s="81"/>
      <c r="C3841" s="82"/>
    </row>
    <row r="3842" spans="1:3" x14ac:dyDescent="0.3">
      <c r="A3842" s="80"/>
      <c r="B3842" s="81"/>
      <c r="C3842" s="82"/>
    </row>
    <row r="3843" spans="1:3" x14ac:dyDescent="0.3">
      <c r="A3843" s="80"/>
      <c r="B3843" s="81"/>
      <c r="C3843" s="82"/>
    </row>
    <row r="3844" spans="1:3" x14ac:dyDescent="0.3">
      <c r="A3844" s="80"/>
      <c r="B3844" s="81"/>
      <c r="C3844" s="82"/>
    </row>
    <row r="3845" spans="1:3" x14ac:dyDescent="0.3">
      <c r="A3845" s="80"/>
      <c r="B3845" s="81"/>
      <c r="C3845" s="82"/>
    </row>
    <row r="3846" spans="1:3" x14ac:dyDescent="0.3">
      <c r="A3846" s="80"/>
      <c r="B3846" s="81"/>
      <c r="C3846" s="82"/>
    </row>
    <row r="3847" spans="1:3" x14ac:dyDescent="0.3">
      <c r="A3847" s="80"/>
      <c r="B3847" s="81"/>
      <c r="C3847" s="82"/>
    </row>
    <row r="3848" spans="1:3" x14ac:dyDescent="0.3">
      <c r="A3848" s="80"/>
      <c r="B3848" s="81"/>
      <c r="C3848" s="82"/>
    </row>
    <row r="3849" spans="1:3" x14ac:dyDescent="0.3">
      <c r="A3849" s="80"/>
      <c r="B3849" s="81"/>
      <c r="C3849" s="82"/>
    </row>
    <row r="3850" spans="1:3" x14ac:dyDescent="0.3">
      <c r="A3850" s="80"/>
      <c r="B3850" s="81"/>
      <c r="C3850" s="82"/>
    </row>
    <row r="3851" spans="1:3" x14ac:dyDescent="0.3">
      <c r="A3851" s="80"/>
      <c r="B3851" s="81"/>
      <c r="C3851" s="82"/>
    </row>
    <row r="3852" spans="1:3" x14ac:dyDescent="0.3">
      <c r="A3852" s="80"/>
      <c r="B3852" s="81"/>
      <c r="C3852" s="82"/>
    </row>
    <row r="3853" spans="1:3" x14ac:dyDescent="0.3">
      <c r="A3853" s="80"/>
      <c r="B3853" s="81"/>
      <c r="C3853" s="82"/>
    </row>
    <row r="3854" spans="1:3" x14ac:dyDescent="0.3">
      <c r="A3854" s="80"/>
      <c r="B3854" s="81"/>
      <c r="C3854" s="82"/>
    </row>
    <row r="3855" spans="1:3" x14ac:dyDescent="0.3">
      <c r="A3855" s="80"/>
      <c r="B3855" s="81"/>
      <c r="C3855" s="82"/>
    </row>
    <row r="3856" spans="1:3" x14ac:dyDescent="0.3">
      <c r="A3856" s="80"/>
      <c r="B3856" s="81"/>
      <c r="C3856" s="82"/>
    </row>
    <row r="3857" spans="1:3" x14ac:dyDescent="0.3">
      <c r="A3857" s="80"/>
      <c r="B3857" s="81"/>
      <c r="C3857" s="82"/>
    </row>
    <row r="3858" spans="1:3" x14ac:dyDescent="0.3">
      <c r="A3858" s="80"/>
      <c r="B3858" s="81"/>
      <c r="C3858" s="82"/>
    </row>
    <row r="3859" spans="1:3" x14ac:dyDescent="0.3">
      <c r="A3859" s="80"/>
      <c r="B3859" s="81"/>
      <c r="C3859" s="82"/>
    </row>
    <row r="3860" spans="1:3" x14ac:dyDescent="0.3">
      <c r="A3860" s="80"/>
      <c r="B3860" s="81"/>
      <c r="C3860" s="82"/>
    </row>
    <row r="3861" spans="1:3" x14ac:dyDescent="0.3">
      <c r="A3861" s="80"/>
      <c r="B3861" s="81"/>
      <c r="C3861" s="82"/>
    </row>
    <row r="3862" spans="1:3" x14ac:dyDescent="0.3">
      <c r="A3862" s="80"/>
      <c r="B3862" s="81"/>
      <c r="C3862" s="82"/>
    </row>
    <row r="3863" spans="1:3" x14ac:dyDescent="0.3">
      <c r="A3863" s="80"/>
      <c r="B3863" s="81"/>
      <c r="C3863" s="82"/>
    </row>
    <row r="3864" spans="1:3" x14ac:dyDescent="0.3">
      <c r="A3864" s="80"/>
      <c r="B3864" s="81"/>
      <c r="C3864" s="82"/>
    </row>
    <row r="3865" spans="1:3" x14ac:dyDescent="0.3">
      <c r="A3865" s="80"/>
      <c r="B3865" s="81"/>
      <c r="C3865" s="82"/>
    </row>
    <row r="3866" spans="1:3" x14ac:dyDescent="0.3">
      <c r="A3866" s="80"/>
      <c r="B3866" s="81"/>
      <c r="C3866" s="82"/>
    </row>
    <row r="3867" spans="1:3" x14ac:dyDescent="0.3">
      <c r="A3867" s="80"/>
      <c r="B3867" s="81"/>
      <c r="C3867" s="82"/>
    </row>
    <row r="3868" spans="1:3" x14ac:dyDescent="0.3">
      <c r="A3868" s="80"/>
      <c r="B3868" s="81"/>
      <c r="C3868" s="82"/>
    </row>
    <row r="3869" spans="1:3" x14ac:dyDescent="0.3">
      <c r="A3869" s="80"/>
      <c r="B3869" s="81"/>
      <c r="C3869" s="82"/>
    </row>
    <row r="3870" spans="1:3" x14ac:dyDescent="0.3">
      <c r="A3870" s="80"/>
      <c r="B3870" s="81"/>
      <c r="C3870" s="82"/>
    </row>
    <row r="3871" spans="1:3" x14ac:dyDescent="0.3">
      <c r="A3871" s="80"/>
      <c r="B3871" s="81"/>
      <c r="C3871" s="82"/>
    </row>
    <row r="3872" spans="1:3" x14ac:dyDescent="0.3">
      <c r="A3872" s="80"/>
      <c r="B3872" s="81"/>
      <c r="C3872" s="82"/>
    </row>
    <row r="3873" spans="1:3" x14ac:dyDescent="0.3">
      <c r="A3873" s="80"/>
      <c r="B3873" s="81"/>
      <c r="C3873" s="82"/>
    </row>
    <row r="3874" spans="1:3" x14ac:dyDescent="0.3">
      <c r="A3874" s="80"/>
      <c r="B3874" s="81"/>
      <c r="C3874" s="82"/>
    </row>
    <row r="3875" spans="1:3" x14ac:dyDescent="0.3">
      <c r="A3875" s="80"/>
      <c r="B3875" s="81"/>
      <c r="C3875" s="82"/>
    </row>
    <row r="3876" spans="1:3" x14ac:dyDescent="0.3">
      <c r="A3876" s="80"/>
      <c r="B3876" s="81"/>
      <c r="C3876" s="82"/>
    </row>
    <row r="3877" spans="1:3" x14ac:dyDescent="0.3">
      <c r="A3877" s="80"/>
      <c r="B3877" s="81"/>
      <c r="C3877" s="82"/>
    </row>
    <row r="3878" spans="1:3" x14ac:dyDescent="0.3">
      <c r="A3878" s="80"/>
      <c r="B3878" s="81"/>
      <c r="C3878" s="82"/>
    </row>
    <row r="3879" spans="1:3" x14ac:dyDescent="0.3">
      <c r="A3879" s="80"/>
      <c r="B3879" s="81"/>
      <c r="C3879" s="82"/>
    </row>
    <row r="3880" spans="1:3" x14ac:dyDescent="0.3">
      <c r="A3880" s="80"/>
      <c r="B3880" s="81"/>
      <c r="C3880" s="82"/>
    </row>
    <row r="3881" spans="1:3" x14ac:dyDescent="0.3">
      <c r="A3881" s="80"/>
      <c r="B3881" s="81"/>
      <c r="C3881" s="82"/>
    </row>
    <row r="3882" spans="1:3" x14ac:dyDescent="0.3">
      <c r="A3882" s="80"/>
      <c r="B3882" s="81"/>
      <c r="C3882" s="82"/>
    </row>
    <row r="3883" spans="1:3" x14ac:dyDescent="0.3">
      <c r="A3883" s="80"/>
      <c r="B3883" s="81"/>
      <c r="C3883" s="82"/>
    </row>
    <row r="3884" spans="1:3" x14ac:dyDescent="0.3">
      <c r="A3884" s="80"/>
      <c r="B3884" s="81"/>
      <c r="C3884" s="82"/>
    </row>
    <row r="3885" spans="1:3" x14ac:dyDescent="0.3">
      <c r="A3885" s="80"/>
      <c r="B3885" s="81"/>
      <c r="C3885" s="82"/>
    </row>
    <row r="3886" spans="1:3" x14ac:dyDescent="0.3">
      <c r="A3886" s="80"/>
      <c r="B3886" s="81"/>
      <c r="C3886" s="82"/>
    </row>
    <row r="3887" spans="1:3" x14ac:dyDescent="0.3">
      <c r="A3887" s="80"/>
      <c r="B3887" s="81"/>
      <c r="C3887" s="82"/>
    </row>
    <row r="3888" spans="1:3" x14ac:dyDescent="0.3">
      <c r="A3888" s="80"/>
      <c r="B3888" s="81"/>
      <c r="C3888" s="82"/>
    </row>
    <row r="3889" spans="1:3" x14ac:dyDescent="0.3">
      <c r="A3889" s="80"/>
      <c r="B3889" s="81"/>
      <c r="C3889" s="82"/>
    </row>
    <row r="3890" spans="1:3" x14ac:dyDescent="0.3">
      <c r="A3890" s="80"/>
      <c r="B3890" s="81"/>
      <c r="C3890" s="82"/>
    </row>
    <row r="3891" spans="1:3" x14ac:dyDescent="0.3">
      <c r="A3891" s="80"/>
      <c r="B3891" s="81"/>
      <c r="C3891" s="82"/>
    </row>
    <row r="3892" spans="1:3" x14ac:dyDescent="0.3">
      <c r="A3892" s="80"/>
      <c r="B3892" s="81"/>
      <c r="C3892" s="82"/>
    </row>
    <row r="3893" spans="1:3" x14ac:dyDescent="0.3">
      <c r="A3893" s="80"/>
      <c r="B3893" s="81"/>
      <c r="C3893" s="82"/>
    </row>
    <row r="3894" spans="1:3" x14ac:dyDescent="0.3">
      <c r="A3894" s="80"/>
      <c r="B3894" s="81"/>
      <c r="C3894" s="82"/>
    </row>
    <row r="3895" spans="1:3" x14ac:dyDescent="0.3">
      <c r="A3895" s="80"/>
      <c r="B3895" s="81"/>
      <c r="C3895" s="82"/>
    </row>
    <row r="3896" spans="1:3" x14ac:dyDescent="0.3">
      <c r="A3896" s="80"/>
      <c r="B3896" s="81"/>
      <c r="C3896" s="82"/>
    </row>
    <row r="3897" spans="1:3" x14ac:dyDescent="0.3">
      <c r="A3897" s="80"/>
      <c r="B3897" s="81"/>
      <c r="C3897" s="82"/>
    </row>
    <row r="3898" spans="1:3" x14ac:dyDescent="0.3">
      <c r="A3898" s="80"/>
      <c r="B3898" s="81"/>
      <c r="C3898" s="82"/>
    </row>
    <row r="3899" spans="1:3" x14ac:dyDescent="0.3">
      <c r="A3899" s="80"/>
      <c r="B3899" s="81"/>
      <c r="C3899" s="82"/>
    </row>
    <row r="3900" spans="1:3" x14ac:dyDescent="0.3">
      <c r="A3900" s="80"/>
      <c r="B3900" s="81"/>
      <c r="C3900" s="82"/>
    </row>
    <row r="3901" spans="1:3" x14ac:dyDescent="0.3">
      <c r="A3901" s="80"/>
      <c r="B3901" s="81"/>
      <c r="C3901" s="82"/>
    </row>
    <row r="3902" spans="1:3" x14ac:dyDescent="0.3">
      <c r="A3902" s="80"/>
      <c r="B3902" s="81"/>
      <c r="C3902" s="82"/>
    </row>
    <row r="3903" spans="1:3" x14ac:dyDescent="0.3">
      <c r="A3903" s="80"/>
      <c r="B3903" s="81"/>
      <c r="C3903" s="82"/>
    </row>
    <row r="3904" spans="1:3" x14ac:dyDescent="0.3">
      <c r="A3904" s="80"/>
      <c r="B3904" s="81"/>
      <c r="C3904" s="82"/>
    </row>
    <row r="3905" spans="1:3" x14ac:dyDescent="0.3">
      <c r="A3905" s="80"/>
      <c r="B3905" s="81"/>
      <c r="C3905" s="82"/>
    </row>
    <row r="3906" spans="1:3" x14ac:dyDescent="0.3">
      <c r="A3906" s="80"/>
      <c r="B3906" s="81"/>
      <c r="C3906" s="82"/>
    </row>
    <row r="3907" spans="1:3" x14ac:dyDescent="0.3">
      <c r="A3907" s="80"/>
      <c r="B3907" s="81"/>
      <c r="C3907" s="82"/>
    </row>
    <row r="3908" spans="1:3" x14ac:dyDescent="0.3">
      <c r="A3908" s="80"/>
      <c r="B3908" s="81"/>
      <c r="C3908" s="82"/>
    </row>
    <row r="3909" spans="1:3" x14ac:dyDescent="0.3">
      <c r="A3909" s="80"/>
      <c r="B3909" s="81"/>
      <c r="C3909" s="82"/>
    </row>
    <row r="3910" spans="1:3" x14ac:dyDescent="0.3">
      <c r="A3910" s="80"/>
      <c r="B3910" s="81"/>
      <c r="C3910" s="82"/>
    </row>
    <row r="3911" spans="1:3" x14ac:dyDescent="0.3">
      <c r="A3911" s="80"/>
      <c r="B3911" s="81"/>
      <c r="C3911" s="82"/>
    </row>
    <row r="3912" spans="1:3" x14ac:dyDescent="0.3">
      <c r="A3912" s="80"/>
      <c r="B3912" s="81"/>
      <c r="C3912" s="82"/>
    </row>
    <row r="3913" spans="1:3" x14ac:dyDescent="0.3">
      <c r="A3913" s="80"/>
      <c r="B3913" s="81"/>
      <c r="C3913" s="82"/>
    </row>
    <row r="3914" spans="1:3" x14ac:dyDescent="0.3">
      <c r="A3914" s="80"/>
      <c r="B3914" s="81"/>
      <c r="C3914" s="82"/>
    </row>
    <row r="3915" spans="1:3" x14ac:dyDescent="0.3">
      <c r="A3915" s="80"/>
      <c r="B3915" s="81"/>
      <c r="C3915" s="82"/>
    </row>
    <row r="3916" spans="1:3" x14ac:dyDescent="0.3">
      <c r="A3916" s="80"/>
      <c r="B3916" s="81"/>
      <c r="C3916" s="82"/>
    </row>
    <row r="3917" spans="1:3" x14ac:dyDescent="0.3">
      <c r="A3917" s="80"/>
      <c r="B3917" s="81"/>
      <c r="C3917" s="82"/>
    </row>
    <row r="3918" spans="1:3" x14ac:dyDescent="0.3">
      <c r="A3918" s="80"/>
      <c r="B3918" s="81"/>
      <c r="C3918" s="82"/>
    </row>
    <row r="3919" spans="1:3" x14ac:dyDescent="0.3">
      <c r="A3919" s="80"/>
      <c r="B3919" s="81"/>
      <c r="C3919" s="82"/>
    </row>
    <row r="3920" spans="1:3" x14ac:dyDescent="0.3">
      <c r="A3920" s="80"/>
      <c r="B3920" s="81"/>
      <c r="C3920" s="82"/>
    </row>
    <row r="3921" spans="1:3" x14ac:dyDescent="0.3">
      <c r="A3921" s="80"/>
      <c r="B3921" s="81"/>
      <c r="C3921" s="82"/>
    </row>
    <row r="3922" spans="1:3" x14ac:dyDescent="0.3">
      <c r="A3922" s="80"/>
      <c r="B3922" s="81"/>
      <c r="C3922" s="82"/>
    </row>
    <row r="3923" spans="1:3" x14ac:dyDescent="0.3">
      <c r="A3923" s="80"/>
      <c r="B3923" s="81"/>
      <c r="C3923" s="82"/>
    </row>
    <row r="3924" spans="1:3" x14ac:dyDescent="0.3">
      <c r="A3924" s="80"/>
      <c r="B3924" s="81"/>
      <c r="C3924" s="82"/>
    </row>
    <row r="3925" spans="1:3" x14ac:dyDescent="0.3">
      <c r="A3925" s="80"/>
      <c r="B3925" s="81"/>
      <c r="C3925" s="82"/>
    </row>
    <row r="3926" spans="1:3" x14ac:dyDescent="0.3">
      <c r="A3926" s="80"/>
      <c r="B3926" s="81"/>
      <c r="C3926" s="82"/>
    </row>
    <row r="3927" spans="1:3" x14ac:dyDescent="0.3">
      <c r="A3927" s="80"/>
      <c r="B3927" s="81"/>
      <c r="C3927" s="82"/>
    </row>
    <row r="3928" spans="1:3" x14ac:dyDescent="0.3">
      <c r="A3928" s="80"/>
      <c r="B3928" s="81"/>
      <c r="C3928" s="82"/>
    </row>
    <row r="3929" spans="1:3" x14ac:dyDescent="0.3">
      <c r="A3929" s="80"/>
      <c r="B3929" s="81"/>
      <c r="C3929" s="82"/>
    </row>
    <row r="3930" spans="1:3" x14ac:dyDescent="0.3">
      <c r="A3930" s="80"/>
      <c r="B3930" s="81"/>
      <c r="C3930" s="82"/>
    </row>
    <row r="3931" spans="1:3" x14ac:dyDescent="0.3">
      <c r="A3931" s="80"/>
      <c r="B3931" s="81"/>
      <c r="C3931" s="82"/>
    </row>
    <row r="3932" spans="1:3" x14ac:dyDescent="0.3">
      <c r="A3932" s="80"/>
      <c r="B3932" s="81"/>
      <c r="C3932" s="82"/>
    </row>
    <row r="3933" spans="1:3" x14ac:dyDescent="0.3">
      <c r="A3933" s="80"/>
      <c r="B3933" s="81"/>
      <c r="C3933" s="82"/>
    </row>
    <row r="3934" spans="1:3" x14ac:dyDescent="0.3">
      <c r="A3934" s="80"/>
      <c r="B3934" s="81"/>
      <c r="C3934" s="82"/>
    </row>
    <row r="3935" spans="1:3" x14ac:dyDescent="0.3">
      <c r="A3935" s="80"/>
      <c r="B3935" s="81"/>
      <c r="C3935" s="82"/>
    </row>
    <row r="3936" spans="1:3" x14ac:dyDescent="0.3">
      <c r="A3936" s="80"/>
      <c r="B3936" s="81"/>
      <c r="C3936" s="82"/>
    </row>
    <row r="3937" spans="1:3" x14ac:dyDescent="0.3">
      <c r="A3937" s="80"/>
      <c r="B3937" s="81"/>
      <c r="C3937" s="82"/>
    </row>
    <row r="3938" spans="1:3" x14ac:dyDescent="0.3">
      <c r="A3938" s="80"/>
      <c r="B3938" s="81"/>
      <c r="C3938" s="82"/>
    </row>
    <row r="3939" spans="1:3" x14ac:dyDescent="0.3">
      <c r="A3939" s="80"/>
      <c r="B3939" s="81"/>
      <c r="C3939" s="82"/>
    </row>
    <row r="3940" spans="1:3" x14ac:dyDescent="0.3">
      <c r="A3940" s="80"/>
      <c r="B3940" s="81"/>
      <c r="C3940" s="82"/>
    </row>
    <row r="3941" spans="1:3" x14ac:dyDescent="0.3">
      <c r="A3941" s="80"/>
      <c r="B3941" s="81"/>
      <c r="C3941" s="82"/>
    </row>
    <row r="3942" spans="1:3" x14ac:dyDescent="0.3">
      <c r="A3942" s="80"/>
      <c r="B3942" s="81"/>
      <c r="C3942" s="82"/>
    </row>
    <row r="3943" spans="1:3" x14ac:dyDescent="0.3">
      <c r="A3943" s="80"/>
      <c r="B3943" s="81"/>
      <c r="C3943" s="82"/>
    </row>
    <row r="3944" spans="1:3" x14ac:dyDescent="0.3">
      <c r="A3944" s="80"/>
      <c r="B3944" s="81"/>
      <c r="C3944" s="82"/>
    </row>
    <row r="3945" spans="1:3" x14ac:dyDescent="0.3">
      <c r="A3945" s="80"/>
      <c r="B3945" s="81"/>
      <c r="C3945" s="82"/>
    </row>
    <row r="3946" spans="1:3" x14ac:dyDescent="0.3">
      <c r="A3946" s="80"/>
      <c r="B3946" s="81"/>
      <c r="C3946" s="82"/>
    </row>
    <row r="3947" spans="1:3" x14ac:dyDescent="0.3">
      <c r="A3947" s="80"/>
      <c r="B3947" s="81"/>
      <c r="C3947" s="82"/>
    </row>
    <row r="3948" spans="1:3" x14ac:dyDescent="0.3">
      <c r="A3948" s="80"/>
      <c r="B3948" s="81"/>
      <c r="C3948" s="82"/>
    </row>
    <row r="3949" spans="1:3" x14ac:dyDescent="0.3">
      <c r="A3949" s="80"/>
      <c r="B3949" s="81"/>
      <c r="C3949" s="82"/>
    </row>
    <row r="3950" spans="1:3" x14ac:dyDescent="0.3">
      <c r="A3950" s="80"/>
      <c r="B3950" s="81"/>
      <c r="C3950" s="82"/>
    </row>
    <row r="3951" spans="1:3" x14ac:dyDescent="0.3">
      <c r="A3951" s="80"/>
      <c r="B3951" s="81"/>
      <c r="C3951" s="82"/>
    </row>
    <row r="3952" spans="1:3" x14ac:dyDescent="0.3">
      <c r="A3952" s="80"/>
      <c r="B3952" s="81"/>
      <c r="C3952" s="82"/>
    </row>
    <row r="3953" spans="1:3" x14ac:dyDescent="0.3">
      <c r="A3953" s="80"/>
      <c r="B3953" s="81"/>
      <c r="C3953" s="82"/>
    </row>
    <row r="3954" spans="1:3" x14ac:dyDescent="0.3">
      <c r="A3954" s="80"/>
      <c r="B3954" s="81"/>
      <c r="C3954" s="82"/>
    </row>
    <row r="3955" spans="1:3" x14ac:dyDescent="0.3">
      <c r="A3955" s="80"/>
      <c r="B3955" s="81"/>
      <c r="C3955" s="82"/>
    </row>
    <row r="3956" spans="1:3" x14ac:dyDescent="0.3">
      <c r="A3956" s="80"/>
      <c r="B3956" s="81"/>
      <c r="C3956" s="82"/>
    </row>
    <row r="3957" spans="1:3" x14ac:dyDescent="0.3">
      <c r="A3957" s="80"/>
      <c r="B3957" s="81"/>
      <c r="C3957" s="82"/>
    </row>
    <row r="3958" spans="1:3" x14ac:dyDescent="0.3">
      <c r="A3958" s="80"/>
      <c r="B3958" s="81"/>
      <c r="C3958" s="82"/>
    </row>
    <row r="3959" spans="1:3" x14ac:dyDescent="0.3">
      <c r="A3959" s="80"/>
      <c r="B3959" s="81"/>
      <c r="C3959" s="82"/>
    </row>
    <row r="3960" spans="1:3" x14ac:dyDescent="0.3">
      <c r="A3960" s="80"/>
      <c r="B3960" s="81"/>
      <c r="C3960" s="82"/>
    </row>
    <row r="3961" spans="1:3" x14ac:dyDescent="0.3">
      <c r="A3961" s="80"/>
      <c r="B3961" s="81"/>
      <c r="C3961" s="82"/>
    </row>
    <row r="3962" spans="1:3" x14ac:dyDescent="0.3">
      <c r="A3962" s="80"/>
      <c r="B3962" s="81"/>
      <c r="C3962" s="82"/>
    </row>
    <row r="3963" spans="1:3" x14ac:dyDescent="0.3">
      <c r="A3963" s="80"/>
      <c r="B3963" s="81"/>
      <c r="C3963" s="82"/>
    </row>
    <row r="3964" spans="1:3" x14ac:dyDescent="0.3">
      <c r="A3964" s="80"/>
      <c r="B3964" s="81"/>
      <c r="C3964" s="82"/>
    </row>
    <row r="3965" spans="1:3" x14ac:dyDescent="0.3">
      <c r="A3965" s="80"/>
      <c r="B3965" s="81"/>
      <c r="C3965" s="82"/>
    </row>
    <row r="3966" spans="1:3" x14ac:dyDescent="0.3">
      <c r="A3966" s="80"/>
      <c r="B3966" s="81"/>
      <c r="C3966" s="82"/>
    </row>
    <row r="3967" spans="1:3" x14ac:dyDescent="0.3">
      <c r="A3967" s="80"/>
      <c r="B3967" s="81"/>
      <c r="C3967" s="82"/>
    </row>
    <row r="3968" spans="1:3" x14ac:dyDescent="0.3">
      <c r="A3968" s="80"/>
      <c r="B3968" s="81"/>
      <c r="C3968" s="82"/>
    </row>
    <row r="3969" spans="1:3" x14ac:dyDescent="0.3">
      <c r="A3969" s="80"/>
      <c r="B3969" s="81"/>
      <c r="C3969" s="82"/>
    </row>
    <row r="3970" spans="1:3" x14ac:dyDescent="0.3">
      <c r="A3970" s="80"/>
      <c r="B3970" s="81"/>
      <c r="C3970" s="82"/>
    </row>
    <row r="3971" spans="1:3" x14ac:dyDescent="0.3">
      <c r="A3971" s="80"/>
      <c r="B3971" s="81"/>
      <c r="C3971" s="82"/>
    </row>
    <row r="3972" spans="1:3" x14ac:dyDescent="0.3">
      <c r="A3972" s="80"/>
      <c r="B3972" s="81"/>
      <c r="C3972" s="82"/>
    </row>
    <row r="3973" spans="1:3" x14ac:dyDescent="0.3">
      <c r="A3973" s="80"/>
      <c r="B3973" s="81"/>
      <c r="C3973" s="82"/>
    </row>
    <row r="3974" spans="1:3" x14ac:dyDescent="0.3">
      <c r="A3974" s="80"/>
      <c r="B3974" s="81"/>
      <c r="C3974" s="82"/>
    </row>
    <row r="3975" spans="1:3" x14ac:dyDescent="0.3">
      <c r="A3975" s="80"/>
      <c r="B3975" s="81"/>
      <c r="C3975" s="82"/>
    </row>
    <row r="3976" spans="1:3" x14ac:dyDescent="0.3">
      <c r="A3976" s="80"/>
      <c r="B3976" s="81"/>
      <c r="C3976" s="82"/>
    </row>
    <row r="3977" spans="1:3" x14ac:dyDescent="0.3">
      <c r="A3977" s="80"/>
      <c r="B3977" s="81"/>
      <c r="C3977" s="82"/>
    </row>
    <row r="3978" spans="1:3" x14ac:dyDescent="0.3">
      <c r="A3978" s="80"/>
      <c r="B3978" s="81"/>
      <c r="C3978" s="82"/>
    </row>
    <row r="3979" spans="1:3" x14ac:dyDescent="0.3">
      <c r="A3979" s="80"/>
      <c r="B3979" s="81"/>
      <c r="C3979" s="82"/>
    </row>
    <row r="3980" spans="1:3" x14ac:dyDescent="0.3">
      <c r="A3980" s="80"/>
      <c r="B3980" s="81"/>
      <c r="C3980" s="82"/>
    </row>
    <row r="3981" spans="1:3" x14ac:dyDescent="0.3">
      <c r="A3981" s="80"/>
      <c r="B3981" s="81"/>
      <c r="C3981" s="82"/>
    </row>
    <row r="3982" spans="1:3" x14ac:dyDescent="0.3">
      <c r="A3982" s="80"/>
      <c r="B3982" s="81"/>
      <c r="C3982" s="82"/>
    </row>
    <row r="3983" spans="1:3" x14ac:dyDescent="0.3">
      <c r="A3983" s="80"/>
      <c r="B3983" s="81"/>
      <c r="C3983" s="82"/>
    </row>
    <row r="3984" spans="1:3" x14ac:dyDescent="0.3">
      <c r="A3984" s="80"/>
      <c r="B3984" s="81"/>
      <c r="C3984" s="82"/>
    </row>
    <row r="3985" spans="1:3" x14ac:dyDescent="0.3">
      <c r="A3985" s="80"/>
      <c r="B3985" s="81"/>
      <c r="C3985" s="82"/>
    </row>
    <row r="3986" spans="1:3" x14ac:dyDescent="0.3">
      <c r="A3986" s="80"/>
      <c r="B3986" s="81"/>
      <c r="C3986" s="82"/>
    </row>
    <row r="3987" spans="1:3" x14ac:dyDescent="0.3">
      <c r="A3987" s="80"/>
      <c r="B3987" s="81"/>
      <c r="C3987" s="82"/>
    </row>
    <row r="3988" spans="1:3" x14ac:dyDescent="0.3">
      <c r="A3988" s="80"/>
      <c r="B3988" s="81"/>
      <c r="C3988" s="82"/>
    </row>
    <row r="3989" spans="1:3" x14ac:dyDescent="0.3">
      <c r="A3989" s="80"/>
      <c r="B3989" s="81"/>
      <c r="C3989" s="82"/>
    </row>
    <row r="3990" spans="1:3" x14ac:dyDescent="0.3">
      <c r="A3990" s="80"/>
      <c r="B3990" s="81"/>
      <c r="C3990" s="82"/>
    </row>
    <row r="3991" spans="1:3" x14ac:dyDescent="0.3">
      <c r="A3991" s="80"/>
      <c r="B3991" s="81"/>
      <c r="C3991" s="82"/>
    </row>
    <row r="3992" spans="1:3" x14ac:dyDescent="0.3">
      <c r="A3992" s="80"/>
      <c r="B3992" s="81"/>
      <c r="C3992" s="82"/>
    </row>
    <row r="3993" spans="1:3" x14ac:dyDescent="0.3">
      <c r="A3993" s="80"/>
      <c r="B3993" s="81"/>
      <c r="C3993" s="82"/>
    </row>
    <row r="3994" spans="1:3" x14ac:dyDescent="0.3">
      <c r="A3994" s="80"/>
      <c r="B3994" s="81"/>
      <c r="C3994" s="82"/>
    </row>
    <row r="3995" spans="1:3" x14ac:dyDescent="0.3">
      <c r="A3995" s="80"/>
      <c r="B3995" s="81"/>
      <c r="C3995" s="82"/>
    </row>
    <row r="3996" spans="1:3" x14ac:dyDescent="0.3">
      <c r="A3996" s="80"/>
      <c r="B3996" s="81"/>
      <c r="C3996" s="82"/>
    </row>
    <row r="3997" spans="1:3" x14ac:dyDescent="0.3">
      <c r="A3997" s="80"/>
      <c r="B3997" s="81"/>
      <c r="C3997" s="82"/>
    </row>
    <row r="3998" spans="1:3" x14ac:dyDescent="0.3">
      <c r="A3998" s="80"/>
      <c r="B3998" s="81"/>
      <c r="C3998" s="82"/>
    </row>
    <row r="3999" spans="1:3" x14ac:dyDescent="0.3">
      <c r="A3999" s="80"/>
      <c r="B3999" s="81"/>
      <c r="C3999" s="82"/>
    </row>
    <row r="4000" spans="1:3" x14ac:dyDescent="0.3">
      <c r="A4000" s="80"/>
      <c r="B4000" s="81"/>
      <c r="C4000" s="82"/>
    </row>
    <row r="4001" spans="1:3" x14ac:dyDescent="0.3">
      <c r="A4001" s="80"/>
      <c r="B4001" s="81"/>
      <c r="C4001" s="82"/>
    </row>
    <row r="4002" spans="1:3" x14ac:dyDescent="0.3">
      <c r="A4002" s="80"/>
      <c r="B4002" s="81"/>
      <c r="C4002" s="82"/>
    </row>
    <row r="4003" spans="1:3" x14ac:dyDescent="0.3">
      <c r="A4003" s="80"/>
      <c r="B4003" s="81"/>
      <c r="C4003" s="82"/>
    </row>
    <row r="4004" spans="1:3" x14ac:dyDescent="0.3">
      <c r="A4004" s="80"/>
      <c r="B4004" s="81"/>
      <c r="C4004" s="82"/>
    </row>
    <row r="4005" spans="1:3" x14ac:dyDescent="0.3">
      <c r="A4005" s="80"/>
      <c r="B4005" s="81"/>
      <c r="C4005" s="82"/>
    </row>
    <row r="4006" spans="1:3" x14ac:dyDescent="0.3">
      <c r="A4006" s="80"/>
      <c r="B4006" s="81"/>
      <c r="C4006" s="82"/>
    </row>
    <row r="4007" spans="1:3" x14ac:dyDescent="0.3">
      <c r="A4007" s="80"/>
      <c r="B4007" s="81"/>
      <c r="C4007" s="82"/>
    </row>
    <row r="4008" spans="1:3" x14ac:dyDescent="0.3">
      <c r="A4008" s="80"/>
      <c r="B4008" s="81"/>
      <c r="C4008" s="82"/>
    </row>
    <row r="4009" spans="1:3" x14ac:dyDescent="0.3">
      <c r="A4009" s="80"/>
      <c r="B4009" s="81"/>
      <c r="C4009" s="82"/>
    </row>
    <row r="4010" spans="1:3" x14ac:dyDescent="0.3">
      <c r="A4010" s="80"/>
      <c r="B4010" s="81"/>
      <c r="C4010" s="82"/>
    </row>
    <row r="4011" spans="1:3" x14ac:dyDescent="0.3">
      <c r="A4011" s="80"/>
      <c r="B4011" s="81"/>
      <c r="C4011" s="82"/>
    </row>
    <row r="4012" spans="1:3" x14ac:dyDescent="0.3">
      <c r="A4012" s="80"/>
      <c r="B4012" s="81"/>
      <c r="C4012" s="82"/>
    </row>
    <row r="4013" spans="1:3" x14ac:dyDescent="0.3">
      <c r="A4013" s="80"/>
      <c r="B4013" s="81"/>
      <c r="C4013" s="82"/>
    </row>
    <row r="4014" spans="1:3" x14ac:dyDescent="0.3">
      <c r="A4014" s="80"/>
      <c r="B4014" s="81"/>
      <c r="C4014" s="82"/>
    </row>
    <row r="4015" spans="1:3" x14ac:dyDescent="0.3">
      <c r="A4015" s="80"/>
      <c r="B4015" s="81"/>
      <c r="C4015" s="82"/>
    </row>
    <row r="4016" spans="1:3" x14ac:dyDescent="0.3">
      <c r="A4016" s="80"/>
      <c r="B4016" s="81"/>
      <c r="C4016" s="82"/>
    </row>
    <row r="4017" spans="1:3" x14ac:dyDescent="0.3">
      <c r="A4017" s="80"/>
      <c r="B4017" s="81"/>
      <c r="C4017" s="82"/>
    </row>
    <row r="4018" spans="1:3" x14ac:dyDescent="0.3">
      <c r="A4018" s="80"/>
      <c r="B4018" s="81"/>
      <c r="C4018" s="82"/>
    </row>
    <row r="4019" spans="1:3" x14ac:dyDescent="0.3">
      <c r="A4019" s="80"/>
      <c r="B4019" s="81"/>
      <c r="C4019" s="82"/>
    </row>
    <row r="4020" spans="1:3" x14ac:dyDescent="0.3">
      <c r="A4020" s="80"/>
      <c r="B4020" s="81"/>
      <c r="C4020" s="82"/>
    </row>
    <row r="4021" spans="1:3" x14ac:dyDescent="0.3">
      <c r="A4021" s="80"/>
      <c r="B4021" s="81"/>
      <c r="C4021" s="82"/>
    </row>
    <row r="4022" spans="1:3" x14ac:dyDescent="0.3">
      <c r="A4022" s="80"/>
      <c r="B4022" s="81"/>
      <c r="C4022" s="82"/>
    </row>
    <row r="4023" spans="1:3" x14ac:dyDescent="0.3">
      <c r="A4023" s="80"/>
      <c r="B4023" s="81"/>
      <c r="C4023" s="82"/>
    </row>
    <row r="4024" spans="1:3" x14ac:dyDescent="0.3">
      <c r="A4024" s="80"/>
      <c r="B4024" s="81"/>
      <c r="C4024" s="82"/>
    </row>
    <row r="4025" spans="1:3" x14ac:dyDescent="0.3">
      <c r="A4025" s="80"/>
      <c r="B4025" s="81"/>
      <c r="C4025" s="82"/>
    </row>
    <row r="4026" spans="1:3" x14ac:dyDescent="0.3">
      <c r="A4026" s="80"/>
      <c r="B4026" s="81"/>
      <c r="C4026" s="82"/>
    </row>
    <row r="4027" spans="1:3" x14ac:dyDescent="0.3">
      <c r="A4027" s="80"/>
      <c r="B4027" s="81"/>
      <c r="C4027" s="82"/>
    </row>
    <row r="4028" spans="1:3" x14ac:dyDescent="0.3">
      <c r="A4028" s="80"/>
      <c r="B4028" s="81"/>
      <c r="C4028" s="82"/>
    </row>
    <row r="4029" spans="1:3" x14ac:dyDescent="0.3">
      <c r="A4029" s="80"/>
      <c r="B4029" s="81"/>
      <c r="C4029" s="82"/>
    </row>
    <row r="4030" spans="1:3" x14ac:dyDescent="0.3">
      <c r="A4030" s="80"/>
      <c r="B4030" s="81"/>
      <c r="C4030" s="82"/>
    </row>
    <row r="4031" spans="1:3" x14ac:dyDescent="0.3">
      <c r="A4031" s="80"/>
      <c r="B4031" s="81"/>
      <c r="C4031" s="82"/>
    </row>
    <row r="4032" spans="1:3" x14ac:dyDescent="0.3">
      <c r="A4032" s="80"/>
      <c r="B4032" s="81"/>
      <c r="C4032" s="82"/>
    </row>
    <row r="4033" spans="1:3" x14ac:dyDescent="0.3">
      <c r="A4033" s="80"/>
      <c r="B4033" s="81"/>
      <c r="C4033" s="82"/>
    </row>
    <row r="4034" spans="1:3" x14ac:dyDescent="0.3">
      <c r="A4034" s="80"/>
      <c r="B4034" s="81"/>
      <c r="C4034" s="82"/>
    </row>
    <row r="4035" spans="1:3" x14ac:dyDescent="0.3">
      <c r="A4035" s="80"/>
      <c r="B4035" s="81"/>
      <c r="C4035" s="82"/>
    </row>
    <row r="4036" spans="1:3" x14ac:dyDescent="0.3">
      <c r="A4036" s="80"/>
      <c r="B4036" s="81"/>
      <c r="C4036" s="82"/>
    </row>
    <row r="4037" spans="1:3" x14ac:dyDescent="0.3">
      <c r="A4037" s="80"/>
      <c r="B4037" s="81"/>
      <c r="C4037" s="82"/>
    </row>
    <row r="4038" spans="1:3" x14ac:dyDescent="0.3">
      <c r="A4038" s="80"/>
      <c r="B4038" s="81"/>
      <c r="C4038" s="82"/>
    </row>
    <row r="4039" spans="1:3" x14ac:dyDescent="0.3">
      <c r="A4039" s="80"/>
      <c r="B4039" s="81"/>
      <c r="C4039" s="82"/>
    </row>
    <row r="4040" spans="1:3" x14ac:dyDescent="0.3">
      <c r="A4040" s="80"/>
      <c r="B4040" s="81"/>
      <c r="C4040" s="82"/>
    </row>
    <row r="4041" spans="1:3" x14ac:dyDescent="0.3">
      <c r="A4041" s="80"/>
      <c r="B4041" s="81"/>
      <c r="C4041" s="82"/>
    </row>
    <row r="4042" spans="1:3" x14ac:dyDescent="0.3">
      <c r="A4042" s="80"/>
      <c r="B4042" s="81"/>
      <c r="C4042" s="82"/>
    </row>
    <row r="4043" spans="1:3" x14ac:dyDescent="0.3">
      <c r="A4043" s="80"/>
      <c r="B4043" s="81"/>
      <c r="C4043" s="82"/>
    </row>
    <row r="4044" spans="1:3" x14ac:dyDescent="0.3">
      <c r="A4044" s="80"/>
      <c r="B4044" s="81"/>
      <c r="C4044" s="82"/>
    </row>
    <row r="4045" spans="1:3" x14ac:dyDescent="0.3">
      <c r="A4045" s="80"/>
      <c r="B4045" s="81"/>
      <c r="C4045" s="82"/>
    </row>
    <row r="4046" spans="1:3" x14ac:dyDescent="0.3">
      <c r="A4046" s="80"/>
      <c r="B4046" s="81"/>
      <c r="C4046" s="82"/>
    </row>
    <row r="4047" spans="1:3" x14ac:dyDescent="0.3">
      <c r="A4047" s="80"/>
      <c r="B4047" s="81"/>
      <c r="C4047" s="82"/>
    </row>
    <row r="4048" spans="1:3" x14ac:dyDescent="0.3">
      <c r="A4048" s="80"/>
      <c r="B4048" s="81"/>
      <c r="C4048" s="82"/>
    </row>
    <row r="4049" spans="1:3" x14ac:dyDescent="0.3">
      <c r="A4049" s="80"/>
      <c r="B4049" s="81"/>
      <c r="C4049" s="82"/>
    </row>
    <row r="4050" spans="1:3" x14ac:dyDescent="0.3">
      <c r="A4050" s="80"/>
      <c r="B4050" s="81"/>
      <c r="C4050" s="82"/>
    </row>
    <row r="4051" spans="1:3" x14ac:dyDescent="0.3">
      <c r="A4051" s="80"/>
      <c r="B4051" s="81"/>
      <c r="C4051" s="82"/>
    </row>
    <row r="4052" spans="1:3" x14ac:dyDescent="0.3">
      <c r="A4052" s="80"/>
      <c r="B4052" s="81"/>
      <c r="C4052" s="82"/>
    </row>
    <row r="4053" spans="1:3" x14ac:dyDescent="0.3">
      <c r="A4053" s="80"/>
      <c r="B4053" s="81"/>
      <c r="C4053" s="82"/>
    </row>
    <row r="4054" spans="1:3" x14ac:dyDescent="0.3">
      <c r="A4054" s="80"/>
      <c r="B4054" s="81"/>
      <c r="C4054" s="82"/>
    </row>
    <row r="4055" spans="1:3" x14ac:dyDescent="0.3">
      <c r="A4055" s="80"/>
      <c r="B4055" s="81"/>
      <c r="C4055" s="82"/>
    </row>
    <row r="4056" spans="1:3" x14ac:dyDescent="0.3">
      <c r="A4056" s="80"/>
      <c r="B4056" s="81"/>
      <c r="C4056" s="82"/>
    </row>
    <row r="4057" spans="1:3" x14ac:dyDescent="0.3">
      <c r="A4057" s="80"/>
      <c r="B4057" s="81"/>
      <c r="C4057" s="82"/>
    </row>
    <row r="4058" spans="1:3" x14ac:dyDescent="0.3">
      <c r="A4058" s="80"/>
      <c r="B4058" s="81"/>
      <c r="C4058" s="82"/>
    </row>
    <row r="4059" spans="1:3" x14ac:dyDescent="0.3">
      <c r="A4059" s="80"/>
      <c r="B4059" s="81"/>
      <c r="C4059" s="82"/>
    </row>
    <row r="4060" spans="1:3" x14ac:dyDescent="0.3">
      <c r="A4060" s="80"/>
      <c r="B4060" s="81"/>
      <c r="C4060" s="82"/>
    </row>
    <row r="4061" spans="1:3" x14ac:dyDescent="0.3">
      <c r="A4061" s="80"/>
      <c r="B4061" s="81"/>
      <c r="C4061" s="82"/>
    </row>
    <row r="4062" spans="1:3" x14ac:dyDescent="0.3">
      <c r="A4062" s="80"/>
      <c r="B4062" s="81"/>
      <c r="C4062" s="82"/>
    </row>
    <row r="4063" spans="1:3" x14ac:dyDescent="0.3">
      <c r="A4063" s="80"/>
      <c r="B4063" s="81"/>
      <c r="C4063" s="82"/>
    </row>
    <row r="4064" spans="1:3" x14ac:dyDescent="0.3">
      <c r="A4064" s="80"/>
      <c r="B4064" s="81"/>
      <c r="C4064" s="82"/>
    </row>
    <row r="4065" spans="1:3" x14ac:dyDescent="0.3">
      <c r="A4065" s="80"/>
      <c r="B4065" s="81"/>
      <c r="C4065" s="82"/>
    </row>
    <row r="4066" spans="1:3" x14ac:dyDescent="0.3">
      <c r="A4066" s="80"/>
      <c r="B4066" s="81"/>
      <c r="C4066" s="82"/>
    </row>
    <row r="4067" spans="1:3" x14ac:dyDescent="0.3">
      <c r="A4067" s="80"/>
      <c r="B4067" s="81"/>
      <c r="C4067" s="82"/>
    </row>
    <row r="4068" spans="1:3" x14ac:dyDescent="0.3">
      <c r="A4068" s="80"/>
      <c r="B4068" s="81"/>
      <c r="C4068" s="82"/>
    </row>
    <row r="4069" spans="1:3" x14ac:dyDescent="0.3">
      <c r="A4069" s="80"/>
      <c r="B4069" s="81"/>
      <c r="C4069" s="82"/>
    </row>
    <row r="4070" spans="1:3" x14ac:dyDescent="0.3">
      <c r="A4070" s="80"/>
      <c r="B4070" s="81"/>
      <c r="C4070" s="82"/>
    </row>
    <row r="4071" spans="1:3" x14ac:dyDescent="0.3">
      <c r="A4071" s="80"/>
      <c r="B4071" s="81"/>
      <c r="C4071" s="82"/>
    </row>
    <row r="4072" spans="1:3" x14ac:dyDescent="0.3">
      <c r="A4072" s="80"/>
      <c r="B4072" s="81"/>
      <c r="C4072" s="82"/>
    </row>
    <row r="4073" spans="1:3" x14ac:dyDescent="0.3">
      <c r="A4073" s="80"/>
      <c r="B4073" s="81"/>
      <c r="C4073" s="82"/>
    </row>
    <row r="4074" spans="1:3" x14ac:dyDescent="0.3">
      <c r="A4074" s="80"/>
      <c r="B4074" s="81"/>
      <c r="C4074" s="82"/>
    </row>
    <row r="4075" spans="1:3" x14ac:dyDescent="0.3">
      <c r="A4075" s="80"/>
      <c r="B4075" s="81"/>
      <c r="C4075" s="82"/>
    </row>
    <row r="4076" spans="1:3" x14ac:dyDescent="0.3">
      <c r="A4076" s="80"/>
      <c r="B4076" s="81"/>
      <c r="C4076" s="82"/>
    </row>
    <row r="4077" spans="1:3" x14ac:dyDescent="0.3">
      <c r="A4077" s="80"/>
      <c r="B4077" s="81"/>
      <c r="C4077" s="82"/>
    </row>
    <row r="4078" spans="1:3" x14ac:dyDescent="0.3">
      <c r="A4078" s="80"/>
      <c r="B4078" s="81"/>
      <c r="C4078" s="82"/>
    </row>
    <row r="4079" spans="1:3" x14ac:dyDescent="0.3">
      <c r="A4079" s="80"/>
      <c r="B4079" s="81"/>
      <c r="C4079" s="82"/>
    </row>
    <row r="4080" spans="1:3" x14ac:dyDescent="0.3">
      <c r="A4080" s="80"/>
      <c r="B4080" s="81"/>
      <c r="C4080" s="82"/>
    </row>
    <row r="4081" spans="1:3" x14ac:dyDescent="0.3">
      <c r="A4081" s="80"/>
      <c r="B4081" s="81"/>
      <c r="C4081" s="82"/>
    </row>
    <row r="4082" spans="1:3" x14ac:dyDescent="0.3">
      <c r="A4082" s="80"/>
      <c r="B4082" s="81"/>
      <c r="C4082" s="82"/>
    </row>
    <row r="4083" spans="1:3" x14ac:dyDescent="0.3">
      <c r="A4083" s="80"/>
      <c r="B4083" s="81"/>
      <c r="C4083" s="82"/>
    </row>
    <row r="4084" spans="1:3" x14ac:dyDescent="0.3">
      <c r="A4084" s="80"/>
      <c r="B4084" s="81"/>
      <c r="C4084" s="82"/>
    </row>
    <row r="4085" spans="1:3" x14ac:dyDescent="0.3">
      <c r="A4085" s="80"/>
      <c r="B4085" s="81"/>
      <c r="C4085" s="82"/>
    </row>
    <row r="4086" spans="1:3" x14ac:dyDescent="0.3">
      <c r="A4086" s="80"/>
      <c r="B4086" s="81"/>
      <c r="C4086" s="82"/>
    </row>
    <row r="4087" spans="1:3" x14ac:dyDescent="0.3">
      <c r="A4087" s="80"/>
      <c r="B4087" s="81"/>
      <c r="C4087" s="82"/>
    </row>
    <row r="4088" spans="1:3" x14ac:dyDescent="0.3">
      <c r="A4088" s="80"/>
      <c r="B4088" s="81"/>
      <c r="C4088" s="82"/>
    </row>
    <row r="4089" spans="1:3" x14ac:dyDescent="0.3">
      <c r="A4089" s="80"/>
      <c r="B4089" s="81"/>
      <c r="C4089" s="82"/>
    </row>
    <row r="4090" spans="1:3" x14ac:dyDescent="0.3">
      <c r="A4090" s="80"/>
      <c r="B4090" s="81"/>
      <c r="C4090" s="82"/>
    </row>
    <row r="4091" spans="1:3" x14ac:dyDescent="0.3">
      <c r="A4091" s="80"/>
      <c r="B4091" s="81"/>
      <c r="C4091" s="82"/>
    </row>
    <row r="4092" spans="1:3" x14ac:dyDescent="0.3">
      <c r="A4092" s="80"/>
      <c r="B4092" s="81"/>
      <c r="C4092" s="82"/>
    </row>
    <row r="4093" spans="1:3" x14ac:dyDescent="0.3">
      <c r="A4093" s="80"/>
      <c r="B4093" s="81"/>
      <c r="C4093" s="82"/>
    </row>
    <row r="4094" spans="1:3" x14ac:dyDescent="0.3">
      <c r="A4094" s="80"/>
      <c r="B4094" s="81"/>
      <c r="C4094" s="82"/>
    </row>
    <row r="4095" spans="1:3" x14ac:dyDescent="0.3">
      <c r="A4095" s="80"/>
      <c r="B4095" s="81"/>
      <c r="C4095" s="82"/>
    </row>
    <row r="4096" spans="1:3" x14ac:dyDescent="0.3">
      <c r="A4096" s="80"/>
      <c r="B4096" s="81"/>
      <c r="C4096" s="82"/>
    </row>
    <row r="4097" spans="1:3" x14ac:dyDescent="0.3">
      <c r="A4097" s="80"/>
      <c r="B4097" s="81"/>
      <c r="C4097" s="82"/>
    </row>
    <row r="4098" spans="1:3" x14ac:dyDescent="0.3">
      <c r="A4098" s="80"/>
      <c r="B4098" s="81"/>
      <c r="C4098" s="82"/>
    </row>
    <row r="4099" spans="1:3" x14ac:dyDescent="0.3">
      <c r="A4099" s="80"/>
      <c r="B4099" s="81"/>
      <c r="C4099" s="82"/>
    </row>
    <row r="4100" spans="1:3" x14ac:dyDescent="0.3">
      <c r="A4100" s="80"/>
      <c r="B4100" s="81"/>
      <c r="C4100" s="82"/>
    </row>
    <row r="4101" spans="1:3" x14ac:dyDescent="0.3">
      <c r="A4101" s="80"/>
      <c r="B4101" s="81"/>
      <c r="C4101" s="82"/>
    </row>
    <row r="4102" spans="1:3" x14ac:dyDescent="0.3">
      <c r="A4102" s="80"/>
      <c r="B4102" s="81"/>
      <c r="C4102" s="82"/>
    </row>
    <row r="4103" spans="1:3" x14ac:dyDescent="0.3">
      <c r="A4103" s="80"/>
      <c r="B4103" s="81"/>
      <c r="C4103" s="82"/>
    </row>
    <row r="4104" spans="1:3" x14ac:dyDescent="0.3">
      <c r="A4104" s="80"/>
      <c r="B4104" s="81"/>
      <c r="C4104" s="82"/>
    </row>
    <row r="4105" spans="1:3" x14ac:dyDescent="0.3">
      <c r="A4105" s="80"/>
      <c r="B4105" s="81"/>
      <c r="C4105" s="82"/>
    </row>
    <row r="4106" spans="1:3" x14ac:dyDescent="0.3">
      <c r="A4106" s="80"/>
      <c r="B4106" s="81"/>
      <c r="C4106" s="82"/>
    </row>
    <row r="4107" spans="1:3" x14ac:dyDescent="0.3">
      <c r="A4107" s="80"/>
      <c r="B4107" s="81"/>
      <c r="C4107" s="82"/>
    </row>
    <row r="4108" spans="1:3" x14ac:dyDescent="0.3">
      <c r="A4108" s="80"/>
      <c r="B4108" s="81"/>
      <c r="C4108" s="82"/>
    </row>
    <row r="4109" spans="1:3" x14ac:dyDescent="0.3">
      <c r="A4109" s="80"/>
      <c r="B4109" s="81"/>
      <c r="C4109" s="82"/>
    </row>
    <row r="4110" spans="1:3" x14ac:dyDescent="0.3">
      <c r="A4110" s="80"/>
      <c r="B4110" s="81"/>
      <c r="C4110" s="82"/>
    </row>
    <row r="4111" spans="1:3" x14ac:dyDescent="0.3">
      <c r="A4111" s="80"/>
      <c r="B4111" s="81"/>
      <c r="C4111" s="82"/>
    </row>
    <row r="4112" spans="1:3" x14ac:dyDescent="0.3">
      <c r="A4112" s="80"/>
      <c r="B4112" s="81"/>
      <c r="C4112" s="82"/>
    </row>
    <row r="4113" spans="1:3" x14ac:dyDescent="0.3">
      <c r="A4113" s="80"/>
      <c r="B4113" s="81"/>
      <c r="C4113" s="82"/>
    </row>
    <row r="4114" spans="1:3" x14ac:dyDescent="0.3">
      <c r="A4114" s="80"/>
      <c r="B4114" s="81"/>
      <c r="C4114" s="82"/>
    </row>
    <row r="4115" spans="1:3" x14ac:dyDescent="0.3">
      <c r="A4115" s="80"/>
      <c r="B4115" s="81"/>
      <c r="C4115" s="82"/>
    </row>
    <row r="4116" spans="1:3" x14ac:dyDescent="0.3">
      <c r="A4116" s="80"/>
      <c r="B4116" s="81"/>
      <c r="C4116" s="82"/>
    </row>
    <row r="4117" spans="1:3" x14ac:dyDescent="0.3">
      <c r="A4117" s="80"/>
      <c r="B4117" s="81"/>
      <c r="C4117" s="82"/>
    </row>
    <row r="4118" spans="1:3" x14ac:dyDescent="0.3">
      <c r="A4118" s="80"/>
      <c r="B4118" s="81"/>
      <c r="C4118" s="82"/>
    </row>
    <row r="4119" spans="1:3" x14ac:dyDescent="0.3">
      <c r="A4119" s="80"/>
      <c r="B4119" s="81"/>
      <c r="C4119" s="82"/>
    </row>
    <row r="4120" spans="1:3" x14ac:dyDescent="0.3">
      <c r="A4120" s="80"/>
      <c r="B4120" s="81"/>
      <c r="C4120" s="82"/>
    </row>
    <row r="4121" spans="1:3" x14ac:dyDescent="0.3">
      <c r="A4121" s="80"/>
      <c r="B4121" s="81"/>
      <c r="C4121" s="82"/>
    </row>
    <row r="4122" spans="1:3" x14ac:dyDescent="0.3">
      <c r="A4122" s="80"/>
      <c r="B4122" s="81"/>
      <c r="C4122" s="82"/>
    </row>
    <row r="4123" spans="1:3" x14ac:dyDescent="0.3">
      <c r="A4123" s="80"/>
      <c r="B4123" s="81"/>
      <c r="C4123" s="82"/>
    </row>
    <row r="4124" spans="1:3" x14ac:dyDescent="0.3">
      <c r="A4124" s="80"/>
      <c r="B4124" s="81"/>
      <c r="C4124" s="82"/>
    </row>
    <row r="4125" spans="1:3" x14ac:dyDescent="0.3">
      <c r="A4125" s="80"/>
      <c r="B4125" s="81"/>
      <c r="C4125" s="82"/>
    </row>
    <row r="4126" spans="1:3" x14ac:dyDescent="0.3">
      <c r="A4126" s="80"/>
      <c r="B4126" s="81"/>
      <c r="C4126" s="82"/>
    </row>
    <row r="4127" spans="1:3" x14ac:dyDescent="0.3">
      <c r="A4127" s="80"/>
      <c r="B4127" s="81"/>
      <c r="C4127" s="82"/>
    </row>
    <row r="4128" spans="1:3" x14ac:dyDescent="0.3">
      <c r="A4128" s="80"/>
      <c r="B4128" s="81"/>
      <c r="C4128" s="82"/>
    </row>
    <row r="4129" spans="1:3" x14ac:dyDescent="0.3">
      <c r="A4129" s="80"/>
      <c r="B4129" s="81"/>
      <c r="C4129" s="82"/>
    </row>
    <row r="4130" spans="1:3" x14ac:dyDescent="0.3">
      <c r="A4130" s="80"/>
      <c r="B4130" s="81"/>
      <c r="C4130" s="82"/>
    </row>
    <row r="4131" spans="1:3" x14ac:dyDescent="0.3">
      <c r="A4131" s="80"/>
      <c r="B4131" s="81"/>
      <c r="C4131" s="82"/>
    </row>
    <row r="4132" spans="1:3" x14ac:dyDescent="0.3">
      <c r="A4132" s="80"/>
      <c r="B4132" s="81"/>
      <c r="C4132" s="82"/>
    </row>
    <row r="4133" spans="1:3" x14ac:dyDescent="0.3">
      <c r="A4133" s="80"/>
      <c r="B4133" s="81"/>
      <c r="C4133" s="82"/>
    </row>
    <row r="4134" spans="1:3" x14ac:dyDescent="0.3">
      <c r="A4134" s="80"/>
      <c r="B4134" s="81"/>
      <c r="C4134" s="82"/>
    </row>
    <row r="4135" spans="1:3" x14ac:dyDescent="0.3">
      <c r="A4135" s="80"/>
      <c r="B4135" s="81"/>
      <c r="C4135" s="82"/>
    </row>
    <row r="4136" spans="1:3" x14ac:dyDescent="0.3">
      <c r="A4136" s="80"/>
      <c r="B4136" s="81"/>
      <c r="C4136" s="82"/>
    </row>
    <row r="4137" spans="1:3" x14ac:dyDescent="0.3">
      <c r="A4137" s="80"/>
      <c r="B4137" s="81"/>
      <c r="C4137" s="82"/>
    </row>
    <row r="4138" spans="1:3" x14ac:dyDescent="0.3">
      <c r="A4138" s="80"/>
      <c r="B4138" s="81"/>
      <c r="C4138" s="82"/>
    </row>
    <row r="4139" spans="1:3" x14ac:dyDescent="0.3">
      <c r="A4139" s="80"/>
      <c r="B4139" s="81"/>
      <c r="C4139" s="82"/>
    </row>
    <row r="4140" spans="1:3" x14ac:dyDescent="0.3">
      <c r="A4140" s="80"/>
      <c r="B4140" s="81"/>
      <c r="C4140" s="82"/>
    </row>
    <row r="4141" spans="1:3" x14ac:dyDescent="0.3">
      <c r="A4141" s="80"/>
      <c r="B4141" s="81"/>
      <c r="C4141" s="82"/>
    </row>
    <row r="4142" spans="1:3" x14ac:dyDescent="0.3">
      <c r="A4142" s="80"/>
      <c r="B4142" s="81"/>
      <c r="C4142" s="82"/>
    </row>
    <row r="4143" spans="1:3" x14ac:dyDescent="0.3">
      <c r="A4143" s="80"/>
      <c r="B4143" s="81"/>
      <c r="C4143" s="82"/>
    </row>
    <row r="4144" spans="1:3" x14ac:dyDescent="0.3">
      <c r="A4144" s="80"/>
      <c r="B4144" s="81"/>
      <c r="C4144" s="82"/>
    </row>
    <row r="4145" spans="1:3" x14ac:dyDescent="0.3">
      <c r="A4145" s="80"/>
      <c r="B4145" s="81"/>
      <c r="C4145" s="82"/>
    </row>
    <row r="4146" spans="1:3" x14ac:dyDescent="0.3">
      <c r="A4146" s="80"/>
      <c r="B4146" s="81"/>
      <c r="C4146" s="82"/>
    </row>
    <row r="4147" spans="1:3" x14ac:dyDescent="0.3">
      <c r="A4147" s="80"/>
      <c r="B4147" s="81"/>
      <c r="C4147" s="82"/>
    </row>
    <row r="4148" spans="1:3" x14ac:dyDescent="0.3">
      <c r="A4148" s="80"/>
      <c r="B4148" s="81"/>
      <c r="C4148" s="82"/>
    </row>
    <row r="4149" spans="1:3" x14ac:dyDescent="0.3">
      <c r="A4149" s="80"/>
      <c r="B4149" s="81"/>
      <c r="C4149" s="82"/>
    </row>
    <row r="4150" spans="1:3" x14ac:dyDescent="0.3">
      <c r="A4150" s="80"/>
      <c r="B4150" s="81"/>
      <c r="C4150" s="82"/>
    </row>
    <row r="4151" spans="1:3" x14ac:dyDescent="0.3">
      <c r="A4151" s="80"/>
      <c r="B4151" s="81"/>
      <c r="C4151" s="82"/>
    </row>
    <row r="4152" spans="1:3" x14ac:dyDescent="0.3">
      <c r="A4152" s="80"/>
      <c r="B4152" s="81"/>
      <c r="C4152" s="82"/>
    </row>
    <row r="4153" spans="1:3" x14ac:dyDescent="0.3">
      <c r="A4153" s="80"/>
      <c r="B4153" s="81"/>
      <c r="C4153" s="82"/>
    </row>
    <row r="4154" spans="1:3" x14ac:dyDescent="0.3">
      <c r="A4154" s="80"/>
      <c r="B4154" s="81"/>
      <c r="C4154" s="82"/>
    </row>
    <row r="4155" spans="1:3" x14ac:dyDescent="0.3">
      <c r="A4155" s="80"/>
      <c r="B4155" s="81"/>
      <c r="C4155" s="82"/>
    </row>
    <row r="4156" spans="1:3" x14ac:dyDescent="0.3">
      <c r="A4156" s="80"/>
      <c r="B4156" s="81"/>
      <c r="C4156" s="82"/>
    </row>
    <row r="4157" spans="1:3" x14ac:dyDescent="0.3">
      <c r="A4157" s="80"/>
      <c r="B4157" s="81"/>
      <c r="C4157" s="82"/>
    </row>
    <row r="4158" spans="1:3" x14ac:dyDescent="0.3">
      <c r="A4158" s="80"/>
      <c r="B4158" s="81"/>
      <c r="C4158" s="82"/>
    </row>
    <row r="4159" spans="1:3" x14ac:dyDescent="0.3">
      <c r="A4159" s="80"/>
      <c r="B4159" s="81"/>
      <c r="C4159" s="82"/>
    </row>
    <row r="4160" spans="1:3" x14ac:dyDescent="0.3">
      <c r="A4160" s="80"/>
      <c r="B4160" s="81"/>
      <c r="C4160" s="82"/>
    </row>
    <row r="4161" spans="1:3" x14ac:dyDescent="0.3">
      <c r="A4161" s="80"/>
      <c r="B4161" s="81"/>
      <c r="C4161" s="82"/>
    </row>
    <row r="4162" spans="1:3" x14ac:dyDescent="0.3">
      <c r="A4162" s="80"/>
      <c r="B4162" s="81"/>
      <c r="C4162" s="82"/>
    </row>
    <row r="4163" spans="1:3" x14ac:dyDescent="0.3">
      <c r="A4163" s="80"/>
      <c r="B4163" s="81"/>
      <c r="C4163" s="82"/>
    </row>
    <row r="4164" spans="1:3" x14ac:dyDescent="0.3">
      <c r="A4164" s="80"/>
      <c r="B4164" s="81"/>
      <c r="C4164" s="82"/>
    </row>
    <row r="4165" spans="1:3" x14ac:dyDescent="0.3">
      <c r="A4165" s="80"/>
      <c r="B4165" s="81"/>
      <c r="C4165" s="82"/>
    </row>
    <row r="4166" spans="1:3" x14ac:dyDescent="0.3">
      <c r="A4166" s="80"/>
      <c r="B4166" s="81"/>
      <c r="C4166" s="82"/>
    </row>
    <row r="4167" spans="1:3" x14ac:dyDescent="0.3">
      <c r="A4167" s="80"/>
      <c r="B4167" s="81"/>
      <c r="C4167" s="82"/>
    </row>
    <row r="4168" spans="1:3" x14ac:dyDescent="0.3">
      <c r="A4168" s="80"/>
      <c r="B4168" s="81"/>
      <c r="C4168" s="82"/>
    </row>
    <row r="4169" spans="1:3" x14ac:dyDescent="0.3">
      <c r="A4169" s="80"/>
      <c r="B4169" s="81"/>
      <c r="C4169" s="82"/>
    </row>
    <row r="4170" spans="1:3" x14ac:dyDescent="0.3">
      <c r="A4170" s="80"/>
      <c r="B4170" s="81"/>
      <c r="C4170" s="82"/>
    </row>
    <row r="4171" spans="1:3" x14ac:dyDescent="0.3">
      <c r="A4171" s="80"/>
      <c r="B4171" s="81"/>
      <c r="C4171" s="82"/>
    </row>
    <row r="4172" spans="1:3" x14ac:dyDescent="0.3">
      <c r="A4172" s="80"/>
      <c r="B4172" s="81"/>
      <c r="C4172" s="82"/>
    </row>
    <row r="4173" spans="1:3" x14ac:dyDescent="0.3">
      <c r="A4173" s="80"/>
      <c r="B4173" s="81"/>
      <c r="C4173" s="82"/>
    </row>
    <row r="4174" spans="1:3" x14ac:dyDescent="0.3">
      <c r="A4174" s="80"/>
      <c r="B4174" s="81"/>
      <c r="C4174" s="82"/>
    </row>
    <row r="4175" spans="1:3" x14ac:dyDescent="0.3">
      <c r="A4175" s="80"/>
      <c r="B4175" s="81"/>
      <c r="C4175" s="82"/>
    </row>
    <row r="4176" spans="1:3" x14ac:dyDescent="0.3">
      <c r="A4176" s="80"/>
      <c r="B4176" s="81"/>
      <c r="C4176" s="82"/>
    </row>
    <row r="4177" spans="1:3" x14ac:dyDescent="0.3">
      <c r="A4177" s="80"/>
      <c r="B4177" s="81"/>
      <c r="C4177" s="82"/>
    </row>
    <row r="4178" spans="1:3" x14ac:dyDescent="0.3">
      <c r="A4178" s="80"/>
      <c r="B4178" s="81"/>
      <c r="C4178" s="82"/>
    </row>
    <row r="4179" spans="1:3" x14ac:dyDescent="0.3">
      <c r="A4179" s="80"/>
      <c r="B4179" s="81"/>
      <c r="C4179" s="82"/>
    </row>
    <row r="4180" spans="1:3" x14ac:dyDescent="0.3">
      <c r="A4180" s="80"/>
      <c r="B4180" s="81"/>
      <c r="C4180" s="82"/>
    </row>
    <row r="4181" spans="1:3" x14ac:dyDescent="0.3">
      <c r="A4181" s="80"/>
      <c r="B4181" s="81"/>
      <c r="C4181" s="82"/>
    </row>
    <row r="4182" spans="1:3" x14ac:dyDescent="0.3">
      <c r="A4182" s="80"/>
      <c r="B4182" s="81"/>
      <c r="C4182" s="82"/>
    </row>
    <row r="4183" spans="1:3" x14ac:dyDescent="0.3">
      <c r="A4183" s="80"/>
      <c r="B4183" s="81"/>
      <c r="C4183" s="82"/>
    </row>
    <row r="4184" spans="1:3" x14ac:dyDescent="0.3">
      <c r="A4184" s="80"/>
      <c r="B4184" s="81"/>
      <c r="C4184" s="82"/>
    </row>
    <row r="4185" spans="1:3" x14ac:dyDescent="0.3">
      <c r="A4185" s="80"/>
      <c r="B4185" s="81"/>
      <c r="C4185" s="82"/>
    </row>
    <row r="4186" spans="1:3" x14ac:dyDescent="0.3">
      <c r="A4186" s="80"/>
      <c r="B4186" s="81"/>
      <c r="C4186" s="82"/>
    </row>
    <row r="4187" spans="1:3" x14ac:dyDescent="0.3">
      <c r="A4187" s="80"/>
      <c r="B4187" s="81"/>
      <c r="C4187" s="82"/>
    </row>
    <row r="4188" spans="1:3" x14ac:dyDescent="0.3">
      <c r="A4188" s="80"/>
      <c r="B4188" s="81"/>
      <c r="C4188" s="82"/>
    </row>
    <row r="4189" spans="1:3" x14ac:dyDescent="0.3">
      <c r="A4189" s="80"/>
      <c r="B4189" s="81"/>
      <c r="C4189" s="82"/>
    </row>
    <row r="4190" spans="1:3" x14ac:dyDescent="0.3">
      <c r="A4190" s="80"/>
      <c r="B4190" s="81"/>
      <c r="C4190" s="82"/>
    </row>
    <row r="4191" spans="1:3" x14ac:dyDescent="0.3">
      <c r="A4191" s="80"/>
      <c r="B4191" s="81"/>
      <c r="C4191" s="82"/>
    </row>
    <row r="4192" spans="1:3" x14ac:dyDescent="0.3">
      <c r="A4192" s="80"/>
      <c r="B4192" s="81"/>
      <c r="C4192" s="82"/>
    </row>
    <row r="4193" spans="1:3" x14ac:dyDescent="0.3">
      <c r="A4193" s="80"/>
      <c r="B4193" s="81"/>
      <c r="C4193" s="82"/>
    </row>
    <row r="4194" spans="1:3" x14ac:dyDescent="0.3">
      <c r="A4194" s="80"/>
      <c r="B4194" s="81"/>
      <c r="C4194" s="82"/>
    </row>
    <row r="4195" spans="1:3" x14ac:dyDescent="0.3">
      <c r="A4195" s="80"/>
      <c r="B4195" s="81"/>
      <c r="C4195" s="82"/>
    </row>
    <row r="4196" spans="1:3" x14ac:dyDescent="0.3">
      <c r="A4196" s="80"/>
      <c r="B4196" s="81"/>
      <c r="C4196" s="82"/>
    </row>
    <row r="4197" spans="1:3" x14ac:dyDescent="0.3">
      <c r="A4197" s="80"/>
      <c r="B4197" s="81"/>
      <c r="C4197" s="82"/>
    </row>
    <row r="4198" spans="1:3" x14ac:dyDescent="0.3">
      <c r="A4198" s="80"/>
      <c r="B4198" s="81"/>
      <c r="C4198" s="82"/>
    </row>
    <row r="4199" spans="1:3" x14ac:dyDescent="0.3">
      <c r="A4199" s="80"/>
      <c r="B4199" s="81"/>
      <c r="C4199" s="82"/>
    </row>
    <row r="4200" spans="1:3" x14ac:dyDescent="0.3">
      <c r="A4200" s="80"/>
      <c r="B4200" s="81"/>
      <c r="C4200" s="82"/>
    </row>
    <row r="4201" spans="1:3" x14ac:dyDescent="0.3">
      <c r="A4201" s="80"/>
      <c r="B4201" s="81"/>
      <c r="C4201" s="82"/>
    </row>
    <row r="4202" spans="1:3" x14ac:dyDescent="0.3">
      <c r="A4202" s="80"/>
      <c r="B4202" s="81"/>
      <c r="C4202" s="82"/>
    </row>
    <row r="4203" spans="1:3" x14ac:dyDescent="0.3">
      <c r="A4203" s="80"/>
      <c r="B4203" s="81"/>
      <c r="C4203" s="82"/>
    </row>
    <row r="4204" spans="1:3" x14ac:dyDescent="0.3">
      <c r="A4204" s="80"/>
      <c r="B4204" s="81"/>
      <c r="C4204" s="82"/>
    </row>
    <row r="4205" spans="1:3" x14ac:dyDescent="0.3">
      <c r="A4205" s="80"/>
      <c r="B4205" s="81"/>
      <c r="C4205" s="82"/>
    </row>
    <row r="4206" spans="1:3" x14ac:dyDescent="0.3">
      <c r="A4206" s="80"/>
      <c r="B4206" s="81"/>
      <c r="C4206" s="82"/>
    </row>
    <row r="4207" spans="1:3" x14ac:dyDescent="0.3">
      <c r="A4207" s="80"/>
      <c r="B4207" s="81"/>
      <c r="C4207" s="82"/>
    </row>
    <row r="4208" spans="1:3" x14ac:dyDescent="0.3">
      <c r="A4208" s="80"/>
      <c r="B4208" s="81"/>
      <c r="C4208" s="82"/>
    </row>
    <row r="4209" spans="1:3" x14ac:dyDescent="0.3">
      <c r="A4209" s="80"/>
      <c r="B4209" s="81"/>
      <c r="C4209" s="82"/>
    </row>
    <row r="4210" spans="1:3" x14ac:dyDescent="0.3">
      <c r="A4210" s="80"/>
      <c r="B4210" s="81"/>
      <c r="C4210" s="82"/>
    </row>
    <row r="4211" spans="1:3" x14ac:dyDescent="0.3">
      <c r="A4211" s="80"/>
      <c r="B4211" s="81"/>
      <c r="C4211" s="82"/>
    </row>
    <row r="4212" spans="1:3" x14ac:dyDescent="0.3">
      <c r="A4212" s="80"/>
      <c r="B4212" s="81"/>
      <c r="C4212" s="82"/>
    </row>
    <row r="4213" spans="1:3" x14ac:dyDescent="0.3">
      <c r="A4213" s="80"/>
      <c r="B4213" s="81"/>
      <c r="C4213" s="82"/>
    </row>
    <row r="4214" spans="1:3" x14ac:dyDescent="0.3">
      <c r="A4214" s="80"/>
      <c r="B4214" s="81"/>
      <c r="C4214" s="82"/>
    </row>
    <row r="4215" spans="1:3" x14ac:dyDescent="0.3">
      <c r="A4215" s="80"/>
      <c r="B4215" s="81"/>
      <c r="C4215" s="82"/>
    </row>
    <row r="4216" spans="1:3" x14ac:dyDescent="0.3">
      <c r="A4216" s="80"/>
      <c r="B4216" s="81"/>
      <c r="C4216" s="82"/>
    </row>
    <row r="4217" spans="1:3" x14ac:dyDescent="0.3">
      <c r="A4217" s="80"/>
      <c r="B4217" s="81"/>
      <c r="C4217" s="82"/>
    </row>
    <row r="4218" spans="1:3" x14ac:dyDescent="0.3">
      <c r="A4218" s="80"/>
      <c r="B4218" s="81"/>
      <c r="C4218" s="82"/>
    </row>
    <row r="4219" spans="1:3" x14ac:dyDescent="0.3">
      <c r="A4219" s="80"/>
      <c r="B4219" s="81"/>
      <c r="C4219" s="82"/>
    </row>
    <row r="4220" spans="1:3" x14ac:dyDescent="0.3">
      <c r="A4220" s="80"/>
      <c r="B4220" s="81"/>
      <c r="C4220" s="82"/>
    </row>
    <row r="4221" spans="1:3" x14ac:dyDescent="0.3">
      <c r="A4221" s="80"/>
      <c r="B4221" s="81"/>
      <c r="C4221" s="82"/>
    </row>
    <row r="4222" spans="1:3" x14ac:dyDescent="0.3">
      <c r="A4222" s="80"/>
      <c r="B4222" s="81"/>
      <c r="C4222" s="82"/>
    </row>
    <row r="4223" spans="1:3" x14ac:dyDescent="0.3">
      <c r="A4223" s="80"/>
      <c r="B4223" s="81"/>
      <c r="C4223" s="82"/>
    </row>
    <row r="4224" spans="1:3" x14ac:dyDescent="0.3">
      <c r="A4224" s="80"/>
      <c r="B4224" s="81"/>
      <c r="C4224" s="82"/>
    </row>
    <row r="4225" spans="1:3" x14ac:dyDescent="0.3">
      <c r="A4225" s="80"/>
      <c r="B4225" s="81"/>
      <c r="C4225" s="82"/>
    </row>
    <row r="4226" spans="1:3" x14ac:dyDescent="0.3">
      <c r="A4226" s="80"/>
      <c r="B4226" s="81"/>
      <c r="C4226" s="82"/>
    </row>
    <row r="4227" spans="1:3" x14ac:dyDescent="0.3">
      <c r="A4227" s="80"/>
      <c r="B4227" s="81"/>
      <c r="C4227" s="82"/>
    </row>
    <row r="4228" spans="1:3" x14ac:dyDescent="0.3">
      <c r="A4228" s="80"/>
      <c r="B4228" s="81"/>
      <c r="C4228" s="82"/>
    </row>
    <row r="4229" spans="1:3" x14ac:dyDescent="0.3">
      <c r="A4229" s="80"/>
      <c r="B4229" s="81"/>
      <c r="C4229" s="82"/>
    </row>
    <row r="4230" spans="1:3" x14ac:dyDescent="0.3">
      <c r="A4230" s="80"/>
      <c r="B4230" s="81"/>
      <c r="C4230" s="82"/>
    </row>
    <row r="4231" spans="1:3" x14ac:dyDescent="0.3">
      <c r="A4231" s="80"/>
      <c r="B4231" s="81"/>
      <c r="C4231" s="82"/>
    </row>
    <row r="4232" spans="1:3" x14ac:dyDescent="0.3">
      <c r="A4232" s="80"/>
      <c r="B4232" s="81"/>
      <c r="C4232" s="82"/>
    </row>
    <row r="4233" spans="1:3" x14ac:dyDescent="0.3">
      <c r="A4233" s="80"/>
      <c r="B4233" s="81"/>
      <c r="C4233" s="82"/>
    </row>
    <row r="4234" spans="1:3" x14ac:dyDescent="0.3">
      <c r="A4234" s="80"/>
      <c r="B4234" s="81"/>
      <c r="C4234" s="82"/>
    </row>
    <row r="4235" spans="1:3" x14ac:dyDescent="0.3">
      <c r="A4235" s="80"/>
      <c r="B4235" s="81"/>
      <c r="C4235" s="82"/>
    </row>
    <row r="4236" spans="1:3" x14ac:dyDescent="0.3">
      <c r="A4236" s="80"/>
      <c r="B4236" s="81"/>
      <c r="C4236" s="82"/>
    </row>
    <row r="4237" spans="1:3" x14ac:dyDescent="0.3">
      <c r="A4237" s="80"/>
      <c r="B4237" s="81"/>
      <c r="C4237" s="82"/>
    </row>
    <row r="4238" spans="1:3" x14ac:dyDescent="0.3">
      <c r="A4238" s="80"/>
      <c r="B4238" s="81"/>
      <c r="C4238" s="82"/>
    </row>
    <row r="4239" spans="1:3" x14ac:dyDescent="0.3">
      <c r="A4239" s="80"/>
      <c r="B4239" s="81"/>
      <c r="C4239" s="82"/>
    </row>
    <row r="4240" spans="1:3" x14ac:dyDescent="0.3">
      <c r="A4240" s="80"/>
      <c r="B4240" s="81"/>
      <c r="C4240" s="82"/>
    </row>
    <row r="4241" spans="1:3" x14ac:dyDescent="0.3">
      <c r="A4241" s="80"/>
      <c r="B4241" s="81"/>
      <c r="C4241" s="82"/>
    </row>
    <row r="4242" spans="1:3" x14ac:dyDescent="0.3">
      <c r="A4242" s="80"/>
      <c r="B4242" s="81"/>
      <c r="C4242" s="82"/>
    </row>
    <row r="4243" spans="1:3" x14ac:dyDescent="0.3">
      <c r="A4243" s="80"/>
      <c r="B4243" s="81"/>
      <c r="C4243" s="82"/>
    </row>
    <row r="4244" spans="1:3" x14ac:dyDescent="0.3">
      <c r="A4244" s="80"/>
      <c r="B4244" s="81"/>
      <c r="C4244" s="82"/>
    </row>
    <row r="4245" spans="1:3" x14ac:dyDescent="0.3">
      <c r="A4245" s="80"/>
      <c r="B4245" s="81"/>
      <c r="C4245" s="82"/>
    </row>
    <row r="4246" spans="1:3" x14ac:dyDescent="0.3">
      <c r="A4246" s="80"/>
      <c r="B4246" s="81"/>
      <c r="C4246" s="82"/>
    </row>
    <row r="4247" spans="1:3" x14ac:dyDescent="0.3">
      <c r="A4247" s="80"/>
      <c r="B4247" s="81"/>
      <c r="C4247" s="82"/>
    </row>
    <row r="4248" spans="1:3" x14ac:dyDescent="0.3">
      <c r="A4248" s="80"/>
      <c r="B4248" s="81"/>
      <c r="C4248" s="82"/>
    </row>
    <row r="4249" spans="1:3" x14ac:dyDescent="0.3">
      <c r="A4249" s="80"/>
      <c r="B4249" s="81"/>
      <c r="C4249" s="82"/>
    </row>
    <row r="4250" spans="1:3" x14ac:dyDescent="0.3">
      <c r="A4250" s="80"/>
      <c r="B4250" s="81"/>
      <c r="C4250" s="82"/>
    </row>
    <row r="4251" spans="1:3" x14ac:dyDescent="0.3">
      <c r="A4251" s="80"/>
      <c r="B4251" s="81"/>
      <c r="C4251" s="82"/>
    </row>
    <row r="4252" spans="1:3" x14ac:dyDescent="0.3">
      <c r="A4252" s="80"/>
      <c r="B4252" s="81"/>
      <c r="C4252" s="82"/>
    </row>
    <row r="4253" spans="1:3" x14ac:dyDescent="0.3">
      <c r="A4253" s="80"/>
      <c r="B4253" s="81"/>
      <c r="C4253" s="82"/>
    </row>
    <row r="4254" spans="1:3" x14ac:dyDescent="0.3">
      <c r="A4254" s="80"/>
      <c r="B4254" s="81"/>
      <c r="C4254" s="82"/>
    </row>
    <row r="4255" spans="1:3" x14ac:dyDescent="0.3">
      <c r="A4255" s="80"/>
      <c r="B4255" s="81"/>
      <c r="C4255" s="82"/>
    </row>
    <row r="4256" spans="1:3" x14ac:dyDescent="0.3">
      <c r="A4256" s="80"/>
      <c r="B4256" s="81"/>
      <c r="C4256" s="82"/>
    </row>
    <row r="4257" spans="1:3" x14ac:dyDescent="0.3">
      <c r="A4257" s="80"/>
      <c r="B4257" s="81"/>
      <c r="C4257" s="82"/>
    </row>
    <row r="4258" spans="1:3" x14ac:dyDescent="0.3">
      <c r="A4258" s="80"/>
      <c r="B4258" s="81"/>
      <c r="C4258" s="82"/>
    </row>
    <row r="4259" spans="1:3" x14ac:dyDescent="0.3">
      <c r="A4259" s="80"/>
      <c r="B4259" s="81"/>
      <c r="C4259" s="82"/>
    </row>
    <row r="4260" spans="1:3" x14ac:dyDescent="0.3">
      <c r="A4260" s="80"/>
      <c r="B4260" s="81"/>
      <c r="C4260" s="82"/>
    </row>
    <row r="4261" spans="1:3" x14ac:dyDescent="0.3">
      <c r="A4261" s="80"/>
      <c r="B4261" s="81"/>
      <c r="C4261" s="82"/>
    </row>
    <row r="4262" spans="1:3" x14ac:dyDescent="0.3">
      <c r="A4262" s="80"/>
      <c r="B4262" s="81"/>
      <c r="C4262" s="82"/>
    </row>
    <row r="4263" spans="1:3" x14ac:dyDescent="0.3">
      <c r="A4263" s="80"/>
      <c r="B4263" s="81"/>
      <c r="C4263" s="82"/>
    </row>
    <row r="4264" spans="1:3" x14ac:dyDescent="0.3">
      <c r="A4264" s="80"/>
      <c r="B4264" s="81"/>
      <c r="C4264" s="82"/>
    </row>
    <row r="4265" spans="1:3" x14ac:dyDescent="0.3">
      <c r="A4265" s="80"/>
      <c r="B4265" s="81"/>
      <c r="C4265" s="82"/>
    </row>
    <row r="4266" spans="1:3" x14ac:dyDescent="0.3">
      <c r="A4266" s="80"/>
      <c r="B4266" s="81"/>
      <c r="C4266" s="82"/>
    </row>
    <row r="4267" spans="1:3" x14ac:dyDescent="0.3">
      <c r="A4267" s="80"/>
      <c r="B4267" s="81"/>
      <c r="C4267" s="82"/>
    </row>
    <row r="4268" spans="1:3" x14ac:dyDescent="0.3">
      <c r="A4268" s="80"/>
      <c r="B4268" s="81"/>
      <c r="C4268" s="82"/>
    </row>
    <row r="4269" spans="1:3" x14ac:dyDescent="0.3">
      <c r="A4269" s="80"/>
      <c r="B4269" s="81"/>
      <c r="C4269" s="82"/>
    </row>
    <row r="4270" spans="1:3" x14ac:dyDescent="0.3">
      <c r="A4270" s="80"/>
      <c r="B4270" s="81"/>
      <c r="C4270" s="82"/>
    </row>
    <row r="4271" spans="1:3" x14ac:dyDescent="0.3">
      <c r="A4271" s="80"/>
      <c r="B4271" s="81"/>
      <c r="C4271" s="82"/>
    </row>
    <row r="4272" spans="1:3" x14ac:dyDescent="0.3">
      <c r="A4272" s="80"/>
      <c r="B4272" s="81"/>
      <c r="C4272" s="82"/>
    </row>
    <row r="4273" spans="1:3" x14ac:dyDescent="0.3">
      <c r="A4273" s="80"/>
      <c r="B4273" s="81"/>
      <c r="C4273" s="82"/>
    </row>
    <row r="4274" spans="1:3" x14ac:dyDescent="0.3">
      <c r="A4274" s="80"/>
      <c r="B4274" s="81"/>
      <c r="C4274" s="82"/>
    </row>
    <row r="4275" spans="1:3" x14ac:dyDescent="0.3">
      <c r="A4275" s="80"/>
      <c r="B4275" s="81"/>
      <c r="C4275" s="82"/>
    </row>
    <row r="4276" spans="1:3" x14ac:dyDescent="0.3">
      <c r="A4276" s="80"/>
      <c r="B4276" s="81"/>
      <c r="C4276" s="82"/>
    </row>
    <row r="4277" spans="1:3" x14ac:dyDescent="0.3">
      <c r="A4277" s="80"/>
      <c r="B4277" s="81"/>
      <c r="C4277" s="82"/>
    </row>
    <row r="4278" spans="1:3" x14ac:dyDescent="0.3">
      <c r="A4278" s="80"/>
      <c r="B4278" s="81"/>
      <c r="C4278" s="82"/>
    </row>
    <row r="4279" spans="1:3" x14ac:dyDescent="0.3">
      <c r="A4279" s="80"/>
      <c r="B4279" s="81"/>
      <c r="C4279" s="82"/>
    </row>
    <row r="4280" spans="1:3" x14ac:dyDescent="0.3">
      <c r="A4280" s="80"/>
      <c r="B4280" s="81"/>
      <c r="C4280" s="82"/>
    </row>
    <row r="4281" spans="1:3" x14ac:dyDescent="0.3">
      <c r="A4281" s="80"/>
      <c r="B4281" s="81"/>
      <c r="C4281" s="82"/>
    </row>
    <row r="4282" spans="1:3" x14ac:dyDescent="0.3">
      <c r="A4282" s="80"/>
      <c r="B4282" s="81"/>
      <c r="C4282" s="82"/>
    </row>
    <row r="4283" spans="1:3" x14ac:dyDescent="0.3">
      <c r="A4283" s="80"/>
      <c r="B4283" s="81"/>
      <c r="C4283" s="82"/>
    </row>
    <row r="4284" spans="1:3" x14ac:dyDescent="0.3">
      <c r="A4284" s="80"/>
      <c r="B4284" s="81"/>
      <c r="C4284" s="82"/>
    </row>
    <row r="4285" spans="1:3" x14ac:dyDescent="0.3">
      <c r="A4285" s="80"/>
      <c r="B4285" s="81"/>
      <c r="C4285" s="82"/>
    </row>
    <row r="4286" spans="1:3" x14ac:dyDescent="0.3">
      <c r="A4286" s="80"/>
      <c r="B4286" s="81"/>
      <c r="C4286" s="82"/>
    </row>
    <row r="4287" spans="1:3" x14ac:dyDescent="0.3">
      <c r="A4287" s="80"/>
      <c r="B4287" s="81"/>
      <c r="C4287" s="82"/>
    </row>
    <row r="4288" spans="1:3" x14ac:dyDescent="0.3">
      <c r="A4288" s="80"/>
      <c r="B4288" s="81"/>
      <c r="C4288" s="82"/>
    </row>
    <row r="4289" spans="1:3" x14ac:dyDescent="0.3">
      <c r="A4289" s="80"/>
      <c r="B4289" s="81"/>
      <c r="C4289" s="82"/>
    </row>
    <row r="4290" spans="1:3" x14ac:dyDescent="0.3">
      <c r="A4290" s="80"/>
      <c r="B4290" s="81"/>
      <c r="C4290" s="82"/>
    </row>
    <row r="4291" spans="1:3" x14ac:dyDescent="0.3">
      <c r="A4291" s="80"/>
      <c r="B4291" s="81"/>
      <c r="C4291" s="82"/>
    </row>
    <row r="4292" spans="1:3" x14ac:dyDescent="0.3">
      <c r="A4292" s="80"/>
      <c r="B4292" s="81"/>
      <c r="C4292" s="82"/>
    </row>
    <row r="4293" spans="1:3" x14ac:dyDescent="0.3">
      <c r="A4293" s="80"/>
      <c r="B4293" s="81"/>
      <c r="C4293" s="82"/>
    </row>
    <row r="4294" spans="1:3" x14ac:dyDescent="0.3">
      <c r="A4294" s="80"/>
      <c r="B4294" s="81"/>
      <c r="C4294" s="82"/>
    </row>
    <row r="4295" spans="1:3" x14ac:dyDescent="0.3">
      <c r="A4295" s="80"/>
      <c r="B4295" s="81"/>
      <c r="C4295" s="82"/>
    </row>
    <row r="4296" spans="1:3" x14ac:dyDescent="0.3">
      <c r="A4296" s="80"/>
      <c r="B4296" s="81"/>
      <c r="C4296" s="82"/>
    </row>
    <row r="4297" spans="1:3" x14ac:dyDescent="0.3">
      <c r="A4297" s="80"/>
      <c r="B4297" s="81"/>
      <c r="C4297" s="82"/>
    </row>
    <row r="4298" spans="1:3" x14ac:dyDescent="0.3">
      <c r="A4298" s="80"/>
      <c r="B4298" s="81"/>
      <c r="C4298" s="82"/>
    </row>
    <row r="4299" spans="1:3" x14ac:dyDescent="0.3">
      <c r="A4299" s="80"/>
      <c r="B4299" s="81"/>
      <c r="C4299" s="82"/>
    </row>
    <row r="4300" spans="1:3" x14ac:dyDescent="0.3">
      <c r="A4300" s="80"/>
      <c r="B4300" s="81"/>
      <c r="C4300" s="82"/>
    </row>
    <row r="4301" spans="1:3" x14ac:dyDescent="0.3">
      <c r="A4301" s="80"/>
      <c r="B4301" s="81"/>
      <c r="C4301" s="82"/>
    </row>
    <row r="4302" spans="1:3" x14ac:dyDescent="0.3">
      <c r="A4302" s="80"/>
      <c r="B4302" s="81"/>
      <c r="C4302" s="82"/>
    </row>
    <row r="4303" spans="1:3" x14ac:dyDescent="0.3">
      <c r="A4303" s="80"/>
      <c r="B4303" s="81"/>
      <c r="C4303" s="82"/>
    </row>
    <row r="4304" spans="1:3" x14ac:dyDescent="0.3">
      <c r="A4304" s="80"/>
      <c r="B4304" s="81"/>
      <c r="C4304" s="82"/>
    </row>
    <row r="4305" spans="1:3" x14ac:dyDescent="0.3">
      <c r="A4305" s="80"/>
      <c r="B4305" s="81"/>
      <c r="C4305" s="82"/>
    </row>
    <row r="4306" spans="1:3" x14ac:dyDescent="0.3">
      <c r="A4306" s="80"/>
      <c r="B4306" s="81"/>
      <c r="C4306" s="82"/>
    </row>
    <row r="4307" spans="1:3" x14ac:dyDescent="0.3">
      <c r="A4307" s="80"/>
      <c r="B4307" s="81"/>
      <c r="C4307" s="82"/>
    </row>
    <row r="4308" spans="1:3" x14ac:dyDescent="0.3">
      <c r="A4308" s="80"/>
      <c r="B4308" s="81"/>
      <c r="C4308" s="82"/>
    </row>
    <row r="4309" spans="1:3" x14ac:dyDescent="0.3">
      <c r="A4309" s="80"/>
      <c r="B4309" s="81"/>
      <c r="C4309" s="82"/>
    </row>
    <row r="4310" spans="1:3" x14ac:dyDescent="0.3">
      <c r="A4310" s="80"/>
      <c r="B4310" s="81"/>
      <c r="C4310" s="82"/>
    </row>
    <row r="4311" spans="1:3" x14ac:dyDescent="0.3">
      <c r="A4311" s="80"/>
      <c r="B4311" s="81"/>
      <c r="C4311" s="82"/>
    </row>
    <row r="4312" spans="1:3" x14ac:dyDescent="0.3">
      <c r="A4312" s="80"/>
      <c r="B4312" s="81"/>
      <c r="C4312" s="82"/>
    </row>
    <row r="4313" spans="1:3" x14ac:dyDescent="0.3">
      <c r="A4313" s="80"/>
      <c r="B4313" s="81"/>
      <c r="C4313" s="82"/>
    </row>
    <row r="4314" spans="1:3" x14ac:dyDescent="0.3">
      <c r="A4314" s="80"/>
      <c r="B4314" s="81"/>
      <c r="C4314" s="82"/>
    </row>
    <row r="4315" spans="1:3" x14ac:dyDescent="0.3">
      <c r="A4315" s="80"/>
      <c r="B4315" s="81"/>
      <c r="C4315" s="82"/>
    </row>
    <row r="4316" spans="1:3" x14ac:dyDescent="0.3">
      <c r="A4316" s="80"/>
      <c r="B4316" s="81"/>
      <c r="C4316" s="82"/>
    </row>
    <row r="4317" spans="1:3" x14ac:dyDescent="0.3">
      <c r="A4317" s="80"/>
      <c r="B4317" s="81"/>
      <c r="C4317" s="82"/>
    </row>
    <row r="4318" spans="1:3" x14ac:dyDescent="0.3">
      <c r="A4318" s="80"/>
      <c r="B4318" s="81"/>
      <c r="C4318" s="82"/>
    </row>
    <row r="4319" spans="1:3" x14ac:dyDescent="0.3">
      <c r="A4319" s="80"/>
      <c r="B4319" s="81"/>
      <c r="C4319" s="82"/>
    </row>
    <row r="4320" spans="1:3" x14ac:dyDescent="0.3">
      <c r="A4320" s="80"/>
      <c r="B4320" s="81"/>
      <c r="C4320" s="82"/>
    </row>
    <row r="4321" spans="1:3" x14ac:dyDescent="0.3">
      <c r="A4321" s="80"/>
      <c r="B4321" s="81"/>
      <c r="C4321" s="82"/>
    </row>
    <row r="4322" spans="1:3" x14ac:dyDescent="0.3">
      <c r="A4322" s="80"/>
      <c r="B4322" s="81"/>
      <c r="C4322" s="82"/>
    </row>
    <row r="4323" spans="1:3" x14ac:dyDescent="0.3">
      <c r="A4323" s="80"/>
      <c r="B4323" s="81"/>
      <c r="C4323" s="82"/>
    </row>
    <row r="4324" spans="1:3" x14ac:dyDescent="0.3">
      <c r="A4324" s="80"/>
      <c r="B4324" s="81"/>
      <c r="C4324" s="82"/>
    </row>
    <row r="4325" spans="1:3" x14ac:dyDescent="0.3">
      <c r="A4325" s="80"/>
      <c r="B4325" s="81"/>
      <c r="C4325" s="82"/>
    </row>
    <row r="4326" spans="1:3" x14ac:dyDescent="0.3">
      <c r="A4326" s="80"/>
      <c r="B4326" s="81"/>
      <c r="C4326" s="82"/>
    </row>
    <row r="4327" spans="1:3" x14ac:dyDescent="0.3">
      <c r="A4327" s="80"/>
      <c r="B4327" s="81"/>
      <c r="C4327" s="82"/>
    </row>
    <row r="4328" spans="1:3" x14ac:dyDescent="0.3">
      <c r="A4328" s="80"/>
      <c r="B4328" s="81"/>
      <c r="C4328" s="82"/>
    </row>
    <row r="4329" spans="1:3" x14ac:dyDescent="0.3">
      <c r="A4329" s="80"/>
      <c r="B4329" s="81"/>
      <c r="C4329" s="82"/>
    </row>
    <row r="4330" spans="1:3" x14ac:dyDescent="0.3">
      <c r="A4330" s="80"/>
      <c r="B4330" s="81"/>
      <c r="C4330" s="82"/>
    </row>
    <row r="4331" spans="1:3" x14ac:dyDescent="0.3">
      <c r="A4331" s="80"/>
      <c r="B4331" s="81"/>
      <c r="C4331" s="82"/>
    </row>
    <row r="4332" spans="1:3" x14ac:dyDescent="0.3">
      <c r="A4332" s="80"/>
      <c r="B4332" s="81"/>
      <c r="C4332" s="82"/>
    </row>
    <row r="4333" spans="1:3" x14ac:dyDescent="0.3">
      <c r="A4333" s="80"/>
      <c r="B4333" s="81"/>
      <c r="C4333" s="82"/>
    </row>
    <row r="4334" spans="1:3" x14ac:dyDescent="0.3">
      <c r="A4334" s="80"/>
      <c r="B4334" s="81"/>
      <c r="C4334" s="82"/>
    </row>
    <row r="4335" spans="1:3" x14ac:dyDescent="0.3">
      <c r="A4335" s="80"/>
      <c r="B4335" s="81"/>
      <c r="C4335" s="82"/>
    </row>
    <row r="4336" spans="1:3" x14ac:dyDescent="0.3">
      <c r="A4336" s="80"/>
      <c r="B4336" s="81"/>
      <c r="C4336" s="82"/>
    </row>
    <row r="4337" spans="1:3" x14ac:dyDescent="0.3">
      <c r="A4337" s="80"/>
      <c r="B4337" s="81"/>
      <c r="C4337" s="82"/>
    </row>
    <row r="4338" spans="1:3" x14ac:dyDescent="0.3">
      <c r="A4338" s="80"/>
      <c r="B4338" s="81"/>
      <c r="C4338" s="82"/>
    </row>
    <row r="4339" spans="1:3" x14ac:dyDescent="0.3">
      <c r="A4339" s="80"/>
      <c r="B4339" s="81"/>
      <c r="C4339" s="82"/>
    </row>
    <row r="4340" spans="1:3" x14ac:dyDescent="0.3">
      <c r="A4340" s="80"/>
      <c r="B4340" s="81"/>
      <c r="C4340" s="82"/>
    </row>
    <row r="4341" spans="1:3" x14ac:dyDescent="0.3">
      <c r="A4341" s="80"/>
      <c r="B4341" s="81"/>
      <c r="C4341" s="82"/>
    </row>
    <row r="4342" spans="1:3" x14ac:dyDescent="0.3">
      <c r="A4342" s="80"/>
      <c r="B4342" s="81"/>
      <c r="C4342" s="82"/>
    </row>
    <row r="4343" spans="1:3" x14ac:dyDescent="0.3">
      <c r="A4343" s="80"/>
      <c r="B4343" s="81"/>
      <c r="C4343" s="82"/>
    </row>
    <row r="4344" spans="1:3" x14ac:dyDescent="0.3">
      <c r="A4344" s="80"/>
      <c r="B4344" s="81"/>
      <c r="C4344" s="82"/>
    </row>
    <row r="4345" spans="1:3" x14ac:dyDescent="0.3">
      <c r="A4345" s="80"/>
      <c r="B4345" s="81"/>
      <c r="C4345" s="82"/>
    </row>
    <row r="4346" spans="1:3" x14ac:dyDescent="0.3">
      <c r="A4346" s="80"/>
      <c r="B4346" s="81"/>
      <c r="C4346" s="82"/>
    </row>
    <row r="4347" spans="1:3" x14ac:dyDescent="0.3">
      <c r="A4347" s="80"/>
      <c r="B4347" s="81"/>
      <c r="C4347" s="82"/>
    </row>
    <row r="4348" spans="1:3" x14ac:dyDescent="0.3">
      <c r="A4348" s="80"/>
      <c r="B4348" s="81"/>
      <c r="C4348" s="82"/>
    </row>
    <row r="4349" spans="1:3" x14ac:dyDescent="0.3">
      <c r="A4349" s="80"/>
      <c r="B4349" s="81"/>
      <c r="C4349" s="82"/>
    </row>
    <row r="4350" spans="1:3" x14ac:dyDescent="0.3">
      <c r="A4350" s="80"/>
      <c r="B4350" s="81"/>
      <c r="C4350" s="82"/>
    </row>
    <row r="4351" spans="1:3" x14ac:dyDescent="0.3">
      <c r="A4351" s="80"/>
      <c r="B4351" s="81"/>
      <c r="C4351" s="82"/>
    </row>
    <row r="4352" spans="1:3" x14ac:dyDescent="0.3">
      <c r="A4352" s="80"/>
      <c r="B4352" s="81"/>
      <c r="C4352" s="82"/>
    </row>
    <row r="4353" spans="1:3" x14ac:dyDescent="0.3">
      <c r="A4353" s="80"/>
      <c r="B4353" s="81"/>
      <c r="C4353" s="82"/>
    </row>
    <row r="4354" spans="1:3" x14ac:dyDescent="0.3">
      <c r="A4354" s="80"/>
      <c r="B4354" s="81"/>
      <c r="C4354" s="82"/>
    </row>
    <row r="4355" spans="1:3" x14ac:dyDescent="0.3">
      <c r="A4355" s="80"/>
      <c r="B4355" s="81"/>
      <c r="C4355" s="82"/>
    </row>
    <row r="4356" spans="1:3" x14ac:dyDescent="0.3">
      <c r="A4356" s="80"/>
      <c r="B4356" s="81"/>
      <c r="C4356" s="82"/>
    </row>
    <row r="4357" spans="1:3" x14ac:dyDescent="0.3">
      <c r="A4357" s="80"/>
      <c r="B4357" s="81"/>
      <c r="C4357" s="82"/>
    </row>
    <row r="4358" spans="1:3" x14ac:dyDescent="0.3">
      <c r="A4358" s="80"/>
      <c r="B4358" s="81"/>
      <c r="C4358" s="82"/>
    </row>
    <row r="4359" spans="1:3" x14ac:dyDescent="0.3">
      <c r="A4359" s="80"/>
      <c r="B4359" s="81"/>
      <c r="C4359" s="82"/>
    </row>
    <row r="4360" spans="1:3" x14ac:dyDescent="0.3">
      <c r="A4360" s="80"/>
      <c r="B4360" s="81"/>
      <c r="C4360" s="82"/>
    </row>
    <row r="4361" spans="1:3" x14ac:dyDescent="0.3">
      <c r="A4361" s="80"/>
      <c r="B4361" s="81"/>
      <c r="C4361" s="82"/>
    </row>
    <row r="4362" spans="1:3" x14ac:dyDescent="0.3">
      <c r="A4362" s="80"/>
      <c r="B4362" s="81"/>
      <c r="C4362" s="82"/>
    </row>
    <row r="4363" spans="1:3" x14ac:dyDescent="0.3">
      <c r="A4363" s="80"/>
      <c r="B4363" s="81"/>
      <c r="C4363" s="82"/>
    </row>
    <row r="4364" spans="1:3" x14ac:dyDescent="0.3">
      <c r="A4364" s="80"/>
      <c r="B4364" s="81"/>
      <c r="C4364" s="82"/>
    </row>
    <row r="4365" spans="1:3" x14ac:dyDescent="0.3">
      <c r="A4365" s="80"/>
      <c r="B4365" s="81"/>
      <c r="C4365" s="82"/>
    </row>
    <row r="4366" spans="1:3" x14ac:dyDescent="0.3">
      <c r="A4366" s="80"/>
      <c r="B4366" s="81"/>
      <c r="C4366" s="82"/>
    </row>
    <row r="4367" spans="1:3" x14ac:dyDescent="0.3">
      <c r="A4367" s="80"/>
      <c r="B4367" s="81"/>
      <c r="C4367" s="82"/>
    </row>
    <row r="4368" spans="1:3" x14ac:dyDescent="0.3">
      <c r="A4368" s="80"/>
      <c r="B4368" s="81"/>
      <c r="C4368" s="82"/>
    </row>
    <row r="4369" spans="1:3" x14ac:dyDescent="0.3">
      <c r="A4369" s="80"/>
      <c r="B4369" s="81"/>
      <c r="C4369" s="82"/>
    </row>
    <row r="4370" spans="1:3" x14ac:dyDescent="0.3">
      <c r="A4370" s="80"/>
      <c r="B4370" s="81"/>
      <c r="C4370" s="82"/>
    </row>
    <row r="4371" spans="1:3" x14ac:dyDescent="0.3">
      <c r="A4371" s="80"/>
      <c r="B4371" s="81"/>
      <c r="C4371" s="82"/>
    </row>
    <row r="4372" spans="1:3" x14ac:dyDescent="0.3">
      <c r="A4372" s="80"/>
      <c r="B4372" s="81"/>
      <c r="C4372" s="82"/>
    </row>
    <row r="4373" spans="1:3" x14ac:dyDescent="0.3">
      <c r="A4373" s="80"/>
      <c r="B4373" s="81"/>
      <c r="C4373" s="82"/>
    </row>
    <row r="4374" spans="1:3" x14ac:dyDescent="0.3">
      <c r="A4374" s="80"/>
      <c r="B4374" s="81"/>
      <c r="C4374" s="82"/>
    </row>
    <row r="4375" spans="1:3" x14ac:dyDescent="0.3">
      <c r="A4375" s="80"/>
      <c r="B4375" s="81"/>
      <c r="C4375" s="82"/>
    </row>
    <row r="4376" spans="1:3" x14ac:dyDescent="0.3">
      <c r="A4376" s="80"/>
      <c r="B4376" s="81"/>
      <c r="C4376" s="82"/>
    </row>
    <row r="4377" spans="1:3" x14ac:dyDescent="0.3">
      <c r="A4377" s="80"/>
      <c r="B4377" s="81"/>
      <c r="C4377" s="82"/>
    </row>
    <row r="4378" spans="1:3" x14ac:dyDescent="0.3">
      <c r="A4378" s="80"/>
      <c r="B4378" s="81"/>
      <c r="C4378" s="82"/>
    </row>
    <row r="4379" spans="1:3" x14ac:dyDescent="0.3">
      <c r="A4379" s="80"/>
      <c r="B4379" s="81"/>
      <c r="C4379" s="82"/>
    </row>
    <row r="4380" spans="1:3" x14ac:dyDescent="0.3">
      <c r="A4380" s="80"/>
      <c r="B4380" s="81"/>
      <c r="C4380" s="82"/>
    </row>
    <row r="4381" spans="1:3" x14ac:dyDescent="0.3">
      <c r="A4381" s="80"/>
      <c r="B4381" s="81"/>
      <c r="C4381" s="82"/>
    </row>
    <row r="4382" spans="1:3" x14ac:dyDescent="0.3">
      <c r="A4382" s="80"/>
      <c r="B4382" s="81"/>
      <c r="C4382" s="82"/>
    </row>
    <row r="4383" spans="1:3" x14ac:dyDescent="0.3">
      <c r="A4383" s="80"/>
      <c r="B4383" s="81"/>
      <c r="C4383" s="82"/>
    </row>
    <row r="4384" spans="1:3" x14ac:dyDescent="0.3">
      <c r="A4384" s="80"/>
      <c r="B4384" s="81"/>
      <c r="C4384" s="82"/>
    </row>
    <row r="4385" spans="1:3" x14ac:dyDescent="0.3">
      <c r="A4385" s="80"/>
      <c r="B4385" s="81"/>
      <c r="C4385" s="82"/>
    </row>
    <row r="4386" spans="1:3" x14ac:dyDescent="0.3">
      <c r="A4386" s="80"/>
      <c r="B4386" s="81"/>
      <c r="C4386" s="82"/>
    </row>
    <row r="4387" spans="1:3" x14ac:dyDescent="0.3">
      <c r="A4387" s="80"/>
      <c r="B4387" s="81"/>
      <c r="C4387" s="82"/>
    </row>
    <row r="4388" spans="1:3" x14ac:dyDescent="0.3">
      <c r="A4388" s="80"/>
      <c r="B4388" s="81"/>
      <c r="C4388" s="82"/>
    </row>
    <row r="4389" spans="1:3" x14ac:dyDescent="0.3">
      <c r="A4389" s="80"/>
      <c r="B4389" s="81"/>
      <c r="C4389" s="82"/>
    </row>
    <row r="4390" spans="1:3" x14ac:dyDescent="0.3">
      <c r="A4390" s="80"/>
      <c r="B4390" s="81"/>
      <c r="C4390" s="82"/>
    </row>
    <row r="4391" spans="1:3" x14ac:dyDescent="0.3">
      <c r="A4391" s="80"/>
      <c r="B4391" s="81"/>
      <c r="C4391" s="82"/>
    </row>
    <row r="4392" spans="1:3" x14ac:dyDescent="0.3">
      <c r="A4392" s="80"/>
      <c r="B4392" s="81"/>
      <c r="C4392" s="82"/>
    </row>
    <row r="4393" spans="1:3" x14ac:dyDescent="0.3">
      <c r="A4393" s="80"/>
      <c r="B4393" s="81"/>
      <c r="C4393" s="82"/>
    </row>
    <row r="4394" spans="1:3" x14ac:dyDescent="0.3">
      <c r="A4394" s="80"/>
      <c r="B4394" s="81"/>
      <c r="C4394" s="82"/>
    </row>
    <row r="4395" spans="1:3" x14ac:dyDescent="0.3">
      <c r="A4395" s="80"/>
      <c r="B4395" s="81"/>
      <c r="C4395" s="82"/>
    </row>
    <row r="4396" spans="1:3" x14ac:dyDescent="0.3">
      <c r="A4396" s="80"/>
      <c r="B4396" s="81"/>
      <c r="C4396" s="82"/>
    </row>
    <row r="4397" spans="1:3" x14ac:dyDescent="0.3">
      <c r="A4397" s="80"/>
      <c r="B4397" s="81"/>
      <c r="C4397" s="82"/>
    </row>
    <row r="4398" spans="1:3" x14ac:dyDescent="0.3">
      <c r="A4398" s="80"/>
      <c r="B4398" s="81"/>
      <c r="C4398" s="82"/>
    </row>
    <row r="4399" spans="1:3" x14ac:dyDescent="0.3">
      <c r="A4399" s="80"/>
      <c r="B4399" s="81"/>
      <c r="C4399" s="82"/>
    </row>
    <row r="4400" spans="1:3" x14ac:dyDescent="0.3">
      <c r="A4400" s="80"/>
      <c r="B4400" s="81"/>
      <c r="C4400" s="82"/>
    </row>
    <row r="4401" spans="1:3" x14ac:dyDescent="0.3">
      <c r="A4401" s="80"/>
      <c r="B4401" s="81"/>
      <c r="C4401" s="82"/>
    </row>
    <row r="4402" spans="1:3" x14ac:dyDescent="0.3">
      <c r="A4402" s="80"/>
      <c r="B4402" s="81"/>
      <c r="C4402" s="82"/>
    </row>
    <row r="4403" spans="1:3" x14ac:dyDescent="0.3">
      <c r="A4403" s="80"/>
      <c r="B4403" s="81"/>
      <c r="C4403" s="82"/>
    </row>
    <row r="4404" spans="1:3" x14ac:dyDescent="0.3">
      <c r="A4404" s="80"/>
      <c r="B4404" s="81"/>
      <c r="C4404" s="82"/>
    </row>
    <row r="4405" spans="1:3" x14ac:dyDescent="0.3">
      <c r="A4405" s="80"/>
      <c r="B4405" s="81"/>
      <c r="C4405" s="82"/>
    </row>
    <row r="4406" spans="1:3" x14ac:dyDescent="0.3">
      <c r="A4406" s="80"/>
      <c r="B4406" s="81"/>
      <c r="C4406" s="82"/>
    </row>
    <row r="4407" spans="1:3" x14ac:dyDescent="0.3">
      <c r="A4407" s="80"/>
      <c r="B4407" s="81"/>
      <c r="C4407" s="82"/>
    </row>
    <row r="4408" spans="1:3" x14ac:dyDescent="0.3">
      <c r="A4408" s="80"/>
      <c r="B4408" s="81"/>
      <c r="C4408" s="82"/>
    </row>
    <row r="4409" spans="1:3" x14ac:dyDescent="0.3">
      <c r="A4409" s="80"/>
      <c r="B4409" s="81"/>
      <c r="C4409" s="82"/>
    </row>
    <row r="4410" spans="1:3" x14ac:dyDescent="0.3">
      <c r="A4410" s="80"/>
      <c r="B4410" s="81"/>
      <c r="C4410" s="82"/>
    </row>
    <row r="4411" spans="1:3" x14ac:dyDescent="0.3">
      <c r="A4411" s="80"/>
      <c r="B4411" s="81"/>
      <c r="C4411" s="82"/>
    </row>
    <row r="4412" spans="1:3" x14ac:dyDescent="0.3">
      <c r="A4412" s="80"/>
      <c r="B4412" s="81"/>
      <c r="C4412" s="82"/>
    </row>
    <row r="4413" spans="1:3" x14ac:dyDescent="0.3">
      <c r="A4413" s="80"/>
      <c r="B4413" s="81"/>
      <c r="C4413" s="82"/>
    </row>
    <row r="4414" spans="1:3" x14ac:dyDescent="0.3">
      <c r="A4414" s="80"/>
      <c r="B4414" s="81"/>
      <c r="C4414" s="82"/>
    </row>
    <row r="4415" spans="1:3" x14ac:dyDescent="0.3">
      <c r="A4415" s="80"/>
      <c r="B4415" s="81"/>
      <c r="C4415" s="82"/>
    </row>
    <row r="4416" spans="1:3" x14ac:dyDescent="0.3">
      <c r="A4416" s="80"/>
      <c r="B4416" s="81"/>
      <c r="C4416" s="82"/>
    </row>
    <row r="4417" spans="1:3" x14ac:dyDescent="0.3">
      <c r="A4417" s="80"/>
      <c r="B4417" s="81"/>
      <c r="C4417" s="82"/>
    </row>
    <row r="4418" spans="1:3" x14ac:dyDescent="0.3">
      <c r="A4418" s="80"/>
      <c r="B4418" s="81"/>
      <c r="C4418" s="82"/>
    </row>
    <row r="4419" spans="1:3" x14ac:dyDescent="0.3">
      <c r="A4419" s="80"/>
      <c r="B4419" s="81"/>
      <c r="C4419" s="82"/>
    </row>
    <row r="4420" spans="1:3" x14ac:dyDescent="0.3">
      <c r="A4420" s="80"/>
      <c r="B4420" s="81"/>
      <c r="C4420" s="82"/>
    </row>
    <row r="4421" spans="1:3" x14ac:dyDescent="0.3">
      <c r="A4421" s="80"/>
      <c r="B4421" s="81"/>
      <c r="C4421" s="82"/>
    </row>
    <row r="4422" spans="1:3" x14ac:dyDescent="0.3">
      <c r="A4422" s="80"/>
      <c r="B4422" s="81"/>
      <c r="C4422" s="82"/>
    </row>
    <row r="4423" spans="1:3" x14ac:dyDescent="0.3">
      <c r="A4423" s="80"/>
      <c r="B4423" s="81"/>
      <c r="C4423" s="82"/>
    </row>
    <row r="4424" spans="1:3" x14ac:dyDescent="0.3">
      <c r="A4424" s="80"/>
      <c r="B4424" s="81"/>
      <c r="C4424" s="82"/>
    </row>
    <row r="4425" spans="1:3" x14ac:dyDescent="0.3">
      <c r="A4425" s="80"/>
      <c r="B4425" s="81"/>
      <c r="C4425" s="82"/>
    </row>
    <row r="4426" spans="1:3" x14ac:dyDescent="0.3">
      <c r="A4426" s="80"/>
      <c r="B4426" s="81"/>
      <c r="C4426" s="82"/>
    </row>
    <row r="4427" spans="1:3" x14ac:dyDescent="0.3">
      <c r="A4427" s="80"/>
      <c r="B4427" s="81"/>
      <c r="C4427" s="82"/>
    </row>
    <row r="4428" spans="1:3" x14ac:dyDescent="0.3">
      <c r="A4428" s="80"/>
      <c r="B4428" s="81"/>
      <c r="C4428" s="82"/>
    </row>
    <row r="4429" spans="1:3" x14ac:dyDescent="0.3">
      <c r="A4429" s="80"/>
      <c r="B4429" s="81"/>
      <c r="C4429" s="82"/>
    </row>
    <row r="4430" spans="1:3" x14ac:dyDescent="0.3">
      <c r="A4430" s="80"/>
      <c r="B4430" s="81"/>
      <c r="C4430" s="82"/>
    </row>
    <row r="4431" spans="1:3" x14ac:dyDescent="0.3">
      <c r="A4431" s="80"/>
      <c r="B4431" s="81"/>
      <c r="C4431" s="82"/>
    </row>
    <row r="4432" spans="1:3" x14ac:dyDescent="0.3">
      <c r="A4432" s="80"/>
      <c r="B4432" s="81"/>
      <c r="C4432" s="82"/>
    </row>
    <row r="4433" spans="1:3" x14ac:dyDescent="0.3">
      <c r="A4433" s="80"/>
      <c r="B4433" s="81"/>
      <c r="C4433" s="82"/>
    </row>
    <row r="4434" spans="1:3" x14ac:dyDescent="0.3">
      <c r="A4434" s="80"/>
      <c r="B4434" s="81"/>
      <c r="C4434" s="82"/>
    </row>
    <row r="4435" spans="1:3" x14ac:dyDescent="0.3">
      <c r="A4435" s="80"/>
      <c r="B4435" s="81"/>
      <c r="C4435" s="82"/>
    </row>
    <row r="4436" spans="1:3" x14ac:dyDescent="0.3">
      <c r="A4436" s="80"/>
      <c r="B4436" s="81"/>
      <c r="C4436" s="82"/>
    </row>
    <row r="4437" spans="1:3" x14ac:dyDescent="0.3">
      <c r="A4437" s="80"/>
      <c r="B4437" s="81"/>
      <c r="C4437" s="82"/>
    </row>
    <row r="4438" spans="1:3" x14ac:dyDescent="0.3">
      <c r="A4438" s="80"/>
      <c r="B4438" s="81"/>
      <c r="C4438" s="82"/>
    </row>
    <row r="4439" spans="1:3" x14ac:dyDescent="0.3">
      <c r="A4439" s="80"/>
      <c r="B4439" s="81"/>
      <c r="C4439" s="82"/>
    </row>
    <row r="4440" spans="1:3" x14ac:dyDescent="0.3">
      <c r="A4440" s="80"/>
      <c r="B4440" s="81"/>
      <c r="C4440" s="82"/>
    </row>
    <row r="4441" spans="1:3" x14ac:dyDescent="0.3">
      <c r="A4441" s="80"/>
      <c r="B4441" s="81"/>
      <c r="C4441" s="82"/>
    </row>
    <row r="4442" spans="1:3" x14ac:dyDescent="0.3">
      <c r="A4442" s="80"/>
      <c r="B4442" s="81"/>
      <c r="C4442" s="82"/>
    </row>
    <row r="4443" spans="1:3" x14ac:dyDescent="0.3">
      <c r="A4443" s="80"/>
      <c r="B4443" s="81"/>
      <c r="C4443" s="82"/>
    </row>
    <row r="4444" spans="1:3" x14ac:dyDescent="0.3">
      <c r="A4444" s="80"/>
      <c r="B4444" s="81"/>
      <c r="C4444" s="82"/>
    </row>
    <row r="4445" spans="1:3" x14ac:dyDescent="0.3">
      <c r="A4445" s="80"/>
      <c r="B4445" s="81"/>
      <c r="C4445" s="82"/>
    </row>
    <row r="4446" spans="1:3" x14ac:dyDescent="0.3">
      <c r="A4446" s="80"/>
      <c r="B4446" s="81"/>
      <c r="C4446" s="82"/>
    </row>
    <row r="4447" spans="1:3" x14ac:dyDescent="0.3">
      <c r="A4447" s="80"/>
      <c r="B4447" s="81"/>
      <c r="C4447" s="82"/>
    </row>
    <row r="4448" spans="1:3" x14ac:dyDescent="0.3">
      <c r="A4448" s="80"/>
      <c r="B4448" s="81"/>
      <c r="C4448" s="82"/>
    </row>
    <row r="4449" spans="1:3" x14ac:dyDescent="0.3">
      <c r="A4449" s="80"/>
      <c r="B4449" s="81"/>
      <c r="C4449" s="82"/>
    </row>
    <row r="4450" spans="1:3" x14ac:dyDescent="0.3">
      <c r="A4450" s="80"/>
      <c r="B4450" s="81"/>
      <c r="C4450" s="82"/>
    </row>
    <row r="4451" spans="1:3" x14ac:dyDescent="0.3">
      <c r="A4451" s="80"/>
      <c r="B4451" s="81"/>
      <c r="C4451" s="82"/>
    </row>
    <row r="4452" spans="1:3" x14ac:dyDescent="0.3">
      <c r="A4452" s="80"/>
      <c r="B4452" s="81"/>
      <c r="C4452" s="82"/>
    </row>
    <row r="4453" spans="1:3" x14ac:dyDescent="0.3">
      <c r="A4453" s="80"/>
      <c r="B4453" s="81"/>
      <c r="C4453" s="82"/>
    </row>
    <row r="4454" spans="1:3" x14ac:dyDescent="0.3">
      <c r="A4454" s="80"/>
      <c r="B4454" s="81"/>
      <c r="C4454" s="82"/>
    </row>
    <row r="4455" spans="1:3" x14ac:dyDescent="0.3">
      <c r="A4455" s="80"/>
      <c r="B4455" s="81"/>
      <c r="C4455" s="82"/>
    </row>
    <row r="4456" spans="1:3" x14ac:dyDescent="0.3">
      <c r="A4456" s="80"/>
      <c r="B4456" s="81"/>
      <c r="C4456" s="82"/>
    </row>
    <row r="4457" spans="1:3" x14ac:dyDescent="0.3">
      <c r="A4457" s="80"/>
      <c r="B4457" s="81"/>
      <c r="C4457" s="82"/>
    </row>
    <row r="4458" spans="1:3" x14ac:dyDescent="0.3">
      <c r="A4458" s="80"/>
      <c r="B4458" s="81"/>
      <c r="C4458" s="82"/>
    </row>
    <row r="4459" spans="1:3" x14ac:dyDescent="0.3">
      <c r="A4459" s="80"/>
      <c r="B4459" s="81"/>
      <c r="C4459" s="82"/>
    </row>
    <row r="4460" spans="1:3" x14ac:dyDescent="0.3">
      <c r="A4460" s="80"/>
      <c r="B4460" s="81"/>
      <c r="C4460" s="82"/>
    </row>
    <row r="4461" spans="1:3" x14ac:dyDescent="0.3">
      <c r="A4461" s="80"/>
      <c r="B4461" s="81"/>
      <c r="C4461" s="82"/>
    </row>
    <row r="4462" spans="1:3" x14ac:dyDescent="0.3">
      <c r="A4462" s="80"/>
      <c r="B4462" s="81"/>
      <c r="C4462" s="82"/>
    </row>
    <row r="4463" spans="1:3" x14ac:dyDescent="0.3">
      <c r="A4463" s="80"/>
      <c r="B4463" s="81"/>
      <c r="C4463" s="82"/>
    </row>
    <row r="4464" spans="1:3" x14ac:dyDescent="0.3">
      <c r="A4464" s="80"/>
      <c r="B4464" s="81"/>
      <c r="C4464" s="82"/>
    </row>
    <row r="4465" spans="1:3" x14ac:dyDescent="0.3">
      <c r="A4465" s="80"/>
      <c r="B4465" s="81"/>
      <c r="C4465" s="82"/>
    </row>
    <row r="4466" spans="1:3" x14ac:dyDescent="0.3">
      <c r="A4466" s="80"/>
      <c r="B4466" s="81"/>
      <c r="C4466" s="82"/>
    </row>
    <row r="4467" spans="1:3" x14ac:dyDescent="0.3">
      <c r="A4467" s="80"/>
      <c r="B4467" s="81"/>
      <c r="C4467" s="82"/>
    </row>
    <row r="4468" spans="1:3" x14ac:dyDescent="0.3">
      <c r="A4468" s="80"/>
      <c r="B4468" s="81"/>
      <c r="C4468" s="82"/>
    </row>
    <row r="4469" spans="1:3" x14ac:dyDescent="0.3">
      <c r="A4469" s="80"/>
      <c r="B4469" s="81"/>
      <c r="C4469" s="82"/>
    </row>
    <row r="4470" spans="1:3" x14ac:dyDescent="0.3">
      <c r="A4470" s="80"/>
      <c r="B4470" s="81"/>
      <c r="C4470" s="82"/>
    </row>
    <row r="4471" spans="1:3" x14ac:dyDescent="0.3">
      <c r="A4471" s="80"/>
      <c r="B4471" s="81"/>
      <c r="C4471" s="82"/>
    </row>
    <row r="4472" spans="1:3" x14ac:dyDescent="0.3">
      <c r="A4472" s="80"/>
      <c r="B4472" s="81"/>
      <c r="C4472" s="82"/>
    </row>
    <row r="4473" spans="1:3" x14ac:dyDescent="0.3">
      <c r="A4473" s="80"/>
      <c r="B4473" s="81"/>
      <c r="C4473" s="82"/>
    </row>
    <row r="4474" spans="1:3" x14ac:dyDescent="0.3">
      <c r="A4474" s="80"/>
      <c r="B4474" s="81"/>
      <c r="C4474" s="82"/>
    </row>
    <row r="4475" spans="1:3" x14ac:dyDescent="0.3">
      <c r="A4475" s="80"/>
      <c r="B4475" s="81"/>
      <c r="C4475" s="82"/>
    </row>
    <row r="4476" spans="1:3" x14ac:dyDescent="0.3">
      <c r="A4476" s="80"/>
      <c r="B4476" s="81"/>
      <c r="C4476" s="82"/>
    </row>
    <row r="4477" spans="1:3" x14ac:dyDescent="0.3">
      <c r="A4477" s="80"/>
      <c r="B4477" s="81"/>
      <c r="C4477" s="82"/>
    </row>
    <row r="4478" spans="1:3" x14ac:dyDescent="0.3">
      <c r="A4478" s="80"/>
      <c r="B4478" s="81"/>
      <c r="C4478" s="82"/>
    </row>
    <row r="4479" spans="1:3" x14ac:dyDescent="0.3">
      <c r="A4479" s="80"/>
      <c r="B4479" s="81"/>
      <c r="C4479" s="82"/>
    </row>
    <row r="4480" spans="1:3" x14ac:dyDescent="0.3">
      <c r="A4480" s="80"/>
      <c r="B4480" s="81"/>
      <c r="C4480" s="82"/>
    </row>
    <row r="4481" spans="1:3" x14ac:dyDescent="0.3">
      <c r="A4481" s="80"/>
      <c r="B4481" s="81"/>
      <c r="C4481" s="82"/>
    </row>
    <row r="4482" spans="1:3" x14ac:dyDescent="0.3">
      <c r="A4482" s="80"/>
      <c r="B4482" s="81"/>
      <c r="C4482" s="82"/>
    </row>
    <row r="4483" spans="1:3" x14ac:dyDescent="0.3">
      <c r="A4483" s="80"/>
      <c r="B4483" s="81"/>
      <c r="C4483" s="82"/>
    </row>
    <row r="4484" spans="1:3" x14ac:dyDescent="0.3">
      <c r="A4484" s="80"/>
      <c r="B4484" s="81"/>
      <c r="C4484" s="82"/>
    </row>
    <row r="4485" spans="1:3" x14ac:dyDescent="0.3">
      <c r="A4485" s="80"/>
      <c r="B4485" s="81"/>
      <c r="C4485" s="82"/>
    </row>
    <row r="4486" spans="1:3" x14ac:dyDescent="0.3">
      <c r="A4486" s="80"/>
      <c r="B4486" s="81"/>
      <c r="C4486" s="82"/>
    </row>
    <row r="4487" spans="1:3" x14ac:dyDescent="0.3">
      <c r="A4487" s="80"/>
      <c r="B4487" s="81"/>
      <c r="C4487" s="82"/>
    </row>
    <row r="4488" spans="1:3" x14ac:dyDescent="0.3">
      <c r="A4488" s="80"/>
      <c r="B4488" s="81"/>
      <c r="C4488" s="82"/>
    </row>
    <row r="4489" spans="1:3" x14ac:dyDescent="0.3">
      <c r="A4489" s="80"/>
      <c r="B4489" s="81"/>
      <c r="C4489" s="82"/>
    </row>
    <row r="4490" spans="1:3" x14ac:dyDescent="0.3">
      <c r="A4490" s="80"/>
      <c r="B4490" s="81"/>
      <c r="C4490" s="82"/>
    </row>
    <row r="4491" spans="1:3" x14ac:dyDescent="0.3">
      <c r="A4491" s="80"/>
      <c r="B4491" s="81"/>
      <c r="C4491" s="82"/>
    </row>
    <row r="4492" spans="1:3" x14ac:dyDescent="0.3">
      <c r="A4492" s="80"/>
      <c r="B4492" s="81"/>
      <c r="C4492" s="82"/>
    </row>
    <row r="4493" spans="1:3" x14ac:dyDescent="0.3">
      <c r="A4493" s="80"/>
      <c r="B4493" s="81"/>
      <c r="C4493" s="82"/>
    </row>
    <row r="4494" spans="1:3" x14ac:dyDescent="0.3">
      <c r="A4494" s="80"/>
      <c r="B4494" s="81"/>
      <c r="C4494" s="82"/>
    </row>
    <row r="4495" spans="1:3" x14ac:dyDescent="0.3">
      <c r="A4495" s="80"/>
      <c r="B4495" s="81"/>
      <c r="C4495" s="82"/>
    </row>
    <row r="4496" spans="1:3" x14ac:dyDescent="0.3">
      <c r="A4496" s="80"/>
      <c r="B4496" s="81"/>
      <c r="C4496" s="82"/>
    </row>
    <row r="4497" spans="1:3" x14ac:dyDescent="0.3">
      <c r="A4497" s="80"/>
      <c r="B4497" s="81"/>
      <c r="C4497" s="82"/>
    </row>
    <row r="4498" spans="1:3" x14ac:dyDescent="0.3">
      <c r="A4498" s="80"/>
      <c r="B4498" s="81"/>
      <c r="C4498" s="82"/>
    </row>
    <row r="4499" spans="1:3" x14ac:dyDescent="0.3">
      <c r="A4499" s="80"/>
      <c r="B4499" s="81"/>
      <c r="C4499" s="82"/>
    </row>
    <row r="4500" spans="1:3" x14ac:dyDescent="0.3">
      <c r="A4500" s="80"/>
      <c r="B4500" s="81"/>
      <c r="C4500" s="82"/>
    </row>
    <row r="4501" spans="1:3" x14ac:dyDescent="0.3">
      <c r="A4501" s="80"/>
      <c r="B4501" s="81"/>
      <c r="C4501" s="82"/>
    </row>
    <row r="4502" spans="1:3" x14ac:dyDescent="0.3">
      <c r="A4502" s="80"/>
      <c r="B4502" s="81"/>
      <c r="C4502" s="82"/>
    </row>
    <row r="4503" spans="1:3" x14ac:dyDescent="0.3">
      <c r="A4503" s="80"/>
      <c r="B4503" s="81"/>
      <c r="C4503" s="82"/>
    </row>
    <row r="4504" spans="1:3" x14ac:dyDescent="0.3">
      <c r="A4504" s="80"/>
      <c r="B4504" s="81"/>
      <c r="C4504" s="82"/>
    </row>
    <row r="4505" spans="1:3" x14ac:dyDescent="0.3">
      <c r="A4505" s="80"/>
      <c r="B4505" s="81"/>
      <c r="C4505" s="82"/>
    </row>
    <row r="4506" spans="1:3" x14ac:dyDescent="0.3">
      <c r="A4506" s="80"/>
      <c r="B4506" s="81"/>
      <c r="C4506" s="82"/>
    </row>
    <row r="4507" spans="1:3" x14ac:dyDescent="0.3">
      <c r="A4507" s="80"/>
      <c r="B4507" s="81"/>
      <c r="C4507" s="82"/>
    </row>
    <row r="4508" spans="1:3" x14ac:dyDescent="0.3">
      <c r="A4508" s="80"/>
      <c r="B4508" s="81"/>
      <c r="C4508" s="82"/>
    </row>
    <row r="4509" spans="1:3" x14ac:dyDescent="0.3">
      <c r="A4509" s="80"/>
      <c r="B4509" s="81"/>
      <c r="C4509" s="82"/>
    </row>
    <row r="4510" spans="1:3" x14ac:dyDescent="0.3">
      <c r="A4510" s="80"/>
      <c r="B4510" s="81"/>
      <c r="C4510" s="82"/>
    </row>
    <row r="4511" spans="1:3" x14ac:dyDescent="0.3">
      <c r="A4511" s="80"/>
      <c r="B4511" s="81"/>
      <c r="C4511" s="82"/>
    </row>
    <row r="4512" spans="1:3" x14ac:dyDescent="0.3">
      <c r="A4512" s="80"/>
      <c r="B4512" s="81"/>
      <c r="C4512" s="82"/>
    </row>
    <row r="4513" spans="1:3" x14ac:dyDescent="0.3">
      <c r="A4513" s="80"/>
      <c r="B4513" s="81"/>
      <c r="C4513" s="82"/>
    </row>
    <row r="4514" spans="1:3" x14ac:dyDescent="0.3">
      <c r="A4514" s="80"/>
      <c r="B4514" s="81"/>
      <c r="C4514" s="82"/>
    </row>
    <row r="4515" spans="1:3" x14ac:dyDescent="0.3">
      <c r="A4515" s="80"/>
      <c r="B4515" s="81"/>
      <c r="C4515" s="82"/>
    </row>
    <row r="4516" spans="1:3" x14ac:dyDescent="0.3">
      <c r="A4516" s="80"/>
      <c r="B4516" s="81"/>
      <c r="C4516" s="82"/>
    </row>
    <row r="4517" spans="1:3" x14ac:dyDescent="0.3">
      <c r="A4517" s="80"/>
      <c r="B4517" s="81"/>
      <c r="C4517" s="82"/>
    </row>
    <row r="4518" spans="1:3" x14ac:dyDescent="0.3">
      <c r="A4518" s="80"/>
      <c r="B4518" s="81"/>
      <c r="C4518" s="82"/>
    </row>
    <row r="4519" spans="1:3" x14ac:dyDescent="0.3">
      <c r="A4519" s="80"/>
      <c r="B4519" s="81"/>
      <c r="C4519" s="82"/>
    </row>
    <row r="4520" spans="1:3" x14ac:dyDescent="0.3">
      <c r="A4520" s="80"/>
      <c r="B4520" s="81"/>
      <c r="C4520" s="82"/>
    </row>
    <row r="4521" spans="1:3" x14ac:dyDescent="0.3">
      <c r="A4521" s="80"/>
      <c r="B4521" s="81"/>
      <c r="C4521" s="82"/>
    </row>
    <row r="4522" spans="1:3" x14ac:dyDescent="0.3">
      <c r="A4522" s="80"/>
      <c r="B4522" s="81"/>
      <c r="C4522" s="82"/>
    </row>
    <row r="4523" spans="1:3" x14ac:dyDescent="0.3">
      <c r="A4523" s="80"/>
      <c r="B4523" s="81"/>
      <c r="C4523" s="82"/>
    </row>
    <row r="4524" spans="1:3" x14ac:dyDescent="0.3">
      <c r="A4524" s="80"/>
      <c r="B4524" s="81"/>
      <c r="C4524" s="82"/>
    </row>
    <row r="4525" spans="1:3" x14ac:dyDescent="0.3">
      <c r="A4525" s="80"/>
      <c r="B4525" s="81"/>
      <c r="C4525" s="82"/>
    </row>
    <row r="4526" spans="1:3" x14ac:dyDescent="0.3">
      <c r="A4526" s="80"/>
      <c r="B4526" s="81"/>
      <c r="C4526" s="82"/>
    </row>
    <row r="4527" spans="1:3" x14ac:dyDescent="0.3">
      <c r="A4527" s="80"/>
      <c r="B4527" s="81"/>
      <c r="C4527" s="82"/>
    </row>
    <row r="4528" spans="1:3" x14ac:dyDescent="0.3">
      <c r="A4528" s="80"/>
      <c r="B4528" s="81"/>
      <c r="C4528" s="82"/>
    </row>
    <row r="4529" spans="1:3" x14ac:dyDescent="0.3">
      <c r="A4529" s="80"/>
      <c r="B4529" s="81"/>
      <c r="C4529" s="82"/>
    </row>
    <row r="4530" spans="1:3" x14ac:dyDescent="0.3">
      <c r="A4530" s="80"/>
      <c r="B4530" s="81"/>
      <c r="C4530" s="82"/>
    </row>
    <row r="4531" spans="1:3" x14ac:dyDescent="0.3">
      <c r="A4531" s="80"/>
      <c r="B4531" s="81"/>
      <c r="C4531" s="82"/>
    </row>
    <row r="4532" spans="1:3" x14ac:dyDescent="0.3">
      <c r="A4532" s="80"/>
      <c r="B4532" s="81"/>
      <c r="C4532" s="82"/>
    </row>
    <row r="4533" spans="1:3" x14ac:dyDescent="0.3">
      <c r="A4533" s="80"/>
      <c r="B4533" s="81"/>
      <c r="C4533" s="82"/>
    </row>
    <row r="4534" spans="1:3" x14ac:dyDescent="0.3">
      <c r="A4534" s="80"/>
      <c r="B4534" s="81"/>
      <c r="C4534" s="82"/>
    </row>
    <row r="4535" spans="1:3" x14ac:dyDescent="0.3">
      <c r="A4535" s="80"/>
      <c r="B4535" s="81"/>
      <c r="C4535" s="82"/>
    </row>
    <row r="4536" spans="1:3" x14ac:dyDescent="0.3">
      <c r="A4536" s="80"/>
      <c r="B4536" s="81"/>
      <c r="C4536" s="82"/>
    </row>
    <row r="4537" spans="1:3" x14ac:dyDescent="0.3">
      <c r="A4537" s="80"/>
      <c r="B4537" s="81"/>
      <c r="C4537" s="82"/>
    </row>
    <row r="4538" spans="1:3" x14ac:dyDescent="0.3">
      <c r="A4538" s="80"/>
      <c r="B4538" s="81"/>
      <c r="C4538" s="82"/>
    </row>
    <row r="4539" spans="1:3" x14ac:dyDescent="0.3">
      <c r="A4539" s="80"/>
      <c r="B4539" s="81"/>
      <c r="C4539" s="82"/>
    </row>
    <row r="4540" spans="1:3" x14ac:dyDescent="0.3">
      <c r="A4540" s="80"/>
      <c r="B4540" s="81"/>
      <c r="C4540" s="82"/>
    </row>
    <row r="4541" spans="1:3" x14ac:dyDescent="0.3">
      <c r="A4541" s="80"/>
      <c r="B4541" s="81"/>
      <c r="C4541" s="82"/>
    </row>
    <row r="4542" spans="1:3" x14ac:dyDescent="0.3">
      <c r="A4542" s="80"/>
      <c r="B4542" s="81"/>
      <c r="C4542" s="82"/>
    </row>
    <row r="4543" spans="1:3" x14ac:dyDescent="0.3">
      <c r="A4543" s="80"/>
      <c r="B4543" s="81"/>
      <c r="C4543" s="82"/>
    </row>
    <row r="4544" spans="1:3" x14ac:dyDescent="0.3">
      <c r="A4544" s="80"/>
      <c r="B4544" s="81"/>
      <c r="C4544" s="82"/>
    </row>
    <row r="4545" spans="1:3" x14ac:dyDescent="0.3">
      <c r="A4545" s="80"/>
      <c r="B4545" s="81"/>
      <c r="C4545" s="82"/>
    </row>
    <row r="4546" spans="1:3" x14ac:dyDescent="0.3">
      <c r="A4546" s="80"/>
      <c r="B4546" s="81"/>
      <c r="C4546" s="82"/>
    </row>
    <row r="4547" spans="1:3" x14ac:dyDescent="0.3">
      <c r="A4547" s="80"/>
      <c r="B4547" s="81"/>
      <c r="C4547" s="82"/>
    </row>
    <row r="4548" spans="1:3" x14ac:dyDescent="0.3">
      <c r="A4548" s="80"/>
      <c r="B4548" s="81"/>
      <c r="C4548" s="82"/>
    </row>
    <row r="4549" spans="1:3" x14ac:dyDescent="0.3">
      <c r="A4549" s="80"/>
      <c r="B4549" s="81"/>
      <c r="C4549" s="82"/>
    </row>
    <row r="4550" spans="1:3" x14ac:dyDescent="0.3">
      <c r="A4550" s="80"/>
      <c r="B4550" s="81"/>
      <c r="C4550" s="82"/>
    </row>
    <row r="4551" spans="1:3" x14ac:dyDescent="0.3">
      <c r="A4551" s="80"/>
      <c r="B4551" s="81"/>
      <c r="C4551" s="82"/>
    </row>
    <row r="4552" spans="1:3" x14ac:dyDescent="0.3">
      <c r="A4552" s="80"/>
      <c r="B4552" s="81"/>
      <c r="C4552" s="82"/>
    </row>
    <row r="4553" spans="1:3" x14ac:dyDescent="0.3">
      <c r="A4553" s="80"/>
      <c r="B4553" s="81"/>
      <c r="C4553" s="82"/>
    </row>
    <row r="4554" spans="1:3" x14ac:dyDescent="0.3">
      <c r="A4554" s="80"/>
      <c r="B4554" s="81"/>
      <c r="C4554" s="82"/>
    </row>
    <row r="4555" spans="1:3" x14ac:dyDescent="0.3">
      <c r="A4555" s="80"/>
      <c r="B4555" s="81"/>
      <c r="C4555" s="82"/>
    </row>
    <row r="4556" spans="1:3" x14ac:dyDescent="0.3">
      <c r="A4556" s="80"/>
      <c r="B4556" s="81"/>
      <c r="C4556" s="82"/>
    </row>
    <row r="4557" spans="1:3" x14ac:dyDescent="0.3">
      <c r="A4557" s="80"/>
      <c r="B4557" s="81"/>
      <c r="C4557" s="82"/>
    </row>
    <row r="4558" spans="1:3" x14ac:dyDescent="0.3">
      <c r="A4558" s="80"/>
      <c r="B4558" s="81"/>
      <c r="C4558" s="82"/>
    </row>
    <row r="4559" spans="1:3" x14ac:dyDescent="0.3">
      <c r="A4559" s="80"/>
      <c r="B4559" s="81"/>
      <c r="C4559" s="82"/>
    </row>
    <row r="4560" spans="1:3" x14ac:dyDescent="0.3">
      <c r="A4560" s="80"/>
      <c r="B4560" s="81"/>
      <c r="C4560" s="82"/>
    </row>
    <row r="4561" spans="1:3" x14ac:dyDescent="0.3">
      <c r="A4561" s="80"/>
      <c r="B4561" s="81"/>
      <c r="C4561" s="82"/>
    </row>
    <row r="4562" spans="1:3" x14ac:dyDescent="0.3">
      <c r="A4562" s="80"/>
      <c r="B4562" s="81"/>
      <c r="C4562" s="82"/>
    </row>
    <row r="4563" spans="1:3" x14ac:dyDescent="0.3">
      <c r="A4563" s="80"/>
      <c r="B4563" s="81"/>
      <c r="C4563" s="82"/>
    </row>
    <row r="4564" spans="1:3" x14ac:dyDescent="0.3">
      <c r="A4564" s="80"/>
      <c r="B4564" s="81"/>
      <c r="C4564" s="82"/>
    </row>
    <row r="4565" spans="1:3" x14ac:dyDescent="0.3">
      <c r="A4565" s="80"/>
      <c r="B4565" s="81"/>
      <c r="C4565" s="82"/>
    </row>
    <row r="4566" spans="1:3" x14ac:dyDescent="0.3">
      <c r="A4566" s="80"/>
      <c r="B4566" s="81"/>
      <c r="C4566" s="82"/>
    </row>
    <row r="4567" spans="1:3" x14ac:dyDescent="0.3">
      <c r="A4567" s="80"/>
      <c r="B4567" s="81"/>
      <c r="C4567" s="82"/>
    </row>
    <row r="4568" spans="1:3" x14ac:dyDescent="0.3">
      <c r="A4568" s="80"/>
      <c r="B4568" s="81"/>
      <c r="C4568" s="82"/>
    </row>
    <row r="4569" spans="1:3" x14ac:dyDescent="0.3">
      <c r="A4569" s="80"/>
      <c r="B4569" s="81"/>
      <c r="C4569" s="82"/>
    </row>
    <row r="4570" spans="1:3" x14ac:dyDescent="0.3">
      <c r="A4570" s="80"/>
      <c r="B4570" s="81"/>
      <c r="C4570" s="82"/>
    </row>
    <row r="4571" spans="1:3" x14ac:dyDescent="0.3">
      <c r="A4571" s="80"/>
      <c r="B4571" s="81"/>
      <c r="C4571" s="82"/>
    </row>
    <row r="4572" spans="1:3" x14ac:dyDescent="0.3">
      <c r="A4572" s="80"/>
      <c r="B4572" s="81"/>
      <c r="C4572" s="82"/>
    </row>
    <row r="4573" spans="1:3" x14ac:dyDescent="0.3">
      <c r="A4573" s="80"/>
      <c r="B4573" s="81"/>
      <c r="C4573" s="82"/>
    </row>
    <row r="4574" spans="1:3" x14ac:dyDescent="0.3">
      <c r="A4574" s="80"/>
      <c r="B4574" s="81"/>
      <c r="C4574" s="82"/>
    </row>
    <row r="4575" spans="1:3" x14ac:dyDescent="0.3">
      <c r="A4575" s="80"/>
      <c r="B4575" s="81"/>
      <c r="C4575" s="82"/>
    </row>
    <row r="4576" spans="1:3" x14ac:dyDescent="0.3">
      <c r="A4576" s="80"/>
      <c r="B4576" s="81"/>
      <c r="C4576" s="82"/>
    </row>
    <row r="4577" spans="1:3" x14ac:dyDescent="0.3">
      <c r="A4577" s="80"/>
      <c r="B4577" s="81"/>
      <c r="C4577" s="82"/>
    </row>
    <row r="4578" spans="1:3" x14ac:dyDescent="0.3">
      <c r="A4578" s="80"/>
      <c r="B4578" s="81"/>
      <c r="C4578" s="82"/>
    </row>
    <row r="4579" spans="1:3" x14ac:dyDescent="0.3">
      <c r="A4579" s="80"/>
      <c r="B4579" s="81"/>
      <c r="C4579" s="82"/>
    </row>
    <row r="4580" spans="1:3" x14ac:dyDescent="0.3">
      <c r="A4580" s="80"/>
      <c r="B4580" s="81"/>
      <c r="C4580" s="82"/>
    </row>
    <row r="4581" spans="1:3" x14ac:dyDescent="0.3">
      <c r="A4581" s="80"/>
      <c r="B4581" s="81"/>
      <c r="C4581" s="82"/>
    </row>
    <row r="4582" spans="1:3" x14ac:dyDescent="0.3">
      <c r="A4582" s="80"/>
      <c r="B4582" s="81"/>
      <c r="C4582" s="82"/>
    </row>
    <row r="4583" spans="1:3" x14ac:dyDescent="0.3">
      <c r="A4583" s="80"/>
      <c r="B4583" s="81"/>
      <c r="C4583" s="82"/>
    </row>
    <row r="4584" spans="1:3" x14ac:dyDescent="0.3">
      <c r="A4584" s="80"/>
      <c r="B4584" s="81"/>
      <c r="C4584" s="82"/>
    </row>
    <row r="4585" spans="1:3" x14ac:dyDescent="0.3">
      <c r="A4585" s="80"/>
      <c r="B4585" s="81"/>
      <c r="C4585" s="82"/>
    </row>
    <row r="4586" spans="1:3" x14ac:dyDescent="0.3">
      <c r="A4586" s="80"/>
      <c r="B4586" s="81"/>
      <c r="C4586" s="82"/>
    </row>
    <row r="4587" spans="1:3" x14ac:dyDescent="0.3">
      <c r="A4587" s="80"/>
      <c r="B4587" s="81"/>
      <c r="C4587" s="82"/>
    </row>
    <row r="4588" spans="1:3" x14ac:dyDescent="0.3">
      <c r="A4588" s="80"/>
      <c r="B4588" s="81"/>
      <c r="C4588" s="82"/>
    </row>
    <row r="4589" spans="1:3" x14ac:dyDescent="0.3">
      <c r="A4589" s="80"/>
      <c r="B4589" s="81"/>
      <c r="C4589" s="82"/>
    </row>
    <row r="4590" spans="1:3" x14ac:dyDescent="0.3">
      <c r="A4590" s="80"/>
      <c r="B4590" s="81"/>
      <c r="C4590" s="82"/>
    </row>
    <row r="4591" spans="1:3" x14ac:dyDescent="0.3">
      <c r="A4591" s="80"/>
      <c r="B4591" s="81"/>
      <c r="C4591" s="82"/>
    </row>
    <row r="4592" spans="1:3" x14ac:dyDescent="0.3">
      <c r="A4592" s="80"/>
      <c r="B4592" s="81"/>
      <c r="C4592" s="82"/>
    </row>
    <row r="4593" spans="1:3" x14ac:dyDescent="0.3">
      <c r="A4593" s="80"/>
      <c r="B4593" s="81"/>
      <c r="C4593" s="82"/>
    </row>
    <row r="4594" spans="1:3" x14ac:dyDescent="0.3">
      <c r="A4594" s="80"/>
      <c r="B4594" s="81"/>
      <c r="C4594" s="82"/>
    </row>
    <row r="4595" spans="1:3" x14ac:dyDescent="0.3">
      <c r="A4595" s="80"/>
      <c r="B4595" s="81"/>
      <c r="C4595" s="82"/>
    </row>
    <row r="4596" spans="1:3" x14ac:dyDescent="0.3">
      <c r="A4596" s="80"/>
      <c r="B4596" s="81"/>
      <c r="C4596" s="82"/>
    </row>
    <row r="4597" spans="1:3" x14ac:dyDescent="0.3">
      <c r="A4597" s="80"/>
      <c r="B4597" s="81"/>
      <c r="C4597" s="82"/>
    </row>
    <row r="4598" spans="1:3" x14ac:dyDescent="0.3">
      <c r="A4598" s="80"/>
      <c r="B4598" s="81"/>
      <c r="C4598" s="82"/>
    </row>
    <row r="4599" spans="1:3" x14ac:dyDescent="0.3">
      <c r="A4599" s="80"/>
      <c r="B4599" s="81"/>
      <c r="C4599" s="82"/>
    </row>
    <row r="4600" spans="1:3" x14ac:dyDescent="0.3">
      <c r="A4600" s="80"/>
      <c r="B4600" s="81"/>
      <c r="C4600" s="82"/>
    </row>
    <row r="4601" spans="1:3" x14ac:dyDescent="0.3">
      <c r="A4601" s="80"/>
      <c r="B4601" s="81"/>
      <c r="C4601" s="82"/>
    </row>
    <row r="4602" spans="1:3" x14ac:dyDescent="0.3">
      <c r="A4602" s="80"/>
      <c r="B4602" s="81"/>
      <c r="C4602" s="82"/>
    </row>
    <row r="4603" spans="1:3" x14ac:dyDescent="0.3">
      <c r="A4603" s="80"/>
      <c r="B4603" s="81"/>
      <c r="C4603" s="82"/>
    </row>
    <row r="4604" spans="1:3" x14ac:dyDescent="0.3">
      <c r="A4604" s="80"/>
      <c r="B4604" s="81"/>
      <c r="C4604" s="82"/>
    </row>
    <row r="4605" spans="1:3" x14ac:dyDescent="0.3">
      <c r="A4605" s="80"/>
      <c r="B4605" s="81"/>
      <c r="C4605" s="82"/>
    </row>
    <row r="4606" spans="1:3" x14ac:dyDescent="0.3">
      <c r="A4606" s="80"/>
      <c r="B4606" s="81"/>
      <c r="C4606" s="82"/>
    </row>
    <row r="4607" spans="1:3" x14ac:dyDescent="0.3">
      <c r="A4607" s="80"/>
      <c r="B4607" s="81"/>
      <c r="C4607" s="82"/>
    </row>
    <row r="4608" spans="1:3" x14ac:dyDescent="0.3">
      <c r="A4608" s="80"/>
      <c r="B4608" s="81"/>
      <c r="C4608" s="82"/>
    </row>
    <row r="4609" spans="1:3" x14ac:dyDescent="0.3">
      <c r="A4609" s="80"/>
      <c r="B4609" s="81"/>
      <c r="C4609" s="82"/>
    </row>
    <row r="4610" spans="1:3" x14ac:dyDescent="0.3">
      <c r="A4610" s="80"/>
      <c r="B4610" s="81"/>
      <c r="C4610" s="82"/>
    </row>
    <row r="4611" spans="1:3" x14ac:dyDescent="0.3">
      <c r="A4611" s="80"/>
      <c r="B4611" s="81"/>
      <c r="C4611" s="82"/>
    </row>
    <row r="4612" spans="1:3" x14ac:dyDescent="0.3">
      <c r="A4612" s="80"/>
      <c r="B4612" s="81"/>
      <c r="C4612" s="82"/>
    </row>
    <row r="4613" spans="1:3" x14ac:dyDescent="0.3">
      <c r="A4613" s="80"/>
      <c r="B4613" s="81"/>
      <c r="C4613" s="82"/>
    </row>
    <row r="4614" spans="1:3" x14ac:dyDescent="0.3">
      <c r="A4614" s="80"/>
      <c r="B4614" s="81"/>
      <c r="C4614" s="82"/>
    </row>
    <row r="4615" spans="1:3" x14ac:dyDescent="0.3">
      <c r="A4615" s="80"/>
      <c r="B4615" s="81"/>
      <c r="C4615" s="82"/>
    </row>
    <row r="4616" spans="1:3" x14ac:dyDescent="0.3">
      <c r="A4616" s="80"/>
      <c r="B4616" s="81"/>
      <c r="C4616" s="82"/>
    </row>
    <row r="4617" spans="1:3" x14ac:dyDescent="0.3">
      <c r="A4617" s="80"/>
      <c r="B4617" s="81"/>
      <c r="C4617" s="82"/>
    </row>
    <row r="4618" spans="1:3" x14ac:dyDescent="0.3">
      <c r="A4618" s="80"/>
      <c r="B4618" s="81"/>
      <c r="C4618" s="82"/>
    </row>
    <row r="4619" spans="1:3" x14ac:dyDescent="0.3">
      <c r="A4619" s="80"/>
      <c r="B4619" s="81"/>
      <c r="C4619" s="82"/>
    </row>
    <row r="4620" spans="1:3" x14ac:dyDescent="0.3">
      <c r="A4620" s="80"/>
      <c r="B4620" s="81"/>
      <c r="C4620" s="82"/>
    </row>
    <row r="4621" spans="1:3" x14ac:dyDescent="0.3">
      <c r="A4621" s="80"/>
      <c r="B4621" s="81"/>
      <c r="C4621" s="82"/>
    </row>
    <row r="4622" spans="1:3" x14ac:dyDescent="0.3">
      <c r="A4622" s="80"/>
      <c r="B4622" s="81"/>
      <c r="C4622" s="82"/>
    </row>
    <row r="4623" spans="1:3" x14ac:dyDescent="0.3">
      <c r="A4623" s="80"/>
      <c r="B4623" s="81"/>
      <c r="C4623" s="82"/>
    </row>
    <row r="4624" spans="1:3" x14ac:dyDescent="0.3">
      <c r="A4624" s="80"/>
      <c r="B4624" s="81"/>
      <c r="C4624" s="82"/>
    </row>
    <row r="4625" spans="1:3" x14ac:dyDescent="0.3">
      <c r="A4625" s="80"/>
      <c r="B4625" s="81"/>
      <c r="C4625" s="82"/>
    </row>
    <row r="4626" spans="1:3" x14ac:dyDescent="0.3">
      <c r="A4626" s="80"/>
      <c r="B4626" s="81"/>
      <c r="C4626" s="82"/>
    </row>
    <row r="4627" spans="1:3" x14ac:dyDescent="0.3">
      <c r="A4627" s="80"/>
      <c r="B4627" s="81"/>
      <c r="C4627" s="82"/>
    </row>
    <row r="4628" spans="1:3" x14ac:dyDescent="0.3">
      <c r="A4628" s="80"/>
      <c r="B4628" s="81"/>
      <c r="C4628" s="82"/>
    </row>
    <row r="4629" spans="1:3" x14ac:dyDescent="0.3">
      <c r="A4629" s="80"/>
      <c r="B4629" s="81"/>
      <c r="C4629" s="82"/>
    </row>
    <row r="4630" spans="1:3" x14ac:dyDescent="0.3">
      <c r="A4630" s="80"/>
      <c r="B4630" s="81"/>
      <c r="C4630" s="82"/>
    </row>
    <row r="4631" spans="1:3" x14ac:dyDescent="0.3">
      <c r="A4631" s="80"/>
      <c r="B4631" s="81"/>
      <c r="C4631" s="82"/>
    </row>
    <row r="4632" spans="1:3" x14ac:dyDescent="0.3">
      <c r="A4632" s="80"/>
      <c r="B4632" s="81"/>
      <c r="C4632" s="82"/>
    </row>
    <row r="4633" spans="1:3" x14ac:dyDescent="0.3">
      <c r="A4633" s="80"/>
      <c r="B4633" s="81"/>
      <c r="C4633" s="82"/>
    </row>
    <row r="4634" spans="1:3" x14ac:dyDescent="0.3">
      <c r="A4634" s="80"/>
      <c r="B4634" s="81"/>
      <c r="C4634" s="82"/>
    </row>
    <row r="4635" spans="1:3" x14ac:dyDescent="0.3">
      <c r="A4635" s="80"/>
      <c r="B4635" s="81"/>
      <c r="C4635" s="82"/>
    </row>
    <row r="4636" spans="1:3" x14ac:dyDescent="0.3">
      <c r="A4636" s="80"/>
      <c r="B4636" s="81"/>
      <c r="C4636" s="82"/>
    </row>
    <row r="4637" spans="1:3" x14ac:dyDescent="0.3">
      <c r="A4637" s="80"/>
      <c r="B4637" s="81"/>
      <c r="C4637" s="82"/>
    </row>
    <row r="4638" spans="1:3" x14ac:dyDescent="0.3">
      <c r="A4638" s="80"/>
      <c r="B4638" s="81"/>
      <c r="C4638" s="82"/>
    </row>
    <row r="4639" spans="1:3" x14ac:dyDescent="0.3">
      <c r="A4639" s="80"/>
      <c r="B4639" s="81"/>
      <c r="C4639" s="82"/>
    </row>
    <row r="4640" spans="1:3" x14ac:dyDescent="0.3">
      <c r="A4640" s="80"/>
      <c r="B4640" s="81"/>
      <c r="C4640" s="82"/>
    </row>
    <row r="4641" spans="1:3" x14ac:dyDescent="0.3">
      <c r="A4641" s="80"/>
      <c r="B4641" s="81"/>
      <c r="C4641" s="82"/>
    </row>
    <row r="4642" spans="1:3" x14ac:dyDescent="0.3">
      <c r="A4642" s="80"/>
      <c r="B4642" s="81"/>
      <c r="C4642" s="82"/>
    </row>
    <row r="4643" spans="1:3" x14ac:dyDescent="0.3">
      <c r="A4643" s="80"/>
      <c r="B4643" s="81"/>
      <c r="C4643" s="82"/>
    </row>
    <row r="4644" spans="1:3" x14ac:dyDescent="0.3">
      <c r="A4644" s="80"/>
      <c r="B4644" s="81"/>
      <c r="C4644" s="82"/>
    </row>
    <row r="4645" spans="1:3" x14ac:dyDescent="0.3">
      <c r="A4645" s="80"/>
      <c r="B4645" s="81"/>
      <c r="C4645" s="82"/>
    </row>
    <row r="4646" spans="1:3" x14ac:dyDescent="0.3">
      <c r="A4646" s="80"/>
      <c r="B4646" s="81"/>
      <c r="C4646" s="82"/>
    </row>
    <row r="4647" spans="1:3" x14ac:dyDescent="0.3">
      <c r="A4647" s="80"/>
      <c r="B4647" s="81"/>
      <c r="C4647" s="82"/>
    </row>
    <row r="4648" spans="1:3" x14ac:dyDescent="0.3">
      <c r="A4648" s="80"/>
      <c r="B4648" s="81"/>
      <c r="C4648" s="82"/>
    </row>
    <row r="4649" spans="1:3" x14ac:dyDescent="0.3">
      <c r="A4649" s="80"/>
      <c r="B4649" s="81"/>
      <c r="C4649" s="82"/>
    </row>
    <row r="4650" spans="1:3" x14ac:dyDescent="0.3">
      <c r="A4650" s="80"/>
      <c r="B4650" s="81"/>
      <c r="C4650" s="82"/>
    </row>
    <row r="4651" spans="1:3" x14ac:dyDescent="0.3">
      <c r="A4651" s="80"/>
      <c r="B4651" s="81"/>
      <c r="C4651" s="82"/>
    </row>
    <row r="4652" spans="1:3" x14ac:dyDescent="0.3">
      <c r="A4652" s="80"/>
      <c r="B4652" s="81"/>
      <c r="C4652" s="82"/>
    </row>
    <row r="4653" spans="1:3" x14ac:dyDescent="0.3">
      <c r="A4653" s="80"/>
      <c r="B4653" s="81"/>
      <c r="C4653" s="82"/>
    </row>
    <row r="4654" spans="1:3" x14ac:dyDescent="0.3">
      <c r="A4654" s="80"/>
      <c r="B4654" s="81"/>
      <c r="C4654" s="82"/>
    </row>
    <row r="4655" spans="1:3" x14ac:dyDescent="0.3">
      <c r="A4655" s="80"/>
      <c r="B4655" s="81"/>
      <c r="C4655" s="82"/>
    </row>
    <row r="4656" spans="1:3" x14ac:dyDescent="0.3">
      <c r="A4656" s="80"/>
      <c r="B4656" s="81"/>
      <c r="C4656" s="82"/>
    </row>
    <row r="4657" spans="1:3" x14ac:dyDescent="0.3">
      <c r="A4657" s="80"/>
      <c r="B4657" s="81"/>
      <c r="C4657" s="82"/>
    </row>
    <row r="4658" spans="1:3" x14ac:dyDescent="0.3">
      <c r="A4658" s="80"/>
      <c r="B4658" s="81"/>
      <c r="C4658" s="82"/>
    </row>
    <row r="4659" spans="1:3" x14ac:dyDescent="0.3">
      <c r="A4659" s="80"/>
      <c r="B4659" s="81"/>
      <c r="C4659" s="82"/>
    </row>
    <row r="4660" spans="1:3" x14ac:dyDescent="0.3">
      <c r="A4660" s="80"/>
      <c r="B4660" s="81"/>
      <c r="C4660" s="82"/>
    </row>
    <row r="4661" spans="1:3" x14ac:dyDescent="0.3">
      <c r="A4661" s="80"/>
      <c r="B4661" s="81"/>
      <c r="C4661" s="82"/>
    </row>
    <row r="4662" spans="1:3" x14ac:dyDescent="0.3">
      <c r="A4662" s="80"/>
      <c r="B4662" s="81"/>
      <c r="C4662" s="82"/>
    </row>
    <row r="4663" spans="1:3" x14ac:dyDescent="0.3">
      <c r="A4663" s="80"/>
      <c r="B4663" s="81"/>
      <c r="C4663" s="82"/>
    </row>
    <row r="4664" spans="1:3" x14ac:dyDescent="0.3">
      <c r="A4664" s="80"/>
      <c r="B4664" s="81"/>
      <c r="C4664" s="82"/>
    </row>
    <row r="4665" spans="1:3" x14ac:dyDescent="0.3">
      <c r="A4665" s="80"/>
      <c r="B4665" s="81"/>
      <c r="C4665" s="82"/>
    </row>
    <row r="4666" spans="1:3" x14ac:dyDescent="0.3">
      <c r="A4666" s="80"/>
      <c r="B4666" s="81"/>
      <c r="C4666" s="82"/>
    </row>
    <row r="4667" spans="1:3" x14ac:dyDescent="0.3">
      <c r="A4667" s="80"/>
      <c r="B4667" s="81"/>
      <c r="C4667" s="82"/>
    </row>
    <row r="4668" spans="1:3" x14ac:dyDescent="0.3">
      <c r="A4668" s="80"/>
      <c r="B4668" s="81"/>
      <c r="C4668" s="82"/>
    </row>
    <row r="4669" spans="1:3" x14ac:dyDescent="0.3">
      <c r="A4669" s="80"/>
      <c r="B4669" s="81"/>
      <c r="C4669" s="82"/>
    </row>
    <row r="4670" spans="1:3" x14ac:dyDescent="0.3">
      <c r="A4670" s="80"/>
      <c r="B4670" s="81"/>
      <c r="C4670" s="82"/>
    </row>
    <row r="4671" spans="1:3" x14ac:dyDescent="0.3">
      <c r="A4671" s="80"/>
      <c r="B4671" s="81"/>
      <c r="C4671" s="82"/>
    </row>
    <row r="4672" spans="1:3" x14ac:dyDescent="0.3">
      <c r="A4672" s="80"/>
      <c r="B4672" s="81"/>
      <c r="C4672" s="82"/>
    </row>
    <row r="4673" spans="1:3" x14ac:dyDescent="0.3">
      <c r="A4673" s="80"/>
      <c r="B4673" s="81"/>
      <c r="C4673" s="82"/>
    </row>
    <row r="4674" spans="1:3" x14ac:dyDescent="0.3">
      <c r="A4674" s="80"/>
      <c r="B4674" s="81"/>
      <c r="C4674" s="82"/>
    </row>
    <row r="4675" spans="1:3" x14ac:dyDescent="0.3">
      <c r="A4675" s="80"/>
      <c r="B4675" s="81"/>
      <c r="C4675" s="82"/>
    </row>
    <row r="4676" spans="1:3" x14ac:dyDescent="0.3">
      <c r="A4676" s="80"/>
      <c r="B4676" s="81"/>
      <c r="C4676" s="82"/>
    </row>
    <row r="4677" spans="1:3" x14ac:dyDescent="0.3">
      <c r="A4677" s="80"/>
      <c r="B4677" s="81"/>
      <c r="C4677" s="82"/>
    </row>
    <row r="4678" spans="1:3" x14ac:dyDescent="0.3">
      <c r="A4678" s="80"/>
      <c r="B4678" s="81"/>
      <c r="C4678" s="82"/>
    </row>
    <row r="4679" spans="1:3" x14ac:dyDescent="0.3">
      <c r="A4679" s="80"/>
      <c r="B4679" s="81"/>
      <c r="C4679" s="82"/>
    </row>
    <row r="4680" spans="1:3" x14ac:dyDescent="0.3">
      <c r="A4680" s="80"/>
      <c r="B4680" s="81"/>
      <c r="C4680" s="82"/>
    </row>
    <row r="4681" spans="1:3" x14ac:dyDescent="0.3">
      <c r="A4681" s="80"/>
      <c r="B4681" s="81"/>
      <c r="C4681" s="82"/>
    </row>
    <row r="4682" spans="1:3" x14ac:dyDescent="0.3">
      <c r="A4682" s="80"/>
      <c r="B4682" s="81"/>
      <c r="C4682" s="82"/>
    </row>
    <row r="4683" spans="1:3" x14ac:dyDescent="0.3">
      <c r="A4683" s="80"/>
      <c r="B4683" s="81"/>
      <c r="C4683" s="82"/>
    </row>
    <row r="4684" spans="1:3" x14ac:dyDescent="0.3">
      <c r="A4684" s="80"/>
      <c r="B4684" s="81"/>
      <c r="C4684" s="82"/>
    </row>
    <row r="4685" spans="1:3" x14ac:dyDescent="0.3">
      <c r="A4685" s="80"/>
      <c r="B4685" s="81"/>
      <c r="C4685" s="82"/>
    </row>
    <row r="4686" spans="1:3" x14ac:dyDescent="0.3">
      <c r="A4686" s="80"/>
      <c r="B4686" s="81"/>
      <c r="C4686" s="82"/>
    </row>
    <row r="4687" spans="1:3" x14ac:dyDescent="0.3">
      <c r="A4687" s="80"/>
      <c r="B4687" s="81"/>
      <c r="C4687" s="82"/>
    </row>
    <row r="4688" spans="1:3" x14ac:dyDescent="0.3">
      <c r="A4688" s="80"/>
      <c r="B4688" s="81"/>
      <c r="C4688" s="82"/>
    </row>
    <row r="4689" spans="1:3" x14ac:dyDescent="0.3">
      <c r="A4689" s="80"/>
      <c r="B4689" s="81"/>
      <c r="C4689" s="82"/>
    </row>
    <row r="4690" spans="1:3" x14ac:dyDescent="0.3">
      <c r="A4690" s="80"/>
      <c r="B4690" s="81"/>
      <c r="C4690" s="82"/>
    </row>
    <row r="4691" spans="1:3" x14ac:dyDescent="0.3">
      <c r="A4691" s="80"/>
      <c r="B4691" s="81"/>
      <c r="C4691" s="82"/>
    </row>
    <row r="4692" spans="1:3" x14ac:dyDescent="0.3">
      <c r="A4692" s="80"/>
      <c r="B4692" s="81"/>
      <c r="C4692" s="82"/>
    </row>
    <row r="4693" spans="1:3" x14ac:dyDescent="0.3">
      <c r="A4693" s="80"/>
      <c r="B4693" s="81"/>
      <c r="C4693" s="82"/>
    </row>
    <row r="4694" spans="1:3" x14ac:dyDescent="0.3">
      <c r="A4694" s="80"/>
      <c r="B4694" s="81"/>
      <c r="C4694" s="82"/>
    </row>
    <row r="4695" spans="1:3" x14ac:dyDescent="0.3">
      <c r="A4695" s="80"/>
      <c r="B4695" s="81"/>
      <c r="C4695" s="82"/>
    </row>
    <row r="4696" spans="1:3" x14ac:dyDescent="0.3">
      <c r="A4696" s="80"/>
      <c r="B4696" s="81"/>
      <c r="C4696" s="82"/>
    </row>
    <row r="4697" spans="1:3" x14ac:dyDescent="0.3">
      <c r="A4697" s="80"/>
      <c r="B4697" s="81"/>
      <c r="C4697" s="82"/>
    </row>
    <row r="4698" spans="1:3" x14ac:dyDescent="0.3">
      <c r="A4698" s="80"/>
      <c r="B4698" s="81"/>
      <c r="C4698" s="82"/>
    </row>
    <row r="4699" spans="1:3" x14ac:dyDescent="0.3">
      <c r="A4699" s="80"/>
      <c r="B4699" s="81"/>
      <c r="C4699" s="82"/>
    </row>
    <row r="4700" spans="1:3" x14ac:dyDescent="0.3">
      <c r="A4700" s="80"/>
      <c r="B4700" s="81"/>
      <c r="C4700" s="82"/>
    </row>
    <row r="4701" spans="1:3" x14ac:dyDescent="0.3">
      <c r="A4701" s="80"/>
      <c r="B4701" s="81"/>
      <c r="C4701" s="82"/>
    </row>
    <row r="4702" spans="1:3" x14ac:dyDescent="0.3">
      <c r="A4702" s="80"/>
      <c r="B4702" s="81"/>
      <c r="C4702" s="82"/>
    </row>
    <row r="4703" spans="1:3" x14ac:dyDescent="0.3">
      <c r="A4703" s="80"/>
      <c r="B4703" s="81"/>
      <c r="C4703" s="82"/>
    </row>
    <row r="4704" spans="1:3" x14ac:dyDescent="0.3">
      <c r="A4704" s="80"/>
      <c r="B4704" s="81"/>
      <c r="C4704" s="82"/>
    </row>
    <row r="4705" spans="1:3" x14ac:dyDescent="0.3">
      <c r="A4705" s="80"/>
      <c r="B4705" s="81"/>
      <c r="C4705" s="82"/>
    </row>
    <row r="4706" spans="1:3" x14ac:dyDescent="0.3">
      <c r="A4706" s="80"/>
      <c r="B4706" s="81"/>
      <c r="C4706" s="82"/>
    </row>
    <row r="4707" spans="1:3" x14ac:dyDescent="0.3">
      <c r="A4707" s="80"/>
      <c r="B4707" s="81"/>
      <c r="C4707" s="82"/>
    </row>
    <row r="4708" spans="1:3" x14ac:dyDescent="0.3">
      <c r="A4708" s="80"/>
      <c r="B4708" s="81"/>
      <c r="C4708" s="82"/>
    </row>
    <row r="4709" spans="1:3" x14ac:dyDescent="0.3">
      <c r="A4709" s="80"/>
      <c r="B4709" s="81"/>
      <c r="C4709" s="82"/>
    </row>
    <row r="4710" spans="1:3" x14ac:dyDescent="0.3">
      <c r="A4710" s="80"/>
      <c r="B4710" s="81"/>
      <c r="C4710" s="82"/>
    </row>
    <row r="4711" spans="1:3" x14ac:dyDescent="0.3">
      <c r="A4711" s="80"/>
      <c r="B4711" s="81"/>
      <c r="C4711" s="82"/>
    </row>
    <row r="4712" spans="1:3" x14ac:dyDescent="0.3">
      <c r="A4712" s="80"/>
      <c r="B4712" s="81"/>
      <c r="C4712" s="82"/>
    </row>
    <row r="4713" spans="1:3" x14ac:dyDescent="0.3">
      <c r="A4713" s="80"/>
      <c r="B4713" s="81"/>
      <c r="C4713" s="82"/>
    </row>
    <row r="4714" spans="1:3" x14ac:dyDescent="0.3">
      <c r="A4714" s="80"/>
      <c r="B4714" s="81"/>
      <c r="C4714" s="82"/>
    </row>
    <row r="4715" spans="1:3" x14ac:dyDescent="0.3">
      <c r="A4715" s="80"/>
      <c r="B4715" s="81"/>
      <c r="C4715" s="82"/>
    </row>
    <row r="4716" spans="1:3" x14ac:dyDescent="0.3">
      <c r="A4716" s="80"/>
      <c r="B4716" s="81"/>
      <c r="C4716" s="82"/>
    </row>
    <row r="4717" spans="1:3" x14ac:dyDescent="0.3">
      <c r="A4717" s="80"/>
      <c r="B4717" s="81"/>
      <c r="C4717" s="82"/>
    </row>
    <row r="4718" spans="1:3" x14ac:dyDescent="0.3">
      <c r="A4718" s="80"/>
      <c r="B4718" s="81"/>
      <c r="C4718" s="82"/>
    </row>
    <row r="4719" spans="1:3" x14ac:dyDescent="0.3">
      <c r="A4719" s="80"/>
      <c r="B4719" s="81"/>
      <c r="C4719" s="82"/>
    </row>
    <row r="4720" spans="1:3" x14ac:dyDescent="0.3">
      <c r="A4720" s="80"/>
      <c r="B4720" s="81"/>
      <c r="C4720" s="82"/>
    </row>
    <row r="4721" spans="1:3" x14ac:dyDescent="0.3">
      <c r="A4721" s="80"/>
      <c r="B4721" s="81"/>
      <c r="C4721" s="82"/>
    </row>
    <row r="4722" spans="1:3" x14ac:dyDescent="0.3">
      <c r="A4722" s="80"/>
      <c r="B4722" s="81"/>
      <c r="C4722" s="82"/>
    </row>
    <row r="4723" spans="1:3" x14ac:dyDescent="0.3">
      <c r="A4723" s="80"/>
      <c r="B4723" s="81"/>
      <c r="C4723" s="82"/>
    </row>
    <row r="4724" spans="1:3" x14ac:dyDescent="0.3">
      <c r="A4724" s="80"/>
      <c r="B4724" s="81"/>
      <c r="C4724" s="82"/>
    </row>
    <row r="4725" spans="1:3" x14ac:dyDescent="0.3">
      <c r="A4725" s="80"/>
      <c r="B4725" s="81"/>
      <c r="C4725" s="82"/>
    </row>
    <row r="4726" spans="1:3" x14ac:dyDescent="0.3">
      <c r="A4726" s="80"/>
      <c r="B4726" s="81"/>
      <c r="C4726" s="82"/>
    </row>
    <row r="4727" spans="1:3" x14ac:dyDescent="0.3">
      <c r="A4727" s="80"/>
      <c r="B4727" s="81"/>
      <c r="C4727" s="82"/>
    </row>
    <row r="4728" spans="1:3" x14ac:dyDescent="0.3">
      <c r="A4728" s="80"/>
      <c r="B4728" s="81"/>
      <c r="C4728" s="82"/>
    </row>
    <row r="4729" spans="1:3" x14ac:dyDescent="0.3">
      <c r="A4729" s="80"/>
      <c r="B4729" s="81"/>
      <c r="C4729" s="82"/>
    </row>
    <row r="4730" spans="1:3" x14ac:dyDescent="0.3">
      <c r="A4730" s="80"/>
      <c r="B4730" s="81"/>
      <c r="C4730" s="82"/>
    </row>
    <row r="4731" spans="1:3" x14ac:dyDescent="0.3">
      <c r="A4731" s="80"/>
      <c r="B4731" s="81"/>
      <c r="C4731" s="82"/>
    </row>
    <row r="4732" spans="1:3" x14ac:dyDescent="0.3">
      <c r="A4732" s="80"/>
      <c r="B4732" s="81"/>
      <c r="C4732" s="82"/>
    </row>
    <row r="4733" spans="1:3" x14ac:dyDescent="0.3">
      <c r="A4733" s="80"/>
      <c r="B4733" s="81"/>
      <c r="C4733" s="82"/>
    </row>
    <row r="4734" spans="1:3" x14ac:dyDescent="0.3">
      <c r="A4734" s="80"/>
      <c r="B4734" s="81"/>
      <c r="C4734" s="82"/>
    </row>
    <row r="4735" spans="1:3" x14ac:dyDescent="0.3">
      <c r="A4735" s="80"/>
      <c r="B4735" s="81"/>
      <c r="C4735" s="82"/>
    </row>
    <row r="4736" spans="1:3" x14ac:dyDescent="0.3">
      <c r="A4736" s="80"/>
      <c r="B4736" s="81"/>
      <c r="C4736" s="82"/>
    </row>
    <row r="4737" spans="1:3" x14ac:dyDescent="0.3">
      <c r="A4737" s="80"/>
      <c r="B4737" s="81"/>
      <c r="C4737" s="82"/>
    </row>
    <row r="4738" spans="1:3" x14ac:dyDescent="0.3">
      <c r="A4738" s="80"/>
      <c r="B4738" s="81"/>
      <c r="C4738" s="82"/>
    </row>
    <row r="4739" spans="1:3" x14ac:dyDescent="0.3">
      <c r="A4739" s="80"/>
      <c r="B4739" s="81"/>
      <c r="C4739" s="82"/>
    </row>
    <row r="4740" spans="1:3" x14ac:dyDescent="0.3">
      <c r="A4740" s="80"/>
      <c r="B4740" s="81"/>
      <c r="C4740" s="82"/>
    </row>
    <row r="4741" spans="1:3" x14ac:dyDescent="0.3">
      <c r="A4741" s="80"/>
      <c r="B4741" s="81"/>
      <c r="C4741" s="82"/>
    </row>
    <row r="4742" spans="1:3" x14ac:dyDescent="0.3">
      <c r="A4742" s="80"/>
      <c r="B4742" s="81"/>
      <c r="C4742" s="82"/>
    </row>
    <row r="4743" spans="1:3" x14ac:dyDescent="0.3">
      <c r="A4743" s="80"/>
      <c r="B4743" s="81"/>
      <c r="C4743" s="82"/>
    </row>
    <row r="4744" spans="1:3" x14ac:dyDescent="0.3">
      <c r="A4744" s="80"/>
      <c r="B4744" s="81"/>
      <c r="C4744" s="82"/>
    </row>
    <row r="4745" spans="1:3" x14ac:dyDescent="0.3">
      <c r="A4745" s="80"/>
      <c r="B4745" s="81"/>
      <c r="C4745" s="82"/>
    </row>
    <row r="4746" spans="1:3" x14ac:dyDescent="0.3">
      <c r="A4746" s="80"/>
      <c r="B4746" s="81"/>
      <c r="C4746" s="82"/>
    </row>
    <row r="4747" spans="1:3" x14ac:dyDescent="0.3">
      <c r="A4747" s="80"/>
      <c r="B4747" s="81"/>
      <c r="C4747" s="82"/>
    </row>
    <row r="4748" spans="1:3" x14ac:dyDescent="0.3">
      <c r="A4748" s="80"/>
      <c r="B4748" s="81"/>
      <c r="C4748" s="82"/>
    </row>
    <row r="4749" spans="1:3" x14ac:dyDescent="0.3">
      <c r="A4749" s="80"/>
      <c r="B4749" s="81"/>
      <c r="C4749" s="82"/>
    </row>
    <row r="4750" spans="1:3" x14ac:dyDescent="0.3">
      <c r="A4750" s="80"/>
      <c r="B4750" s="81"/>
      <c r="C4750" s="82"/>
    </row>
    <row r="4751" spans="1:3" x14ac:dyDescent="0.3">
      <c r="A4751" s="80"/>
      <c r="B4751" s="81"/>
      <c r="C4751" s="82"/>
    </row>
    <row r="4752" spans="1:3" x14ac:dyDescent="0.3">
      <c r="A4752" s="80"/>
      <c r="B4752" s="81"/>
      <c r="C4752" s="82"/>
    </row>
    <row r="4753" spans="1:3" x14ac:dyDescent="0.3">
      <c r="A4753" s="80"/>
      <c r="B4753" s="81"/>
      <c r="C4753" s="82"/>
    </row>
    <row r="4754" spans="1:3" x14ac:dyDescent="0.3">
      <c r="A4754" s="80"/>
      <c r="B4754" s="81"/>
      <c r="C4754" s="82"/>
    </row>
    <row r="4755" spans="1:3" x14ac:dyDescent="0.3">
      <c r="A4755" s="80"/>
      <c r="B4755" s="81"/>
      <c r="C4755" s="82"/>
    </row>
    <row r="4756" spans="1:3" x14ac:dyDescent="0.3">
      <c r="A4756" s="80"/>
      <c r="B4756" s="81"/>
      <c r="C4756" s="82"/>
    </row>
    <row r="4757" spans="1:3" x14ac:dyDescent="0.3">
      <c r="A4757" s="80"/>
      <c r="B4757" s="81"/>
      <c r="C4757" s="82"/>
    </row>
    <row r="4758" spans="1:3" x14ac:dyDescent="0.3">
      <c r="A4758" s="80"/>
      <c r="B4758" s="81"/>
      <c r="C4758" s="82"/>
    </row>
    <row r="4759" spans="1:3" x14ac:dyDescent="0.3">
      <c r="A4759" s="80"/>
      <c r="B4759" s="81"/>
      <c r="C4759" s="82"/>
    </row>
    <row r="4760" spans="1:3" x14ac:dyDescent="0.3">
      <c r="A4760" s="80"/>
      <c r="B4760" s="81"/>
      <c r="C4760" s="82"/>
    </row>
    <row r="4761" spans="1:3" x14ac:dyDescent="0.3">
      <c r="A4761" s="80"/>
      <c r="B4761" s="81"/>
      <c r="C4761" s="82"/>
    </row>
    <row r="4762" spans="1:3" x14ac:dyDescent="0.3">
      <c r="A4762" s="80"/>
      <c r="B4762" s="81"/>
      <c r="C4762" s="82"/>
    </row>
    <row r="4763" spans="1:3" x14ac:dyDescent="0.3">
      <c r="A4763" s="80"/>
      <c r="B4763" s="81"/>
      <c r="C4763" s="82"/>
    </row>
    <row r="4764" spans="1:3" x14ac:dyDescent="0.3">
      <c r="A4764" s="80"/>
      <c r="B4764" s="81"/>
      <c r="C4764" s="82"/>
    </row>
    <row r="4765" spans="1:3" x14ac:dyDescent="0.3">
      <c r="A4765" s="80"/>
      <c r="B4765" s="81"/>
      <c r="C4765" s="82"/>
    </row>
    <row r="4766" spans="1:3" x14ac:dyDescent="0.3">
      <c r="A4766" s="80"/>
      <c r="B4766" s="81"/>
      <c r="C4766" s="82"/>
    </row>
    <row r="4767" spans="1:3" x14ac:dyDescent="0.3">
      <c r="A4767" s="80"/>
      <c r="B4767" s="81"/>
      <c r="C4767" s="82"/>
    </row>
    <row r="4768" spans="1:3" x14ac:dyDescent="0.3">
      <c r="A4768" s="80"/>
      <c r="B4768" s="81"/>
      <c r="C4768" s="82"/>
    </row>
    <row r="4769" spans="1:3" x14ac:dyDescent="0.3">
      <c r="A4769" s="80"/>
      <c r="B4769" s="81"/>
      <c r="C4769" s="82"/>
    </row>
    <row r="4770" spans="1:3" x14ac:dyDescent="0.3">
      <c r="A4770" s="80"/>
      <c r="B4770" s="81"/>
      <c r="C4770" s="82"/>
    </row>
    <row r="4771" spans="1:3" x14ac:dyDescent="0.3">
      <c r="A4771" s="80"/>
      <c r="B4771" s="81"/>
      <c r="C4771" s="82"/>
    </row>
    <row r="4772" spans="1:3" x14ac:dyDescent="0.3">
      <c r="A4772" s="80"/>
      <c r="B4772" s="81"/>
      <c r="C4772" s="82"/>
    </row>
    <row r="4773" spans="1:3" x14ac:dyDescent="0.3">
      <c r="A4773" s="80"/>
      <c r="B4773" s="81"/>
      <c r="C4773" s="82"/>
    </row>
    <row r="4774" spans="1:3" x14ac:dyDescent="0.3">
      <c r="A4774" s="80"/>
      <c r="B4774" s="81"/>
      <c r="C4774" s="82"/>
    </row>
    <row r="4775" spans="1:3" x14ac:dyDescent="0.3">
      <c r="A4775" s="80"/>
      <c r="B4775" s="81"/>
      <c r="C4775" s="82"/>
    </row>
    <row r="4776" spans="1:3" x14ac:dyDescent="0.3">
      <c r="A4776" s="80"/>
      <c r="B4776" s="81"/>
      <c r="C4776" s="82"/>
    </row>
    <row r="4777" spans="1:3" x14ac:dyDescent="0.3">
      <c r="A4777" s="80"/>
      <c r="B4777" s="81"/>
      <c r="C4777" s="82"/>
    </row>
    <row r="4778" spans="1:3" x14ac:dyDescent="0.3">
      <c r="A4778" s="80"/>
      <c r="B4778" s="81"/>
      <c r="C4778" s="82"/>
    </row>
    <row r="4779" spans="1:3" x14ac:dyDescent="0.3">
      <c r="A4779" s="80"/>
      <c r="B4779" s="81"/>
      <c r="C4779" s="82"/>
    </row>
    <row r="4780" spans="1:3" x14ac:dyDescent="0.3">
      <c r="A4780" s="80"/>
      <c r="B4780" s="81"/>
      <c r="C4780" s="82"/>
    </row>
    <row r="4781" spans="1:3" x14ac:dyDescent="0.3">
      <c r="A4781" s="80"/>
      <c r="B4781" s="81"/>
      <c r="C4781" s="82"/>
    </row>
    <row r="4782" spans="1:3" x14ac:dyDescent="0.3">
      <c r="A4782" s="80"/>
      <c r="B4782" s="81"/>
      <c r="C4782" s="82"/>
    </row>
    <row r="4783" spans="1:3" x14ac:dyDescent="0.3">
      <c r="A4783" s="80"/>
      <c r="B4783" s="81"/>
      <c r="C4783" s="82"/>
    </row>
    <row r="4784" spans="1:3" x14ac:dyDescent="0.3">
      <c r="A4784" s="80"/>
      <c r="B4784" s="81"/>
      <c r="C4784" s="82"/>
    </row>
    <row r="4785" spans="1:3" x14ac:dyDescent="0.3">
      <c r="A4785" s="80"/>
      <c r="B4785" s="81"/>
      <c r="C4785" s="82"/>
    </row>
    <row r="4786" spans="1:3" x14ac:dyDescent="0.3">
      <c r="A4786" s="80"/>
      <c r="B4786" s="81"/>
      <c r="C4786" s="82"/>
    </row>
    <row r="4787" spans="1:3" x14ac:dyDescent="0.3">
      <c r="A4787" s="80"/>
      <c r="B4787" s="81"/>
      <c r="C4787" s="82"/>
    </row>
    <row r="4788" spans="1:3" x14ac:dyDescent="0.3">
      <c r="A4788" s="80"/>
      <c r="B4788" s="81"/>
      <c r="C4788" s="82"/>
    </row>
    <row r="4789" spans="1:3" x14ac:dyDescent="0.3">
      <c r="A4789" s="80"/>
      <c r="B4789" s="81"/>
      <c r="C4789" s="82"/>
    </row>
    <row r="4790" spans="1:3" x14ac:dyDescent="0.3">
      <c r="A4790" s="80"/>
      <c r="B4790" s="81"/>
      <c r="C4790" s="82"/>
    </row>
    <row r="4791" spans="1:3" x14ac:dyDescent="0.3">
      <c r="A4791" s="80"/>
      <c r="B4791" s="81"/>
      <c r="C4791" s="82"/>
    </row>
    <row r="4792" spans="1:3" x14ac:dyDescent="0.3">
      <c r="A4792" s="80"/>
      <c r="B4792" s="81"/>
      <c r="C4792" s="82"/>
    </row>
    <row r="4793" spans="1:3" x14ac:dyDescent="0.3">
      <c r="A4793" s="80"/>
      <c r="B4793" s="81"/>
      <c r="C4793" s="82"/>
    </row>
    <row r="4794" spans="1:3" x14ac:dyDescent="0.3">
      <c r="A4794" s="80"/>
      <c r="B4794" s="81"/>
      <c r="C4794" s="82"/>
    </row>
    <row r="4795" spans="1:3" x14ac:dyDescent="0.3">
      <c r="A4795" s="80"/>
      <c r="B4795" s="81"/>
      <c r="C4795" s="82"/>
    </row>
    <row r="4796" spans="1:3" x14ac:dyDescent="0.3">
      <c r="A4796" s="80"/>
      <c r="B4796" s="81"/>
      <c r="C4796" s="82"/>
    </row>
    <row r="4797" spans="1:3" x14ac:dyDescent="0.3">
      <c r="A4797" s="80"/>
      <c r="B4797" s="81"/>
      <c r="C4797" s="82"/>
    </row>
    <row r="4798" spans="1:3" x14ac:dyDescent="0.3">
      <c r="A4798" s="80"/>
      <c r="B4798" s="81"/>
      <c r="C4798" s="82"/>
    </row>
    <row r="4799" spans="1:3" x14ac:dyDescent="0.3">
      <c r="A4799" s="80"/>
      <c r="B4799" s="81"/>
      <c r="C4799" s="82"/>
    </row>
    <row r="4800" spans="1:3" x14ac:dyDescent="0.3">
      <c r="A4800" s="80"/>
      <c r="B4800" s="81"/>
      <c r="C4800" s="82"/>
    </row>
    <row r="4801" spans="1:3" x14ac:dyDescent="0.3">
      <c r="A4801" s="80"/>
      <c r="B4801" s="81"/>
      <c r="C4801" s="82"/>
    </row>
    <row r="4802" spans="1:3" x14ac:dyDescent="0.3">
      <c r="A4802" s="80"/>
      <c r="B4802" s="81"/>
      <c r="C4802" s="82"/>
    </row>
    <row r="4803" spans="1:3" x14ac:dyDescent="0.3">
      <c r="A4803" s="80"/>
      <c r="B4803" s="81"/>
      <c r="C4803" s="82"/>
    </row>
    <row r="4804" spans="1:3" x14ac:dyDescent="0.3">
      <c r="A4804" s="80"/>
      <c r="B4804" s="81"/>
      <c r="C4804" s="82"/>
    </row>
    <row r="4805" spans="1:3" x14ac:dyDescent="0.3">
      <c r="A4805" s="80"/>
      <c r="B4805" s="81"/>
      <c r="C4805" s="82"/>
    </row>
    <row r="4806" spans="1:3" x14ac:dyDescent="0.3">
      <c r="A4806" s="80"/>
      <c r="B4806" s="81"/>
      <c r="C4806" s="82"/>
    </row>
    <row r="4807" spans="1:3" x14ac:dyDescent="0.3">
      <c r="A4807" s="80"/>
      <c r="B4807" s="81"/>
      <c r="C4807" s="82"/>
    </row>
    <row r="4808" spans="1:3" x14ac:dyDescent="0.3">
      <c r="A4808" s="80"/>
      <c r="B4808" s="81"/>
      <c r="C4808" s="82"/>
    </row>
    <row r="4809" spans="1:3" x14ac:dyDescent="0.3">
      <c r="A4809" s="80"/>
      <c r="B4809" s="81"/>
      <c r="C4809" s="82"/>
    </row>
    <row r="4810" spans="1:3" x14ac:dyDescent="0.3">
      <c r="A4810" s="80"/>
      <c r="B4810" s="81"/>
      <c r="C4810" s="82"/>
    </row>
    <row r="4811" spans="1:3" x14ac:dyDescent="0.3">
      <c r="A4811" s="80"/>
      <c r="B4811" s="81"/>
      <c r="C4811" s="82"/>
    </row>
    <row r="4812" spans="1:3" x14ac:dyDescent="0.3">
      <c r="A4812" s="80"/>
      <c r="B4812" s="81"/>
      <c r="C4812" s="82"/>
    </row>
    <row r="4813" spans="1:3" x14ac:dyDescent="0.3">
      <c r="A4813" s="80"/>
      <c r="B4813" s="81"/>
      <c r="C4813" s="82"/>
    </row>
    <row r="4814" spans="1:3" x14ac:dyDescent="0.3">
      <c r="A4814" s="80"/>
      <c r="B4814" s="81"/>
      <c r="C4814" s="82"/>
    </row>
    <row r="4815" spans="1:3" x14ac:dyDescent="0.3">
      <c r="A4815" s="80"/>
      <c r="B4815" s="81"/>
      <c r="C4815" s="82"/>
    </row>
    <row r="4816" spans="1:3" x14ac:dyDescent="0.3">
      <c r="A4816" s="80"/>
      <c r="B4816" s="81"/>
      <c r="C4816" s="82"/>
    </row>
    <row r="4817" spans="1:3" x14ac:dyDescent="0.3">
      <c r="A4817" s="80"/>
      <c r="B4817" s="81"/>
      <c r="C4817" s="82"/>
    </row>
    <row r="4818" spans="1:3" x14ac:dyDescent="0.3">
      <c r="A4818" s="80"/>
      <c r="B4818" s="81"/>
      <c r="C4818" s="82"/>
    </row>
    <row r="4819" spans="1:3" x14ac:dyDescent="0.3">
      <c r="A4819" s="80"/>
      <c r="B4819" s="81"/>
      <c r="C4819" s="82"/>
    </row>
    <row r="4820" spans="1:3" x14ac:dyDescent="0.3">
      <c r="A4820" s="80"/>
      <c r="B4820" s="81"/>
      <c r="C4820" s="82"/>
    </row>
    <row r="4821" spans="1:3" x14ac:dyDescent="0.3">
      <c r="A4821" s="80"/>
      <c r="B4821" s="81"/>
      <c r="C4821" s="82"/>
    </row>
    <row r="4822" spans="1:3" x14ac:dyDescent="0.3">
      <c r="A4822" s="80"/>
      <c r="B4822" s="81"/>
      <c r="C4822" s="82"/>
    </row>
    <row r="4823" spans="1:3" x14ac:dyDescent="0.3">
      <c r="A4823" s="80"/>
      <c r="B4823" s="81"/>
      <c r="C4823" s="82"/>
    </row>
    <row r="4824" spans="1:3" x14ac:dyDescent="0.3">
      <c r="A4824" s="80"/>
      <c r="B4824" s="81"/>
      <c r="C4824" s="82"/>
    </row>
    <row r="4825" spans="1:3" x14ac:dyDescent="0.3">
      <c r="A4825" s="80"/>
      <c r="B4825" s="81"/>
      <c r="C4825" s="82"/>
    </row>
    <row r="4826" spans="1:3" x14ac:dyDescent="0.3">
      <c r="A4826" s="80"/>
      <c r="B4826" s="81"/>
      <c r="C4826" s="82"/>
    </row>
    <row r="4827" spans="1:3" x14ac:dyDescent="0.3">
      <c r="A4827" s="80"/>
      <c r="B4827" s="81"/>
      <c r="C4827" s="82"/>
    </row>
    <row r="4828" spans="1:3" x14ac:dyDescent="0.3">
      <c r="A4828" s="80"/>
      <c r="B4828" s="81"/>
      <c r="C4828" s="82"/>
    </row>
    <row r="4829" spans="1:3" x14ac:dyDescent="0.3">
      <c r="A4829" s="80"/>
      <c r="B4829" s="81"/>
      <c r="C4829" s="82"/>
    </row>
    <row r="4830" spans="1:3" x14ac:dyDescent="0.3">
      <c r="A4830" s="80"/>
      <c r="B4830" s="81"/>
      <c r="C4830" s="82"/>
    </row>
    <row r="4831" spans="1:3" x14ac:dyDescent="0.3">
      <c r="A4831" s="80"/>
      <c r="B4831" s="81"/>
      <c r="C4831" s="82"/>
    </row>
    <row r="4832" spans="1:3" x14ac:dyDescent="0.3">
      <c r="A4832" s="80"/>
      <c r="B4832" s="81"/>
      <c r="C4832" s="82"/>
    </row>
    <row r="4833" spans="1:3" x14ac:dyDescent="0.3">
      <c r="A4833" s="80"/>
      <c r="B4833" s="81"/>
      <c r="C4833" s="82"/>
    </row>
    <row r="4834" spans="1:3" x14ac:dyDescent="0.3">
      <c r="A4834" s="80"/>
      <c r="B4834" s="81"/>
      <c r="C4834" s="82"/>
    </row>
    <row r="4835" spans="1:3" x14ac:dyDescent="0.3">
      <c r="A4835" s="80"/>
      <c r="B4835" s="81"/>
      <c r="C4835" s="82"/>
    </row>
    <row r="4836" spans="1:3" x14ac:dyDescent="0.3">
      <c r="A4836" s="80"/>
      <c r="B4836" s="81"/>
      <c r="C4836" s="82"/>
    </row>
    <row r="4837" spans="1:3" x14ac:dyDescent="0.3">
      <c r="A4837" s="80"/>
      <c r="B4837" s="81"/>
      <c r="C4837" s="82"/>
    </row>
    <row r="4838" spans="1:3" x14ac:dyDescent="0.3">
      <c r="A4838" s="80"/>
      <c r="B4838" s="81"/>
      <c r="C4838" s="82"/>
    </row>
    <row r="4839" spans="1:3" x14ac:dyDescent="0.3">
      <c r="A4839" s="80"/>
      <c r="B4839" s="81"/>
      <c r="C4839" s="82"/>
    </row>
    <row r="4840" spans="1:3" x14ac:dyDescent="0.3">
      <c r="A4840" s="80"/>
      <c r="B4840" s="81"/>
      <c r="C4840" s="82"/>
    </row>
    <row r="4841" spans="1:3" x14ac:dyDescent="0.3">
      <c r="A4841" s="80"/>
      <c r="B4841" s="81"/>
      <c r="C4841" s="82"/>
    </row>
    <row r="4842" spans="1:3" x14ac:dyDescent="0.3">
      <c r="A4842" s="80"/>
      <c r="B4842" s="81"/>
      <c r="C4842" s="82"/>
    </row>
    <row r="4843" spans="1:3" x14ac:dyDescent="0.3">
      <c r="A4843" s="80"/>
      <c r="B4843" s="81"/>
      <c r="C4843" s="82"/>
    </row>
    <row r="4844" spans="1:3" x14ac:dyDescent="0.3">
      <c r="A4844" s="80"/>
      <c r="B4844" s="81"/>
      <c r="C4844" s="82"/>
    </row>
    <row r="4845" spans="1:3" x14ac:dyDescent="0.3">
      <c r="A4845" s="80"/>
      <c r="B4845" s="81"/>
      <c r="C4845" s="82"/>
    </row>
    <row r="4846" spans="1:3" x14ac:dyDescent="0.3">
      <c r="A4846" s="80"/>
      <c r="B4846" s="81"/>
      <c r="C4846" s="82"/>
    </row>
    <row r="4847" spans="1:3" x14ac:dyDescent="0.3">
      <c r="A4847" s="80"/>
      <c r="B4847" s="81"/>
      <c r="C4847" s="82"/>
    </row>
    <row r="4848" spans="1:3" x14ac:dyDescent="0.3">
      <c r="A4848" s="80"/>
      <c r="B4848" s="81"/>
      <c r="C4848" s="82"/>
    </row>
    <row r="4849" spans="1:3" x14ac:dyDescent="0.3">
      <c r="A4849" s="80"/>
      <c r="B4849" s="81"/>
      <c r="C4849" s="82"/>
    </row>
    <row r="4850" spans="1:3" x14ac:dyDescent="0.3">
      <c r="A4850" s="80"/>
      <c r="B4850" s="81"/>
      <c r="C4850" s="82"/>
    </row>
    <row r="4851" spans="1:3" x14ac:dyDescent="0.3">
      <c r="A4851" s="80"/>
      <c r="B4851" s="81"/>
      <c r="C4851" s="82"/>
    </row>
    <row r="4852" spans="1:3" x14ac:dyDescent="0.3">
      <c r="A4852" s="80"/>
      <c r="B4852" s="81"/>
      <c r="C4852" s="82"/>
    </row>
    <row r="4853" spans="1:3" x14ac:dyDescent="0.3">
      <c r="A4853" s="80"/>
      <c r="B4853" s="81"/>
      <c r="C4853" s="82"/>
    </row>
    <row r="4854" spans="1:3" x14ac:dyDescent="0.3">
      <c r="A4854" s="80"/>
      <c r="B4854" s="81"/>
      <c r="C4854" s="82"/>
    </row>
    <row r="4855" spans="1:3" x14ac:dyDescent="0.3">
      <c r="A4855" s="80"/>
      <c r="B4855" s="81"/>
      <c r="C4855" s="82"/>
    </row>
    <row r="4856" spans="1:3" x14ac:dyDescent="0.3">
      <c r="A4856" s="80"/>
      <c r="B4856" s="81"/>
      <c r="C4856" s="82"/>
    </row>
    <row r="4857" spans="1:3" x14ac:dyDescent="0.3">
      <c r="A4857" s="80"/>
      <c r="B4857" s="81"/>
      <c r="C4857" s="82"/>
    </row>
    <row r="4858" spans="1:3" x14ac:dyDescent="0.3">
      <c r="A4858" s="80"/>
      <c r="B4858" s="81"/>
      <c r="C4858" s="82"/>
    </row>
    <row r="4859" spans="1:3" x14ac:dyDescent="0.3">
      <c r="A4859" s="80"/>
      <c r="B4859" s="81"/>
      <c r="C4859" s="82"/>
    </row>
    <row r="4860" spans="1:3" x14ac:dyDescent="0.3">
      <c r="A4860" s="80"/>
      <c r="B4860" s="81"/>
      <c r="C4860" s="82"/>
    </row>
    <row r="4861" spans="1:3" x14ac:dyDescent="0.3">
      <c r="A4861" s="80"/>
      <c r="B4861" s="81"/>
      <c r="C4861" s="82"/>
    </row>
    <row r="4862" spans="1:3" x14ac:dyDescent="0.3">
      <c r="A4862" s="80"/>
      <c r="B4862" s="81"/>
      <c r="C4862" s="82"/>
    </row>
    <row r="4863" spans="1:3" x14ac:dyDescent="0.3">
      <c r="A4863" s="80"/>
      <c r="B4863" s="81"/>
      <c r="C4863" s="82"/>
    </row>
    <row r="4864" spans="1:3" x14ac:dyDescent="0.3">
      <c r="A4864" s="80"/>
      <c r="B4864" s="81"/>
      <c r="C4864" s="82"/>
    </row>
    <row r="4865" spans="1:3" x14ac:dyDescent="0.3">
      <c r="A4865" s="80"/>
      <c r="B4865" s="81"/>
      <c r="C4865" s="82"/>
    </row>
    <row r="4866" spans="1:3" x14ac:dyDescent="0.3">
      <c r="A4866" s="80"/>
      <c r="B4866" s="81"/>
      <c r="C4866" s="82"/>
    </row>
    <row r="4867" spans="1:3" x14ac:dyDescent="0.3">
      <c r="A4867" s="80"/>
      <c r="B4867" s="81"/>
      <c r="C4867" s="82"/>
    </row>
    <row r="4868" spans="1:3" x14ac:dyDescent="0.3">
      <c r="A4868" s="80"/>
      <c r="B4868" s="81"/>
      <c r="C4868" s="82"/>
    </row>
    <row r="4869" spans="1:3" x14ac:dyDescent="0.3">
      <c r="A4869" s="80"/>
      <c r="B4869" s="81"/>
      <c r="C4869" s="82"/>
    </row>
    <row r="4870" spans="1:3" x14ac:dyDescent="0.3">
      <c r="A4870" s="80"/>
      <c r="B4870" s="81"/>
      <c r="C4870" s="82"/>
    </row>
    <row r="4871" spans="1:3" x14ac:dyDescent="0.3">
      <c r="A4871" s="80"/>
      <c r="B4871" s="81"/>
      <c r="C4871" s="82"/>
    </row>
    <row r="4872" spans="1:3" x14ac:dyDescent="0.3">
      <c r="A4872" s="80"/>
      <c r="B4872" s="81"/>
      <c r="C4872" s="82"/>
    </row>
    <row r="4873" spans="1:3" x14ac:dyDescent="0.3">
      <c r="A4873" s="80"/>
      <c r="B4873" s="81"/>
      <c r="C4873" s="82"/>
    </row>
    <row r="4874" spans="1:3" x14ac:dyDescent="0.3">
      <c r="A4874" s="80"/>
      <c r="B4874" s="81"/>
      <c r="C4874" s="82"/>
    </row>
    <row r="4875" spans="1:3" x14ac:dyDescent="0.3">
      <c r="A4875" s="80"/>
      <c r="B4875" s="81"/>
      <c r="C4875" s="82"/>
    </row>
    <row r="4876" spans="1:3" x14ac:dyDescent="0.3">
      <c r="A4876" s="80"/>
      <c r="B4876" s="81"/>
      <c r="C4876" s="82"/>
    </row>
    <row r="4877" spans="1:3" x14ac:dyDescent="0.3">
      <c r="A4877" s="80"/>
      <c r="B4877" s="81"/>
      <c r="C4877" s="82"/>
    </row>
    <row r="4878" spans="1:3" x14ac:dyDescent="0.3">
      <c r="A4878" s="80"/>
      <c r="B4878" s="81"/>
      <c r="C4878" s="82"/>
    </row>
    <row r="4879" spans="1:3" x14ac:dyDescent="0.3">
      <c r="A4879" s="80"/>
      <c r="B4879" s="81"/>
      <c r="C4879" s="82"/>
    </row>
    <row r="4880" spans="1:3" x14ac:dyDescent="0.3">
      <c r="A4880" s="80"/>
      <c r="B4880" s="81"/>
      <c r="C4880" s="82"/>
    </row>
    <row r="4881" spans="1:3" x14ac:dyDescent="0.3">
      <c r="A4881" s="80"/>
      <c r="B4881" s="81"/>
      <c r="C4881" s="82"/>
    </row>
    <row r="4882" spans="1:3" x14ac:dyDescent="0.3">
      <c r="A4882" s="80"/>
      <c r="B4882" s="81"/>
      <c r="C4882" s="82"/>
    </row>
    <row r="4883" spans="1:3" x14ac:dyDescent="0.3">
      <c r="A4883" s="80"/>
      <c r="B4883" s="81"/>
      <c r="C4883" s="82"/>
    </row>
    <row r="4884" spans="1:3" x14ac:dyDescent="0.3">
      <c r="A4884" s="80"/>
      <c r="B4884" s="81"/>
      <c r="C4884" s="82"/>
    </row>
    <row r="4885" spans="1:3" x14ac:dyDescent="0.3">
      <c r="A4885" s="80"/>
      <c r="B4885" s="81"/>
      <c r="C4885" s="82"/>
    </row>
    <row r="4886" spans="1:3" x14ac:dyDescent="0.3">
      <c r="A4886" s="80"/>
      <c r="B4886" s="81"/>
      <c r="C4886" s="82"/>
    </row>
    <row r="4887" spans="1:3" x14ac:dyDescent="0.3">
      <c r="A4887" s="80"/>
      <c r="B4887" s="81"/>
      <c r="C4887" s="82"/>
    </row>
    <row r="4888" spans="1:3" x14ac:dyDescent="0.3">
      <c r="A4888" s="80"/>
      <c r="B4888" s="81"/>
      <c r="C4888" s="82"/>
    </row>
    <row r="4889" spans="1:3" x14ac:dyDescent="0.3">
      <c r="A4889" s="80"/>
      <c r="B4889" s="81"/>
      <c r="C4889" s="82"/>
    </row>
    <row r="4890" spans="1:3" x14ac:dyDescent="0.3">
      <c r="A4890" s="80"/>
      <c r="B4890" s="81"/>
      <c r="C4890" s="82"/>
    </row>
    <row r="4891" spans="1:3" x14ac:dyDescent="0.3">
      <c r="A4891" s="80"/>
      <c r="B4891" s="81"/>
      <c r="C4891" s="82"/>
    </row>
    <row r="4892" spans="1:3" x14ac:dyDescent="0.3">
      <c r="A4892" s="80"/>
      <c r="B4892" s="81"/>
      <c r="C4892" s="82"/>
    </row>
    <row r="4893" spans="1:3" x14ac:dyDescent="0.3">
      <c r="A4893" s="80"/>
      <c r="B4893" s="81"/>
      <c r="C4893" s="82"/>
    </row>
    <row r="4894" spans="1:3" x14ac:dyDescent="0.3">
      <c r="A4894" s="80"/>
      <c r="B4894" s="81"/>
      <c r="C4894" s="82"/>
    </row>
    <row r="4895" spans="1:3" x14ac:dyDescent="0.3">
      <c r="A4895" s="80"/>
      <c r="B4895" s="81"/>
      <c r="C4895" s="82"/>
    </row>
    <row r="4896" spans="1:3" x14ac:dyDescent="0.3">
      <c r="A4896" s="80"/>
      <c r="B4896" s="81"/>
      <c r="C4896" s="82"/>
    </row>
    <row r="4897" spans="1:3" x14ac:dyDescent="0.3">
      <c r="A4897" s="80"/>
      <c r="B4897" s="81"/>
      <c r="C4897" s="82"/>
    </row>
    <row r="4898" spans="1:3" x14ac:dyDescent="0.3">
      <c r="A4898" s="80"/>
      <c r="B4898" s="81"/>
      <c r="C4898" s="82"/>
    </row>
    <row r="4899" spans="1:3" x14ac:dyDescent="0.3">
      <c r="A4899" s="80"/>
      <c r="B4899" s="81"/>
      <c r="C4899" s="82"/>
    </row>
    <row r="4900" spans="1:3" x14ac:dyDescent="0.3">
      <c r="A4900" s="80"/>
      <c r="B4900" s="81"/>
      <c r="C4900" s="82"/>
    </row>
    <row r="4901" spans="1:3" x14ac:dyDescent="0.3">
      <c r="A4901" s="80"/>
      <c r="B4901" s="81"/>
      <c r="C4901" s="82"/>
    </row>
    <row r="4902" spans="1:3" x14ac:dyDescent="0.3">
      <c r="A4902" s="80"/>
      <c r="B4902" s="81"/>
      <c r="C4902" s="82"/>
    </row>
    <row r="4903" spans="1:3" x14ac:dyDescent="0.3">
      <c r="A4903" s="80"/>
      <c r="B4903" s="81"/>
      <c r="C4903" s="82"/>
    </row>
    <row r="4904" spans="1:3" x14ac:dyDescent="0.3">
      <c r="A4904" s="80"/>
      <c r="B4904" s="81"/>
      <c r="C4904" s="82"/>
    </row>
    <row r="4905" spans="1:3" x14ac:dyDescent="0.3">
      <c r="A4905" s="80"/>
      <c r="B4905" s="81"/>
      <c r="C4905" s="82"/>
    </row>
    <row r="4906" spans="1:3" x14ac:dyDescent="0.3">
      <c r="A4906" s="80"/>
      <c r="B4906" s="81"/>
      <c r="C4906" s="82"/>
    </row>
    <row r="4907" spans="1:3" x14ac:dyDescent="0.3">
      <c r="A4907" s="80"/>
      <c r="B4907" s="81"/>
      <c r="C4907" s="82"/>
    </row>
    <row r="4908" spans="1:3" x14ac:dyDescent="0.3">
      <c r="A4908" s="80"/>
      <c r="B4908" s="81"/>
      <c r="C4908" s="82"/>
    </row>
    <row r="4909" spans="1:3" x14ac:dyDescent="0.3">
      <c r="A4909" s="80"/>
      <c r="B4909" s="81"/>
      <c r="C4909" s="82"/>
    </row>
    <row r="4910" spans="1:3" x14ac:dyDescent="0.3">
      <c r="A4910" s="80"/>
      <c r="B4910" s="81"/>
      <c r="C4910" s="82"/>
    </row>
    <row r="4911" spans="1:3" x14ac:dyDescent="0.3">
      <c r="A4911" s="80"/>
      <c r="B4911" s="81"/>
      <c r="C4911" s="82"/>
    </row>
    <row r="4912" spans="1:3" x14ac:dyDescent="0.3">
      <c r="A4912" s="80"/>
      <c r="B4912" s="81"/>
      <c r="C4912" s="82"/>
    </row>
    <row r="4913" spans="1:3" x14ac:dyDescent="0.3">
      <c r="A4913" s="80"/>
      <c r="B4913" s="81"/>
      <c r="C4913" s="82"/>
    </row>
    <row r="4914" spans="1:3" x14ac:dyDescent="0.3">
      <c r="A4914" s="80"/>
      <c r="B4914" s="81"/>
      <c r="C4914" s="82"/>
    </row>
    <row r="4915" spans="1:3" x14ac:dyDescent="0.3">
      <c r="A4915" s="80"/>
      <c r="B4915" s="81"/>
      <c r="C4915" s="82"/>
    </row>
    <row r="4916" spans="1:3" x14ac:dyDescent="0.3">
      <c r="A4916" s="80"/>
      <c r="B4916" s="81"/>
      <c r="C4916" s="82"/>
    </row>
    <row r="4917" spans="1:3" x14ac:dyDescent="0.3">
      <c r="A4917" s="80"/>
      <c r="B4917" s="81"/>
      <c r="C4917" s="82"/>
    </row>
    <row r="4918" spans="1:3" x14ac:dyDescent="0.3">
      <c r="A4918" s="80"/>
      <c r="B4918" s="81"/>
      <c r="C4918" s="82"/>
    </row>
    <row r="4919" spans="1:3" x14ac:dyDescent="0.3">
      <c r="A4919" s="80"/>
      <c r="B4919" s="81"/>
      <c r="C4919" s="82"/>
    </row>
    <row r="4920" spans="1:3" x14ac:dyDescent="0.3">
      <c r="A4920" s="80"/>
      <c r="B4920" s="81"/>
      <c r="C4920" s="82"/>
    </row>
    <row r="4921" spans="1:3" x14ac:dyDescent="0.3">
      <c r="A4921" s="80"/>
      <c r="B4921" s="81"/>
      <c r="C4921" s="82"/>
    </row>
    <row r="4922" spans="1:3" x14ac:dyDescent="0.3">
      <c r="A4922" s="80"/>
      <c r="B4922" s="81"/>
      <c r="C4922" s="82"/>
    </row>
    <row r="4923" spans="1:3" x14ac:dyDescent="0.3">
      <c r="A4923" s="80"/>
      <c r="B4923" s="81"/>
      <c r="C4923" s="82"/>
    </row>
    <row r="4924" spans="1:3" x14ac:dyDescent="0.3">
      <c r="A4924" s="80"/>
      <c r="B4924" s="81"/>
      <c r="C4924" s="82"/>
    </row>
    <row r="4925" spans="1:3" x14ac:dyDescent="0.3">
      <c r="A4925" s="80"/>
      <c r="B4925" s="81"/>
      <c r="C4925" s="82"/>
    </row>
    <row r="4926" spans="1:3" x14ac:dyDescent="0.3">
      <c r="A4926" s="80"/>
      <c r="B4926" s="81"/>
      <c r="C4926" s="82"/>
    </row>
    <row r="4927" spans="1:3" x14ac:dyDescent="0.3">
      <c r="A4927" s="80"/>
      <c r="B4927" s="81"/>
      <c r="C4927" s="82"/>
    </row>
    <row r="4928" spans="1:3" x14ac:dyDescent="0.3">
      <c r="A4928" s="80"/>
      <c r="B4928" s="81"/>
      <c r="C4928" s="82"/>
    </row>
    <row r="4929" spans="1:3" x14ac:dyDescent="0.3">
      <c r="A4929" s="80"/>
      <c r="B4929" s="81"/>
      <c r="C4929" s="82"/>
    </row>
    <row r="4930" spans="1:3" x14ac:dyDescent="0.3">
      <c r="A4930" s="80"/>
      <c r="B4930" s="81"/>
      <c r="C4930" s="82"/>
    </row>
    <row r="4931" spans="1:3" x14ac:dyDescent="0.3">
      <c r="A4931" s="80"/>
      <c r="B4931" s="81"/>
      <c r="C4931" s="82"/>
    </row>
    <row r="4932" spans="1:3" x14ac:dyDescent="0.3">
      <c r="A4932" s="80"/>
      <c r="B4932" s="81"/>
      <c r="C4932" s="82"/>
    </row>
    <row r="4933" spans="1:3" x14ac:dyDescent="0.3">
      <c r="A4933" s="80"/>
      <c r="B4933" s="81"/>
      <c r="C4933" s="82"/>
    </row>
    <row r="4934" spans="1:3" x14ac:dyDescent="0.3">
      <c r="A4934" s="80"/>
      <c r="B4934" s="81"/>
      <c r="C4934" s="82"/>
    </row>
    <row r="4935" spans="1:3" x14ac:dyDescent="0.3">
      <c r="A4935" s="80"/>
      <c r="B4935" s="81"/>
      <c r="C4935" s="82"/>
    </row>
    <row r="4936" spans="1:3" x14ac:dyDescent="0.3">
      <c r="A4936" s="80"/>
      <c r="B4936" s="81"/>
      <c r="C4936" s="82"/>
    </row>
    <row r="4937" spans="1:3" x14ac:dyDescent="0.3">
      <c r="A4937" s="80"/>
      <c r="B4937" s="81"/>
      <c r="C4937" s="82"/>
    </row>
    <row r="4938" spans="1:3" x14ac:dyDescent="0.3">
      <c r="A4938" s="80"/>
      <c r="B4938" s="81"/>
      <c r="C4938" s="82"/>
    </row>
    <row r="4939" spans="1:3" x14ac:dyDescent="0.3">
      <c r="A4939" s="80"/>
      <c r="B4939" s="81"/>
      <c r="C4939" s="82"/>
    </row>
    <row r="4940" spans="1:3" x14ac:dyDescent="0.3">
      <c r="A4940" s="80"/>
      <c r="B4940" s="81"/>
      <c r="C4940" s="82"/>
    </row>
    <row r="4941" spans="1:3" x14ac:dyDescent="0.3">
      <c r="A4941" s="80"/>
      <c r="B4941" s="81"/>
      <c r="C4941" s="82"/>
    </row>
    <row r="4942" spans="1:3" x14ac:dyDescent="0.3">
      <c r="A4942" s="80"/>
      <c r="B4942" s="81"/>
      <c r="C4942" s="82"/>
    </row>
    <row r="4943" spans="1:3" x14ac:dyDescent="0.3">
      <c r="A4943" s="80"/>
      <c r="B4943" s="81"/>
      <c r="C4943" s="82"/>
    </row>
    <row r="4944" spans="1:3" x14ac:dyDescent="0.3">
      <c r="A4944" s="80"/>
      <c r="B4944" s="81"/>
      <c r="C4944" s="82"/>
    </row>
    <row r="4945" spans="1:3" x14ac:dyDescent="0.3">
      <c r="A4945" s="80"/>
      <c r="B4945" s="81"/>
      <c r="C4945" s="82"/>
    </row>
    <row r="4946" spans="1:3" x14ac:dyDescent="0.3">
      <c r="A4946" s="80"/>
      <c r="B4946" s="81"/>
      <c r="C4946" s="82"/>
    </row>
    <row r="4947" spans="1:3" x14ac:dyDescent="0.3">
      <c r="A4947" s="80"/>
      <c r="B4947" s="81"/>
      <c r="C4947" s="82"/>
    </row>
    <row r="4948" spans="1:3" x14ac:dyDescent="0.3">
      <c r="A4948" s="80"/>
      <c r="B4948" s="81"/>
      <c r="C4948" s="82"/>
    </row>
    <row r="4949" spans="1:3" x14ac:dyDescent="0.3">
      <c r="A4949" s="80"/>
      <c r="B4949" s="81"/>
      <c r="C4949" s="82"/>
    </row>
    <row r="4950" spans="1:3" x14ac:dyDescent="0.3">
      <c r="A4950" s="80"/>
      <c r="B4950" s="81"/>
      <c r="C4950" s="82"/>
    </row>
    <row r="4951" spans="1:3" x14ac:dyDescent="0.3">
      <c r="A4951" s="80"/>
      <c r="B4951" s="81"/>
      <c r="C4951" s="82"/>
    </row>
    <row r="4952" spans="1:3" x14ac:dyDescent="0.3">
      <c r="A4952" s="80"/>
      <c r="B4952" s="81"/>
      <c r="C4952" s="82"/>
    </row>
    <row r="4953" spans="1:3" x14ac:dyDescent="0.3">
      <c r="A4953" s="80"/>
      <c r="B4953" s="81"/>
      <c r="C4953" s="82"/>
    </row>
    <row r="4954" spans="1:3" x14ac:dyDescent="0.3">
      <c r="A4954" s="80"/>
      <c r="B4954" s="81"/>
      <c r="C4954" s="82"/>
    </row>
    <row r="4955" spans="1:3" x14ac:dyDescent="0.3">
      <c r="A4955" s="80"/>
      <c r="B4955" s="81"/>
      <c r="C4955" s="82"/>
    </row>
    <row r="4956" spans="1:3" x14ac:dyDescent="0.3">
      <c r="A4956" s="80"/>
      <c r="B4956" s="81"/>
      <c r="C4956" s="82"/>
    </row>
    <row r="4957" spans="1:3" x14ac:dyDescent="0.3">
      <c r="A4957" s="80"/>
      <c r="B4957" s="81"/>
      <c r="C4957" s="82"/>
    </row>
    <row r="4958" spans="1:3" x14ac:dyDescent="0.3">
      <c r="A4958" s="80"/>
      <c r="B4958" s="81"/>
      <c r="C4958" s="82"/>
    </row>
    <row r="4959" spans="1:3" x14ac:dyDescent="0.3">
      <c r="A4959" s="80"/>
      <c r="B4959" s="81"/>
      <c r="C4959" s="82"/>
    </row>
    <row r="4960" spans="1:3" x14ac:dyDescent="0.3">
      <c r="A4960" s="80"/>
      <c r="B4960" s="81"/>
      <c r="C4960" s="82"/>
    </row>
    <row r="4961" spans="1:3" x14ac:dyDescent="0.3">
      <c r="A4961" s="80"/>
      <c r="B4961" s="81"/>
      <c r="C4961" s="82"/>
    </row>
    <row r="4962" spans="1:3" x14ac:dyDescent="0.3">
      <c r="A4962" s="80"/>
      <c r="B4962" s="81"/>
      <c r="C4962" s="82"/>
    </row>
    <row r="4963" spans="1:3" x14ac:dyDescent="0.3">
      <c r="A4963" s="80"/>
      <c r="B4963" s="81"/>
      <c r="C4963" s="82"/>
    </row>
    <row r="4964" spans="1:3" x14ac:dyDescent="0.3">
      <c r="A4964" s="80"/>
      <c r="B4964" s="81"/>
      <c r="C4964" s="82"/>
    </row>
    <row r="4965" spans="1:3" x14ac:dyDescent="0.3">
      <c r="A4965" s="80"/>
      <c r="B4965" s="81"/>
      <c r="C4965" s="82"/>
    </row>
    <row r="4966" spans="1:3" x14ac:dyDescent="0.3">
      <c r="A4966" s="80"/>
      <c r="B4966" s="81"/>
      <c r="C4966" s="82"/>
    </row>
    <row r="4967" spans="1:3" x14ac:dyDescent="0.3">
      <c r="A4967" s="80"/>
      <c r="B4967" s="81"/>
      <c r="C4967" s="82"/>
    </row>
    <row r="4968" spans="1:3" x14ac:dyDescent="0.3">
      <c r="A4968" s="80"/>
      <c r="B4968" s="81"/>
      <c r="C4968" s="82"/>
    </row>
    <row r="4969" spans="1:3" x14ac:dyDescent="0.3">
      <c r="A4969" s="80"/>
      <c r="B4969" s="81"/>
      <c r="C4969" s="82"/>
    </row>
    <row r="4970" spans="1:3" x14ac:dyDescent="0.3">
      <c r="A4970" s="80"/>
      <c r="B4970" s="81"/>
      <c r="C4970" s="82"/>
    </row>
    <row r="4971" spans="1:3" x14ac:dyDescent="0.3">
      <c r="A4971" s="80"/>
      <c r="B4971" s="81"/>
      <c r="C4971" s="82"/>
    </row>
    <row r="4972" spans="1:3" x14ac:dyDescent="0.3">
      <c r="A4972" s="80"/>
      <c r="B4972" s="81"/>
      <c r="C4972" s="82"/>
    </row>
    <row r="4973" spans="1:3" x14ac:dyDescent="0.3">
      <c r="A4973" s="80"/>
      <c r="B4973" s="81"/>
      <c r="C4973" s="82"/>
    </row>
    <row r="4974" spans="1:3" x14ac:dyDescent="0.3">
      <c r="A4974" s="80"/>
      <c r="B4974" s="81"/>
      <c r="C4974" s="82"/>
    </row>
    <row r="4975" spans="1:3" x14ac:dyDescent="0.3">
      <c r="A4975" s="80"/>
      <c r="B4975" s="81"/>
      <c r="C4975" s="82"/>
    </row>
    <row r="4976" spans="1:3" x14ac:dyDescent="0.3">
      <c r="A4976" s="80"/>
      <c r="B4976" s="81"/>
      <c r="C4976" s="82"/>
    </row>
    <row r="4977" spans="1:3" x14ac:dyDescent="0.3">
      <c r="A4977" s="80"/>
      <c r="B4977" s="81"/>
      <c r="C4977" s="82"/>
    </row>
    <row r="4978" spans="1:3" x14ac:dyDescent="0.3">
      <c r="A4978" s="80"/>
      <c r="B4978" s="81"/>
      <c r="C4978" s="82"/>
    </row>
    <row r="4979" spans="1:3" x14ac:dyDescent="0.3">
      <c r="A4979" s="80"/>
      <c r="B4979" s="81"/>
      <c r="C4979" s="82"/>
    </row>
    <row r="4980" spans="1:3" x14ac:dyDescent="0.3">
      <c r="A4980" s="80"/>
      <c r="B4980" s="81"/>
      <c r="C4980" s="82"/>
    </row>
    <row r="4981" spans="1:3" x14ac:dyDescent="0.3">
      <c r="A4981" s="80"/>
      <c r="B4981" s="81"/>
      <c r="C4981" s="82"/>
    </row>
    <row r="4982" spans="1:3" x14ac:dyDescent="0.3">
      <c r="A4982" s="80"/>
      <c r="B4982" s="81"/>
      <c r="C4982" s="82"/>
    </row>
    <row r="4983" spans="1:3" x14ac:dyDescent="0.3">
      <c r="A4983" s="80"/>
      <c r="B4983" s="81"/>
      <c r="C4983" s="82"/>
    </row>
    <row r="4984" spans="1:3" x14ac:dyDescent="0.3">
      <c r="A4984" s="80"/>
      <c r="B4984" s="81"/>
      <c r="C4984" s="82"/>
    </row>
    <row r="4985" spans="1:3" x14ac:dyDescent="0.3">
      <c r="A4985" s="80"/>
      <c r="B4985" s="81"/>
      <c r="C4985" s="82"/>
    </row>
    <row r="4986" spans="1:3" x14ac:dyDescent="0.3">
      <c r="A4986" s="80"/>
      <c r="B4986" s="81"/>
      <c r="C4986" s="82"/>
    </row>
    <row r="4987" spans="1:3" x14ac:dyDescent="0.3">
      <c r="A4987" s="80"/>
      <c r="B4987" s="81"/>
      <c r="C4987" s="82"/>
    </row>
    <row r="4988" spans="1:3" x14ac:dyDescent="0.3">
      <c r="A4988" s="80"/>
      <c r="B4988" s="81"/>
      <c r="C4988" s="82"/>
    </row>
    <row r="4989" spans="1:3" x14ac:dyDescent="0.3">
      <c r="A4989" s="80"/>
      <c r="B4989" s="81"/>
      <c r="C4989" s="82"/>
    </row>
    <row r="4990" spans="1:3" x14ac:dyDescent="0.3">
      <c r="A4990" s="80"/>
      <c r="B4990" s="81"/>
      <c r="C4990" s="82"/>
    </row>
    <row r="4991" spans="1:3" x14ac:dyDescent="0.3">
      <c r="A4991" s="80"/>
      <c r="B4991" s="81"/>
      <c r="C4991" s="82"/>
    </row>
    <row r="4992" spans="1:3" x14ac:dyDescent="0.3">
      <c r="A4992" s="80"/>
      <c r="B4992" s="81"/>
      <c r="C4992" s="82"/>
    </row>
    <row r="4993" spans="1:3" x14ac:dyDescent="0.3">
      <c r="A4993" s="80"/>
      <c r="B4993" s="81"/>
      <c r="C4993" s="82"/>
    </row>
    <row r="4994" spans="1:3" x14ac:dyDescent="0.3">
      <c r="A4994" s="80"/>
      <c r="B4994" s="81"/>
      <c r="C4994" s="82"/>
    </row>
    <row r="4995" spans="1:3" x14ac:dyDescent="0.3">
      <c r="A4995" s="80"/>
      <c r="B4995" s="81"/>
      <c r="C4995" s="82"/>
    </row>
    <row r="4996" spans="1:3" x14ac:dyDescent="0.3">
      <c r="A4996" s="80"/>
      <c r="B4996" s="81"/>
      <c r="C4996" s="82"/>
    </row>
    <row r="4997" spans="1:3" x14ac:dyDescent="0.3">
      <c r="A4997" s="80"/>
      <c r="B4997" s="81"/>
      <c r="C4997" s="82"/>
    </row>
    <row r="4998" spans="1:3" x14ac:dyDescent="0.3">
      <c r="A4998" s="80"/>
      <c r="B4998" s="81"/>
      <c r="C4998" s="82"/>
    </row>
    <row r="4999" spans="1:3" x14ac:dyDescent="0.3">
      <c r="A4999" s="80"/>
      <c r="B4999" s="81"/>
      <c r="C4999" s="82"/>
    </row>
    <row r="5000" spans="1:3" x14ac:dyDescent="0.3">
      <c r="A5000" s="80"/>
      <c r="B5000" s="81"/>
      <c r="C5000" s="82"/>
    </row>
    <row r="5001" spans="1:3" x14ac:dyDescent="0.3">
      <c r="A5001" s="80"/>
      <c r="B5001" s="81"/>
      <c r="C5001" s="82"/>
    </row>
    <row r="5002" spans="1:3" x14ac:dyDescent="0.3">
      <c r="A5002" s="80"/>
      <c r="B5002" s="81"/>
      <c r="C5002" s="82"/>
    </row>
    <row r="5003" spans="1:3" x14ac:dyDescent="0.3">
      <c r="A5003" s="80"/>
      <c r="B5003" s="81"/>
      <c r="C5003" s="82"/>
    </row>
    <row r="5004" spans="1:3" x14ac:dyDescent="0.3">
      <c r="A5004" s="80"/>
      <c r="B5004" s="81"/>
      <c r="C5004" s="82"/>
    </row>
    <row r="5005" spans="1:3" x14ac:dyDescent="0.3">
      <c r="A5005" s="80"/>
      <c r="B5005" s="81"/>
      <c r="C5005" s="82"/>
    </row>
    <row r="5006" spans="1:3" x14ac:dyDescent="0.3">
      <c r="A5006" s="80"/>
      <c r="B5006" s="81"/>
      <c r="C5006" s="82"/>
    </row>
    <row r="5007" spans="1:3" x14ac:dyDescent="0.3">
      <c r="A5007" s="80"/>
      <c r="B5007" s="81"/>
      <c r="C5007" s="82"/>
    </row>
    <row r="5008" spans="1:3" x14ac:dyDescent="0.3">
      <c r="A5008" s="80"/>
      <c r="B5008" s="81"/>
      <c r="C5008" s="82"/>
    </row>
    <row r="5009" spans="1:3" x14ac:dyDescent="0.3">
      <c r="A5009" s="80"/>
      <c r="B5009" s="81"/>
      <c r="C5009" s="82"/>
    </row>
    <row r="5010" spans="1:3" x14ac:dyDescent="0.3">
      <c r="A5010" s="80"/>
      <c r="B5010" s="81"/>
      <c r="C5010" s="82"/>
    </row>
    <row r="5011" spans="1:3" x14ac:dyDescent="0.3">
      <c r="A5011" s="80"/>
      <c r="B5011" s="81"/>
      <c r="C5011" s="82"/>
    </row>
    <row r="5012" spans="1:3" x14ac:dyDescent="0.3">
      <c r="A5012" s="80"/>
      <c r="B5012" s="81"/>
      <c r="C5012" s="82"/>
    </row>
    <row r="5013" spans="1:3" x14ac:dyDescent="0.3">
      <c r="A5013" s="80"/>
      <c r="B5013" s="81"/>
      <c r="C5013" s="82"/>
    </row>
    <row r="5014" spans="1:3" x14ac:dyDescent="0.3">
      <c r="A5014" s="80"/>
      <c r="B5014" s="81"/>
      <c r="C5014" s="82"/>
    </row>
    <row r="5015" spans="1:3" x14ac:dyDescent="0.3">
      <c r="A5015" s="80"/>
      <c r="B5015" s="81"/>
      <c r="C5015" s="82"/>
    </row>
    <row r="5016" spans="1:3" x14ac:dyDescent="0.3">
      <c r="A5016" s="80"/>
      <c r="B5016" s="81"/>
      <c r="C5016" s="82"/>
    </row>
    <row r="5017" spans="1:3" x14ac:dyDescent="0.3">
      <c r="A5017" s="80"/>
      <c r="B5017" s="81"/>
      <c r="C5017" s="82"/>
    </row>
    <row r="5018" spans="1:3" x14ac:dyDescent="0.3">
      <c r="A5018" s="80"/>
      <c r="B5018" s="81"/>
      <c r="C5018" s="82"/>
    </row>
    <row r="5019" spans="1:3" x14ac:dyDescent="0.3">
      <c r="A5019" s="80"/>
      <c r="B5019" s="81"/>
      <c r="C5019" s="82"/>
    </row>
    <row r="5020" spans="1:3" x14ac:dyDescent="0.3">
      <c r="A5020" s="80"/>
      <c r="B5020" s="81"/>
      <c r="C5020" s="82"/>
    </row>
    <row r="5021" spans="1:3" x14ac:dyDescent="0.3">
      <c r="A5021" s="80"/>
      <c r="B5021" s="81"/>
      <c r="C5021" s="82"/>
    </row>
    <row r="5022" spans="1:3" x14ac:dyDescent="0.3">
      <c r="A5022" s="80"/>
      <c r="B5022" s="81"/>
      <c r="C5022" s="82"/>
    </row>
    <row r="5023" spans="1:3" x14ac:dyDescent="0.3">
      <c r="A5023" s="80"/>
      <c r="B5023" s="81"/>
      <c r="C5023" s="82"/>
    </row>
    <row r="5024" spans="1:3" x14ac:dyDescent="0.3">
      <c r="A5024" s="80"/>
      <c r="B5024" s="81"/>
      <c r="C5024" s="82"/>
    </row>
    <row r="5025" spans="1:3" x14ac:dyDescent="0.3">
      <c r="A5025" s="80"/>
      <c r="B5025" s="81"/>
      <c r="C5025" s="82"/>
    </row>
    <row r="5026" spans="1:3" x14ac:dyDescent="0.3">
      <c r="A5026" s="80"/>
      <c r="B5026" s="81"/>
      <c r="C5026" s="82"/>
    </row>
    <row r="5027" spans="1:3" x14ac:dyDescent="0.3">
      <c r="A5027" s="80"/>
      <c r="B5027" s="81"/>
      <c r="C5027" s="82"/>
    </row>
    <row r="5028" spans="1:3" x14ac:dyDescent="0.3">
      <c r="A5028" s="80"/>
      <c r="B5028" s="81"/>
      <c r="C5028" s="82"/>
    </row>
    <row r="5029" spans="1:3" x14ac:dyDescent="0.3">
      <c r="A5029" s="80"/>
      <c r="B5029" s="81"/>
      <c r="C5029" s="82"/>
    </row>
    <row r="5030" spans="1:3" x14ac:dyDescent="0.3">
      <c r="A5030" s="80"/>
      <c r="B5030" s="81"/>
      <c r="C5030" s="82"/>
    </row>
    <row r="5031" spans="1:3" x14ac:dyDescent="0.3">
      <c r="A5031" s="80"/>
      <c r="B5031" s="81"/>
      <c r="C5031" s="82"/>
    </row>
    <row r="5032" spans="1:3" x14ac:dyDescent="0.3">
      <c r="A5032" s="80"/>
      <c r="B5032" s="81"/>
      <c r="C5032" s="82"/>
    </row>
    <row r="5033" spans="1:3" x14ac:dyDescent="0.3">
      <c r="A5033" s="80"/>
      <c r="B5033" s="81"/>
      <c r="C5033" s="82"/>
    </row>
    <row r="5034" spans="1:3" x14ac:dyDescent="0.3">
      <c r="A5034" s="80"/>
      <c r="B5034" s="81"/>
      <c r="C5034" s="82"/>
    </row>
    <row r="5035" spans="1:3" x14ac:dyDescent="0.3">
      <c r="A5035" s="80"/>
      <c r="B5035" s="81"/>
      <c r="C5035" s="82"/>
    </row>
    <row r="5036" spans="1:3" x14ac:dyDescent="0.3">
      <c r="A5036" s="80"/>
      <c r="B5036" s="81"/>
      <c r="C5036" s="82"/>
    </row>
    <row r="5037" spans="1:3" x14ac:dyDescent="0.3">
      <c r="A5037" s="80"/>
      <c r="B5037" s="81"/>
      <c r="C5037" s="82"/>
    </row>
    <row r="5038" spans="1:3" x14ac:dyDescent="0.3">
      <c r="A5038" s="80"/>
      <c r="B5038" s="81"/>
      <c r="C5038" s="82"/>
    </row>
    <row r="5039" spans="1:3" x14ac:dyDescent="0.3">
      <c r="A5039" s="80"/>
      <c r="B5039" s="81"/>
      <c r="C5039" s="82"/>
    </row>
    <row r="5040" spans="1:3" x14ac:dyDescent="0.3">
      <c r="A5040" s="80"/>
      <c r="B5040" s="81"/>
      <c r="C5040" s="82"/>
    </row>
    <row r="5041" spans="1:3" x14ac:dyDescent="0.3">
      <c r="A5041" s="80"/>
      <c r="B5041" s="81"/>
      <c r="C5041" s="82"/>
    </row>
    <row r="5042" spans="1:3" x14ac:dyDescent="0.3">
      <c r="A5042" s="80"/>
      <c r="B5042" s="81"/>
      <c r="C5042" s="82"/>
    </row>
    <row r="5043" spans="1:3" x14ac:dyDescent="0.3">
      <c r="A5043" s="80"/>
      <c r="B5043" s="81"/>
      <c r="C5043" s="82"/>
    </row>
    <row r="5044" spans="1:3" x14ac:dyDescent="0.3">
      <c r="A5044" s="80"/>
      <c r="B5044" s="81"/>
      <c r="C5044" s="82"/>
    </row>
    <row r="5045" spans="1:3" x14ac:dyDescent="0.3">
      <c r="A5045" s="80"/>
      <c r="B5045" s="81"/>
      <c r="C5045" s="82"/>
    </row>
    <row r="5046" spans="1:3" x14ac:dyDescent="0.3">
      <c r="A5046" s="80"/>
      <c r="B5046" s="81"/>
      <c r="C5046" s="82"/>
    </row>
    <row r="5047" spans="1:3" x14ac:dyDescent="0.3">
      <c r="A5047" s="80"/>
      <c r="B5047" s="81"/>
      <c r="C5047" s="82"/>
    </row>
    <row r="5048" spans="1:3" x14ac:dyDescent="0.3">
      <c r="A5048" s="80"/>
      <c r="B5048" s="81"/>
      <c r="C5048" s="82"/>
    </row>
    <row r="5049" spans="1:3" x14ac:dyDescent="0.3">
      <c r="A5049" s="80"/>
      <c r="B5049" s="81"/>
      <c r="C5049" s="82"/>
    </row>
    <row r="5050" spans="1:3" x14ac:dyDescent="0.3">
      <c r="A5050" s="80"/>
      <c r="B5050" s="81"/>
      <c r="C5050" s="82"/>
    </row>
    <row r="5051" spans="1:3" x14ac:dyDescent="0.3">
      <c r="A5051" s="80"/>
      <c r="B5051" s="81"/>
      <c r="C5051" s="82"/>
    </row>
    <row r="5052" spans="1:3" x14ac:dyDescent="0.3">
      <c r="A5052" s="80"/>
      <c r="B5052" s="81"/>
      <c r="C5052" s="82"/>
    </row>
    <row r="5053" spans="1:3" x14ac:dyDescent="0.3">
      <c r="A5053" s="80"/>
      <c r="B5053" s="81"/>
      <c r="C5053" s="82"/>
    </row>
    <row r="5054" spans="1:3" x14ac:dyDescent="0.3">
      <c r="A5054" s="80"/>
      <c r="B5054" s="81"/>
      <c r="C5054" s="82"/>
    </row>
    <row r="5055" spans="1:3" x14ac:dyDescent="0.3">
      <c r="A5055" s="80"/>
      <c r="B5055" s="81"/>
      <c r="C5055" s="82"/>
    </row>
    <row r="5056" spans="1:3" x14ac:dyDescent="0.3">
      <c r="A5056" s="80"/>
      <c r="B5056" s="81"/>
      <c r="C5056" s="82"/>
    </row>
    <row r="5057" spans="1:3" x14ac:dyDescent="0.3">
      <c r="A5057" s="80"/>
      <c r="B5057" s="81"/>
      <c r="C5057" s="82"/>
    </row>
    <row r="5058" spans="1:3" x14ac:dyDescent="0.3">
      <c r="A5058" s="80"/>
      <c r="B5058" s="81"/>
      <c r="C5058" s="82"/>
    </row>
    <row r="5059" spans="1:3" x14ac:dyDescent="0.3">
      <c r="A5059" s="80"/>
      <c r="B5059" s="81"/>
      <c r="C5059" s="82"/>
    </row>
    <row r="5060" spans="1:3" x14ac:dyDescent="0.3">
      <c r="A5060" s="80"/>
      <c r="B5060" s="81"/>
      <c r="C5060" s="82"/>
    </row>
    <row r="5061" spans="1:3" x14ac:dyDescent="0.3">
      <c r="A5061" s="80"/>
      <c r="B5061" s="81"/>
      <c r="C5061" s="82"/>
    </row>
    <row r="5062" spans="1:3" x14ac:dyDescent="0.3">
      <c r="A5062" s="80"/>
      <c r="B5062" s="81"/>
      <c r="C5062" s="82"/>
    </row>
    <row r="5063" spans="1:3" x14ac:dyDescent="0.3">
      <c r="A5063" s="80"/>
      <c r="B5063" s="81"/>
      <c r="C5063" s="82"/>
    </row>
    <row r="5064" spans="1:3" x14ac:dyDescent="0.3">
      <c r="A5064" s="80"/>
      <c r="B5064" s="81"/>
      <c r="C5064" s="82"/>
    </row>
    <row r="5065" spans="1:3" x14ac:dyDescent="0.3">
      <c r="A5065" s="80"/>
      <c r="B5065" s="81"/>
      <c r="C5065" s="82"/>
    </row>
    <row r="5066" spans="1:3" x14ac:dyDescent="0.3">
      <c r="A5066" s="80"/>
      <c r="B5066" s="81"/>
      <c r="C5066" s="82"/>
    </row>
    <row r="5067" spans="1:3" x14ac:dyDescent="0.3">
      <c r="A5067" s="80"/>
      <c r="B5067" s="81"/>
      <c r="C5067" s="82"/>
    </row>
    <row r="5068" spans="1:3" x14ac:dyDescent="0.3">
      <c r="A5068" s="80"/>
      <c r="B5068" s="81"/>
      <c r="C5068" s="82"/>
    </row>
    <row r="5069" spans="1:3" x14ac:dyDescent="0.3">
      <c r="A5069" s="80"/>
      <c r="B5069" s="81"/>
      <c r="C5069" s="82"/>
    </row>
    <row r="5070" spans="1:3" x14ac:dyDescent="0.3">
      <c r="A5070" s="80"/>
      <c r="B5070" s="81"/>
      <c r="C5070" s="82"/>
    </row>
    <row r="5071" spans="1:3" x14ac:dyDescent="0.3">
      <c r="A5071" s="80"/>
      <c r="B5071" s="81"/>
      <c r="C5071" s="82"/>
    </row>
    <row r="5072" spans="1:3" x14ac:dyDescent="0.3">
      <c r="A5072" s="80"/>
      <c r="B5072" s="81"/>
      <c r="C5072" s="82"/>
    </row>
    <row r="5073" spans="1:3" x14ac:dyDescent="0.3">
      <c r="A5073" s="80"/>
      <c r="B5073" s="81"/>
      <c r="C5073" s="82"/>
    </row>
    <row r="5074" spans="1:3" x14ac:dyDescent="0.3">
      <c r="A5074" s="80"/>
      <c r="B5074" s="81"/>
      <c r="C5074" s="82"/>
    </row>
    <row r="5075" spans="1:3" x14ac:dyDescent="0.3">
      <c r="A5075" s="80"/>
      <c r="B5075" s="81"/>
      <c r="C5075" s="82"/>
    </row>
    <row r="5076" spans="1:3" x14ac:dyDescent="0.3">
      <c r="A5076" s="80"/>
      <c r="B5076" s="81"/>
      <c r="C5076" s="82"/>
    </row>
    <row r="5077" spans="1:3" x14ac:dyDescent="0.3">
      <c r="A5077" s="80"/>
      <c r="B5077" s="81"/>
      <c r="C5077" s="82"/>
    </row>
    <row r="5078" spans="1:3" x14ac:dyDescent="0.3">
      <c r="A5078" s="80"/>
      <c r="B5078" s="81"/>
      <c r="C5078" s="82"/>
    </row>
    <row r="5079" spans="1:3" x14ac:dyDescent="0.3">
      <c r="A5079" s="80"/>
      <c r="B5079" s="81"/>
      <c r="C5079" s="82"/>
    </row>
    <row r="5080" spans="1:3" x14ac:dyDescent="0.3">
      <c r="A5080" s="80"/>
      <c r="B5080" s="81"/>
      <c r="C5080" s="82"/>
    </row>
    <row r="5081" spans="1:3" x14ac:dyDescent="0.3">
      <c r="A5081" s="80"/>
      <c r="B5081" s="81"/>
      <c r="C5081" s="82"/>
    </row>
    <row r="5082" spans="1:3" x14ac:dyDescent="0.3">
      <c r="A5082" s="80"/>
      <c r="B5082" s="81"/>
      <c r="C5082" s="82"/>
    </row>
    <row r="5083" spans="1:3" x14ac:dyDescent="0.3">
      <c r="A5083" s="80"/>
      <c r="B5083" s="81"/>
      <c r="C5083" s="82"/>
    </row>
    <row r="5084" spans="1:3" x14ac:dyDescent="0.3">
      <c r="A5084" s="80"/>
      <c r="B5084" s="81"/>
      <c r="C5084" s="82"/>
    </row>
    <row r="5085" spans="1:3" x14ac:dyDescent="0.3">
      <c r="A5085" s="80"/>
      <c r="B5085" s="81"/>
      <c r="C5085" s="82"/>
    </row>
    <row r="5086" spans="1:3" x14ac:dyDescent="0.3">
      <c r="A5086" s="80"/>
      <c r="B5086" s="81"/>
      <c r="C5086" s="82"/>
    </row>
    <row r="5087" spans="1:3" x14ac:dyDescent="0.3">
      <c r="A5087" s="80"/>
      <c r="B5087" s="81"/>
      <c r="C5087" s="82"/>
    </row>
    <row r="5088" spans="1:3" x14ac:dyDescent="0.3">
      <c r="A5088" s="80"/>
      <c r="B5088" s="81"/>
      <c r="C5088" s="82"/>
    </row>
    <row r="5089" spans="1:3" x14ac:dyDescent="0.3">
      <c r="A5089" s="80"/>
      <c r="B5089" s="81"/>
      <c r="C5089" s="82"/>
    </row>
    <row r="5090" spans="1:3" x14ac:dyDescent="0.3">
      <c r="A5090" s="80"/>
      <c r="B5090" s="81"/>
      <c r="C5090" s="82"/>
    </row>
    <row r="5091" spans="1:3" x14ac:dyDescent="0.3">
      <c r="A5091" s="80"/>
      <c r="B5091" s="81"/>
      <c r="C5091" s="82"/>
    </row>
    <row r="5092" spans="1:3" x14ac:dyDescent="0.3">
      <c r="A5092" s="80"/>
      <c r="B5092" s="81"/>
      <c r="C5092" s="82"/>
    </row>
    <row r="5093" spans="1:3" x14ac:dyDescent="0.3">
      <c r="A5093" s="80"/>
      <c r="B5093" s="81"/>
      <c r="C5093" s="82"/>
    </row>
    <row r="5094" spans="1:3" x14ac:dyDescent="0.3">
      <c r="A5094" s="80"/>
      <c r="B5094" s="81"/>
      <c r="C5094" s="82"/>
    </row>
    <row r="5095" spans="1:3" x14ac:dyDescent="0.3">
      <c r="A5095" s="80"/>
      <c r="B5095" s="81"/>
      <c r="C5095" s="82"/>
    </row>
    <row r="5096" spans="1:3" x14ac:dyDescent="0.3">
      <c r="A5096" s="80"/>
      <c r="B5096" s="81"/>
      <c r="C5096" s="82"/>
    </row>
    <row r="5097" spans="1:3" x14ac:dyDescent="0.3">
      <c r="A5097" s="80"/>
      <c r="B5097" s="81"/>
      <c r="C5097" s="82"/>
    </row>
    <row r="5098" spans="1:3" x14ac:dyDescent="0.3">
      <c r="A5098" s="80"/>
      <c r="B5098" s="81"/>
      <c r="C5098" s="82"/>
    </row>
    <row r="5099" spans="1:3" x14ac:dyDescent="0.3">
      <c r="A5099" s="80"/>
      <c r="B5099" s="81"/>
      <c r="C5099" s="82"/>
    </row>
    <row r="5100" spans="1:3" x14ac:dyDescent="0.3">
      <c r="A5100" s="80"/>
      <c r="B5100" s="81"/>
      <c r="C5100" s="82"/>
    </row>
    <row r="5101" spans="1:3" x14ac:dyDescent="0.3">
      <c r="A5101" s="80"/>
      <c r="B5101" s="81"/>
      <c r="C5101" s="82"/>
    </row>
    <row r="5102" spans="1:3" x14ac:dyDescent="0.3">
      <c r="A5102" s="80"/>
      <c r="B5102" s="81"/>
      <c r="C5102" s="82"/>
    </row>
    <row r="5103" spans="1:3" x14ac:dyDescent="0.3">
      <c r="A5103" s="80"/>
      <c r="B5103" s="81"/>
      <c r="C5103" s="82"/>
    </row>
    <row r="5104" spans="1:3" x14ac:dyDescent="0.3">
      <c r="A5104" s="80"/>
      <c r="B5104" s="81"/>
      <c r="C5104" s="82"/>
    </row>
    <row r="5105" spans="1:3" x14ac:dyDescent="0.3">
      <c r="A5105" s="80"/>
      <c r="B5105" s="81"/>
      <c r="C5105" s="82"/>
    </row>
    <row r="5106" spans="1:3" x14ac:dyDescent="0.3">
      <c r="A5106" s="80"/>
      <c r="B5106" s="81"/>
      <c r="C5106" s="82"/>
    </row>
    <row r="5107" spans="1:3" x14ac:dyDescent="0.3">
      <c r="A5107" s="80"/>
      <c r="B5107" s="81"/>
      <c r="C5107" s="82"/>
    </row>
    <row r="5108" spans="1:3" x14ac:dyDescent="0.3">
      <c r="A5108" s="80"/>
      <c r="B5108" s="81"/>
      <c r="C5108" s="82"/>
    </row>
    <row r="5109" spans="1:3" x14ac:dyDescent="0.3">
      <c r="A5109" s="80"/>
      <c r="B5109" s="81"/>
      <c r="C5109" s="82"/>
    </row>
    <row r="5110" spans="1:3" x14ac:dyDescent="0.3">
      <c r="A5110" s="80"/>
      <c r="B5110" s="81"/>
      <c r="C5110" s="82"/>
    </row>
    <row r="5111" spans="1:3" x14ac:dyDescent="0.3">
      <c r="A5111" s="80"/>
      <c r="B5111" s="81"/>
      <c r="C5111" s="82"/>
    </row>
    <row r="5112" spans="1:3" x14ac:dyDescent="0.3">
      <c r="A5112" s="80"/>
      <c r="B5112" s="81"/>
      <c r="C5112" s="82"/>
    </row>
    <row r="5113" spans="1:3" x14ac:dyDescent="0.3">
      <c r="A5113" s="80"/>
      <c r="B5113" s="81"/>
      <c r="C5113" s="82"/>
    </row>
    <row r="5114" spans="1:3" x14ac:dyDescent="0.3">
      <c r="A5114" s="80"/>
      <c r="B5114" s="81"/>
      <c r="C5114" s="82"/>
    </row>
    <row r="5115" spans="1:3" x14ac:dyDescent="0.3">
      <c r="A5115" s="80"/>
      <c r="B5115" s="81"/>
      <c r="C5115" s="82"/>
    </row>
    <row r="5116" spans="1:3" x14ac:dyDescent="0.3">
      <c r="A5116" s="80"/>
      <c r="B5116" s="81"/>
      <c r="C5116" s="82"/>
    </row>
    <row r="5117" spans="1:3" x14ac:dyDescent="0.3">
      <c r="A5117" s="80"/>
      <c r="B5117" s="81"/>
      <c r="C5117" s="82"/>
    </row>
    <row r="5118" spans="1:3" x14ac:dyDescent="0.3">
      <c r="A5118" s="80"/>
      <c r="B5118" s="81"/>
      <c r="C5118" s="82"/>
    </row>
    <row r="5119" spans="1:3" x14ac:dyDescent="0.3">
      <c r="A5119" s="80"/>
      <c r="B5119" s="81"/>
      <c r="C5119" s="82"/>
    </row>
    <row r="5120" spans="1:3" x14ac:dyDescent="0.3">
      <c r="A5120" s="80"/>
      <c r="B5120" s="81"/>
      <c r="C5120" s="82"/>
    </row>
    <row r="5121" spans="1:3" x14ac:dyDescent="0.3">
      <c r="A5121" s="80"/>
      <c r="B5121" s="81"/>
      <c r="C5121" s="82"/>
    </row>
    <row r="5122" spans="1:3" x14ac:dyDescent="0.3">
      <c r="A5122" s="80"/>
      <c r="B5122" s="81"/>
      <c r="C5122" s="82"/>
    </row>
    <row r="5123" spans="1:3" x14ac:dyDescent="0.3">
      <c r="A5123" s="80"/>
      <c r="B5123" s="81"/>
      <c r="C5123" s="82"/>
    </row>
    <row r="5124" spans="1:3" x14ac:dyDescent="0.3">
      <c r="A5124" s="80"/>
      <c r="B5124" s="81"/>
      <c r="C5124" s="82"/>
    </row>
    <row r="5125" spans="1:3" x14ac:dyDescent="0.3">
      <c r="A5125" s="80"/>
      <c r="B5125" s="81"/>
      <c r="C5125" s="82"/>
    </row>
    <row r="5126" spans="1:3" x14ac:dyDescent="0.3">
      <c r="A5126" s="80"/>
      <c r="B5126" s="81"/>
      <c r="C5126" s="82"/>
    </row>
    <row r="5127" spans="1:3" x14ac:dyDescent="0.3">
      <c r="A5127" s="80"/>
      <c r="B5127" s="81"/>
      <c r="C5127" s="82"/>
    </row>
    <row r="5128" spans="1:3" x14ac:dyDescent="0.3">
      <c r="A5128" s="80"/>
      <c r="B5128" s="81"/>
      <c r="C5128" s="82"/>
    </row>
    <row r="5129" spans="1:3" x14ac:dyDescent="0.3">
      <c r="A5129" s="80"/>
      <c r="B5129" s="81"/>
      <c r="C5129" s="82"/>
    </row>
    <row r="5130" spans="1:3" x14ac:dyDescent="0.3">
      <c r="A5130" s="80"/>
      <c r="B5130" s="81"/>
      <c r="C5130" s="82"/>
    </row>
    <row r="5131" spans="1:3" x14ac:dyDescent="0.3">
      <c r="A5131" s="80"/>
      <c r="B5131" s="81"/>
      <c r="C5131" s="82"/>
    </row>
    <row r="5132" spans="1:3" x14ac:dyDescent="0.3">
      <c r="A5132" s="80"/>
      <c r="B5132" s="81"/>
      <c r="C5132" s="82"/>
    </row>
    <row r="5133" spans="1:3" x14ac:dyDescent="0.3">
      <c r="A5133" s="80"/>
      <c r="B5133" s="81"/>
      <c r="C5133" s="82"/>
    </row>
    <row r="5134" spans="1:3" x14ac:dyDescent="0.3">
      <c r="A5134" s="80"/>
      <c r="B5134" s="81"/>
      <c r="C5134" s="82"/>
    </row>
    <row r="5135" spans="1:3" x14ac:dyDescent="0.3">
      <c r="A5135" s="80"/>
      <c r="B5135" s="81"/>
      <c r="C5135" s="82"/>
    </row>
    <row r="5136" spans="1:3" x14ac:dyDescent="0.3">
      <c r="A5136" s="80"/>
      <c r="B5136" s="81"/>
      <c r="C5136" s="82"/>
    </row>
    <row r="5137" spans="1:3" x14ac:dyDescent="0.3">
      <c r="A5137" s="80"/>
      <c r="B5137" s="81"/>
      <c r="C5137" s="82"/>
    </row>
    <row r="5138" spans="1:3" x14ac:dyDescent="0.3">
      <c r="A5138" s="80"/>
      <c r="B5138" s="81"/>
      <c r="C5138" s="82"/>
    </row>
    <row r="5139" spans="1:3" x14ac:dyDescent="0.3">
      <c r="A5139" s="80"/>
      <c r="B5139" s="81"/>
      <c r="C5139" s="82"/>
    </row>
    <row r="5140" spans="1:3" x14ac:dyDescent="0.3">
      <c r="A5140" s="80"/>
      <c r="B5140" s="81"/>
      <c r="C5140" s="82"/>
    </row>
    <row r="5141" spans="1:3" x14ac:dyDescent="0.3">
      <c r="A5141" s="80"/>
      <c r="B5141" s="81"/>
      <c r="C5141" s="82"/>
    </row>
    <row r="5142" spans="1:3" x14ac:dyDescent="0.3">
      <c r="A5142" s="80"/>
      <c r="B5142" s="81"/>
      <c r="C5142" s="82"/>
    </row>
    <row r="5143" spans="1:3" x14ac:dyDescent="0.3">
      <c r="A5143" s="80"/>
      <c r="B5143" s="81"/>
      <c r="C5143" s="82"/>
    </row>
    <row r="5144" spans="1:3" x14ac:dyDescent="0.3">
      <c r="A5144" s="80"/>
      <c r="B5144" s="81"/>
      <c r="C5144" s="82"/>
    </row>
    <row r="5145" spans="1:3" x14ac:dyDescent="0.3">
      <c r="A5145" s="80"/>
      <c r="B5145" s="81"/>
      <c r="C5145" s="82"/>
    </row>
    <row r="5146" spans="1:3" x14ac:dyDescent="0.3">
      <c r="A5146" s="80"/>
      <c r="B5146" s="81"/>
      <c r="C5146" s="82"/>
    </row>
    <row r="5147" spans="1:3" x14ac:dyDescent="0.3">
      <c r="A5147" s="80"/>
      <c r="B5147" s="81"/>
      <c r="C5147" s="82"/>
    </row>
    <row r="5148" spans="1:3" x14ac:dyDescent="0.3">
      <c r="A5148" s="80"/>
      <c r="B5148" s="81"/>
      <c r="C5148" s="82"/>
    </row>
    <row r="5149" spans="1:3" x14ac:dyDescent="0.3">
      <c r="A5149" s="80"/>
      <c r="B5149" s="81"/>
      <c r="C5149" s="82"/>
    </row>
    <row r="5150" spans="1:3" x14ac:dyDescent="0.3">
      <c r="A5150" s="80"/>
      <c r="B5150" s="81"/>
      <c r="C5150" s="82"/>
    </row>
    <row r="5151" spans="1:3" x14ac:dyDescent="0.3">
      <c r="A5151" s="80"/>
      <c r="B5151" s="81"/>
      <c r="C5151" s="82"/>
    </row>
    <row r="5152" spans="1:3" x14ac:dyDescent="0.3">
      <c r="A5152" s="80"/>
      <c r="B5152" s="81"/>
      <c r="C5152" s="82"/>
    </row>
    <row r="5153" spans="1:3" x14ac:dyDescent="0.3">
      <c r="A5153" s="80"/>
      <c r="B5153" s="81"/>
      <c r="C5153" s="82"/>
    </row>
    <row r="5154" spans="1:3" x14ac:dyDescent="0.3">
      <c r="A5154" s="80"/>
      <c r="B5154" s="81"/>
      <c r="C5154" s="82"/>
    </row>
    <row r="5155" spans="1:3" x14ac:dyDescent="0.3">
      <c r="A5155" s="80"/>
      <c r="B5155" s="81"/>
      <c r="C5155" s="82"/>
    </row>
    <row r="5156" spans="1:3" x14ac:dyDescent="0.3">
      <c r="A5156" s="80"/>
      <c r="B5156" s="81"/>
      <c r="C5156" s="82"/>
    </row>
    <row r="5157" spans="1:3" x14ac:dyDescent="0.3">
      <c r="A5157" s="80"/>
      <c r="B5157" s="81"/>
      <c r="C5157" s="82"/>
    </row>
    <row r="5158" spans="1:3" x14ac:dyDescent="0.3">
      <c r="A5158" s="80"/>
      <c r="B5158" s="81"/>
      <c r="C5158" s="82"/>
    </row>
    <row r="5159" spans="1:3" x14ac:dyDescent="0.3">
      <c r="A5159" s="80"/>
      <c r="B5159" s="81"/>
      <c r="C5159" s="82"/>
    </row>
    <row r="5160" spans="1:3" x14ac:dyDescent="0.3">
      <c r="A5160" s="80"/>
      <c r="B5160" s="81"/>
      <c r="C5160" s="82"/>
    </row>
    <row r="5161" spans="1:3" x14ac:dyDescent="0.3">
      <c r="A5161" s="80"/>
      <c r="B5161" s="81"/>
      <c r="C5161" s="82"/>
    </row>
    <row r="5162" spans="1:3" x14ac:dyDescent="0.3">
      <c r="A5162" s="80"/>
      <c r="B5162" s="81"/>
      <c r="C5162" s="82"/>
    </row>
    <row r="5163" spans="1:3" x14ac:dyDescent="0.3">
      <c r="A5163" s="80"/>
      <c r="B5163" s="81"/>
      <c r="C5163" s="82"/>
    </row>
    <row r="5164" spans="1:3" x14ac:dyDescent="0.3">
      <c r="A5164" s="80"/>
      <c r="B5164" s="81"/>
      <c r="C5164" s="82"/>
    </row>
    <row r="5165" spans="1:3" x14ac:dyDescent="0.3">
      <c r="A5165" s="80"/>
      <c r="B5165" s="81"/>
      <c r="C5165" s="82"/>
    </row>
    <row r="5166" spans="1:3" x14ac:dyDescent="0.3">
      <c r="A5166" s="80"/>
      <c r="B5166" s="81"/>
      <c r="C5166" s="82"/>
    </row>
    <row r="5167" spans="1:3" x14ac:dyDescent="0.3">
      <c r="A5167" s="80"/>
      <c r="B5167" s="81"/>
      <c r="C5167" s="82"/>
    </row>
    <row r="5168" spans="1:3" x14ac:dyDescent="0.3">
      <c r="A5168" s="80"/>
      <c r="B5168" s="81"/>
      <c r="C5168" s="82"/>
    </row>
    <row r="5169" spans="1:3" x14ac:dyDescent="0.3">
      <c r="A5169" s="80"/>
      <c r="B5169" s="81"/>
      <c r="C5169" s="82"/>
    </row>
    <row r="5170" spans="1:3" x14ac:dyDescent="0.3">
      <c r="A5170" s="80"/>
      <c r="B5170" s="81"/>
      <c r="C5170" s="82"/>
    </row>
    <row r="5171" spans="1:3" x14ac:dyDescent="0.3">
      <c r="A5171" s="80"/>
      <c r="B5171" s="81"/>
      <c r="C5171" s="82"/>
    </row>
    <row r="5172" spans="1:3" x14ac:dyDescent="0.3">
      <c r="A5172" s="80"/>
      <c r="B5172" s="81"/>
      <c r="C5172" s="82"/>
    </row>
    <row r="5173" spans="1:3" x14ac:dyDescent="0.3">
      <c r="A5173" s="80"/>
      <c r="B5173" s="81"/>
      <c r="C5173" s="82"/>
    </row>
    <row r="5174" spans="1:3" x14ac:dyDescent="0.3">
      <c r="A5174" s="80"/>
      <c r="B5174" s="81"/>
      <c r="C5174" s="82"/>
    </row>
    <row r="5175" spans="1:3" x14ac:dyDescent="0.3">
      <c r="A5175" s="80"/>
      <c r="B5175" s="81"/>
      <c r="C5175" s="82"/>
    </row>
    <row r="5176" spans="1:3" x14ac:dyDescent="0.3">
      <c r="A5176" s="80"/>
      <c r="B5176" s="81"/>
      <c r="C5176" s="82"/>
    </row>
    <row r="5177" spans="1:3" x14ac:dyDescent="0.3">
      <c r="A5177" s="80"/>
      <c r="B5177" s="81"/>
      <c r="C5177" s="82"/>
    </row>
    <row r="5178" spans="1:3" x14ac:dyDescent="0.3">
      <c r="A5178" s="80"/>
      <c r="B5178" s="81"/>
      <c r="C5178" s="82"/>
    </row>
    <row r="5179" spans="1:3" x14ac:dyDescent="0.3">
      <c r="A5179" s="80"/>
      <c r="B5179" s="81"/>
      <c r="C5179" s="82"/>
    </row>
    <row r="5180" spans="1:3" x14ac:dyDescent="0.3">
      <c r="A5180" s="80"/>
      <c r="B5180" s="81"/>
      <c r="C5180" s="82"/>
    </row>
    <row r="5181" spans="1:3" x14ac:dyDescent="0.3">
      <c r="A5181" s="80"/>
      <c r="B5181" s="81"/>
      <c r="C5181" s="82"/>
    </row>
    <row r="5182" spans="1:3" x14ac:dyDescent="0.3">
      <c r="A5182" s="80"/>
      <c r="B5182" s="81"/>
      <c r="C5182" s="82"/>
    </row>
    <row r="5183" spans="1:3" x14ac:dyDescent="0.3">
      <c r="A5183" s="80"/>
      <c r="B5183" s="81"/>
      <c r="C5183" s="82"/>
    </row>
    <row r="5184" spans="1:3" x14ac:dyDescent="0.3">
      <c r="A5184" s="80"/>
      <c r="B5184" s="81"/>
      <c r="C5184" s="82"/>
    </row>
    <row r="5185" spans="1:3" x14ac:dyDescent="0.3">
      <c r="A5185" s="80"/>
      <c r="B5185" s="81"/>
      <c r="C5185" s="82"/>
    </row>
    <row r="5186" spans="1:3" x14ac:dyDescent="0.3">
      <c r="A5186" s="80"/>
      <c r="B5186" s="81"/>
      <c r="C5186" s="82"/>
    </row>
    <row r="5187" spans="1:3" x14ac:dyDescent="0.3">
      <c r="A5187" s="80"/>
      <c r="B5187" s="81"/>
      <c r="C5187" s="82"/>
    </row>
    <row r="5188" spans="1:3" x14ac:dyDescent="0.3">
      <c r="A5188" s="80"/>
      <c r="B5188" s="81"/>
      <c r="C5188" s="82"/>
    </row>
    <row r="5189" spans="1:3" x14ac:dyDescent="0.3">
      <c r="A5189" s="80"/>
      <c r="B5189" s="81"/>
      <c r="C5189" s="82"/>
    </row>
    <row r="5190" spans="1:3" x14ac:dyDescent="0.3">
      <c r="A5190" s="80"/>
      <c r="B5190" s="81"/>
      <c r="C5190" s="82"/>
    </row>
    <row r="5191" spans="1:3" x14ac:dyDescent="0.3">
      <c r="A5191" s="80"/>
      <c r="B5191" s="81"/>
      <c r="C5191" s="82"/>
    </row>
    <row r="5192" spans="1:3" x14ac:dyDescent="0.3">
      <c r="A5192" s="80"/>
      <c r="B5192" s="81"/>
      <c r="C5192" s="82"/>
    </row>
    <row r="5193" spans="1:3" x14ac:dyDescent="0.3">
      <c r="A5193" s="80"/>
      <c r="B5193" s="81"/>
      <c r="C5193" s="82"/>
    </row>
    <row r="5194" spans="1:3" x14ac:dyDescent="0.3">
      <c r="A5194" s="80"/>
      <c r="B5194" s="81"/>
      <c r="C5194" s="82"/>
    </row>
    <row r="5195" spans="1:3" x14ac:dyDescent="0.3">
      <c r="A5195" s="80"/>
      <c r="B5195" s="81"/>
      <c r="C5195" s="82"/>
    </row>
    <row r="5196" spans="1:3" x14ac:dyDescent="0.3">
      <c r="A5196" s="80"/>
      <c r="B5196" s="81"/>
      <c r="C5196" s="82"/>
    </row>
    <row r="5197" spans="1:3" x14ac:dyDescent="0.3">
      <c r="A5197" s="80"/>
      <c r="B5197" s="81"/>
      <c r="C5197" s="82"/>
    </row>
    <row r="5198" spans="1:3" x14ac:dyDescent="0.3">
      <c r="A5198" s="80"/>
      <c r="B5198" s="81"/>
      <c r="C5198" s="82"/>
    </row>
    <row r="5199" spans="1:3" x14ac:dyDescent="0.3">
      <c r="A5199" s="80"/>
      <c r="B5199" s="81"/>
      <c r="C5199" s="82"/>
    </row>
    <row r="5200" spans="1:3" x14ac:dyDescent="0.3">
      <c r="A5200" s="80"/>
      <c r="B5200" s="81"/>
      <c r="C5200" s="82"/>
    </row>
    <row r="5201" spans="1:3" x14ac:dyDescent="0.3">
      <c r="A5201" s="80"/>
      <c r="B5201" s="81"/>
      <c r="C5201" s="82"/>
    </row>
    <row r="5202" spans="1:3" x14ac:dyDescent="0.3">
      <c r="A5202" s="80"/>
      <c r="B5202" s="81"/>
      <c r="C5202" s="82"/>
    </row>
    <row r="5203" spans="1:3" x14ac:dyDescent="0.3">
      <c r="A5203" s="80"/>
      <c r="B5203" s="81"/>
      <c r="C5203" s="82"/>
    </row>
    <row r="5204" spans="1:3" x14ac:dyDescent="0.3">
      <c r="A5204" s="80"/>
      <c r="B5204" s="81"/>
      <c r="C5204" s="82"/>
    </row>
    <row r="5205" spans="1:3" x14ac:dyDescent="0.3">
      <c r="A5205" s="80"/>
      <c r="B5205" s="81"/>
      <c r="C5205" s="82"/>
    </row>
    <row r="5206" spans="1:3" x14ac:dyDescent="0.3">
      <c r="A5206" s="80"/>
      <c r="B5206" s="81"/>
      <c r="C5206" s="82"/>
    </row>
    <row r="5207" spans="1:3" x14ac:dyDescent="0.3">
      <c r="A5207" s="80"/>
      <c r="B5207" s="81"/>
      <c r="C5207" s="82"/>
    </row>
    <row r="5208" spans="1:3" x14ac:dyDescent="0.3">
      <c r="A5208" s="80"/>
      <c r="B5208" s="81"/>
      <c r="C5208" s="82"/>
    </row>
    <row r="5209" spans="1:3" x14ac:dyDescent="0.3">
      <c r="A5209" s="80"/>
      <c r="B5209" s="81"/>
      <c r="C5209" s="82"/>
    </row>
    <row r="5210" spans="1:3" x14ac:dyDescent="0.3">
      <c r="A5210" s="80"/>
      <c r="B5210" s="81"/>
      <c r="C5210" s="82"/>
    </row>
    <row r="5211" spans="1:3" x14ac:dyDescent="0.3">
      <c r="A5211" s="80"/>
      <c r="B5211" s="81"/>
      <c r="C5211" s="82"/>
    </row>
    <row r="5212" spans="1:3" x14ac:dyDescent="0.3">
      <c r="A5212" s="80"/>
      <c r="B5212" s="81"/>
      <c r="C5212" s="82"/>
    </row>
    <row r="5213" spans="1:3" x14ac:dyDescent="0.3">
      <c r="A5213" s="80"/>
      <c r="B5213" s="81"/>
      <c r="C5213" s="82"/>
    </row>
    <row r="5214" spans="1:3" x14ac:dyDescent="0.3">
      <c r="A5214" s="80"/>
      <c r="B5214" s="81"/>
      <c r="C5214" s="82"/>
    </row>
    <row r="5215" spans="1:3" x14ac:dyDescent="0.3">
      <c r="A5215" s="80"/>
      <c r="B5215" s="81"/>
      <c r="C5215" s="82"/>
    </row>
    <row r="5216" spans="1:3" x14ac:dyDescent="0.3">
      <c r="A5216" s="80"/>
      <c r="B5216" s="81"/>
      <c r="C5216" s="82"/>
    </row>
    <row r="5217" spans="1:3" x14ac:dyDescent="0.3">
      <c r="A5217" s="80"/>
      <c r="B5217" s="81"/>
      <c r="C5217" s="82"/>
    </row>
    <row r="5218" spans="1:3" x14ac:dyDescent="0.3">
      <c r="A5218" s="80"/>
      <c r="B5218" s="81"/>
      <c r="C5218" s="82"/>
    </row>
    <row r="5219" spans="1:3" x14ac:dyDescent="0.3">
      <c r="A5219" s="80"/>
      <c r="B5219" s="81"/>
      <c r="C5219" s="82"/>
    </row>
    <row r="5220" spans="1:3" x14ac:dyDescent="0.3">
      <c r="A5220" s="80"/>
      <c r="B5220" s="81"/>
      <c r="C5220" s="82"/>
    </row>
    <row r="5221" spans="1:3" x14ac:dyDescent="0.3">
      <c r="A5221" s="80"/>
      <c r="B5221" s="81"/>
      <c r="C5221" s="82"/>
    </row>
    <row r="5222" spans="1:3" x14ac:dyDescent="0.3">
      <c r="A5222" s="80"/>
      <c r="B5222" s="81"/>
      <c r="C5222" s="82"/>
    </row>
    <row r="5223" spans="1:3" x14ac:dyDescent="0.3">
      <c r="A5223" s="80"/>
      <c r="B5223" s="81"/>
      <c r="C5223" s="82"/>
    </row>
    <row r="5224" spans="1:3" x14ac:dyDescent="0.3">
      <c r="A5224" s="80"/>
      <c r="B5224" s="81"/>
      <c r="C5224" s="82"/>
    </row>
    <row r="5225" spans="1:3" x14ac:dyDescent="0.3">
      <c r="A5225" s="80"/>
      <c r="B5225" s="81"/>
      <c r="C5225" s="82"/>
    </row>
    <row r="5226" spans="1:3" x14ac:dyDescent="0.3">
      <c r="A5226" s="80"/>
      <c r="B5226" s="81"/>
      <c r="C5226" s="82"/>
    </row>
    <row r="5227" spans="1:3" x14ac:dyDescent="0.3">
      <c r="A5227" s="80"/>
      <c r="B5227" s="81"/>
      <c r="C5227" s="82"/>
    </row>
    <row r="5228" spans="1:3" x14ac:dyDescent="0.3">
      <c r="A5228" s="80"/>
      <c r="B5228" s="81"/>
      <c r="C5228" s="82"/>
    </row>
    <row r="5229" spans="1:3" x14ac:dyDescent="0.3">
      <c r="A5229" s="80"/>
      <c r="B5229" s="81"/>
      <c r="C5229" s="82"/>
    </row>
    <row r="5230" spans="1:3" x14ac:dyDescent="0.3">
      <c r="A5230" s="80"/>
      <c r="B5230" s="81"/>
      <c r="C5230" s="82"/>
    </row>
    <row r="5231" spans="1:3" x14ac:dyDescent="0.3">
      <c r="A5231" s="80"/>
      <c r="B5231" s="81"/>
      <c r="C5231" s="82"/>
    </row>
    <row r="5232" spans="1:3" x14ac:dyDescent="0.3">
      <c r="A5232" s="80"/>
      <c r="B5232" s="81"/>
      <c r="C5232" s="82"/>
    </row>
    <row r="5233" spans="1:3" x14ac:dyDescent="0.3">
      <c r="A5233" s="80"/>
      <c r="B5233" s="81"/>
      <c r="C5233" s="82"/>
    </row>
    <row r="5234" spans="1:3" x14ac:dyDescent="0.3">
      <c r="A5234" s="80"/>
      <c r="B5234" s="81"/>
      <c r="C5234" s="82"/>
    </row>
    <row r="5235" spans="1:3" x14ac:dyDescent="0.3">
      <c r="A5235" s="80"/>
      <c r="B5235" s="81"/>
      <c r="C5235" s="82"/>
    </row>
    <row r="5236" spans="1:3" x14ac:dyDescent="0.3">
      <c r="A5236" s="80"/>
      <c r="B5236" s="81"/>
      <c r="C5236" s="82"/>
    </row>
    <row r="5237" spans="1:3" x14ac:dyDescent="0.3">
      <c r="A5237" s="80"/>
      <c r="B5237" s="81"/>
      <c r="C5237" s="82"/>
    </row>
    <row r="5238" spans="1:3" x14ac:dyDescent="0.3">
      <c r="A5238" s="80"/>
      <c r="B5238" s="81"/>
      <c r="C5238" s="82"/>
    </row>
    <row r="5239" spans="1:3" x14ac:dyDescent="0.3">
      <c r="A5239" s="80"/>
      <c r="B5239" s="81"/>
      <c r="C5239" s="82"/>
    </row>
    <row r="5240" spans="1:3" x14ac:dyDescent="0.3">
      <c r="A5240" s="80"/>
      <c r="B5240" s="81"/>
      <c r="C5240" s="82"/>
    </row>
    <row r="5241" spans="1:3" x14ac:dyDescent="0.3">
      <c r="A5241" s="80"/>
      <c r="B5241" s="81"/>
      <c r="C5241" s="82"/>
    </row>
    <row r="5242" spans="1:3" x14ac:dyDescent="0.3">
      <c r="A5242" s="80"/>
      <c r="B5242" s="81"/>
      <c r="C5242" s="82"/>
    </row>
    <row r="5243" spans="1:3" x14ac:dyDescent="0.3">
      <c r="A5243" s="80"/>
      <c r="B5243" s="81"/>
      <c r="C5243" s="82"/>
    </row>
    <row r="5244" spans="1:3" x14ac:dyDescent="0.3">
      <c r="A5244" s="80"/>
      <c r="B5244" s="81"/>
      <c r="C5244" s="82"/>
    </row>
    <row r="5245" spans="1:3" x14ac:dyDescent="0.3">
      <c r="A5245" s="80"/>
      <c r="B5245" s="81"/>
      <c r="C5245" s="82"/>
    </row>
    <row r="5246" spans="1:3" x14ac:dyDescent="0.3">
      <c r="A5246" s="80"/>
      <c r="B5246" s="81"/>
      <c r="C5246" s="82"/>
    </row>
    <row r="5247" spans="1:3" x14ac:dyDescent="0.3">
      <c r="A5247" s="80"/>
      <c r="B5247" s="81"/>
      <c r="C5247" s="82"/>
    </row>
    <row r="5248" spans="1:3" x14ac:dyDescent="0.3">
      <c r="A5248" s="80"/>
      <c r="B5248" s="81"/>
      <c r="C5248" s="82"/>
    </row>
    <row r="5249" spans="1:3" x14ac:dyDescent="0.3">
      <c r="A5249" s="80"/>
      <c r="B5249" s="81"/>
      <c r="C5249" s="82"/>
    </row>
    <row r="5250" spans="1:3" x14ac:dyDescent="0.3">
      <c r="A5250" s="80"/>
      <c r="B5250" s="81"/>
      <c r="C5250" s="82"/>
    </row>
    <row r="5251" spans="1:3" x14ac:dyDescent="0.3">
      <c r="A5251" s="80"/>
      <c r="B5251" s="81"/>
      <c r="C5251" s="82"/>
    </row>
    <row r="5252" spans="1:3" x14ac:dyDescent="0.3">
      <c r="A5252" s="80"/>
      <c r="B5252" s="81"/>
      <c r="C5252" s="82"/>
    </row>
    <row r="5253" spans="1:3" x14ac:dyDescent="0.3">
      <c r="A5253" s="80"/>
      <c r="B5253" s="81"/>
      <c r="C5253" s="82"/>
    </row>
    <row r="5254" spans="1:3" x14ac:dyDescent="0.3">
      <c r="A5254" s="80"/>
      <c r="B5254" s="81"/>
      <c r="C5254" s="82"/>
    </row>
    <row r="5255" spans="1:3" x14ac:dyDescent="0.3">
      <c r="A5255" s="80"/>
      <c r="B5255" s="81"/>
      <c r="C5255" s="82"/>
    </row>
    <row r="5256" spans="1:3" x14ac:dyDescent="0.3">
      <c r="A5256" s="80"/>
      <c r="B5256" s="81"/>
      <c r="C5256" s="82"/>
    </row>
    <row r="5257" spans="1:3" x14ac:dyDescent="0.3">
      <c r="A5257" s="80"/>
      <c r="B5257" s="81"/>
      <c r="C5257" s="82"/>
    </row>
    <row r="5258" spans="1:3" x14ac:dyDescent="0.3">
      <c r="A5258" s="80"/>
      <c r="B5258" s="81"/>
      <c r="C5258" s="82"/>
    </row>
    <row r="5259" spans="1:3" x14ac:dyDescent="0.3">
      <c r="A5259" s="80"/>
      <c r="B5259" s="81"/>
      <c r="C5259" s="82"/>
    </row>
    <row r="5260" spans="1:3" x14ac:dyDescent="0.3">
      <c r="A5260" s="80"/>
      <c r="B5260" s="81"/>
      <c r="C5260" s="82"/>
    </row>
    <row r="5261" spans="1:3" x14ac:dyDescent="0.3">
      <c r="A5261" s="80"/>
      <c r="B5261" s="81"/>
      <c r="C5261" s="82"/>
    </row>
    <row r="5262" spans="1:3" x14ac:dyDescent="0.3">
      <c r="A5262" s="80"/>
      <c r="B5262" s="81"/>
      <c r="C5262" s="82"/>
    </row>
    <row r="5263" spans="1:3" x14ac:dyDescent="0.3">
      <c r="A5263" s="80"/>
      <c r="B5263" s="81"/>
      <c r="C5263" s="82"/>
    </row>
    <row r="5264" spans="1:3" x14ac:dyDescent="0.3">
      <c r="A5264" s="80"/>
      <c r="B5264" s="81"/>
      <c r="C5264" s="82"/>
    </row>
    <row r="5265" spans="1:3" x14ac:dyDescent="0.3">
      <c r="A5265" s="80"/>
      <c r="B5265" s="81"/>
      <c r="C5265" s="82"/>
    </row>
    <row r="5266" spans="1:3" x14ac:dyDescent="0.3">
      <c r="A5266" s="80"/>
      <c r="B5266" s="81"/>
      <c r="C5266" s="82"/>
    </row>
    <row r="5267" spans="1:3" x14ac:dyDescent="0.3">
      <c r="A5267" s="80"/>
      <c r="B5267" s="81"/>
      <c r="C5267" s="82"/>
    </row>
    <row r="5268" spans="1:3" x14ac:dyDescent="0.3">
      <c r="A5268" s="80"/>
      <c r="B5268" s="81"/>
      <c r="C5268" s="82"/>
    </row>
    <row r="5269" spans="1:3" x14ac:dyDescent="0.3">
      <c r="A5269" s="80"/>
      <c r="B5269" s="81"/>
      <c r="C5269" s="82"/>
    </row>
    <row r="5270" spans="1:3" x14ac:dyDescent="0.3">
      <c r="A5270" s="80"/>
      <c r="B5270" s="81"/>
      <c r="C5270" s="82"/>
    </row>
    <row r="5271" spans="1:3" x14ac:dyDescent="0.3">
      <c r="A5271" s="80"/>
      <c r="B5271" s="81"/>
      <c r="C5271" s="82"/>
    </row>
    <row r="5272" spans="1:3" x14ac:dyDescent="0.3">
      <c r="A5272" s="80"/>
      <c r="B5272" s="81"/>
      <c r="C5272" s="82"/>
    </row>
    <row r="5273" spans="1:3" x14ac:dyDescent="0.3">
      <c r="A5273" s="80"/>
      <c r="B5273" s="81"/>
      <c r="C5273" s="82"/>
    </row>
    <row r="5274" spans="1:3" x14ac:dyDescent="0.3">
      <c r="A5274" s="80"/>
      <c r="B5274" s="81"/>
      <c r="C5274" s="82"/>
    </row>
    <row r="5275" spans="1:3" x14ac:dyDescent="0.3">
      <c r="A5275" s="80"/>
      <c r="B5275" s="81"/>
      <c r="C5275" s="82"/>
    </row>
    <row r="5276" spans="1:3" x14ac:dyDescent="0.3">
      <c r="A5276" s="80"/>
      <c r="B5276" s="81"/>
      <c r="C5276" s="82"/>
    </row>
    <row r="5277" spans="1:3" x14ac:dyDescent="0.3">
      <c r="A5277" s="80"/>
      <c r="B5277" s="81"/>
      <c r="C5277" s="82"/>
    </row>
    <row r="5278" spans="1:3" x14ac:dyDescent="0.3">
      <c r="A5278" s="80"/>
      <c r="B5278" s="81"/>
      <c r="C5278" s="82"/>
    </row>
    <row r="5279" spans="1:3" x14ac:dyDescent="0.3">
      <c r="A5279" s="80"/>
      <c r="B5279" s="81"/>
      <c r="C5279" s="82"/>
    </row>
    <row r="5280" spans="1:3" x14ac:dyDescent="0.3">
      <c r="A5280" s="80"/>
      <c r="B5280" s="81"/>
      <c r="C5280" s="82"/>
    </row>
    <row r="5281" spans="1:3" x14ac:dyDescent="0.3">
      <c r="A5281" s="80"/>
      <c r="B5281" s="81"/>
      <c r="C5281" s="82"/>
    </row>
    <row r="5282" spans="1:3" x14ac:dyDescent="0.3">
      <c r="A5282" s="80"/>
      <c r="B5282" s="81"/>
      <c r="C5282" s="82"/>
    </row>
    <row r="5283" spans="1:3" x14ac:dyDescent="0.3">
      <c r="A5283" s="80"/>
      <c r="B5283" s="81"/>
      <c r="C5283" s="82"/>
    </row>
    <row r="5284" spans="1:3" x14ac:dyDescent="0.3">
      <c r="A5284" s="80"/>
      <c r="B5284" s="81"/>
      <c r="C5284" s="82"/>
    </row>
    <row r="5285" spans="1:3" x14ac:dyDescent="0.3">
      <c r="A5285" s="80"/>
      <c r="B5285" s="81"/>
      <c r="C5285" s="82"/>
    </row>
    <row r="5286" spans="1:3" x14ac:dyDescent="0.3">
      <c r="A5286" s="80"/>
      <c r="B5286" s="81"/>
      <c r="C5286" s="82"/>
    </row>
    <row r="5287" spans="1:3" x14ac:dyDescent="0.3">
      <c r="A5287" s="80"/>
      <c r="B5287" s="81"/>
      <c r="C5287" s="82"/>
    </row>
    <row r="5288" spans="1:3" x14ac:dyDescent="0.3">
      <c r="A5288" s="80"/>
      <c r="B5288" s="81"/>
      <c r="C5288" s="82"/>
    </row>
    <row r="5289" spans="1:3" x14ac:dyDescent="0.3">
      <c r="A5289" s="80"/>
      <c r="B5289" s="81"/>
      <c r="C5289" s="82"/>
    </row>
    <row r="5290" spans="1:3" x14ac:dyDescent="0.3">
      <c r="A5290" s="80"/>
      <c r="B5290" s="81"/>
      <c r="C5290" s="82"/>
    </row>
    <row r="5291" spans="1:3" x14ac:dyDescent="0.3">
      <c r="A5291" s="80"/>
      <c r="B5291" s="81"/>
      <c r="C5291" s="82"/>
    </row>
    <row r="5292" spans="1:3" x14ac:dyDescent="0.3">
      <c r="A5292" s="80"/>
      <c r="B5292" s="81"/>
      <c r="C5292" s="82"/>
    </row>
    <row r="5293" spans="1:3" x14ac:dyDescent="0.3">
      <c r="A5293" s="80"/>
      <c r="B5293" s="81"/>
      <c r="C5293" s="82"/>
    </row>
    <row r="5294" spans="1:3" x14ac:dyDescent="0.3">
      <c r="A5294" s="80"/>
      <c r="B5294" s="81"/>
      <c r="C5294" s="82"/>
    </row>
    <row r="5295" spans="1:3" x14ac:dyDescent="0.3">
      <c r="A5295" s="80"/>
      <c r="B5295" s="81"/>
      <c r="C5295" s="82"/>
    </row>
    <row r="5296" spans="1:3" x14ac:dyDescent="0.3">
      <c r="A5296" s="80"/>
      <c r="B5296" s="81"/>
      <c r="C5296" s="82"/>
    </row>
    <row r="5297" spans="1:3" x14ac:dyDescent="0.3">
      <c r="A5297" s="80"/>
      <c r="B5297" s="81"/>
      <c r="C5297" s="82"/>
    </row>
    <row r="5298" spans="1:3" x14ac:dyDescent="0.3">
      <c r="A5298" s="80"/>
      <c r="B5298" s="81"/>
      <c r="C5298" s="82"/>
    </row>
    <row r="5299" spans="1:3" x14ac:dyDescent="0.3">
      <c r="A5299" s="80"/>
      <c r="B5299" s="81"/>
      <c r="C5299" s="82"/>
    </row>
    <row r="5300" spans="1:3" x14ac:dyDescent="0.3">
      <c r="A5300" s="80"/>
      <c r="B5300" s="81"/>
      <c r="C5300" s="82"/>
    </row>
    <row r="5301" spans="1:3" x14ac:dyDescent="0.3">
      <c r="A5301" s="80"/>
      <c r="B5301" s="81"/>
      <c r="C5301" s="82"/>
    </row>
    <row r="5302" spans="1:3" x14ac:dyDescent="0.3">
      <c r="A5302" s="80"/>
      <c r="B5302" s="81"/>
      <c r="C5302" s="82"/>
    </row>
    <row r="5303" spans="1:3" x14ac:dyDescent="0.3">
      <c r="A5303" s="80"/>
      <c r="B5303" s="81"/>
      <c r="C5303" s="82"/>
    </row>
    <row r="5304" spans="1:3" x14ac:dyDescent="0.3">
      <c r="A5304" s="80"/>
      <c r="B5304" s="81"/>
      <c r="C5304" s="82"/>
    </row>
    <row r="5305" spans="1:3" x14ac:dyDescent="0.3">
      <c r="A5305" s="80"/>
      <c r="B5305" s="81"/>
      <c r="C5305" s="82"/>
    </row>
    <row r="5306" spans="1:3" x14ac:dyDescent="0.3">
      <c r="A5306" s="80"/>
      <c r="B5306" s="81"/>
      <c r="C5306" s="82"/>
    </row>
    <row r="5307" spans="1:3" x14ac:dyDescent="0.3">
      <c r="A5307" s="80"/>
      <c r="B5307" s="81"/>
      <c r="C5307" s="82"/>
    </row>
    <row r="5308" spans="1:3" x14ac:dyDescent="0.3">
      <c r="A5308" s="80"/>
      <c r="B5308" s="81"/>
      <c r="C5308" s="82"/>
    </row>
    <row r="5309" spans="1:3" x14ac:dyDescent="0.3">
      <c r="A5309" s="80"/>
      <c r="B5309" s="81"/>
      <c r="C5309" s="82"/>
    </row>
    <row r="5310" spans="1:3" x14ac:dyDescent="0.3">
      <c r="A5310" s="80"/>
      <c r="B5310" s="81"/>
      <c r="C5310" s="82"/>
    </row>
    <row r="5311" spans="1:3" x14ac:dyDescent="0.3">
      <c r="A5311" s="80"/>
      <c r="B5311" s="81"/>
      <c r="C5311" s="82"/>
    </row>
    <row r="5312" spans="1:3" x14ac:dyDescent="0.3">
      <c r="A5312" s="80"/>
      <c r="B5312" s="81"/>
      <c r="C5312" s="82"/>
    </row>
    <row r="5313" spans="1:3" x14ac:dyDescent="0.3">
      <c r="A5313" s="80"/>
      <c r="B5313" s="81"/>
      <c r="C5313" s="82"/>
    </row>
    <row r="5314" spans="1:3" x14ac:dyDescent="0.3">
      <c r="A5314" s="80"/>
      <c r="B5314" s="81"/>
      <c r="C5314" s="82"/>
    </row>
    <row r="5315" spans="1:3" x14ac:dyDescent="0.3">
      <c r="A5315" s="80"/>
      <c r="B5315" s="81"/>
      <c r="C5315" s="82"/>
    </row>
    <row r="5316" spans="1:3" x14ac:dyDescent="0.3">
      <c r="A5316" s="80"/>
      <c r="B5316" s="81"/>
      <c r="C5316" s="82"/>
    </row>
    <row r="5317" spans="1:3" x14ac:dyDescent="0.3">
      <c r="A5317" s="80"/>
      <c r="B5317" s="81"/>
      <c r="C5317" s="82"/>
    </row>
    <row r="5318" spans="1:3" x14ac:dyDescent="0.3">
      <c r="A5318" s="80"/>
      <c r="B5318" s="81"/>
      <c r="C5318" s="82"/>
    </row>
    <row r="5319" spans="1:3" x14ac:dyDescent="0.3">
      <c r="A5319" s="80"/>
      <c r="B5319" s="81"/>
      <c r="C5319" s="82"/>
    </row>
    <row r="5320" spans="1:3" x14ac:dyDescent="0.3">
      <c r="A5320" s="80"/>
      <c r="B5320" s="81"/>
      <c r="C5320" s="82"/>
    </row>
    <row r="5321" spans="1:3" x14ac:dyDescent="0.3">
      <c r="A5321" s="80"/>
      <c r="B5321" s="81"/>
      <c r="C5321" s="82"/>
    </row>
    <row r="5322" spans="1:3" x14ac:dyDescent="0.3">
      <c r="A5322" s="80"/>
      <c r="B5322" s="81"/>
      <c r="C5322" s="82"/>
    </row>
    <row r="5323" spans="1:3" x14ac:dyDescent="0.3">
      <c r="A5323" s="80"/>
      <c r="B5323" s="81"/>
      <c r="C5323" s="82"/>
    </row>
    <row r="5324" spans="1:3" x14ac:dyDescent="0.3">
      <c r="A5324" s="80"/>
      <c r="B5324" s="81"/>
      <c r="C5324" s="82"/>
    </row>
    <row r="5325" spans="1:3" x14ac:dyDescent="0.3">
      <c r="A5325" s="80"/>
      <c r="B5325" s="81"/>
      <c r="C5325" s="82"/>
    </row>
    <row r="5326" spans="1:3" x14ac:dyDescent="0.3">
      <c r="A5326" s="80"/>
      <c r="B5326" s="81"/>
      <c r="C5326" s="82"/>
    </row>
    <row r="5327" spans="1:3" x14ac:dyDescent="0.3">
      <c r="A5327" s="80"/>
      <c r="B5327" s="81"/>
      <c r="C5327" s="82"/>
    </row>
    <row r="5328" spans="1:3" x14ac:dyDescent="0.3">
      <c r="A5328" s="80"/>
      <c r="B5328" s="81"/>
      <c r="C5328" s="82"/>
    </row>
    <row r="5329" spans="1:3" x14ac:dyDescent="0.3">
      <c r="A5329" s="80"/>
      <c r="B5329" s="81"/>
      <c r="C5329" s="82"/>
    </row>
    <row r="5330" spans="1:3" x14ac:dyDescent="0.3">
      <c r="A5330" s="80"/>
      <c r="B5330" s="81"/>
      <c r="C5330" s="82"/>
    </row>
    <row r="5331" spans="1:3" x14ac:dyDescent="0.3">
      <c r="A5331" s="80"/>
      <c r="B5331" s="81"/>
      <c r="C5331" s="82"/>
    </row>
    <row r="5332" spans="1:3" x14ac:dyDescent="0.3">
      <c r="A5332" s="80"/>
      <c r="B5332" s="81"/>
      <c r="C5332" s="82"/>
    </row>
    <row r="5333" spans="1:3" x14ac:dyDescent="0.3">
      <c r="A5333" s="80"/>
      <c r="B5333" s="81"/>
      <c r="C5333" s="82"/>
    </row>
    <row r="5334" spans="1:3" x14ac:dyDescent="0.3">
      <c r="A5334" s="80"/>
      <c r="B5334" s="81"/>
      <c r="C5334" s="82"/>
    </row>
    <row r="5335" spans="1:3" x14ac:dyDescent="0.3">
      <c r="A5335" s="80"/>
      <c r="B5335" s="81"/>
      <c r="C5335" s="82"/>
    </row>
    <row r="5336" spans="1:3" x14ac:dyDescent="0.3">
      <c r="A5336" s="80"/>
      <c r="B5336" s="81"/>
      <c r="C5336" s="82"/>
    </row>
    <row r="5337" spans="1:3" x14ac:dyDescent="0.3">
      <c r="A5337" s="80"/>
      <c r="B5337" s="81"/>
      <c r="C5337" s="82"/>
    </row>
    <row r="5338" spans="1:3" x14ac:dyDescent="0.3">
      <c r="A5338" s="80"/>
      <c r="B5338" s="81"/>
      <c r="C5338" s="82"/>
    </row>
    <row r="5339" spans="1:3" x14ac:dyDescent="0.3">
      <c r="A5339" s="80"/>
      <c r="B5339" s="81"/>
      <c r="C5339" s="82"/>
    </row>
    <row r="5340" spans="1:3" x14ac:dyDescent="0.3">
      <c r="A5340" s="80"/>
      <c r="B5340" s="81"/>
      <c r="C5340" s="82"/>
    </row>
    <row r="5341" spans="1:3" x14ac:dyDescent="0.3">
      <c r="A5341" s="80"/>
      <c r="B5341" s="81"/>
      <c r="C5341" s="82"/>
    </row>
    <row r="5342" spans="1:3" x14ac:dyDescent="0.3">
      <c r="A5342" s="80"/>
      <c r="B5342" s="81"/>
      <c r="C5342" s="82"/>
    </row>
    <row r="5343" spans="1:3" x14ac:dyDescent="0.3">
      <c r="A5343" s="80"/>
      <c r="B5343" s="81"/>
      <c r="C5343" s="82"/>
    </row>
    <row r="5344" spans="1:3" x14ac:dyDescent="0.3">
      <c r="A5344" s="80"/>
      <c r="B5344" s="81"/>
      <c r="C5344" s="82"/>
    </row>
    <row r="5345" spans="1:3" x14ac:dyDescent="0.3">
      <c r="A5345" s="80"/>
      <c r="B5345" s="81"/>
      <c r="C5345" s="82"/>
    </row>
    <row r="5346" spans="1:3" x14ac:dyDescent="0.3">
      <c r="A5346" s="80"/>
      <c r="B5346" s="81"/>
      <c r="C5346" s="82"/>
    </row>
    <row r="5347" spans="1:3" x14ac:dyDescent="0.3">
      <c r="A5347" s="80"/>
      <c r="B5347" s="81"/>
      <c r="C5347" s="82"/>
    </row>
    <row r="5348" spans="1:3" x14ac:dyDescent="0.3">
      <c r="A5348" s="80"/>
      <c r="B5348" s="81"/>
      <c r="C5348" s="82"/>
    </row>
    <row r="5349" spans="1:3" x14ac:dyDescent="0.3">
      <c r="A5349" s="80"/>
      <c r="B5349" s="81"/>
      <c r="C5349" s="82"/>
    </row>
    <row r="5350" spans="1:3" x14ac:dyDescent="0.3">
      <c r="A5350" s="80"/>
      <c r="B5350" s="81"/>
      <c r="C5350" s="82"/>
    </row>
    <row r="5351" spans="1:3" x14ac:dyDescent="0.3">
      <c r="A5351" s="80"/>
      <c r="B5351" s="81"/>
      <c r="C5351" s="82"/>
    </row>
    <row r="5352" spans="1:3" x14ac:dyDescent="0.3">
      <c r="A5352" s="80"/>
      <c r="B5352" s="81"/>
      <c r="C5352" s="82"/>
    </row>
    <row r="5353" spans="1:3" x14ac:dyDescent="0.3">
      <c r="A5353" s="80"/>
      <c r="B5353" s="81"/>
      <c r="C5353" s="82"/>
    </row>
    <row r="5354" spans="1:3" x14ac:dyDescent="0.3">
      <c r="A5354" s="80"/>
      <c r="B5354" s="81"/>
      <c r="C5354" s="82"/>
    </row>
    <row r="5355" spans="1:3" x14ac:dyDescent="0.3">
      <c r="A5355" s="80"/>
      <c r="B5355" s="81"/>
      <c r="C5355" s="82"/>
    </row>
    <row r="5356" spans="1:3" x14ac:dyDescent="0.3">
      <c r="A5356" s="80"/>
      <c r="B5356" s="81"/>
      <c r="C5356" s="82"/>
    </row>
    <row r="5357" spans="1:3" x14ac:dyDescent="0.3">
      <c r="A5357" s="80"/>
      <c r="B5357" s="81"/>
      <c r="C5357" s="82"/>
    </row>
    <row r="5358" spans="1:3" x14ac:dyDescent="0.3">
      <c r="A5358" s="80"/>
      <c r="B5358" s="81"/>
      <c r="C5358" s="82"/>
    </row>
    <row r="5359" spans="1:3" x14ac:dyDescent="0.3">
      <c r="A5359" s="80"/>
      <c r="B5359" s="81"/>
      <c r="C5359" s="82"/>
    </row>
    <row r="5360" spans="1:3" x14ac:dyDescent="0.3">
      <c r="A5360" s="80"/>
      <c r="B5360" s="81"/>
      <c r="C5360" s="82"/>
    </row>
    <row r="5361" spans="1:3" x14ac:dyDescent="0.3">
      <c r="A5361" s="80"/>
      <c r="B5361" s="81"/>
      <c r="C5361" s="82"/>
    </row>
    <row r="5362" spans="1:3" x14ac:dyDescent="0.3">
      <c r="A5362" s="80"/>
      <c r="B5362" s="81"/>
      <c r="C5362" s="82"/>
    </row>
    <row r="5363" spans="1:3" x14ac:dyDescent="0.3">
      <c r="A5363" s="80"/>
      <c r="B5363" s="81"/>
      <c r="C5363" s="82"/>
    </row>
    <row r="5364" spans="1:3" x14ac:dyDescent="0.3">
      <c r="A5364" s="80"/>
      <c r="B5364" s="81"/>
      <c r="C5364" s="82"/>
    </row>
    <row r="5365" spans="1:3" x14ac:dyDescent="0.3">
      <c r="A5365" s="80"/>
      <c r="B5365" s="81"/>
      <c r="C5365" s="82"/>
    </row>
    <row r="5366" spans="1:3" x14ac:dyDescent="0.3">
      <c r="A5366" s="80"/>
      <c r="B5366" s="81"/>
      <c r="C5366" s="82"/>
    </row>
    <row r="5367" spans="1:3" x14ac:dyDescent="0.3">
      <c r="A5367" s="80"/>
      <c r="B5367" s="81"/>
      <c r="C5367" s="82"/>
    </row>
    <row r="5368" spans="1:3" x14ac:dyDescent="0.3">
      <c r="A5368" s="80"/>
      <c r="B5368" s="81"/>
      <c r="C5368" s="82"/>
    </row>
    <row r="5369" spans="1:3" x14ac:dyDescent="0.3">
      <c r="A5369" s="80"/>
      <c r="B5369" s="81"/>
      <c r="C5369" s="82"/>
    </row>
    <row r="5370" spans="1:3" x14ac:dyDescent="0.3">
      <c r="A5370" s="80"/>
      <c r="B5370" s="81"/>
      <c r="C5370" s="82"/>
    </row>
    <row r="5371" spans="1:3" x14ac:dyDescent="0.3">
      <c r="A5371" s="80"/>
      <c r="B5371" s="81"/>
      <c r="C5371" s="82"/>
    </row>
    <row r="5372" spans="1:3" x14ac:dyDescent="0.3">
      <c r="A5372" s="80"/>
      <c r="B5372" s="81"/>
      <c r="C5372" s="82"/>
    </row>
    <row r="5373" spans="1:3" x14ac:dyDescent="0.3">
      <c r="A5373" s="80"/>
      <c r="B5373" s="81"/>
      <c r="C5373" s="82"/>
    </row>
    <row r="5374" spans="1:3" x14ac:dyDescent="0.3">
      <c r="A5374" s="80"/>
      <c r="B5374" s="81"/>
      <c r="C5374" s="82"/>
    </row>
    <row r="5375" spans="1:3" x14ac:dyDescent="0.3">
      <c r="A5375" s="80"/>
      <c r="B5375" s="81"/>
      <c r="C5375" s="82"/>
    </row>
    <row r="5376" spans="1:3" x14ac:dyDescent="0.3">
      <c r="A5376" s="80"/>
      <c r="B5376" s="81"/>
      <c r="C5376" s="82"/>
    </row>
    <row r="5377" spans="1:3" x14ac:dyDescent="0.3">
      <c r="A5377" s="80"/>
      <c r="B5377" s="81"/>
      <c r="C5377" s="82"/>
    </row>
    <row r="5378" spans="1:3" x14ac:dyDescent="0.3">
      <c r="A5378" s="80"/>
      <c r="B5378" s="81"/>
      <c r="C5378" s="82"/>
    </row>
    <row r="5379" spans="1:3" x14ac:dyDescent="0.3">
      <c r="A5379" s="80"/>
      <c r="B5379" s="81"/>
      <c r="C5379" s="82"/>
    </row>
    <row r="5380" spans="1:3" x14ac:dyDescent="0.3">
      <c r="A5380" s="80"/>
      <c r="B5380" s="81"/>
      <c r="C5380" s="82"/>
    </row>
    <row r="5381" spans="1:3" x14ac:dyDescent="0.3">
      <c r="A5381" s="80"/>
      <c r="B5381" s="81"/>
      <c r="C5381" s="82"/>
    </row>
    <row r="5382" spans="1:3" x14ac:dyDescent="0.3">
      <c r="A5382" s="80"/>
      <c r="B5382" s="81"/>
      <c r="C5382" s="82"/>
    </row>
    <row r="5383" spans="1:3" x14ac:dyDescent="0.3">
      <c r="A5383" s="80"/>
      <c r="B5383" s="81"/>
      <c r="C5383" s="82"/>
    </row>
    <row r="5384" spans="1:3" x14ac:dyDescent="0.3">
      <c r="A5384" s="80"/>
      <c r="B5384" s="81"/>
      <c r="C5384" s="82"/>
    </row>
    <row r="5385" spans="1:3" x14ac:dyDescent="0.3">
      <c r="A5385" s="80"/>
      <c r="B5385" s="81"/>
      <c r="C5385" s="82"/>
    </row>
    <row r="5386" spans="1:3" x14ac:dyDescent="0.3">
      <c r="A5386" s="80"/>
      <c r="B5386" s="81"/>
      <c r="C5386" s="82"/>
    </row>
    <row r="5387" spans="1:3" x14ac:dyDescent="0.3">
      <c r="A5387" s="80"/>
      <c r="B5387" s="81"/>
      <c r="C5387" s="82"/>
    </row>
    <row r="5388" spans="1:3" x14ac:dyDescent="0.3">
      <c r="A5388" s="80"/>
      <c r="B5388" s="81"/>
      <c r="C5388" s="82"/>
    </row>
    <row r="5389" spans="1:3" x14ac:dyDescent="0.3">
      <c r="A5389" s="80"/>
      <c r="B5389" s="81"/>
      <c r="C5389" s="82"/>
    </row>
    <row r="5390" spans="1:3" x14ac:dyDescent="0.3">
      <c r="A5390" s="80"/>
      <c r="B5390" s="81"/>
      <c r="C5390" s="82"/>
    </row>
    <row r="5391" spans="1:3" x14ac:dyDescent="0.3">
      <c r="A5391" s="80"/>
      <c r="B5391" s="81"/>
      <c r="C5391" s="82"/>
    </row>
    <row r="5392" spans="1:3" x14ac:dyDescent="0.3">
      <c r="A5392" s="80"/>
      <c r="B5392" s="81"/>
      <c r="C5392" s="82"/>
    </row>
    <row r="5393" spans="1:3" x14ac:dyDescent="0.3">
      <c r="A5393" s="80"/>
      <c r="B5393" s="81"/>
      <c r="C5393" s="82"/>
    </row>
    <row r="5394" spans="1:3" x14ac:dyDescent="0.3">
      <c r="A5394" s="80"/>
      <c r="B5394" s="81"/>
      <c r="C5394" s="82"/>
    </row>
    <row r="5395" spans="1:3" x14ac:dyDescent="0.3">
      <c r="A5395" s="80"/>
      <c r="B5395" s="81"/>
      <c r="C5395" s="82"/>
    </row>
    <row r="5396" spans="1:3" x14ac:dyDescent="0.3">
      <c r="A5396" s="80"/>
      <c r="B5396" s="81"/>
      <c r="C5396" s="82"/>
    </row>
    <row r="5397" spans="1:3" x14ac:dyDescent="0.3">
      <c r="A5397" s="80"/>
      <c r="B5397" s="81"/>
      <c r="C5397" s="82"/>
    </row>
    <row r="5398" spans="1:3" x14ac:dyDescent="0.3">
      <c r="A5398" s="80"/>
      <c r="B5398" s="81"/>
      <c r="C5398" s="82"/>
    </row>
    <row r="5399" spans="1:3" x14ac:dyDescent="0.3">
      <c r="A5399" s="80"/>
      <c r="B5399" s="81"/>
      <c r="C5399" s="82"/>
    </row>
    <row r="5400" spans="1:3" x14ac:dyDescent="0.3">
      <c r="A5400" s="80"/>
      <c r="B5400" s="81"/>
      <c r="C5400" s="82"/>
    </row>
    <row r="5401" spans="1:3" x14ac:dyDescent="0.3">
      <c r="A5401" s="80"/>
      <c r="B5401" s="81"/>
      <c r="C5401" s="82"/>
    </row>
    <row r="5402" spans="1:3" x14ac:dyDescent="0.3">
      <c r="A5402" s="80"/>
      <c r="B5402" s="81"/>
      <c r="C5402" s="82"/>
    </row>
    <row r="5403" spans="1:3" x14ac:dyDescent="0.3">
      <c r="A5403" s="80"/>
      <c r="B5403" s="81"/>
      <c r="C5403" s="82"/>
    </row>
    <row r="5404" spans="1:3" x14ac:dyDescent="0.3">
      <c r="A5404" s="80"/>
      <c r="B5404" s="81"/>
      <c r="C5404" s="82"/>
    </row>
    <row r="5405" spans="1:3" x14ac:dyDescent="0.3">
      <c r="A5405" s="80"/>
      <c r="B5405" s="81"/>
      <c r="C5405" s="82"/>
    </row>
    <row r="5406" spans="1:3" x14ac:dyDescent="0.3">
      <c r="A5406" s="80"/>
      <c r="B5406" s="81"/>
      <c r="C5406" s="82"/>
    </row>
    <row r="5407" spans="1:3" x14ac:dyDescent="0.3">
      <c r="A5407" s="80"/>
      <c r="B5407" s="81"/>
      <c r="C5407" s="82"/>
    </row>
    <row r="5408" spans="1:3" x14ac:dyDescent="0.3">
      <c r="A5408" s="80"/>
      <c r="B5408" s="81"/>
      <c r="C5408" s="82"/>
    </row>
    <row r="5409" spans="1:3" x14ac:dyDescent="0.3">
      <c r="A5409" s="80"/>
      <c r="B5409" s="81"/>
      <c r="C5409" s="82"/>
    </row>
    <row r="5410" spans="1:3" x14ac:dyDescent="0.3">
      <c r="A5410" s="80"/>
      <c r="B5410" s="81"/>
      <c r="C5410" s="82"/>
    </row>
    <row r="5411" spans="1:3" x14ac:dyDescent="0.3">
      <c r="A5411" s="80"/>
      <c r="B5411" s="81"/>
      <c r="C5411" s="82"/>
    </row>
    <row r="5412" spans="1:3" x14ac:dyDescent="0.3">
      <c r="A5412" s="80"/>
      <c r="B5412" s="81"/>
      <c r="C5412" s="82"/>
    </row>
    <row r="5413" spans="1:3" x14ac:dyDescent="0.3">
      <c r="A5413" s="80"/>
      <c r="B5413" s="81"/>
      <c r="C5413" s="82"/>
    </row>
    <row r="5414" spans="1:3" x14ac:dyDescent="0.3">
      <c r="A5414" s="80"/>
      <c r="B5414" s="81"/>
      <c r="C5414" s="82"/>
    </row>
    <row r="5415" spans="1:3" x14ac:dyDescent="0.3">
      <c r="A5415" s="80"/>
      <c r="B5415" s="81"/>
      <c r="C5415" s="82"/>
    </row>
    <row r="5416" spans="1:3" x14ac:dyDescent="0.3">
      <c r="A5416" s="80"/>
      <c r="B5416" s="81"/>
      <c r="C5416" s="82"/>
    </row>
    <row r="5417" spans="1:3" x14ac:dyDescent="0.3">
      <c r="A5417" s="80"/>
      <c r="B5417" s="81"/>
      <c r="C5417" s="82"/>
    </row>
    <row r="5418" spans="1:3" x14ac:dyDescent="0.3">
      <c r="A5418" s="80"/>
      <c r="B5418" s="81"/>
      <c r="C5418" s="82"/>
    </row>
    <row r="5419" spans="1:3" x14ac:dyDescent="0.3">
      <c r="A5419" s="80"/>
      <c r="B5419" s="81"/>
      <c r="C5419" s="82"/>
    </row>
    <row r="5420" spans="1:3" x14ac:dyDescent="0.3">
      <c r="A5420" s="80"/>
      <c r="B5420" s="81"/>
      <c r="C5420" s="82"/>
    </row>
    <row r="5421" spans="1:3" x14ac:dyDescent="0.3">
      <c r="A5421" s="80"/>
      <c r="B5421" s="81"/>
      <c r="C5421" s="82"/>
    </row>
    <row r="5422" spans="1:3" x14ac:dyDescent="0.3">
      <c r="A5422" s="80"/>
      <c r="B5422" s="81"/>
      <c r="C5422" s="82"/>
    </row>
    <row r="5423" spans="1:3" x14ac:dyDescent="0.3">
      <c r="A5423" s="80"/>
      <c r="B5423" s="81"/>
      <c r="C5423" s="82"/>
    </row>
    <row r="5424" spans="1:3" x14ac:dyDescent="0.3">
      <c r="A5424" s="80"/>
      <c r="B5424" s="81"/>
      <c r="C5424" s="82"/>
    </row>
    <row r="5425" spans="1:3" x14ac:dyDescent="0.3">
      <c r="A5425" s="80"/>
      <c r="B5425" s="81"/>
      <c r="C5425" s="82"/>
    </row>
    <row r="5426" spans="1:3" x14ac:dyDescent="0.3">
      <c r="A5426" s="80"/>
      <c r="B5426" s="81"/>
      <c r="C5426" s="82"/>
    </row>
    <row r="5427" spans="1:3" x14ac:dyDescent="0.3">
      <c r="A5427" s="80"/>
      <c r="B5427" s="81"/>
      <c r="C5427" s="82"/>
    </row>
    <row r="5428" spans="1:3" x14ac:dyDescent="0.3">
      <c r="A5428" s="80"/>
      <c r="B5428" s="81"/>
      <c r="C5428" s="82"/>
    </row>
    <row r="5429" spans="1:3" x14ac:dyDescent="0.3">
      <c r="A5429" s="80"/>
      <c r="B5429" s="81"/>
      <c r="C5429" s="82"/>
    </row>
    <row r="5430" spans="1:3" x14ac:dyDescent="0.3">
      <c r="A5430" s="80"/>
      <c r="B5430" s="81"/>
      <c r="C5430" s="82"/>
    </row>
    <row r="5431" spans="1:3" x14ac:dyDescent="0.3">
      <c r="A5431" s="80"/>
      <c r="B5431" s="81"/>
      <c r="C5431" s="82"/>
    </row>
    <row r="5432" spans="1:3" x14ac:dyDescent="0.3">
      <c r="A5432" s="80"/>
      <c r="B5432" s="81"/>
      <c r="C5432" s="82"/>
    </row>
    <row r="5433" spans="1:3" x14ac:dyDescent="0.3">
      <c r="A5433" s="80"/>
      <c r="B5433" s="81"/>
      <c r="C5433" s="82"/>
    </row>
    <row r="5434" spans="1:3" x14ac:dyDescent="0.3">
      <c r="A5434" s="80"/>
      <c r="B5434" s="81"/>
      <c r="C5434" s="82"/>
    </row>
    <row r="5435" spans="1:3" x14ac:dyDescent="0.3">
      <c r="A5435" s="80"/>
      <c r="B5435" s="81"/>
      <c r="C5435" s="82"/>
    </row>
    <row r="5436" spans="1:3" x14ac:dyDescent="0.3">
      <c r="A5436" s="80"/>
      <c r="B5436" s="81"/>
      <c r="C5436" s="82"/>
    </row>
    <row r="5437" spans="1:3" x14ac:dyDescent="0.3">
      <c r="A5437" s="80"/>
      <c r="B5437" s="81"/>
      <c r="C5437" s="82"/>
    </row>
    <row r="5438" spans="1:3" x14ac:dyDescent="0.3">
      <c r="A5438" s="80"/>
      <c r="B5438" s="81"/>
      <c r="C5438" s="82"/>
    </row>
    <row r="5439" spans="1:3" x14ac:dyDescent="0.3">
      <c r="A5439" s="80"/>
      <c r="B5439" s="81"/>
      <c r="C5439" s="82"/>
    </row>
    <row r="5440" spans="1:3" x14ac:dyDescent="0.3">
      <c r="A5440" s="80"/>
      <c r="B5440" s="81"/>
      <c r="C5440" s="82"/>
    </row>
    <row r="5441" spans="1:3" x14ac:dyDescent="0.3">
      <c r="A5441" s="80"/>
      <c r="B5441" s="81"/>
      <c r="C5441" s="82"/>
    </row>
    <row r="5442" spans="1:3" x14ac:dyDescent="0.3">
      <c r="A5442" s="80"/>
      <c r="B5442" s="81"/>
      <c r="C5442" s="82"/>
    </row>
    <row r="5443" spans="1:3" x14ac:dyDescent="0.3">
      <c r="A5443" s="80"/>
      <c r="B5443" s="81"/>
      <c r="C5443" s="82"/>
    </row>
    <row r="5444" spans="1:3" x14ac:dyDescent="0.3">
      <c r="A5444" s="80"/>
      <c r="B5444" s="81"/>
      <c r="C5444" s="82"/>
    </row>
    <row r="5445" spans="1:3" x14ac:dyDescent="0.3">
      <c r="A5445" s="80"/>
      <c r="B5445" s="81"/>
      <c r="C5445" s="82"/>
    </row>
    <row r="5446" spans="1:3" x14ac:dyDescent="0.3">
      <c r="A5446" s="80"/>
      <c r="B5446" s="81"/>
      <c r="C5446" s="82"/>
    </row>
    <row r="5447" spans="1:3" x14ac:dyDescent="0.3">
      <c r="A5447" s="80"/>
      <c r="B5447" s="81"/>
      <c r="C5447" s="82"/>
    </row>
    <row r="5448" spans="1:3" x14ac:dyDescent="0.3">
      <c r="A5448" s="80"/>
      <c r="B5448" s="81"/>
      <c r="C5448" s="82"/>
    </row>
    <row r="5449" spans="1:3" x14ac:dyDescent="0.3">
      <c r="A5449" s="80"/>
      <c r="B5449" s="81"/>
      <c r="C5449" s="82"/>
    </row>
    <row r="5450" spans="1:3" x14ac:dyDescent="0.3">
      <c r="A5450" s="80"/>
      <c r="B5450" s="81"/>
      <c r="C5450" s="82"/>
    </row>
    <row r="5451" spans="1:3" x14ac:dyDescent="0.3">
      <c r="A5451" s="80"/>
      <c r="B5451" s="81"/>
      <c r="C5451" s="82"/>
    </row>
    <row r="5452" spans="1:3" x14ac:dyDescent="0.3">
      <c r="A5452" s="80"/>
      <c r="B5452" s="81"/>
      <c r="C5452" s="82"/>
    </row>
    <row r="5453" spans="1:3" x14ac:dyDescent="0.3">
      <c r="A5453" s="80"/>
      <c r="B5453" s="81"/>
      <c r="C5453" s="82"/>
    </row>
    <row r="5454" spans="1:3" x14ac:dyDescent="0.3">
      <c r="A5454" s="80"/>
      <c r="B5454" s="81"/>
      <c r="C5454" s="82"/>
    </row>
    <row r="5455" spans="1:3" x14ac:dyDescent="0.3">
      <c r="A5455" s="80"/>
      <c r="B5455" s="81"/>
      <c r="C5455" s="82"/>
    </row>
    <row r="5456" spans="1:3" x14ac:dyDescent="0.3">
      <c r="A5456" s="80"/>
      <c r="B5456" s="81"/>
      <c r="C5456" s="82"/>
    </row>
    <row r="5457" spans="1:3" x14ac:dyDescent="0.3">
      <c r="A5457" s="80"/>
      <c r="B5457" s="81"/>
      <c r="C5457" s="82"/>
    </row>
    <row r="5458" spans="1:3" x14ac:dyDescent="0.3">
      <c r="A5458" s="80"/>
      <c r="B5458" s="81"/>
      <c r="C5458" s="82"/>
    </row>
    <row r="5459" spans="1:3" x14ac:dyDescent="0.3">
      <c r="A5459" s="80"/>
      <c r="B5459" s="81"/>
      <c r="C5459" s="82"/>
    </row>
    <row r="5460" spans="1:3" x14ac:dyDescent="0.3">
      <c r="A5460" s="80"/>
      <c r="B5460" s="81"/>
      <c r="C5460" s="82"/>
    </row>
    <row r="5461" spans="1:3" x14ac:dyDescent="0.3">
      <c r="A5461" s="80"/>
      <c r="B5461" s="81"/>
      <c r="C5461" s="82"/>
    </row>
    <row r="5462" spans="1:3" x14ac:dyDescent="0.3">
      <c r="A5462" s="80"/>
      <c r="B5462" s="81"/>
      <c r="C5462" s="82"/>
    </row>
    <row r="5463" spans="1:3" x14ac:dyDescent="0.3">
      <c r="A5463" s="80"/>
      <c r="B5463" s="81"/>
      <c r="C5463" s="82"/>
    </row>
    <row r="5464" spans="1:3" x14ac:dyDescent="0.3">
      <c r="A5464" s="80"/>
      <c r="B5464" s="81"/>
      <c r="C5464" s="82"/>
    </row>
    <row r="5465" spans="1:3" x14ac:dyDescent="0.3">
      <c r="A5465" s="80"/>
      <c r="B5465" s="81"/>
      <c r="C5465" s="82"/>
    </row>
    <row r="5466" spans="1:3" x14ac:dyDescent="0.3">
      <c r="A5466" s="80"/>
      <c r="B5466" s="81"/>
      <c r="C5466" s="82"/>
    </row>
    <row r="5467" spans="1:3" x14ac:dyDescent="0.3">
      <c r="A5467" s="80"/>
      <c r="B5467" s="81"/>
      <c r="C5467" s="82"/>
    </row>
    <row r="5468" spans="1:3" x14ac:dyDescent="0.3">
      <c r="A5468" s="80"/>
      <c r="B5468" s="81"/>
      <c r="C5468" s="82"/>
    </row>
    <row r="5469" spans="1:3" x14ac:dyDescent="0.3">
      <c r="A5469" s="80"/>
      <c r="B5469" s="81"/>
      <c r="C5469" s="82"/>
    </row>
    <row r="5470" spans="1:3" x14ac:dyDescent="0.3">
      <c r="A5470" s="80"/>
      <c r="B5470" s="81"/>
      <c r="C5470" s="82"/>
    </row>
    <row r="5471" spans="1:3" x14ac:dyDescent="0.3">
      <c r="A5471" s="80"/>
      <c r="B5471" s="81"/>
      <c r="C5471" s="82"/>
    </row>
    <row r="5472" spans="1:3" x14ac:dyDescent="0.3">
      <c r="A5472" s="80"/>
      <c r="B5472" s="81"/>
      <c r="C5472" s="82"/>
    </row>
    <row r="5473" spans="1:3" x14ac:dyDescent="0.3">
      <c r="A5473" s="80"/>
      <c r="B5473" s="81"/>
      <c r="C5473" s="82"/>
    </row>
    <row r="5474" spans="1:3" x14ac:dyDescent="0.3">
      <c r="A5474" s="80"/>
      <c r="B5474" s="81"/>
      <c r="C5474" s="82"/>
    </row>
    <row r="5475" spans="1:3" x14ac:dyDescent="0.3">
      <c r="A5475" s="80"/>
      <c r="B5475" s="81"/>
      <c r="C5475" s="82"/>
    </row>
    <row r="5476" spans="1:3" x14ac:dyDescent="0.3">
      <c r="A5476" s="80"/>
      <c r="B5476" s="81"/>
      <c r="C5476" s="82"/>
    </row>
    <row r="5477" spans="1:3" x14ac:dyDescent="0.3">
      <c r="A5477" s="80"/>
      <c r="B5477" s="81"/>
      <c r="C5477" s="82"/>
    </row>
    <row r="5478" spans="1:3" x14ac:dyDescent="0.3">
      <c r="A5478" s="80"/>
      <c r="B5478" s="81"/>
      <c r="C5478" s="82"/>
    </row>
    <row r="5479" spans="1:3" x14ac:dyDescent="0.3">
      <c r="A5479" s="80"/>
      <c r="B5479" s="81"/>
      <c r="C5479" s="82"/>
    </row>
    <row r="5480" spans="1:3" x14ac:dyDescent="0.3">
      <c r="A5480" s="80"/>
      <c r="B5480" s="81"/>
      <c r="C5480" s="82"/>
    </row>
    <row r="5481" spans="1:3" x14ac:dyDescent="0.3">
      <c r="A5481" s="80"/>
      <c r="B5481" s="81"/>
      <c r="C5481" s="82"/>
    </row>
    <row r="5482" spans="1:3" x14ac:dyDescent="0.3">
      <c r="A5482" s="80"/>
      <c r="B5482" s="81"/>
      <c r="C5482" s="82"/>
    </row>
    <row r="5483" spans="1:3" x14ac:dyDescent="0.3">
      <c r="A5483" s="80"/>
      <c r="B5483" s="81"/>
      <c r="C5483" s="82"/>
    </row>
    <row r="5484" spans="1:3" x14ac:dyDescent="0.3">
      <c r="A5484" s="80"/>
      <c r="B5484" s="81"/>
      <c r="C5484" s="82"/>
    </row>
    <row r="5485" spans="1:3" x14ac:dyDescent="0.3">
      <c r="A5485" s="80"/>
      <c r="B5485" s="81"/>
      <c r="C5485" s="82"/>
    </row>
    <row r="5486" spans="1:3" x14ac:dyDescent="0.3">
      <c r="A5486" s="80"/>
      <c r="B5486" s="81"/>
      <c r="C5486" s="82"/>
    </row>
    <row r="5487" spans="1:3" x14ac:dyDescent="0.3">
      <c r="A5487" s="80"/>
      <c r="B5487" s="81"/>
      <c r="C5487" s="82"/>
    </row>
    <row r="5488" spans="1:3" x14ac:dyDescent="0.3">
      <c r="A5488" s="80"/>
      <c r="B5488" s="81"/>
      <c r="C5488" s="82"/>
    </row>
    <row r="5489" spans="1:3" x14ac:dyDescent="0.3">
      <c r="A5489" s="80"/>
      <c r="B5489" s="81"/>
      <c r="C5489" s="82"/>
    </row>
    <row r="5490" spans="1:3" x14ac:dyDescent="0.3">
      <c r="A5490" s="80"/>
      <c r="B5490" s="81"/>
      <c r="C5490" s="82"/>
    </row>
    <row r="5491" spans="1:3" x14ac:dyDescent="0.3">
      <c r="A5491" s="80"/>
      <c r="B5491" s="81"/>
      <c r="C5491" s="82"/>
    </row>
    <row r="5492" spans="1:3" x14ac:dyDescent="0.3">
      <c r="A5492" s="80"/>
      <c r="B5492" s="81"/>
      <c r="C5492" s="82"/>
    </row>
    <row r="5493" spans="1:3" x14ac:dyDescent="0.3">
      <c r="A5493" s="80"/>
      <c r="B5493" s="81"/>
      <c r="C5493" s="82"/>
    </row>
    <row r="5494" spans="1:3" x14ac:dyDescent="0.3">
      <c r="A5494" s="80"/>
      <c r="B5494" s="81"/>
      <c r="C5494" s="82"/>
    </row>
    <row r="5495" spans="1:3" x14ac:dyDescent="0.3">
      <c r="A5495" s="80"/>
      <c r="B5495" s="81"/>
      <c r="C5495" s="82"/>
    </row>
    <row r="5496" spans="1:3" x14ac:dyDescent="0.3">
      <c r="A5496" s="80"/>
      <c r="B5496" s="81"/>
      <c r="C5496" s="82"/>
    </row>
    <row r="5497" spans="1:3" x14ac:dyDescent="0.3">
      <c r="A5497" s="80"/>
      <c r="B5497" s="81"/>
      <c r="C5497" s="82"/>
    </row>
    <row r="5498" spans="1:3" x14ac:dyDescent="0.3">
      <c r="A5498" s="80"/>
      <c r="B5498" s="81"/>
      <c r="C5498" s="82"/>
    </row>
    <row r="5499" spans="1:3" x14ac:dyDescent="0.3">
      <c r="A5499" s="80"/>
      <c r="B5499" s="81"/>
      <c r="C5499" s="82"/>
    </row>
    <row r="5500" spans="1:3" x14ac:dyDescent="0.3">
      <c r="A5500" s="80"/>
      <c r="B5500" s="81"/>
      <c r="C5500" s="82"/>
    </row>
    <row r="5501" spans="1:3" x14ac:dyDescent="0.3">
      <c r="A5501" s="80"/>
      <c r="B5501" s="81"/>
      <c r="C5501" s="82"/>
    </row>
    <row r="5502" spans="1:3" x14ac:dyDescent="0.3">
      <c r="A5502" s="80"/>
      <c r="B5502" s="81"/>
      <c r="C5502" s="82"/>
    </row>
    <row r="5503" spans="1:3" x14ac:dyDescent="0.3">
      <c r="A5503" s="80"/>
      <c r="B5503" s="81"/>
      <c r="C5503" s="82"/>
    </row>
    <row r="5504" spans="1:3" x14ac:dyDescent="0.3">
      <c r="A5504" s="80"/>
      <c r="B5504" s="81"/>
      <c r="C5504" s="82"/>
    </row>
    <row r="5505" spans="1:3" x14ac:dyDescent="0.3">
      <c r="A5505" s="80"/>
      <c r="B5505" s="81"/>
      <c r="C5505" s="82"/>
    </row>
    <row r="5506" spans="1:3" x14ac:dyDescent="0.3">
      <c r="A5506" s="80"/>
      <c r="B5506" s="81"/>
      <c r="C5506" s="82"/>
    </row>
    <row r="5507" spans="1:3" x14ac:dyDescent="0.3">
      <c r="A5507" s="80"/>
      <c r="B5507" s="81"/>
      <c r="C5507" s="82"/>
    </row>
    <row r="5508" spans="1:3" x14ac:dyDescent="0.3">
      <c r="A5508" s="80"/>
      <c r="B5508" s="81"/>
      <c r="C5508" s="82"/>
    </row>
    <row r="5509" spans="1:3" x14ac:dyDescent="0.3">
      <c r="A5509" s="80"/>
      <c r="B5509" s="81"/>
      <c r="C5509" s="82"/>
    </row>
    <row r="5510" spans="1:3" x14ac:dyDescent="0.3">
      <c r="A5510" s="80"/>
      <c r="B5510" s="81"/>
      <c r="C5510" s="82"/>
    </row>
    <row r="5511" spans="1:3" x14ac:dyDescent="0.3">
      <c r="A5511" s="80"/>
      <c r="B5511" s="81"/>
      <c r="C5511" s="82"/>
    </row>
    <row r="5512" spans="1:3" x14ac:dyDescent="0.3">
      <c r="A5512" s="80"/>
      <c r="B5512" s="81"/>
      <c r="C5512" s="82"/>
    </row>
    <row r="5513" spans="1:3" x14ac:dyDescent="0.3">
      <c r="A5513" s="80"/>
      <c r="B5513" s="81"/>
      <c r="C5513" s="82"/>
    </row>
    <row r="5514" spans="1:3" x14ac:dyDescent="0.3">
      <c r="A5514" s="80"/>
      <c r="B5514" s="81"/>
      <c r="C5514" s="82"/>
    </row>
    <row r="5515" spans="1:3" x14ac:dyDescent="0.3">
      <c r="A5515" s="80"/>
      <c r="B5515" s="81"/>
      <c r="C5515" s="82"/>
    </row>
    <row r="5516" spans="1:3" x14ac:dyDescent="0.3">
      <c r="A5516" s="80"/>
      <c r="B5516" s="81"/>
      <c r="C5516" s="82"/>
    </row>
    <row r="5517" spans="1:3" x14ac:dyDescent="0.3">
      <c r="A5517" s="80"/>
      <c r="B5517" s="81"/>
      <c r="C5517" s="82"/>
    </row>
    <row r="5518" spans="1:3" x14ac:dyDescent="0.3">
      <c r="A5518" s="80"/>
      <c r="B5518" s="81"/>
      <c r="C5518" s="82"/>
    </row>
    <row r="5519" spans="1:3" x14ac:dyDescent="0.3">
      <c r="A5519" s="80"/>
      <c r="B5519" s="81"/>
      <c r="C5519" s="82"/>
    </row>
    <row r="5520" spans="1:3" x14ac:dyDescent="0.3">
      <c r="A5520" s="80"/>
      <c r="B5520" s="81"/>
      <c r="C5520" s="82"/>
    </row>
    <row r="5521" spans="1:3" x14ac:dyDescent="0.3">
      <c r="A5521" s="80"/>
      <c r="B5521" s="81"/>
      <c r="C5521" s="82"/>
    </row>
    <row r="5522" spans="1:3" x14ac:dyDescent="0.3">
      <c r="A5522" s="80"/>
      <c r="B5522" s="81"/>
      <c r="C5522" s="82"/>
    </row>
    <row r="5523" spans="1:3" x14ac:dyDescent="0.3">
      <c r="A5523" s="80"/>
      <c r="B5523" s="81"/>
      <c r="C5523" s="82"/>
    </row>
    <row r="5524" spans="1:3" x14ac:dyDescent="0.3">
      <c r="A5524" s="80"/>
      <c r="B5524" s="81"/>
      <c r="C5524" s="82"/>
    </row>
    <row r="5525" spans="1:3" x14ac:dyDescent="0.3">
      <c r="A5525" s="80"/>
      <c r="B5525" s="81"/>
      <c r="C5525" s="82"/>
    </row>
    <row r="5526" spans="1:3" x14ac:dyDescent="0.3">
      <c r="A5526" s="80"/>
      <c r="B5526" s="81"/>
      <c r="C5526" s="82"/>
    </row>
    <row r="5527" spans="1:3" x14ac:dyDescent="0.3">
      <c r="A5527" s="80"/>
      <c r="B5527" s="81"/>
      <c r="C5527" s="82"/>
    </row>
    <row r="5528" spans="1:3" x14ac:dyDescent="0.3">
      <c r="A5528" s="80"/>
      <c r="B5528" s="81"/>
      <c r="C5528" s="82"/>
    </row>
    <row r="5529" spans="1:3" x14ac:dyDescent="0.3">
      <c r="A5529" s="80"/>
      <c r="B5529" s="81"/>
      <c r="C5529" s="82"/>
    </row>
    <row r="5530" spans="1:3" x14ac:dyDescent="0.3">
      <c r="A5530" s="80"/>
      <c r="B5530" s="81"/>
      <c r="C5530" s="82"/>
    </row>
    <row r="5531" spans="1:3" x14ac:dyDescent="0.3">
      <c r="A5531" s="80"/>
      <c r="B5531" s="81"/>
      <c r="C5531" s="82"/>
    </row>
    <row r="5532" spans="1:3" x14ac:dyDescent="0.3">
      <c r="A5532" s="80"/>
      <c r="B5532" s="81"/>
      <c r="C5532" s="82"/>
    </row>
    <row r="5533" spans="1:3" x14ac:dyDescent="0.3">
      <c r="A5533" s="80"/>
      <c r="B5533" s="81"/>
      <c r="C5533" s="82"/>
    </row>
    <row r="5534" spans="1:3" x14ac:dyDescent="0.3">
      <c r="A5534" s="80"/>
      <c r="B5534" s="81"/>
      <c r="C5534" s="82"/>
    </row>
    <row r="5535" spans="1:3" x14ac:dyDescent="0.3">
      <c r="A5535" s="80"/>
      <c r="B5535" s="81"/>
      <c r="C5535" s="82"/>
    </row>
    <row r="5536" spans="1:3" x14ac:dyDescent="0.3">
      <c r="A5536" s="80"/>
      <c r="B5536" s="81"/>
      <c r="C5536" s="82"/>
    </row>
    <row r="5537" spans="1:3" x14ac:dyDescent="0.3">
      <c r="A5537" s="80"/>
      <c r="B5537" s="81"/>
      <c r="C5537" s="82"/>
    </row>
    <row r="5538" spans="1:3" x14ac:dyDescent="0.3">
      <c r="A5538" s="80"/>
      <c r="B5538" s="81"/>
      <c r="C5538" s="82"/>
    </row>
    <row r="5539" spans="1:3" x14ac:dyDescent="0.3">
      <c r="A5539" s="80"/>
      <c r="B5539" s="81"/>
      <c r="C5539" s="82"/>
    </row>
    <row r="5540" spans="1:3" x14ac:dyDescent="0.3">
      <c r="A5540" s="80"/>
      <c r="B5540" s="81"/>
      <c r="C5540" s="82"/>
    </row>
    <row r="5541" spans="1:3" x14ac:dyDescent="0.3">
      <c r="A5541" s="80"/>
      <c r="B5541" s="81"/>
      <c r="C5541" s="82"/>
    </row>
    <row r="5542" spans="1:3" x14ac:dyDescent="0.3">
      <c r="A5542" s="80"/>
      <c r="B5542" s="81"/>
      <c r="C5542" s="82"/>
    </row>
    <row r="5543" spans="1:3" x14ac:dyDescent="0.3">
      <c r="A5543" s="80"/>
      <c r="B5543" s="81"/>
      <c r="C5543" s="82"/>
    </row>
    <row r="5544" spans="1:3" x14ac:dyDescent="0.3">
      <c r="A5544" s="80"/>
      <c r="B5544" s="81"/>
      <c r="C5544" s="82"/>
    </row>
    <row r="5545" spans="1:3" x14ac:dyDescent="0.3">
      <c r="A5545" s="80"/>
      <c r="B5545" s="81"/>
      <c r="C5545" s="82"/>
    </row>
    <row r="5546" spans="1:3" x14ac:dyDescent="0.3">
      <c r="A5546" s="80"/>
      <c r="B5546" s="81"/>
      <c r="C5546" s="82"/>
    </row>
    <row r="5547" spans="1:3" x14ac:dyDescent="0.3">
      <c r="A5547" s="80"/>
      <c r="B5547" s="81"/>
      <c r="C5547" s="82"/>
    </row>
    <row r="5548" spans="1:3" x14ac:dyDescent="0.3">
      <c r="A5548" s="80"/>
      <c r="B5548" s="81"/>
      <c r="C5548" s="82"/>
    </row>
    <row r="5549" spans="1:3" x14ac:dyDescent="0.3">
      <c r="A5549" s="80"/>
      <c r="B5549" s="81"/>
      <c r="C5549" s="82"/>
    </row>
    <row r="5550" spans="1:3" x14ac:dyDescent="0.3">
      <c r="A5550" s="80"/>
      <c r="B5550" s="81"/>
      <c r="C5550" s="82"/>
    </row>
    <row r="5551" spans="1:3" x14ac:dyDescent="0.3">
      <c r="A5551" s="80"/>
      <c r="B5551" s="81"/>
      <c r="C5551" s="82"/>
    </row>
    <row r="5552" spans="1:3" x14ac:dyDescent="0.3">
      <c r="A5552" s="80"/>
      <c r="B5552" s="81"/>
      <c r="C5552" s="82"/>
    </row>
    <row r="5553" spans="1:3" x14ac:dyDescent="0.3">
      <c r="A5553" s="80"/>
      <c r="B5553" s="81"/>
      <c r="C5553" s="82"/>
    </row>
    <row r="5554" spans="1:3" x14ac:dyDescent="0.3">
      <c r="A5554" s="80"/>
      <c r="B5554" s="81"/>
      <c r="C5554" s="82"/>
    </row>
    <row r="5555" spans="1:3" x14ac:dyDescent="0.3">
      <c r="A5555" s="80"/>
      <c r="B5555" s="81"/>
      <c r="C5555" s="82"/>
    </row>
    <row r="5556" spans="1:3" x14ac:dyDescent="0.3">
      <c r="A5556" s="80"/>
      <c r="B5556" s="81"/>
      <c r="C5556" s="82"/>
    </row>
    <row r="5557" spans="1:3" x14ac:dyDescent="0.3">
      <c r="A5557" s="80"/>
      <c r="B5557" s="81"/>
      <c r="C5557" s="82"/>
    </row>
    <row r="5558" spans="1:3" x14ac:dyDescent="0.3">
      <c r="A5558" s="80"/>
      <c r="B5558" s="81"/>
      <c r="C5558" s="82"/>
    </row>
    <row r="5559" spans="1:3" x14ac:dyDescent="0.3">
      <c r="A5559" s="80"/>
      <c r="B5559" s="81"/>
      <c r="C5559" s="82"/>
    </row>
    <row r="5560" spans="1:3" x14ac:dyDescent="0.3">
      <c r="A5560" s="80"/>
      <c r="B5560" s="81"/>
      <c r="C5560" s="82"/>
    </row>
    <row r="5561" spans="1:3" x14ac:dyDescent="0.3">
      <c r="A5561" s="80"/>
      <c r="B5561" s="81"/>
      <c r="C5561" s="82"/>
    </row>
    <row r="5562" spans="1:3" x14ac:dyDescent="0.3">
      <c r="A5562" s="80"/>
      <c r="B5562" s="81"/>
      <c r="C5562" s="82"/>
    </row>
    <row r="5563" spans="1:3" x14ac:dyDescent="0.3">
      <c r="A5563" s="80"/>
      <c r="B5563" s="81"/>
      <c r="C5563" s="82"/>
    </row>
    <row r="5564" spans="1:3" x14ac:dyDescent="0.3">
      <c r="A5564" s="80"/>
      <c r="B5564" s="81"/>
      <c r="C5564" s="82"/>
    </row>
    <row r="5565" spans="1:3" x14ac:dyDescent="0.3">
      <c r="A5565" s="80"/>
      <c r="B5565" s="81"/>
      <c r="C5565" s="82"/>
    </row>
    <row r="5566" spans="1:3" x14ac:dyDescent="0.3">
      <c r="A5566" s="80"/>
      <c r="B5566" s="81"/>
      <c r="C5566" s="82"/>
    </row>
    <row r="5567" spans="1:3" x14ac:dyDescent="0.3">
      <c r="A5567" s="80"/>
      <c r="B5567" s="81"/>
      <c r="C5567" s="82"/>
    </row>
    <row r="5568" spans="1:3" x14ac:dyDescent="0.3">
      <c r="A5568" s="80"/>
      <c r="B5568" s="81"/>
      <c r="C5568" s="82"/>
    </row>
    <row r="5569" spans="1:3" x14ac:dyDescent="0.3">
      <c r="A5569" s="80"/>
      <c r="B5569" s="81"/>
      <c r="C5569" s="82"/>
    </row>
    <row r="5570" spans="1:3" x14ac:dyDescent="0.3">
      <c r="A5570" s="80"/>
      <c r="B5570" s="81"/>
      <c r="C5570" s="82"/>
    </row>
    <row r="5571" spans="1:3" x14ac:dyDescent="0.3">
      <c r="A5571" s="80"/>
      <c r="B5571" s="81"/>
      <c r="C5571" s="82"/>
    </row>
    <row r="5572" spans="1:3" x14ac:dyDescent="0.3">
      <c r="A5572" s="80"/>
      <c r="B5572" s="81"/>
      <c r="C5572" s="82"/>
    </row>
    <row r="5573" spans="1:3" x14ac:dyDescent="0.3">
      <c r="A5573" s="80"/>
      <c r="B5573" s="81"/>
      <c r="C5573" s="82"/>
    </row>
    <row r="5574" spans="1:3" x14ac:dyDescent="0.3">
      <c r="A5574" s="80"/>
      <c r="B5574" s="81"/>
      <c r="C5574" s="82"/>
    </row>
    <row r="5575" spans="1:3" x14ac:dyDescent="0.3">
      <c r="A5575" s="80"/>
      <c r="B5575" s="81"/>
      <c r="C5575" s="82"/>
    </row>
    <row r="5576" spans="1:3" x14ac:dyDescent="0.3">
      <c r="A5576" s="80"/>
      <c r="B5576" s="81"/>
      <c r="C5576" s="82"/>
    </row>
    <row r="5577" spans="1:3" x14ac:dyDescent="0.3">
      <c r="A5577" s="80"/>
      <c r="B5577" s="81"/>
      <c r="C5577" s="82"/>
    </row>
    <row r="5578" spans="1:3" x14ac:dyDescent="0.3">
      <c r="A5578" s="80"/>
      <c r="B5578" s="81"/>
      <c r="C5578" s="82"/>
    </row>
    <row r="5579" spans="1:3" x14ac:dyDescent="0.3">
      <c r="A5579" s="80"/>
      <c r="B5579" s="81"/>
      <c r="C5579" s="82"/>
    </row>
    <row r="5580" spans="1:3" x14ac:dyDescent="0.3">
      <c r="A5580" s="80"/>
      <c r="B5580" s="81"/>
      <c r="C5580" s="82"/>
    </row>
    <row r="5581" spans="1:3" x14ac:dyDescent="0.3">
      <c r="A5581" s="80"/>
      <c r="B5581" s="81"/>
      <c r="C5581" s="82"/>
    </row>
    <row r="5582" spans="1:3" x14ac:dyDescent="0.3">
      <c r="A5582" s="80"/>
      <c r="B5582" s="81"/>
      <c r="C5582" s="82"/>
    </row>
    <row r="5583" spans="1:3" x14ac:dyDescent="0.3">
      <c r="A5583" s="80"/>
      <c r="B5583" s="81"/>
      <c r="C5583" s="82"/>
    </row>
    <row r="5584" spans="1:3" x14ac:dyDescent="0.3">
      <c r="A5584" s="80"/>
      <c r="B5584" s="81"/>
      <c r="C5584" s="82"/>
    </row>
    <row r="5585" spans="1:3" x14ac:dyDescent="0.3">
      <c r="A5585" s="80"/>
      <c r="B5585" s="81"/>
      <c r="C5585" s="82"/>
    </row>
    <row r="5586" spans="1:3" x14ac:dyDescent="0.3">
      <c r="A5586" s="80"/>
      <c r="B5586" s="81"/>
      <c r="C5586" s="82"/>
    </row>
    <row r="5587" spans="1:3" x14ac:dyDescent="0.3">
      <c r="A5587" s="80"/>
      <c r="B5587" s="81"/>
      <c r="C5587" s="82"/>
    </row>
    <row r="5588" spans="1:3" x14ac:dyDescent="0.3">
      <c r="A5588" s="80"/>
      <c r="B5588" s="81"/>
      <c r="C5588" s="82"/>
    </row>
    <row r="5589" spans="1:3" x14ac:dyDescent="0.3">
      <c r="A5589" s="80"/>
      <c r="B5589" s="81"/>
      <c r="C5589" s="82"/>
    </row>
    <row r="5590" spans="1:3" x14ac:dyDescent="0.3">
      <c r="A5590" s="80"/>
      <c r="B5590" s="81"/>
      <c r="C5590" s="82"/>
    </row>
    <row r="5591" spans="1:3" x14ac:dyDescent="0.3">
      <c r="A5591" s="80"/>
      <c r="B5591" s="81"/>
      <c r="C5591" s="82"/>
    </row>
    <row r="5592" spans="1:3" x14ac:dyDescent="0.3">
      <c r="A5592" s="80"/>
      <c r="B5592" s="81"/>
      <c r="C5592" s="82"/>
    </row>
    <row r="5593" spans="1:3" x14ac:dyDescent="0.3">
      <c r="A5593" s="80"/>
      <c r="B5593" s="81"/>
      <c r="C5593" s="82"/>
    </row>
    <row r="5594" spans="1:3" x14ac:dyDescent="0.3">
      <c r="A5594" s="80"/>
      <c r="B5594" s="81"/>
      <c r="C5594" s="82"/>
    </row>
    <row r="5595" spans="1:3" x14ac:dyDescent="0.3">
      <c r="A5595" s="80"/>
      <c r="B5595" s="81"/>
      <c r="C5595" s="82"/>
    </row>
    <row r="5596" spans="1:3" x14ac:dyDescent="0.3">
      <c r="A5596" s="80"/>
      <c r="B5596" s="81"/>
      <c r="C5596" s="82"/>
    </row>
    <row r="5597" spans="1:3" x14ac:dyDescent="0.3">
      <c r="A5597" s="80"/>
      <c r="B5597" s="81"/>
      <c r="C5597" s="82"/>
    </row>
    <row r="5598" spans="1:3" x14ac:dyDescent="0.3">
      <c r="A5598" s="80"/>
      <c r="B5598" s="81"/>
      <c r="C5598" s="82"/>
    </row>
    <row r="5599" spans="1:3" x14ac:dyDescent="0.3">
      <c r="A5599" s="80"/>
      <c r="B5599" s="81"/>
      <c r="C5599" s="82"/>
    </row>
    <row r="5600" spans="1:3" x14ac:dyDescent="0.3">
      <c r="A5600" s="80"/>
      <c r="B5600" s="81"/>
      <c r="C5600" s="82"/>
    </row>
    <row r="5601" spans="1:3" x14ac:dyDescent="0.3">
      <c r="A5601" s="80"/>
      <c r="B5601" s="81"/>
      <c r="C5601" s="82"/>
    </row>
    <row r="5602" spans="1:3" x14ac:dyDescent="0.3">
      <c r="A5602" s="80"/>
      <c r="B5602" s="81"/>
      <c r="C5602" s="82"/>
    </row>
    <row r="5603" spans="1:3" x14ac:dyDescent="0.3">
      <c r="A5603" s="80"/>
      <c r="B5603" s="81"/>
      <c r="C5603" s="82"/>
    </row>
    <row r="5604" spans="1:3" x14ac:dyDescent="0.3">
      <c r="A5604" s="80"/>
      <c r="B5604" s="81"/>
      <c r="C5604" s="82"/>
    </row>
    <row r="5605" spans="1:3" x14ac:dyDescent="0.3">
      <c r="A5605" s="80"/>
      <c r="B5605" s="81"/>
      <c r="C5605" s="82"/>
    </row>
    <row r="5606" spans="1:3" x14ac:dyDescent="0.3">
      <c r="A5606" s="80"/>
      <c r="B5606" s="81"/>
      <c r="C5606" s="82"/>
    </row>
    <row r="5607" spans="1:3" x14ac:dyDescent="0.3">
      <c r="A5607" s="80"/>
      <c r="B5607" s="81"/>
      <c r="C5607" s="82"/>
    </row>
    <row r="5608" spans="1:3" x14ac:dyDescent="0.3">
      <c r="A5608" s="80"/>
      <c r="B5608" s="81"/>
      <c r="C5608" s="82"/>
    </row>
    <row r="5609" spans="1:3" x14ac:dyDescent="0.3">
      <c r="A5609" s="80"/>
      <c r="B5609" s="81"/>
      <c r="C5609" s="82"/>
    </row>
    <row r="5610" spans="1:3" x14ac:dyDescent="0.3">
      <c r="A5610" s="80"/>
      <c r="B5610" s="81"/>
      <c r="C5610" s="82"/>
    </row>
    <row r="5611" spans="1:3" x14ac:dyDescent="0.3">
      <c r="A5611" s="80"/>
      <c r="B5611" s="81"/>
      <c r="C5611" s="82"/>
    </row>
    <row r="5612" spans="1:3" x14ac:dyDescent="0.3">
      <c r="A5612" s="80"/>
      <c r="B5612" s="81"/>
      <c r="C5612" s="82"/>
    </row>
    <row r="5613" spans="1:3" x14ac:dyDescent="0.3">
      <c r="A5613" s="80"/>
      <c r="B5613" s="81"/>
      <c r="C5613" s="82"/>
    </row>
    <row r="5614" spans="1:3" x14ac:dyDescent="0.3">
      <c r="A5614" s="80"/>
      <c r="B5614" s="81"/>
      <c r="C5614" s="82"/>
    </row>
    <row r="5615" spans="1:3" x14ac:dyDescent="0.3">
      <c r="A5615" s="80"/>
      <c r="B5615" s="81"/>
      <c r="C5615" s="82"/>
    </row>
    <row r="5616" spans="1:3" x14ac:dyDescent="0.3">
      <c r="A5616" s="80"/>
      <c r="B5616" s="81"/>
      <c r="C5616" s="82"/>
    </row>
    <row r="5617" spans="1:3" x14ac:dyDescent="0.3">
      <c r="A5617" s="80"/>
      <c r="B5617" s="81"/>
      <c r="C5617" s="82"/>
    </row>
    <row r="5618" spans="1:3" x14ac:dyDescent="0.3">
      <c r="A5618" s="80"/>
      <c r="B5618" s="81"/>
      <c r="C5618" s="82"/>
    </row>
    <row r="5619" spans="1:3" x14ac:dyDescent="0.3">
      <c r="A5619" s="80"/>
      <c r="B5619" s="81"/>
      <c r="C5619" s="82"/>
    </row>
    <row r="5620" spans="1:3" x14ac:dyDescent="0.3">
      <c r="A5620" s="80"/>
      <c r="B5620" s="81"/>
      <c r="C5620" s="82"/>
    </row>
    <row r="5621" spans="1:3" x14ac:dyDescent="0.3">
      <c r="A5621" s="80"/>
      <c r="B5621" s="81"/>
      <c r="C5621" s="82"/>
    </row>
    <row r="5622" spans="1:3" x14ac:dyDescent="0.3">
      <c r="A5622" s="80"/>
      <c r="B5622" s="81"/>
      <c r="C5622" s="82"/>
    </row>
    <row r="5623" spans="1:3" x14ac:dyDescent="0.3">
      <c r="A5623" s="80"/>
      <c r="B5623" s="81"/>
      <c r="C5623" s="82"/>
    </row>
    <row r="5624" spans="1:3" x14ac:dyDescent="0.3">
      <c r="A5624" s="80"/>
      <c r="B5624" s="81"/>
      <c r="C5624" s="82"/>
    </row>
    <row r="5625" spans="1:3" x14ac:dyDescent="0.3">
      <c r="A5625" s="80"/>
      <c r="B5625" s="81"/>
      <c r="C5625" s="82"/>
    </row>
    <row r="5626" spans="1:3" x14ac:dyDescent="0.3">
      <c r="A5626" s="80"/>
      <c r="B5626" s="81"/>
      <c r="C5626" s="82"/>
    </row>
    <row r="5627" spans="1:3" x14ac:dyDescent="0.3">
      <c r="A5627" s="80"/>
      <c r="B5627" s="81"/>
      <c r="C5627" s="82"/>
    </row>
    <row r="5628" spans="1:3" x14ac:dyDescent="0.3">
      <c r="A5628" s="80"/>
      <c r="B5628" s="81"/>
      <c r="C5628" s="82"/>
    </row>
    <row r="5629" spans="1:3" x14ac:dyDescent="0.3">
      <c r="A5629" s="80"/>
      <c r="B5629" s="81"/>
      <c r="C5629" s="82"/>
    </row>
    <row r="5630" spans="1:3" x14ac:dyDescent="0.3">
      <c r="A5630" s="80"/>
      <c r="B5630" s="81"/>
      <c r="C5630" s="82"/>
    </row>
    <row r="5631" spans="1:3" x14ac:dyDescent="0.3">
      <c r="A5631" s="80"/>
      <c r="B5631" s="81"/>
      <c r="C5631" s="82"/>
    </row>
    <row r="5632" spans="1:3" x14ac:dyDescent="0.3">
      <c r="A5632" s="80"/>
      <c r="B5632" s="81"/>
      <c r="C5632" s="82"/>
    </row>
    <row r="5633" spans="1:3" x14ac:dyDescent="0.3">
      <c r="A5633" s="80"/>
      <c r="B5633" s="81"/>
      <c r="C5633" s="82"/>
    </row>
    <row r="5634" spans="1:3" x14ac:dyDescent="0.3">
      <c r="A5634" s="80"/>
      <c r="B5634" s="81"/>
      <c r="C5634" s="82"/>
    </row>
    <row r="5635" spans="1:3" x14ac:dyDescent="0.3">
      <c r="A5635" s="80"/>
      <c r="B5635" s="81"/>
      <c r="C5635" s="82"/>
    </row>
    <row r="5636" spans="1:3" x14ac:dyDescent="0.3">
      <c r="A5636" s="80"/>
      <c r="B5636" s="81"/>
      <c r="C5636" s="82"/>
    </row>
    <row r="5637" spans="1:3" x14ac:dyDescent="0.3">
      <c r="A5637" s="80"/>
      <c r="B5637" s="81"/>
      <c r="C5637" s="82"/>
    </row>
    <row r="5638" spans="1:3" x14ac:dyDescent="0.3">
      <c r="A5638" s="80"/>
      <c r="B5638" s="81"/>
      <c r="C5638" s="82"/>
    </row>
    <row r="5639" spans="1:3" x14ac:dyDescent="0.3">
      <c r="A5639" s="80"/>
      <c r="B5639" s="81"/>
      <c r="C5639" s="82"/>
    </row>
    <row r="5640" spans="1:3" x14ac:dyDescent="0.3">
      <c r="A5640" s="80"/>
      <c r="B5640" s="81"/>
      <c r="C5640" s="82"/>
    </row>
    <row r="5641" spans="1:3" x14ac:dyDescent="0.3">
      <c r="A5641" s="80"/>
      <c r="B5641" s="81"/>
      <c r="C5641" s="82"/>
    </row>
    <row r="5642" spans="1:3" x14ac:dyDescent="0.3">
      <c r="A5642" s="80"/>
      <c r="B5642" s="81"/>
      <c r="C5642" s="82"/>
    </row>
    <row r="5643" spans="1:3" x14ac:dyDescent="0.3">
      <c r="A5643" s="80"/>
      <c r="B5643" s="81"/>
      <c r="C5643" s="82"/>
    </row>
    <row r="5644" spans="1:3" x14ac:dyDescent="0.3">
      <c r="A5644" s="80"/>
      <c r="B5644" s="81"/>
      <c r="C5644" s="82"/>
    </row>
    <row r="5645" spans="1:3" x14ac:dyDescent="0.3">
      <c r="A5645" s="80"/>
      <c r="B5645" s="81"/>
      <c r="C5645" s="82"/>
    </row>
    <row r="5646" spans="1:3" x14ac:dyDescent="0.3">
      <c r="A5646" s="80"/>
      <c r="B5646" s="81"/>
      <c r="C5646" s="82"/>
    </row>
    <row r="5647" spans="1:3" x14ac:dyDescent="0.3">
      <c r="A5647" s="80"/>
      <c r="B5647" s="81"/>
      <c r="C5647" s="82"/>
    </row>
    <row r="5648" spans="1:3" x14ac:dyDescent="0.3">
      <c r="A5648" s="80"/>
      <c r="B5648" s="81"/>
      <c r="C5648" s="82"/>
    </row>
    <row r="5649" spans="1:3" x14ac:dyDescent="0.3">
      <c r="A5649" s="80"/>
      <c r="B5649" s="81"/>
      <c r="C5649" s="82"/>
    </row>
    <row r="5650" spans="1:3" x14ac:dyDescent="0.3">
      <c r="A5650" s="80"/>
      <c r="B5650" s="81"/>
      <c r="C5650" s="82"/>
    </row>
    <row r="5651" spans="1:3" x14ac:dyDescent="0.3">
      <c r="A5651" s="80"/>
      <c r="B5651" s="81"/>
      <c r="C5651" s="82"/>
    </row>
    <row r="5652" spans="1:3" x14ac:dyDescent="0.3">
      <c r="A5652" s="80"/>
      <c r="B5652" s="81"/>
      <c r="C5652" s="82"/>
    </row>
    <row r="5653" spans="1:3" x14ac:dyDescent="0.3">
      <c r="A5653" s="80"/>
      <c r="B5653" s="81"/>
      <c r="C5653" s="82"/>
    </row>
    <row r="5654" spans="1:3" x14ac:dyDescent="0.3">
      <c r="A5654" s="80"/>
      <c r="B5654" s="81"/>
      <c r="C5654" s="82"/>
    </row>
    <row r="5655" spans="1:3" x14ac:dyDescent="0.3">
      <c r="A5655" s="80"/>
      <c r="B5655" s="81"/>
      <c r="C5655" s="82"/>
    </row>
    <row r="5656" spans="1:3" x14ac:dyDescent="0.3">
      <c r="A5656" s="80"/>
      <c r="B5656" s="81"/>
      <c r="C5656" s="82"/>
    </row>
    <row r="5657" spans="1:3" x14ac:dyDescent="0.3">
      <c r="A5657" s="80"/>
      <c r="B5657" s="81"/>
      <c r="C5657" s="82"/>
    </row>
    <row r="5658" spans="1:3" x14ac:dyDescent="0.3">
      <c r="A5658" s="80"/>
      <c r="B5658" s="81"/>
      <c r="C5658" s="82"/>
    </row>
    <row r="5659" spans="1:3" x14ac:dyDescent="0.3">
      <c r="A5659" s="80"/>
      <c r="B5659" s="81"/>
      <c r="C5659" s="82"/>
    </row>
    <row r="5660" spans="1:3" x14ac:dyDescent="0.3">
      <c r="A5660" s="80"/>
      <c r="B5660" s="81"/>
      <c r="C5660" s="82"/>
    </row>
    <row r="5661" spans="1:3" x14ac:dyDescent="0.3">
      <c r="A5661" s="80"/>
      <c r="B5661" s="81"/>
      <c r="C5661" s="82"/>
    </row>
    <row r="5662" spans="1:3" x14ac:dyDescent="0.3">
      <c r="A5662" s="80"/>
      <c r="B5662" s="81"/>
      <c r="C5662" s="82"/>
    </row>
    <row r="5663" spans="1:3" x14ac:dyDescent="0.3">
      <c r="A5663" s="80"/>
      <c r="B5663" s="81"/>
      <c r="C5663" s="82"/>
    </row>
    <row r="5664" spans="1:3" x14ac:dyDescent="0.3">
      <c r="A5664" s="80"/>
      <c r="B5664" s="81"/>
      <c r="C5664" s="82"/>
    </row>
    <row r="5665" spans="1:3" x14ac:dyDescent="0.3">
      <c r="A5665" s="80"/>
      <c r="B5665" s="81"/>
      <c r="C5665" s="82"/>
    </row>
    <row r="5666" spans="1:3" x14ac:dyDescent="0.3">
      <c r="A5666" s="80"/>
      <c r="B5666" s="81"/>
      <c r="C5666" s="82"/>
    </row>
    <row r="5667" spans="1:3" x14ac:dyDescent="0.3">
      <c r="A5667" s="80"/>
      <c r="B5667" s="81"/>
      <c r="C5667" s="82"/>
    </row>
    <row r="5668" spans="1:3" x14ac:dyDescent="0.3">
      <c r="A5668" s="80"/>
      <c r="B5668" s="81"/>
      <c r="C5668" s="82"/>
    </row>
    <row r="5669" spans="1:3" x14ac:dyDescent="0.3">
      <c r="A5669" s="80"/>
      <c r="B5669" s="81"/>
      <c r="C5669" s="82"/>
    </row>
    <row r="5670" spans="1:3" x14ac:dyDescent="0.3">
      <c r="A5670" s="80"/>
      <c r="B5670" s="81"/>
      <c r="C5670" s="82"/>
    </row>
    <row r="5671" spans="1:3" x14ac:dyDescent="0.3">
      <c r="A5671" s="80"/>
      <c r="B5671" s="81"/>
      <c r="C5671" s="82"/>
    </row>
    <row r="5672" spans="1:3" x14ac:dyDescent="0.3">
      <c r="A5672" s="80"/>
      <c r="B5672" s="81"/>
      <c r="C5672" s="82"/>
    </row>
    <row r="5673" spans="1:3" x14ac:dyDescent="0.3">
      <c r="A5673" s="80"/>
      <c r="B5673" s="81"/>
      <c r="C5673" s="82"/>
    </row>
    <row r="5674" spans="1:3" x14ac:dyDescent="0.3">
      <c r="A5674" s="80"/>
      <c r="B5674" s="81"/>
      <c r="C5674" s="82"/>
    </row>
    <row r="5675" spans="1:3" x14ac:dyDescent="0.3">
      <c r="A5675" s="80"/>
      <c r="B5675" s="81"/>
      <c r="C5675" s="82"/>
    </row>
    <row r="5676" spans="1:3" x14ac:dyDescent="0.3">
      <c r="A5676" s="80"/>
      <c r="B5676" s="81"/>
      <c r="C5676" s="82"/>
    </row>
    <row r="5677" spans="1:3" x14ac:dyDescent="0.3">
      <c r="A5677" s="80"/>
      <c r="B5677" s="81"/>
      <c r="C5677" s="82"/>
    </row>
    <row r="5678" spans="1:3" x14ac:dyDescent="0.3">
      <c r="A5678" s="80"/>
      <c r="B5678" s="81"/>
      <c r="C5678" s="82"/>
    </row>
    <row r="5679" spans="1:3" x14ac:dyDescent="0.3">
      <c r="A5679" s="80"/>
      <c r="B5679" s="81"/>
      <c r="C5679" s="82"/>
    </row>
    <row r="5680" spans="1:3" x14ac:dyDescent="0.3">
      <c r="A5680" s="80"/>
      <c r="B5680" s="81"/>
      <c r="C5680" s="82"/>
    </row>
    <row r="5681" spans="1:3" x14ac:dyDescent="0.3">
      <c r="A5681" s="80"/>
      <c r="B5681" s="81"/>
      <c r="C5681" s="82"/>
    </row>
    <row r="5682" spans="1:3" x14ac:dyDescent="0.3">
      <c r="A5682" s="80"/>
      <c r="B5682" s="81"/>
      <c r="C5682" s="82"/>
    </row>
    <row r="5683" spans="1:3" x14ac:dyDescent="0.3">
      <c r="A5683" s="80"/>
      <c r="B5683" s="81"/>
      <c r="C5683" s="82"/>
    </row>
    <row r="5684" spans="1:3" x14ac:dyDescent="0.3">
      <c r="A5684" s="80"/>
      <c r="B5684" s="81"/>
      <c r="C5684" s="82"/>
    </row>
    <row r="5685" spans="1:3" x14ac:dyDescent="0.3">
      <c r="A5685" s="80"/>
      <c r="B5685" s="81"/>
      <c r="C5685" s="82"/>
    </row>
    <row r="5686" spans="1:3" x14ac:dyDescent="0.3">
      <c r="A5686" s="80"/>
      <c r="B5686" s="81"/>
      <c r="C5686" s="82"/>
    </row>
    <row r="5687" spans="1:3" x14ac:dyDescent="0.3">
      <c r="A5687" s="80"/>
      <c r="B5687" s="81"/>
      <c r="C5687" s="82"/>
    </row>
    <row r="5688" spans="1:3" x14ac:dyDescent="0.3">
      <c r="A5688" s="80"/>
      <c r="B5688" s="81"/>
      <c r="C5688" s="82"/>
    </row>
    <row r="5689" spans="1:3" x14ac:dyDescent="0.3">
      <c r="A5689" s="80"/>
      <c r="B5689" s="81"/>
      <c r="C5689" s="82"/>
    </row>
    <row r="5690" spans="1:3" x14ac:dyDescent="0.3">
      <c r="A5690" s="80"/>
      <c r="B5690" s="81"/>
      <c r="C5690" s="82"/>
    </row>
    <row r="5691" spans="1:3" x14ac:dyDescent="0.3">
      <c r="A5691" s="80"/>
      <c r="B5691" s="81"/>
      <c r="C5691" s="82"/>
    </row>
    <row r="5692" spans="1:3" x14ac:dyDescent="0.3">
      <c r="A5692" s="80"/>
      <c r="B5692" s="81"/>
      <c r="C5692" s="82"/>
    </row>
    <row r="5693" spans="1:3" x14ac:dyDescent="0.3">
      <c r="A5693" s="80"/>
      <c r="B5693" s="81"/>
      <c r="C5693" s="82"/>
    </row>
    <row r="5694" spans="1:3" x14ac:dyDescent="0.3">
      <c r="A5694" s="80"/>
      <c r="B5694" s="81"/>
      <c r="C5694" s="82"/>
    </row>
    <row r="5695" spans="1:3" x14ac:dyDescent="0.3">
      <c r="A5695" s="80"/>
      <c r="B5695" s="81"/>
      <c r="C5695" s="82"/>
    </row>
    <row r="5696" spans="1:3" x14ac:dyDescent="0.3">
      <c r="A5696" s="80"/>
      <c r="B5696" s="81"/>
      <c r="C5696" s="82"/>
    </row>
    <row r="5697" spans="1:3" x14ac:dyDescent="0.3">
      <c r="A5697" s="80"/>
      <c r="B5697" s="81"/>
      <c r="C5697" s="82"/>
    </row>
    <row r="5698" spans="1:3" x14ac:dyDescent="0.3">
      <c r="A5698" s="80"/>
      <c r="B5698" s="81"/>
      <c r="C5698" s="82"/>
    </row>
    <row r="5699" spans="1:3" x14ac:dyDescent="0.3">
      <c r="A5699" s="80"/>
      <c r="B5699" s="81"/>
      <c r="C5699" s="82"/>
    </row>
    <row r="5700" spans="1:3" x14ac:dyDescent="0.3">
      <c r="A5700" s="80"/>
      <c r="B5700" s="81"/>
      <c r="C5700" s="82"/>
    </row>
    <row r="5701" spans="1:3" x14ac:dyDescent="0.3">
      <c r="A5701" s="80"/>
      <c r="B5701" s="81"/>
      <c r="C5701" s="82"/>
    </row>
    <row r="5702" spans="1:3" x14ac:dyDescent="0.3">
      <c r="A5702" s="80"/>
      <c r="B5702" s="81"/>
      <c r="C5702" s="82"/>
    </row>
    <row r="5703" spans="1:3" x14ac:dyDescent="0.3">
      <c r="A5703" s="80"/>
      <c r="B5703" s="81"/>
      <c r="C5703" s="82"/>
    </row>
    <row r="5704" spans="1:3" x14ac:dyDescent="0.3">
      <c r="A5704" s="80"/>
      <c r="B5704" s="81"/>
      <c r="C5704" s="82"/>
    </row>
    <row r="5705" spans="1:3" x14ac:dyDescent="0.3">
      <c r="A5705" s="80"/>
      <c r="B5705" s="81"/>
      <c r="C5705" s="82"/>
    </row>
    <row r="5706" spans="1:3" x14ac:dyDescent="0.3">
      <c r="A5706" s="80"/>
      <c r="B5706" s="81"/>
      <c r="C5706" s="82"/>
    </row>
    <row r="5707" spans="1:3" x14ac:dyDescent="0.3">
      <c r="A5707" s="80"/>
      <c r="B5707" s="81"/>
      <c r="C5707" s="82"/>
    </row>
    <row r="5708" spans="1:3" x14ac:dyDescent="0.3">
      <c r="A5708" s="80"/>
      <c r="B5708" s="81"/>
      <c r="C5708" s="82"/>
    </row>
    <row r="5709" spans="1:3" x14ac:dyDescent="0.3">
      <c r="A5709" s="80"/>
      <c r="B5709" s="81"/>
      <c r="C5709" s="82"/>
    </row>
    <row r="5710" spans="1:3" x14ac:dyDescent="0.3">
      <c r="A5710" s="80"/>
      <c r="B5710" s="81"/>
      <c r="C5710" s="82"/>
    </row>
    <row r="5711" spans="1:3" x14ac:dyDescent="0.3">
      <c r="A5711" s="80"/>
      <c r="B5711" s="81"/>
      <c r="C5711" s="82"/>
    </row>
    <row r="5712" spans="1:3" x14ac:dyDescent="0.3">
      <c r="A5712" s="80"/>
      <c r="B5712" s="81"/>
      <c r="C5712" s="82"/>
    </row>
    <row r="5713" spans="1:3" x14ac:dyDescent="0.3">
      <c r="A5713" s="80"/>
      <c r="B5713" s="81"/>
      <c r="C5713" s="82"/>
    </row>
    <row r="5714" spans="1:3" x14ac:dyDescent="0.3">
      <c r="A5714" s="80"/>
      <c r="B5714" s="81"/>
      <c r="C5714" s="82"/>
    </row>
    <row r="5715" spans="1:3" x14ac:dyDescent="0.3">
      <c r="A5715" s="80"/>
      <c r="B5715" s="81"/>
      <c r="C5715" s="82"/>
    </row>
    <row r="5716" spans="1:3" x14ac:dyDescent="0.3">
      <c r="A5716" s="80"/>
      <c r="B5716" s="81"/>
      <c r="C5716" s="82"/>
    </row>
    <row r="5717" spans="1:3" x14ac:dyDescent="0.3">
      <c r="A5717" s="80"/>
      <c r="B5717" s="81"/>
      <c r="C5717" s="82"/>
    </row>
    <row r="5718" spans="1:3" x14ac:dyDescent="0.3">
      <c r="A5718" s="80"/>
      <c r="B5718" s="81"/>
      <c r="C5718" s="82"/>
    </row>
    <row r="5719" spans="1:3" x14ac:dyDescent="0.3">
      <c r="A5719" s="80"/>
      <c r="B5719" s="81"/>
      <c r="C5719" s="82"/>
    </row>
    <row r="5720" spans="1:3" x14ac:dyDescent="0.3">
      <c r="A5720" s="80"/>
      <c r="B5720" s="81"/>
      <c r="C5720" s="82"/>
    </row>
    <row r="5721" spans="1:3" x14ac:dyDescent="0.3">
      <c r="A5721" s="80"/>
      <c r="B5721" s="81"/>
      <c r="C5721" s="82"/>
    </row>
    <row r="5722" spans="1:3" x14ac:dyDescent="0.3">
      <c r="A5722" s="80"/>
      <c r="B5722" s="81"/>
      <c r="C5722" s="82"/>
    </row>
    <row r="5723" spans="1:3" x14ac:dyDescent="0.3">
      <c r="A5723" s="80"/>
      <c r="B5723" s="81"/>
      <c r="C5723" s="82"/>
    </row>
    <row r="5724" spans="1:3" x14ac:dyDescent="0.3">
      <c r="A5724" s="80"/>
      <c r="B5724" s="81"/>
      <c r="C5724" s="82"/>
    </row>
    <row r="5725" spans="1:3" x14ac:dyDescent="0.3">
      <c r="A5725" s="80"/>
      <c r="B5725" s="81"/>
      <c r="C5725" s="82"/>
    </row>
    <row r="5726" spans="1:3" x14ac:dyDescent="0.3">
      <c r="A5726" s="80"/>
      <c r="B5726" s="81"/>
      <c r="C5726" s="82"/>
    </row>
    <row r="5727" spans="1:3" x14ac:dyDescent="0.3">
      <c r="A5727" s="80"/>
      <c r="B5727" s="81"/>
      <c r="C5727" s="82"/>
    </row>
    <row r="5728" spans="1:3" x14ac:dyDescent="0.3">
      <c r="A5728" s="80"/>
      <c r="B5728" s="81"/>
      <c r="C5728" s="82"/>
    </row>
    <row r="5729" spans="1:3" x14ac:dyDescent="0.3">
      <c r="A5729" s="80"/>
      <c r="B5729" s="81"/>
      <c r="C5729" s="82"/>
    </row>
    <row r="5730" spans="1:3" x14ac:dyDescent="0.3">
      <c r="A5730" s="80"/>
      <c r="B5730" s="81"/>
      <c r="C5730" s="82"/>
    </row>
    <row r="5731" spans="1:3" x14ac:dyDescent="0.3">
      <c r="A5731" s="80"/>
      <c r="B5731" s="81"/>
      <c r="C5731" s="82"/>
    </row>
    <row r="5732" spans="1:3" x14ac:dyDescent="0.3">
      <c r="A5732" s="80"/>
      <c r="B5732" s="81"/>
      <c r="C5732" s="82"/>
    </row>
    <row r="5733" spans="1:3" x14ac:dyDescent="0.3">
      <c r="A5733" s="80"/>
      <c r="B5733" s="81"/>
      <c r="C5733" s="82"/>
    </row>
    <row r="5734" spans="1:3" x14ac:dyDescent="0.3">
      <c r="A5734" s="80"/>
      <c r="B5734" s="81"/>
      <c r="C5734" s="82"/>
    </row>
    <row r="5735" spans="1:3" x14ac:dyDescent="0.3">
      <c r="A5735" s="80"/>
      <c r="B5735" s="81"/>
      <c r="C5735" s="82"/>
    </row>
    <row r="5736" spans="1:3" x14ac:dyDescent="0.3">
      <c r="A5736" s="80"/>
      <c r="B5736" s="81"/>
      <c r="C5736" s="82"/>
    </row>
    <row r="5737" spans="1:3" x14ac:dyDescent="0.3">
      <c r="A5737" s="80"/>
      <c r="B5737" s="81"/>
      <c r="C5737" s="82"/>
    </row>
    <row r="5738" spans="1:3" x14ac:dyDescent="0.3">
      <c r="A5738" s="80"/>
      <c r="B5738" s="81"/>
      <c r="C5738" s="82"/>
    </row>
    <row r="5739" spans="1:3" x14ac:dyDescent="0.3">
      <c r="A5739" s="80"/>
      <c r="B5739" s="81"/>
      <c r="C5739" s="82"/>
    </row>
    <row r="5740" spans="1:3" x14ac:dyDescent="0.3">
      <c r="A5740" s="80"/>
      <c r="B5740" s="81"/>
      <c r="C5740" s="82"/>
    </row>
    <row r="5741" spans="1:3" x14ac:dyDescent="0.3">
      <c r="A5741" s="80"/>
      <c r="B5741" s="81"/>
      <c r="C5741" s="82"/>
    </row>
    <row r="5742" spans="1:3" x14ac:dyDescent="0.3">
      <c r="A5742" s="80"/>
      <c r="B5742" s="81"/>
      <c r="C5742" s="82"/>
    </row>
    <row r="5743" spans="1:3" x14ac:dyDescent="0.3">
      <c r="A5743" s="80"/>
      <c r="B5743" s="81"/>
      <c r="C5743" s="82"/>
    </row>
    <row r="5744" spans="1:3" x14ac:dyDescent="0.3">
      <c r="A5744" s="80"/>
      <c r="B5744" s="81"/>
      <c r="C5744" s="82"/>
    </row>
    <row r="5745" spans="1:3" x14ac:dyDescent="0.3">
      <c r="A5745" s="80"/>
      <c r="B5745" s="81"/>
      <c r="C5745" s="82"/>
    </row>
    <row r="5746" spans="1:3" x14ac:dyDescent="0.3">
      <c r="A5746" s="80"/>
      <c r="B5746" s="81"/>
      <c r="C5746" s="82"/>
    </row>
    <row r="5747" spans="1:3" x14ac:dyDescent="0.3">
      <c r="A5747" s="80"/>
      <c r="B5747" s="81"/>
      <c r="C5747" s="82"/>
    </row>
    <row r="5748" spans="1:3" x14ac:dyDescent="0.3">
      <c r="A5748" s="80"/>
      <c r="B5748" s="81"/>
      <c r="C5748" s="82"/>
    </row>
    <row r="5749" spans="1:3" x14ac:dyDescent="0.3">
      <c r="A5749" s="80"/>
      <c r="B5749" s="81"/>
      <c r="C5749" s="82"/>
    </row>
    <row r="5750" spans="1:3" x14ac:dyDescent="0.3">
      <c r="A5750" s="80"/>
      <c r="B5750" s="81"/>
      <c r="C5750" s="82"/>
    </row>
    <row r="5751" spans="1:3" x14ac:dyDescent="0.3">
      <c r="A5751" s="80"/>
      <c r="B5751" s="81"/>
      <c r="C5751" s="82"/>
    </row>
    <row r="5752" spans="1:3" x14ac:dyDescent="0.3">
      <c r="A5752" s="80"/>
      <c r="B5752" s="81"/>
      <c r="C5752" s="82"/>
    </row>
    <row r="5753" spans="1:3" x14ac:dyDescent="0.3">
      <c r="A5753" s="80"/>
      <c r="B5753" s="81"/>
      <c r="C5753" s="82"/>
    </row>
    <row r="5754" spans="1:3" x14ac:dyDescent="0.3">
      <c r="A5754" s="80"/>
      <c r="B5754" s="81"/>
      <c r="C5754" s="82"/>
    </row>
    <row r="5755" spans="1:3" x14ac:dyDescent="0.3">
      <c r="A5755" s="80"/>
      <c r="B5755" s="81"/>
      <c r="C5755" s="82"/>
    </row>
    <row r="5756" spans="1:3" x14ac:dyDescent="0.3">
      <c r="A5756" s="80"/>
      <c r="B5756" s="81"/>
      <c r="C5756" s="82"/>
    </row>
    <row r="5757" spans="1:3" x14ac:dyDescent="0.3">
      <c r="A5757" s="80"/>
      <c r="B5757" s="81"/>
      <c r="C5757" s="82"/>
    </row>
    <row r="5758" spans="1:3" x14ac:dyDescent="0.3">
      <c r="A5758" s="80"/>
      <c r="B5758" s="81"/>
      <c r="C5758" s="82"/>
    </row>
    <row r="5759" spans="1:3" x14ac:dyDescent="0.3">
      <c r="A5759" s="80"/>
      <c r="B5759" s="81"/>
      <c r="C5759" s="82"/>
    </row>
    <row r="5760" spans="1:3" x14ac:dyDescent="0.3">
      <c r="A5760" s="80"/>
      <c r="B5760" s="81"/>
      <c r="C5760" s="82"/>
    </row>
    <row r="5761" spans="1:3" x14ac:dyDescent="0.3">
      <c r="A5761" s="80"/>
      <c r="B5761" s="81"/>
      <c r="C5761" s="82"/>
    </row>
    <row r="5762" spans="1:3" x14ac:dyDescent="0.3">
      <c r="A5762" s="80"/>
      <c r="B5762" s="81"/>
      <c r="C5762" s="82"/>
    </row>
    <row r="5763" spans="1:3" x14ac:dyDescent="0.3">
      <c r="A5763" s="80"/>
      <c r="B5763" s="81"/>
      <c r="C5763" s="82"/>
    </row>
    <row r="5764" spans="1:3" x14ac:dyDescent="0.3">
      <c r="A5764" s="80"/>
      <c r="B5764" s="81"/>
      <c r="C5764" s="82"/>
    </row>
    <row r="5765" spans="1:3" x14ac:dyDescent="0.3">
      <c r="A5765" s="80"/>
      <c r="B5765" s="81"/>
      <c r="C5765" s="82"/>
    </row>
    <row r="5766" spans="1:3" x14ac:dyDescent="0.3">
      <c r="A5766" s="80"/>
      <c r="B5766" s="81"/>
      <c r="C5766" s="82"/>
    </row>
    <row r="5767" spans="1:3" x14ac:dyDescent="0.3">
      <c r="A5767" s="80"/>
      <c r="B5767" s="81"/>
      <c r="C5767" s="82"/>
    </row>
    <row r="5768" spans="1:3" x14ac:dyDescent="0.3">
      <c r="A5768" s="80"/>
      <c r="B5768" s="81"/>
      <c r="C5768" s="82"/>
    </row>
    <row r="5769" spans="1:3" x14ac:dyDescent="0.3">
      <c r="A5769" s="80"/>
      <c r="B5769" s="81"/>
      <c r="C5769" s="82"/>
    </row>
    <row r="5770" spans="1:3" x14ac:dyDescent="0.3">
      <c r="A5770" s="80"/>
      <c r="B5770" s="81"/>
      <c r="C5770" s="82"/>
    </row>
    <row r="5771" spans="1:3" x14ac:dyDescent="0.3">
      <c r="A5771" s="80"/>
      <c r="B5771" s="81"/>
      <c r="C5771" s="82"/>
    </row>
    <row r="5772" spans="1:3" x14ac:dyDescent="0.3">
      <c r="A5772" s="80"/>
      <c r="B5772" s="81"/>
      <c r="C5772" s="82"/>
    </row>
    <row r="5773" spans="1:3" x14ac:dyDescent="0.3">
      <c r="A5773" s="80"/>
      <c r="B5773" s="81"/>
      <c r="C5773" s="82"/>
    </row>
    <row r="5774" spans="1:3" x14ac:dyDescent="0.3">
      <c r="A5774" s="80"/>
      <c r="B5774" s="81"/>
      <c r="C5774" s="82"/>
    </row>
    <row r="5775" spans="1:3" x14ac:dyDescent="0.3">
      <c r="A5775" s="80"/>
      <c r="B5775" s="81"/>
      <c r="C5775" s="82"/>
    </row>
    <row r="5776" spans="1:3" x14ac:dyDescent="0.3">
      <c r="A5776" s="80"/>
      <c r="B5776" s="81"/>
      <c r="C5776" s="82"/>
    </row>
    <row r="5777" spans="1:3" x14ac:dyDescent="0.3">
      <c r="A5777" s="80"/>
      <c r="B5777" s="81"/>
      <c r="C5777" s="82"/>
    </row>
    <row r="5778" spans="1:3" x14ac:dyDescent="0.3">
      <c r="A5778" s="80"/>
      <c r="B5778" s="81"/>
      <c r="C5778" s="82"/>
    </row>
    <row r="5779" spans="1:3" x14ac:dyDescent="0.3">
      <c r="A5779" s="80"/>
      <c r="B5779" s="81"/>
      <c r="C5779" s="82"/>
    </row>
    <row r="5780" spans="1:3" x14ac:dyDescent="0.3">
      <c r="A5780" s="80"/>
      <c r="B5780" s="81"/>
      <c r="C5780" s="82"/>
    </row>
    <row r="5781" spans="1:3" x14ac:dyDescent="0.3">
      <c r="A5781" s="80"/>
      <c r="B5781" s="81"/>
      <c r="C5781" s="82"/>
    </row>
    <row r="5782" spans="1:3" x14ac:dyDescent="0.3">
      <c r="A5782" s="80"/>
      <c r="B5782" s="81"/>
      <c r="C5782" s="82"/>
    </row>
    <row r="5783" spans="1:3" x14ac:dyDescent="0.3">
      <c r="A5783" s="80"/>
      <c r="B5783" s="81"/>
      <c r="C5783" s="82"/>
    </row>
    <row r="5784" spans="1:3" x14ac:dyDescent="0.3">
      <c r="A5784" s="80"/>
      <c r="B5784" s="81"/>
      <c r="C5784" s="82"/>
    </row>
    <row r="5785" spans="1:3" x14ac:dyDescent="0.3">
      <c r="A5785" s="80"/>
      <c r="B5785" s="81"/>
      <c r="C5785" s="82"/>
    </row>
    <row r="5786" spans="1:3" x14ac:dyDescent="0.3">
      <c r="A5786" s="80"/>
      <c r="B5786" s="81"/>
      <c r="C5786" s="82"/>
    </row>
    <row r="5787" spans="1:3" x14ac:dyDescent="0.3">
      <c r="A5787" s="80"/>
      <c r="B5787" s="81"/>
      <c r="C5787" s="82"/>
    </row>
    <row r="5788" spans="1:3" x14ac:dyDescent="0.3">
      <c r="A5788" s="80"/>
      <c r="B5788" s="81"/>
      <c r="C5788" s="82"/>
    </row>
    <row r="5789" spans="1:3" x14ac:dyDescent="0.3">
      <c r="A5789" s="80"/>
      <c r="B5789" s="81"/>
      <c r="C5789" s="82"/>
    </row>
    <row r="5790" spans="1:3" x14ac:dyDescent="0.3">
      <c r="A5790" s="80"/>
      <c r="B5790" s="81"/>
      <c r="C5790" s="82"/>
    </row>
    <row r="5791" spans="1:3" x14ac:dyDescent="0.3">
      <c r="A5791" s="80"/>
      <c r="B5791" s="81"/>
      <c r="C5791" s="82"/>
    </row>
    <row r="5792" spans="1:3" x14ac:dyDescent="0.3">
      <c r="A5792" s="80"/>
      <c r="B5792" s="81"/>
      <c r="C5792" s="82"/>
    </row>
    <row r="5793" spans="1:3" x14ac:dyDescent="0.3">
      <c r="A5793" s="80"/>
      <c r="B5793" s="81"/>
      <c r="C5793" s="82"/>
    </row>
    <row r="5794" spans="1:3" x14ac:dyDescent="0.3">
      <c r="A5794" s="80"/>
      <c r="B5794" s="81"/>
      <c r="C5794" s="82"/>
    </row>
    <row r="5795" spans="1:3" x14ac:dyDescent="0.3">
      <c r="A5795" s="80"/>
      <c r="B5795" s="81"/>
      <c r="C5795" s="82"/>
    </row>
    <row r="5796" spans="1:3" x14ac:dyDescent="0.3">
      <c r="A5796" s="80"/>
      <c r="B5796" s="81"/>
      <c r="C5796" s="82"/>
    </row>
    <row r="5797" spans="1:3" x14ac:dyDescent="0.3">
      <c r="A5797" s="80"/>
      <c r="B5797" s="81"/>
      <c r="C5797" s="82"/>
    </row>
    <row r="5798" spans="1:3" x14ac:dyDescent="0.3">
      <c r="A5798" s="80"/>
      <c r="B5798" s="81"/>
      <c r="C5798" s="82"/>
    </row>
    <row r="5799" spans="1:3" x14ac:dyDescent="0.3">
      <c r="A5799" s="80"/>
      <c r="B5799" s="81"/>
      <c r="C5799" s="82"/>
    </row>
    <row r="5800" spans="1:3" x14ac:dyDescent="0.3">
      <c r="A5800" s="80"/>
      <c r="B5800" s="81"/>
      <c r="C5800" s="82"/>
    </row>
    <row r="5801" spans="1:3" x14ac:dyDescent="0.3">
      <c r="A5801" s="80"/>
      <c r="B5801" s="81"/>
      <c r="C5801" s="82"/>
    </row>
    <row r="5802" spans="1:3" x14ac:dyDescent="0.3">
      <c r="A5802" s="80"/>
      <c r="B5802" s="81"/>
      <c r="C5802" s="82"/>
    </row>
    <row r="5803" spans="1:3" x14ac:dyDescent="0.3">
      <c r="A5803" s="80"/>
      <c r="B5803" s="81"/>
      <c r="C5803" s="82"/>
    </row>
    <row r="5804" spans="1:3" x14ac:dyDescent="0.3">
      <c r="A5804" s="80"/>
      <c r="B5804" s="81"/>
      <c r="C5804" s="82"/>
    </row>
    <row r="5805" spans="1:3" x14ac:dyDescent="0.3">
      <c r="A5805" s="80"/>
      <c r="B5805" s="81"/>
      <c r="C5805" s="82"/>
    </row>
    <row r="5806" spans="1:3" x14ac:dyDescent="0.3">
      <c r="A5806" s="80"/>
      <c r="B5806" s="81"/>
      <c r="C5806" s="82"/>
    </row>
    <row r="5807" spans="1:3" x14ac:dyDescent="0.3">
      <c r="A5807" s="80"/>
      <c r="B5807" s="81"/>
      <c r="C5807" s="82"/>
    </row>
    <row r="5808" spans="1:3" x14ac:dyDescent="0.3">
      <c r="A5808" s="80"/>
      <c r="B5808" s="81"/>
      <c r="C5808" s="82"/>
    </row>
    <row r="5809" spans="1:3" x14ac:dyDescent="0.3">
      <c r="A5809" s="80"/>
      <c r="B5809" s="81"/>
      <c r="C5809" s="82"/>
    </row>
    <row r="5810" spans="1:3" x14ac:dyDescent="0.3">
      <c r="A5810" s="80"/>
      <c r="B5810" s="81"/>
      <c r="C5810" s="82"/>
    </row>
    <row r="5811" spans="1:3" x14ac:dyDescent="0.3">
      <c r="A5811" s="80"/>
      <c r="B5811" s="81"/>
      <c r="C5811" s="82"/>
    </row>
    <row r="5812" spans="1:3" x14ac:dyDescent="0.3">
      <c r="A5812" s="80"/>
      <c r="B5812" s="81"/>
      <c r="C5812" s="82"/>
    </row>
    <row r="5813" spans="1:3" x14ac:dyDescent="0.3">
      <c r="A5813" s="80"/>
      <c r="B5813" s="81"/>
      <c r="C5813" s="82"/>
    </row>
    <row r="5814" spans="1:3" x14ac:dyDescent="0.3">
      <c r="A5814" s="80"/>
      <c r="B5814" s="81"/>
      <c r="C5814" s="82"/>
    </row>
    <row r="5815" spans="1:3" x14ac:dyDescent="0.3">
      <c r="A5815" s="80"/>
      <c r="B5815" s="81"/>
      <c r="C5815" s="82"/>
    </row>
    <row r="5816" spans="1:3" x14ac:dyDescent="0.3">
      <c r="A5816" s="80"/>
      <c r="B5816" s="81"/>
      <c r="C5816" s="82"/>
    </row>
    <row r="5817" spans="1:3" x14ac:dyDescent="0.3">
      <c r="A5817" s="80"/>
      <c r="B5817" s="81"/>
      <c r="C5817" s="82"/>
    </row>
    <row r="5818" spans="1:3" x14ac:dyDescent="0.3">
      <c r="A5818" s="80"/>
      <c r="B5818" s="81"/>
      <c r="C5818" s="82"/>
    </row>
    <row r="5819" spans="1:3" x14ac:dyDescent="0.3">
      <c r="A5819" s="80"/>
      <c r="B5819" s="81"/>
      <c r="C5819" s="82"/>
    </row>
    <row r="5820" spans="1:3" x14ac:dyDescent="0.3">
      <c r="A5820" s="80"/>
      <c r="B5820" s="81"/>
      <c r="C5820" s="82"/>
    </row>
    <row r="5821" spans="1:3" x14ac:dyDescent="0.3">
      <c r="A5821" s="80"/>
      <c r="B5821" s="81"/>
      <c r="C5821" s="82"/>
    </row>
    <row r="5822" spans="1:3" x14ac:dyDescent="0.3">
      <c r="A5822" s="80"/>
      <c r="B5822" s="81"/>
      <c r="C5822" s="82"/>
    </row>
    <row r="5823" spans="1:3" x14ac:dyDescent="0.3">
      <c r="A5823" s="80"/>
      <c r="B5823" s="81"/>
      <c r="C5823" s="82"/>
    </row>
    <row r="5824" spans="1:3" x14ac:dyDescent="0.3">
      <c r="A5824" s="80"/>
      <c r="B5824" s="81"/>
      <c r="C5824" s="82"/>
    </row>
    <row r="5825" spans="1:3" x14ac:dyDescent="0.3">
      <c r="A5825" s="80"/>
      <c r="B5825" s="81"/>
      <c r="C5825" s="82"/>
    </row>
    <row r="5826" spans="1:3" x14ac:dyDescent="0.3">
      <c r="A5826" s="80"/>
      <c r="B5826" s="81"/>
      <c r="C5826" s="82"/>
    </row>
    <row r="5827" spans="1:3" x14ac:dyDescent="0.3">
      <c r="A5827" s="80"/>
      <c r="B5827" s="81"/>
      <c r="C5827" s="82"/>
    </row>
    <row r="5828" spans="1:3" x14ac:dyDescent="0.3">
      <c r="A5828" s="80"/>
      <c r="B5828" s="81"/>
      <c r="C5828" s="82"/>
    </row>
    <row r="5829" spans="1:3" x14ac:dyDescent="0.3">
      <c r="A5829" s="80"/>
      <c r="B5829" s="81"/>
      <c r="C5829" s="82"/>
    </row>
    <row r="5830" spans="1:3" x14ac:dyDescent="0.3">
      <c r="A5830" s="80"/>
      <c r="B5830" s="81"/>
      <c r="C5830" s="82"/>
    </row>
    <row r="5831" spans="1:3" x14ac:dyDescent="0.3">
      <c r="A5831" s="80"/>
      <c r="B5831" s="81"/>
      <c r="C5831" s="82"/>
    </row>
    <row r="5832" spans="1:3" x14ac:dyDescent="0.3">
      <c r="A5832" s="80"/>
      <c r="B5832" s="81"/>
      <c r="C5832" s="82"/>
    </row>
    <row r="5833" spans="1:3" x14ac:dyDescent="0.3">
      <c r="A5833" s="80"/>
      <c r="B5833" s="81"/>
      <c r="C5833" s="82"/>
    </row>
    <row r="5834" spans="1:3" x14ac:dyDescent="0.3">
      <c r="A5834" s="80"/>
      <c r="B5834" s="81"/>
      <c r="C5834" s="82"/>
    </row>
    <row r="5835" spans="1:3" x14ac:dyDescent="0.3">
      <c r="A5835" s="80"/>
      <c r="B5835" s="81"/>
      <c r="C5835" s="82"/>
    </row>
    <row r="5836" spans="1:3" x14ac:dyDescent="0.3">
      <c r="A5836" s="80"/>
      <c r="B5836" s="81"/>
      <c r="C5836" s="82"/>
    </row>
    <row r="5837" spans="1:3" x14ac:dyDescent="0.3">
      <c r="A5837" s="80"/>
      <c r="B5837" s="81"/>
      <c r="C5837" s="82"/>
    </row>
    <row r="5838" spans="1:3" x14ac:dyDescent="0.3">
      <c r="A5838" s="80"/>
      <c r="B5838" s="81"/>
      <c r="C5838" s="82"/>
    </row>
    <row r="5839" spans="1:3" x14ac:dyDescent="0.3">
      <c r="A5839" s="80"/>
      <c r="B5839" s="81"/>
      <c r="C5839" s="82"/>
    </row>
    <row r="5840" spans="1:3" x14ac:dyDescent="0.3">
      <c r="A5840" s="80"/>
      <c r="B5840" s="81"/>
      <c r="C5840" s="82"/>
    </row>
    <row r="5841" spans="1:3" x14ac:dyDescent="0.3">
      <c r="A5841" s="80"/>
      <c r="B5841" s="81"/>
      <c r="C5841" s="82"/>
    </row>
    <row r="5842" spans="1:3" x14ac:dyDescent="0.3">
      <c r="A5842" s="80"/>
      <c r="B5842" s="81"/>
      <c r="C5842" s="82"/>
    </row>
    <row r="5843" spans="1:3" x14ac:dyDescent="0.3">
      <c r="A5843" s="80"/>
      <c r="B5843" s="81"/>
      <c r="C5843" s="82"/>
    </row>
    <row r="5844" spans="1:3" x14ac:dyDescent="0.3">
      <c r="A5844" s="80"/>
      <c r="B5844" s="81"/>
      <c r="C5844" s="82"/>
    </row>
    <row r="5845" spans="1:3" x14ac:dyDescent="0.3">
      <c r="A5845" s="80"/>
      <c r="B5845" s="81"/>
      <c r="C5845" s="82"/>
    </row>
    <row r="5846" spans="1:3" x14ac:dyDescent="0.3">
      <c r="A5846" s="80"/>
      <c r="B5846" s="81"/>
      <c r="C5846" s="82"/>
    </row>
    <row r="5847" spans="1:3" x14ac:dyDescent="0.3">
      <c r="A5847" s="80"/>
      <c r="B5847" s="81"/>
      <c r="C5847" s="82"/>
    </row>
    <row r="5848" spans="1:3" x14ac:dyDescent="0.3">
      <c r="A5848" s="80"/>
      <c r="B5848" s="81"/>
      <c r="C5848" s="82"/>
    </row>
    <row r="5849" spans="1:3" x14ac:dyDescent="0.3">
      <c r="A5849" s="80"/>
      <c r="B5849" s="81"/>
      <c r="C5849" s="82"/>
    </row>
    <row r="5850" spans="1:3" x14ac:dyDescent="0.3">
      <c r="A5850" s="80"/>
      <c r="B5850" s="81"/>
      <c r="C5850" s="82"/>
    </row>
    <row r="5851" spans="1:3" x14ac:dyDescent="0.3">
      <c r="A5851" s="80"/>
      <c r="B5851" s="81"/>
      <c r="C5851" s="82"/>
    </row>
    <row r="5852" spans="1:3" x14ac:dyDescent="0.3">
      <c r="A5852" s="80"/>
      <c r="B5852" s="81"/>
      <c r="C5852" s="82"/>
    </row>
    <row r="5853" spans="1:3" x14ac:dyDescent="0.3">
      <c r="A5853" s="80"/>
      <c r="B5853" s="81"/>
      <c r="C5853" s="82"/>
    </row>
    <row r="5854" spans="1:3" x14ac:dyDescent="0.3">
      <c r="A5854" s="80"/>
      <c r="B5854" s="81"/>
      <c r="C5854" s="82"/>
    </row>
    <row r="5855" spans="1:3" x14ac:dyDescent="0.3">
      <c r="A5855" s="80"/>
      <c r="B5855" s="81"/>
      <c r="C5855" s="82"/>
    </row>
    <row r="5856" spans="1:3" x14ac:dyDescent="0.3">
      <c r="A5856" s="80"/>
      <c r="B5856" s="81"/>
      <c r="C5856" s="82"/>
    </row>
    <row r="5857" spans="1:3" x14ac:dyDescent="0.3">
      <c r="A5857" s="80"/>
      <c r="B5857" s="81"/>
      <c r="C5857" s="82"/>
    </row>
    <row r="5858" spans="1:3" x14ac:dyDescent="0.3">
      <c r="A5858" s="80"/>
      <c r="B5858" s="81"/>
      <c r="C5858" s="82"/>
    </row>
    <row r="5859" spans="1:3" x14ac:dyDescent="0.3">
      <c r="A5859" s="80"/>
      <c r="B5859" s="81"/>
      <c r="C5859" s="82"/>
    </row>
    <row r="5860" spans="1:3" x14ac:dyDescent="0.3">
      <c r="A5860" s="80"/>
      <c r="B5860" s="81"/>
      <c r="C5860" s="82"/>
    </row>
    <row r="5861" spans="1:3" x14ac:dyDescent="0.3">
      <c r="A5861" s="80"/>
      <c r="B5861" s="81"/>
      <c r="C5861" s="82"/>
    </row>
    <row r="5862" spans="1:3" x14ac:dyDescent="0.3">
      <c r="A5862" s="80"/>
      <c r="B5862" s="81"/>
      <c r="C5862" s="82"/>
    </row>
    <row r="5863" spans="1:3" x14ac:dyDescent="0.3">
      <c r="A5863" s="80"/>
      <c r="B5863" s="81"/>
      <c r="C5863" s="82"/>
    </row>
    <row r="5864" spans="1:3" x14ac:dyDescent="0.3">
      <c r="A5864" s="80"/>
      <c r="B5864" s="81"/>
      <c r="C5864" s="82"/>
    </row>
    <row r="5865" spans="1:3" x14ac:dyDescent="0.3">
      <c r="A5865" s="80"/>
      <c r="B5865" s="81"/>
      <c r="C5865" s="82"/>
    </row>
    <row r="5866" spans="1:3" x14ac:dyDescent="0.3">
      <c r="A5866" s="80"/>
      <c r="B5866" s="81"/>
      <c r="C5866" s="82"/>
    </row>
    <row r="5867" spans="1:3" x14ac:dyDescent="0.3">
      <c r="A5867" s="80"/>
      <c r="B5867" s="81"/>
      <c r="C5867" s="82"/>
    </row>
    <row r="5868" spans="1:3" x14ac:dyDescent="0.3">
      <c r="A5868" s="80"/>
      <c r="B5868" s="81"/>
      <c r="C5868" s="82"/>
    </row>
    <row r="5869" spans="1:3" x14ac:dyDescent="0.3">
      <c r="A5869" s="80"/>
      <c r="B5869" s="81"/>
      <c r="C5869" s="82"/>
    </row>
    <row r="5870" spans="1:3" x14ac:dyDescent="0.3">
      <c r="A5870" s="80"/>
      <c r="B5870" s="81"/>
      <c r="C5870" s="82"/>
    </row>
    <row r="5871" spans="1:3" x14ac:dyDescent="0.3">
      <c r="A5871" s="80"/>
      <c r="B5871" s="81"/>
      <c r="C5871" s="82"/>
    </row>
    <row r="5872" spans="1:3" x14ac:dyDescent="0.3">
      <c r="A5872" s="80"/>
      <c r="B5872" s="81"/>
      <c r="C5872" s="82"/>
    </row>
    <row r="5873" spans="1:3" x14ac:dyDescent="0.3">
      <c r="A5873" s="80"/>
      <c r="B5873" s="81"/>
      <c r="C5873" s="82"/>
    </row>
    <row r="5874" spans="1:3" x14ac:dyDescent="0.3">
      <c r="A5874" s="80"/>
      <c r="B5874" s="81"/>
      <c r="C5874" s="82"/>
    </row>
    <row r="5875" spans="1:3" x14ac:dyDescent="0.3">
      <c r="A5875" s="80"/>
      <c r="B5875" s="81"/>
      <c r="C5875" s="82"/>
    </row>
    <row r="5876" spans="1:3" x14ac:dyDescent="0.3">
      <c r="A5876" s="80"/>
      <c r="B5876" s="81"/>
      <c r="C5876" s="82"/>
    </row>
    <row r="5877" spans="1:3" x14ac:dyDescent="0.3">
      <c r="A5877" s="80"/>
      <c r="B5877" s="81"/>
      <c r="C5877" s="82"/>
    </row>
    <row r="5878" spans="1:3" x14ac:dyDescent="0.3">
      <c r="A5878" s="80"/>
      <c r="B5878" s="81"/>
      <c r="C5878" s="82"/>
    </row>
    <row r="5879" spans="1:3" x14ac:dyDescent="0.3">
      <c r="A5879" s="80"/>
      <c r="B5879" s="81"/>
      <c r="C5879" s="82"/>
    </row>
    <row r="5880" spans="1:3" x14ac:dyDescent="0.3">
      <c r="A5880" s="80"/>
      <c r="B5880" s="81"/>
      <c r="C5880" s="82"/>
    </row>
    <row r="5881" spans="1:3" x14ac:dyDescent="0.3">
      <c r="A5881" s="80"/>
      <c r="B5881" s="81"/>
      <c r="C5881" s="82"/>
    </row>
    <row r="5882" spans="1:3" x14ac:dyDescent="0.3">
      <c r="A5882" s="80"/>
      <c r="B5882" s="81"/>
      <c r="C5882" s="82"/>
    </row>
    <row r="5883" spans="1:3" x14ac:dyDescent="0.3">
      <c r="A5883" s="80"/>
      <c r="B5883" s="81"/>
      <c r="C5883" s="82"/>
    </row>
    <row r="5884" spans="1:3" x14ac:dyDescent="0.3">
      <c r="A5884" s="80"/>
      <c r="B5884" s="81"/>
      <c r="C5884" s="82"/>
    </row>
    <row r="5885" spans="1:3" x14ac:dyDescent="0.3">
      <c r="A5885" s="80"/>
      <c r="B5885" s="81"/>
      <c r="C5885" s="82"/>
    </row>
    <row r="5886" spans="1:3" x14ac:dyDescent="0.3">
      <c r="A5886" s="80"/>
      <c r="B5886" s="81"/>
      <c r="C5886" s="82"/>
    </row>
    <row r="5887" spans="1:3" x14ac:dyDescent="0.3">
      <c r="A5887" s="80"/>
      <c r="B5887" s="81"/>
      <c r="C5887" s="82"/>
    </row>
    <row r="5888" spans="1:3" x14ac:dyDescent="0.3">
      <c r="A5888" s="80"/>
      <c r="B5888" s="81"/>
      <c r="C5888" s="82"/>
    </row>
    <row r="5889" spans="1:3" x14ac:dyDescent="0.3">
      <c r="A5889" s="80"/>
      <c r="B5889" s="81"/>
      <c r="C5889" s="82"/>
    </row>
    <row r="5890" spans="1:3" x14ac:dyDescent="0.3">
      <c r="A5890" s="80"/>
      <c r="B5890" s="81"/>
      <c r="C5890" s="82"/>
    </row>
    <row r="5891" spans="1:3" x14ac:dyDescent="0.3">
      <c r="A5891" s="80"/>
      <c r="B5891" s="81"/>
      <c r="C5891" s="82"/>
    </row>
    <row r="5892" spans="1:3" x14ac:dyDescent="0.3">
      <c r="A5892" s="80"/>
      <c r="B5892" s="81"/>
      <c r="C5892" s="82"/>
    </row>
    <row r="5893" spans="1:3" x14ac:dyDescent="0.3">
      <c r="A5893" s="80"/>
      <c r="B5893" s="81"/>
      <c r="C5893" s="82"/>
    </row>
    <row r="5894" spans="1:3" x14ac:dyDescent="0.3">
      <c r="A5894" s="80"/>
      <c r="B5894" s="81"/>
      <c r="C5894" s="82"/>
    </row>
    <row r="5895" spans="1:3" x14ac:dyDescent="0.3">
      <c r="A5895" s="80"/>
      <c r="B5895" s="81"/>
      <c r="C5895" s="82"/>
    </row>
    <row r="5896" spans="1:3" x14ac:dyDescent="0.3">
      <c r="A5896" s="80"/>
      <c r="B5896" s="81"/>
      <c r="C5896" s="82"/>
    </row>
    <row r="5897" spans="1:3" x14ac:dyDescent="0.3">
      <c r="A5897" s="80"/>
      <c r="B5897" s="81"/>
      <c r="C5897" s="82"/>
    </row>
    <row r="5898" spans="1:3" x14ac:dyDescent="0.3">
      <c r="A5898" s="80"/>
      <c r="B5898" s="81"/>
      <c r="C5898" s="82"/>
    </row>
    <row r="5899" spans="1:3" x14ac:dyDescent="0.3">
      <c r="A5899" s="80"/>
      <c r="B5899" s="81"/>
      <c r="C5899" s="82"/>
    </row>
    <row r="5900" spans="1:3" x14ac:dyDescent="0.3">
      <c r="A5900" s="80"/>
      <c r="B5900" s="81"/>
      <c r="C5900" s="82"/>
    </row>
    <row r="5901" spans="1:3" x14ac:dyDescent="0.3">
      <c r="A5901" s="80"/>
      <c r="B5901" s="81"/>
      <c r="C5901" s="82"/>
    </row>
    <row r="5902" spans="1:3" x14ac:dyDescent="0.3">
      <c r="A5902" s="80"/>
      <c r="B5902" s="81"/>
      <c r="C5902" s="82"/>
    </row>
    <row r="5903" spans="1:3" x14ac:dyDescent="0.3">
      <c r="A5903" s="80"/>
      <c r="B5903" s="81"/>
      <c r="C5903" s="82"/>
    </row>
    <row r="5904" spans="1:3" x14ac:dyDescent="0.3">
      <c r="A5904" s="80"/>
      <c r="B5904" s="81"/>
      <c r="C5904" s="82"/>
    </row>
    <row r="5905" spans="1:3" x14ac:dyDescent="0.3">
      <c r="A5905" s="80"/>
      <c r="B5905" s="81"/>
      <c r="C5905" s="82"/>
    </row>
    <row r="5906" spans="1:3" x14ac:dyDescent="0.3">
      <c r="A5906" s="80"/>
      <c r="B5906" s="81"/>
      <c r="C5906" s="82"/>
    </row>
    <row r="5907" spans="1:3" x14ac:dyDescent="0.3">
      <c r="A5907" s="80"/>
      <c r="B5907" s="81"/>
      <c r="C5907" s="82"/>
    </row>
    <row r="5908" spans="1:3" x14ac:dyDescent="0.3">
      <c r="A5908" s="80"/>
      <c r="B5908" s="81"/>
      <c r="C5908" s="82"/>
    </row>
    <row r="5909" spans="1:3" x14ac:dyDescent="0.3">
      <c r="A5909" s="80"/>
      <c r="B5909" s="81"/>
      <c r="C5909" s="82"/>
    </row>
    <row r="5910" spans="1:3" x14ac:dyDescent="0.3">
      <c r="A5910" s="80"/>
      <c r="B5910" s="81"/>
      <c r="C5910" s="82"/>
    </row>
    <row r="5911" spans="1:3" x14ac:dyDescent="0.3">
      <c r="A5911" s="80"/>
      <c r="B5911" s="81"/>
      <c r="C5911" s="82"/>
    </row>
    <row r="5912" spans="1:3" x14ac:dyDescent="0.3">
      <c r="A5912" s="80"/>
      <c r="B5912" s="81"/>
      <c r="C5912" s="82"/>
    </row>
    <row r="5913" spans="1:3" x14ac:dyDescent="0.3">
      <c r="A5913" s="80"/>
      <c r="B5913" s="81"/>
      <c r="C5913" s="82"/>
    </row>
    <row r="5914" spans="1:3" x14ac:dyDescent="0.3">
      <c r="A5914" s="80"/>
      <c r="B5914" s="81"/>
      <c r="C5914" s="82"/>
    </row>
    <row r="5915" spans="1:3" x14ac:dyDescent="0.3">
      <c r="A5915" s="80"/>
      <c r="B5915" s="81"/>
      <c r="C5915" s="82"/>
    </row>
    <row r="5916" spans="1:3" x14ac:dyDescent="0.3">
      <c r="A5916" s="80"/>
      <c r="B5916" s="81"/>
      <c r="C5916" s="82"/>
    </row>
    <row r="5917" spans="1:3" x14ac:dyDescent="0.3">
      <c r="A5917" s="80"/>
      <c r="B5917" s="81"/>
      <c r="C5917" s="82"/>
    </row>
    <row r="5918" spans="1:3" x14ac:dyDescent="0.3">
      <c r="A5918" s="80"/>
      <c r="B5918" s="81"/>
      <c r="C5918" s="82"/>
    </row>
    <row r="5919" spans="1:3" x14ac:dyDescent="0.3">
      <c r="A5919" s="80"/>
      <c r="B5919" s="81"/>
      <c r="C5919" s="82"/>
    </row>
    <row r="5920" spans="1:3" x14ac:dyDescent="0.3">
      <c r="A5920" s="80"/>
      <c r="B5920" s="81"/>
      <c r="C5920" s="82"/>
    </row>
    <row r="5921" spans="1:3" x14ac:dyDescent="0.3">
      <c r="A5921" s="80"/>
      <c r="B5921" s="81"/>
      <c r="C5921" s="82"/>
    </row>
    <row r="5922" spans="1:3" x14ac:dyDescent="0.3">
      <c r="A5922" s="80"/>
      <c r="B5922" s="81"/>
      <c r="C5922" s="82"/>
    </row>
    <row r="5923" spans="1:3" x14ac:dyDescent="0.3">
      <c r="A5923" s="80"/>
      <c r="B5923" s="81"/>
      <c r="C5923" s="82"/>
    </row>
    <row r="5924" spans="1:3" x14ac:dyDescent="0.3">
      <c r="A5924" s="80"/>
      <c r="B5924" s="81"/>
      <c r="C5924" s="82"/>
    </row>
    <row r="5925" spans="1:3" x14ac:dyDescent="0.3">
      <c r="A5925" s="80"/>
      <c r="B5925" s="81"/>
      <c r="C5925" s="82"/>
    </row>
    <row r="5926" spans="1:3" x14ac:dyDescent="0.3">
      <c r="A5926" s="80"/>
      <c r="B5926" s="81"/>
      <c r="C5926" s="82"/>
    </row>
    <row r="5927" spans="1:3" x14ac:dyDescent="0.3">
      <c r="A5927" s="80"/>
      <c r="B5927" s="81"/>
      <c r="C5927" s="82"/>
    </row>
    <row r="5928" spans="1:3" x14ac:dyDescent="0.3">
      <c r="A5928" s="80"/>
      <c r="B5928" s="81"/>
      <c r="C5928" s="82"/>
    </row>
    <row r="5929" spans="1:3" x14ac:dyDescent="0.3">
      <c r="A5929" s="80"/>
      <c r="B5929" s="81"/>
      <c r="C5929" s="82"/>
    </row>
    <row r="5930" spans="1:3" x14ac:dyDescent="0.3">
      <c r="A5930" s="80"/>
      <c r="B5930" s="81"/>
      <c r="C5930" s="82"/>
    </row>
    <row r="5931" spans="1:3" x14ac:dyDescent="0.3">
      <c r="A5931" s="80"/>
      <c r="B5931" s="81"/>
      <c r="C5931" s="82"/>
    </row>
    <row r="5932" spans="1:3" x14ac:dyDescent="0.3">
      <c r="A5932" s="80"/>
      <c r="B5932" s="81"/>
      <c r="C5932" s="82"/>
    </row>
    <row r="5933" spans="1:3" x14ac:dyDescent="0.3">
      <c r="A5933" s="80"/>
      <c r="B5933" s="81"/>
      <c r="C5933" s="82"/>
    </row>
    <row r="5934" spans="1:3" x14ac:dyDescent="0.3">
      <c r="A5934" s="80"/>
      <c r="B5934" s="81"/>
      <c r="C5934" s="82"/>
    </row>
    <row r="5935" spans="1:3" x14ac:dyDescent="0.3">
      <c r="A5935" s="80"/>
      <c r="B5935" s="81"/>
      <c r="C5935" s="82"/>
    </row>
    <row r="5936" spans="1:3" x14ac:dyDescent="0.3">
      <c r="A5936" s="80"/>
      <c r="B5936" s="81"/>
      <c r="C5936" s="82"/>
    </row>
    <row r="5937" spans="1:3" x14ac:dyDescent="0.3">
      <c r="A5937" s="80"/>
      <c r="B5937" s="81"/>
      <c r="C5937" s="82"/>
    </row>
    <row r="5938" spans="1:3" x14ac:dyDescent="0.3">
      <c r="A5938" s="80"/>
      <c r="B5938" s="81"/>
      <c r="C5938" s="82"/>
    </row>
    <row r="5939" spans="1:3" x14ac:dyDescent="0.3">
      <c r="A5939" s="80"/>
      <c r="B5939" s="81"/>
      <c r="C5939" s="82"/>
    </row>
    <row r="5940" spans="1:3" x14ac:dyDescent="0.3">
      <c r="A5940" s="80"/>
      <c r="B5940" s="81"/>
      <c r="C5940" s="82"/>
    </row>
    <row r="5941" spans="1:3" x14ac:dyDescent="0.3">
      <c r="A5941" s="80"/>
      <c r="B5941" s="81"/>
      <c r="C5941" s="82"/>
    </row>
    <row r="5942" spans="1:3" x14ac:dyDescent="0.3">
      <c r="A5942" s="80"/>
      <c r="B5942" s="81"/>
      <c r="C5942" s="82"/>
    </row>
    <row r="5943" spans="1:3" x14ac:dyDescent="0.3">
      <c r="A5943" s="80"/>
      <c r="B5943" s="81"/>
      <c r="C5943" s="82"/>
    </row>
    <row r="5944" spans="1:3" x14ac:dyDescent="0.3">
      <c r="A5944" s="80"/>
      <c r="B5944" s="81"/>
      <c r="C5944" s="82"/>
    </row>
    <row r="5945" spans="1:3" x14ac:dyDescent="0.3">
      <c r="A5945" s="80"/>
      <c r="B5945" s="81"/>
      <c r="C5945" s="82"/>
    </row>
    <row r="5946" spans="1:3" x14ac:dyDescent="0.3">
      <c r="A5946" s="80"/>
      <c r="B5946" s="81"/>
      <c r="C5946" s="82"/>
    </row>
    <row r="5947" spans="1:3" x14ac:dyDescent="0.3">
      <c r="A5947" s="80"/>
      <c r="B5947" s="81"/>
      <c r="C5947" s="82"/>
    </row>
    <row r="5948" spans="1:3" x14ac:dyDescent="0.3">
      <c r="A5948" s="80"/>
      <c r="B5948" s="81"/>
      <c r="C5948" s="82"/>
    </row>
    <row r="5949" spans="1:3" x14ac:dyDescent="0.3">
      <c r="A5949" s="80"/>
      <c r="B5949" s="81"/>
      <c r="C5949" s="82"/>
    </row>
    <row r="5950" spans="1:3" x14ac:dyDescent="0.3">
      <c r="A5950" s="80"/>
      <c r="B5950" s="81"/>
      <c r="C5950" s="82"/>
    </row>
    <row r="5951" spans="1:3" x14ac:dyDescent="0.3">
      <c r="A5951" s="80"/>
      <c r="B5951" s="81"/>
      <c r="C5951" s="82"/>
    </row>
    <row r="5952" spans="1:3" x14ac:dyDescent="0.3">
      <c r="A5952" s="80"/>
      <c r="B5952" s="81"/>
      <c r="C5952" s="82"/>
    </row>
    <row r="5953" spans="1:3" x14ac:dyDescent="0.3">
      <c r="A5953" s="80"/>
      <c r="B5953" s="81"/>
      <c r="C5953" s="82"/>
    </row>
    <row r="5954" spans="1:3" x14ac:dyDescent="0.3">
      <c r="A5954" s="80"/>
      <c r="B5954" s="81"/>
      <c r="C5954" s="82"/>
    </row>
    <row r="5955" spans="1:3" x14ac:dyDescent="0.3">
      <c r="A5955" s="80"/>
      <c r="B5955" s="81"/>
      <c r="C5955" s="82"/>
    </row>
    <row r="5956" spans="1:3" x14ac:dyDescent="0.3">
      <c r="A5956" s="80"/>
      <c r="B5956" s="81"/>
      <c r="C5956" s="82"/>
    </row>
    <row r="5957" spans="1:3" x14ac:dyDescent="0.3">
      <c r="A5957" s="80"/>
      <c r="B5957" s="81"/>
      <c r="C5957" s="82"/>
    </row>
    <row r="5958" spans="1:3" x14ac:dyDescent="0.3">
      <c r="A5958" s="80"/>
      <c r="B5958" s="81"/>
      <c r="C5958" s="82"/>
    </row>
    <row r="5959" spans="1:3" x14ac:dyDescent="0.3">
      <c r="A5959" s="80"/>
      <c r="B5959" s="81"/>
      <c r="C5959" s="82"/>
    </row>
    <row r="5960" spans="1:3" x14ac:dyDescent="0.3">
      <c r="A5960" s="80"/>
      <c r="B5960" s="81"/>
      <c r="C5960" s="82"/>
    </row>
    <row r="5961" spans="1:3" x14ac:dyDescent="0.3">
      <c r="A5961" s="80"/>
      <c r="B5961" s="81"/>
      <c r="C5961" s="82"/>
    </row>
    <row r="5962" spans="1:3" x14ac:dyDescent="0.3">
      <c r="A5962" s="80"/>
      <c r="B5962" s="81"/>
      <c r="C5962" s="82"/>
    </row>
    <row r="5963" spans="1:3" x14ac:dyDescent="0.3">
      <c r="A5963" s="80"/>
      <c r="B5963" s="81"/>
      <c r="C5963" s="82"/>
    </row>
    <row r="5964" spans="1:3" x14ac:dyDescent="0.3">
      <c r="A5964" s="80"/>
      <c r="B5964" s="81"/>
      <c r="C5964" s="82"/>
    </row>
    <row r="5965" spans="1:3" x14ac:dyDescent="0.3">
      <c r="A5965" s="80"/>
      <c r="B5965" s="81"/>
      <c r="C5965" s="82"/>
    </row>
    <row r="5966" spans="1:3" x14ac:dyDescent="0.3">
      <c r="A5966" s="80"/>
      <c r="B5966" s="81"/>
      <c r="C5966" s="82"/>
    </row>
    <row r="5967" spans="1:3" x14ac:dyDescent="0.3">
      <c r="A5967" s="80"/>
      <c r="B5967" s="81"/>
      <c r="C5967" s="82"/>
    </row>
    <row r="5968" spans="1:3" x14ac:dyDescent="0.3">
      <c r="A5968" s="80"/>
      <c r="B5968" s="81"/>
      <c r="C5968" s="82"/>
    </row>
    <row r="5969" spans="1:3" x14ac:dyDescent="0.3">
      <c r="A5969" s="80"/>
      <c r="B5969" s="81"/>
      <c r="C5969" s="82"/>
    </row>
    <row r="5970" spans="1:3" x14ac:dyDescent="0.3">
      <c r="A5970" s="80"/>
      <c r="B5970" s="81"/>
      <c r="C5970" s="82"/>
    </row>
    <row r="5971" spans="1:3" x14ac:dyDescent="0.3">
      <c r="A5971" s="80"/>
      <c r="B5971" s="81"/>
      <c r="C5971" s="82"/>
    </row>
    <row r="5972" spans="1:3" x14ac:dyDescent="0.3">
      <c r="A5972" s="80"/>
      <c r="B5972" s="81"/>
      <c r="C5972" s="82"/>
    </row>
    <row r="5973" spans="1:3" x14ac:dyDescent="0.3">
      <c r="A5973" s="80"/>
      <c r="B5973" s="81"/>
      <c r="C5973" s="82"/>
    </row>
    <row r="5974" spans="1:3" x14ac:dyDescent="0.3">
      <c r="A5974" s="80"/>
      <c r="B5974" s="81"/>
      <c r="C5974" s="82"/>
    </row>
    <row r="5975" spans="1:3" x14ac:dyDescent="0.3">
      <c r="A5975" s="80"/>
      <c r="B5975" s="81"/>
      <c r="C5975" s="82"/>
    </row>
    <row r="5976" spans="1:3" x14ac:dyDescent="0.3">
      <c r="A5976" s="80"/>
      <c r="B5976" s="81"/>
      <c r="C5976" s="82"/>
    </row>
    <row r="5977" spans="1:3" x14ac:dyDescent="0.3">
      <c r="A5977" s="80"/>
      <c r="B5977" s="81"/>
      <c r="C5977" s="82"/>
    </row>
    <row r="5978" spans="1:3" x14ac:dyDescent="0.3">
      <c r="A5978" s="80"/>
      <c r="B5978" s="81"/>
      <c r="C5978" s="82"/>
    </row>
    <row r="5979" spans="1:3" x14ac:dyDescent="0.3">
      <c r="A5979" s="80"/>
      <c r="B5979" s="81"/>
      <c r="C5979" s="82"/>
    </row>
    <row r="5980" spans="1:3" x14ac:dyDescent="0.3">
      <c r="A5980" s="80"/>
      <c r="B5980" s="81"/>
      <c r="C5980" s="82"/>
    </row>
    <row r="5981" spans="1:3" x14ac:dyDescent="0.3">
      <c r="A5981" s="80"/>
      <c r="B5981" s="81"/>
      <c r="C5981" s="82"/>
    </row>
    <row r="5982" spans="1:3" x14ac:dyDescent="0.3">
      <c r="A5982" s="80"/>
      <c r="B5982" s="81"/>
      <c r="C5982" s="82"/>
    </row>
    <row r="5983" spans="1:3" x14ac:dyDescent="0.3">
      <c r="A5983" s="80"/>
      <c r="B5983" s="81"/>
      <c r="C5983" s="82"/>
    </row>
    <row r="5984" spans="1:3" x14ac:dyDescent="0.3">
      <c r="A5984" s="80"/>
      <c r="B5984" s="81"/>
      <c r="C5984" s="82"/>
    </row>
    <row r="5985" spans="1:3" x14ac:dyDescent="0.3">
      <c r="A5985" s="80"/>
      <c r="B5985" s="81"/>
      <c r="C5985" s="82"/>
    </row>
    <row r="5986" spans="1:3" x14ac:dyDescent="0.3">
      <c r="A5986" s="80"/>
      <c r="B5986" s="81"/>
      <c r="C5986" s="82"/>
    </row>
    <row r="5987" spans="1:3" x14ac:dyDescent="0.3">
      <c r="A5987" s="80"/>
      <c r="B5987" s="81"/>
      <c r="C5987" s="82"/>
    </row>
    <row r="5988" spans="1:3" x14ac:dyDescent="0.3">
      <c r="A5988" s="80"/>
      <c r="B5988" s="81"/>
      <c r="C5988" s="82"/>
    </row>
    <row r="5989" spans="1:3" x14ac:dyDescent="0.3">
      <c r="A5989" s="80"/>
      <c r="B5989" s="81"/>
      <c r="C5989" s="82"/>
    </row>
    <row r="5990" spans="1:3" x14ac:dyDescent="0.3">
      <c r="A5990" s="80"/>
      <c r="B5990" s="81"/>
      <c r="C5990" s="82"/>
    </row>
    <row r="5991" spans="1:3" x14ac:dyDescent="0.3">
      <c r="A5991" s="80"/>
      <c r="B5991" s="81"/>
      <c r="C5991" s="82"/>
    </row>
    <row r="5992" spans="1:3" x14ac:dyDescent="0.3">
      <c r="A5992" s="80"/>
      <c r="B5992" s="81"/>
      <c r="C5992" s="82"/>
    </row>
    <row r="5993" spans="1:3" x14ac:dyDescent="0.3">
      <c r="A5993" s="80"/>
      <c r="B5993" s="81"/>
      <c r="C5993" s="82"/>
    </row>
    <row r="5994" spans="1:3" x14ac:dyDescent="0.3">
      <c r="A5994" s="80"/>
      <c r="B5994" s="81"/>
      <c r="C5994" s="82"/>
    </row>
    <row r="5995" spans="1:3" x14ac:dyDescent="0.3">
      <c r="A5995" s="80"/>
      <c r="B5995" s="81"/>
      <c r="C5995" s="82"/>
    </row>
    <row r="5996" spans="1:3" x14ac:dyDescent="0.3">
      <c r="A5996" s="80"/>
      <c r="B5996" s="81"/>
      <c r="C5996" s="82"/>
    </row>
    <row r="5997" spans="1:3" x14ac:dyDescent="0.3">
      <c r="A5997" s="80"/>
      <c r="B5997" s="81"/>
      <c r="C5997" s="82"/>
    </row>
    <row r="5998" spans="1:3" x14ac:dyDescent="0.3">
      <c r="A5998" s="80"/>
      <c r="B5998" s="81"/>
      <c r="C5998" s="82"/>
    </row>
    <row r="5999" spans="1:3" x14ac:dyDescent="0.3">
      <c r="A5999" s="80"/>
      <c r="B5999" s="81"/>
      <c r="C5999" s="82"/>
    </row>
    <row r="6000" spans="1:3" x14ac:dyDescent="0.3">
      <c r="A6000" s="80"/>
      <c r="B6000" s="81"/>
      <c r="C6000" s="82"/>
    </row>
    <row r="6001" spans="1:3" x14ac:dyDescent="0.3">
      <c r="A6001" s="80"/>
      <c r="B6001" s="81"/>
      <c r="C6001" s="82"/>
    </row>
    <row r="6002" spans="1:3" x14ac:dyDescent="0.3">
      <c r="A6002" s="80"/>
      <c r="B6002" s="81"/>
      <c r="C6002" s="82"/>
    </row>
    <row r="6003" spans="1:3" x14ac:dyDescent="0.3">
      <c r="A6003" s="80"/>
      <c r="B6003" s="81"/>
      <c r="C6003" s="82"/>
    </row>
    <row r="6004" spans="1:3" x14ac:dyDescent="0.3">
      <c r="A6004" s="80"/>
      <c r="B6004" s="81"/>
      <c r="C6004" s="82"/>
    </row>
    <row r="6005" spans="1:3" x14ac:dyDescent="0.3">
      <c r="A6005" s="80"/>
      <c r="B6005" s="81"/>
      <c r="C6005" s="82"/>
    </row>
    <row r="6006" spans="1:3" x14ac:dyDescent="0.3">
      <c r="A6006" s="80"/>
      <c r="B6006" s="81"/>
      <c r="C6006" s="82"/>
    </row>
    <row r="6007" spans="1:3" x14ac:dyDescent="0.3">
      <c r="A6007" s="80"/>
      <c r="B6007" s="81"/>
      <c r="C6007" s="82"/>
    </row>
    <row r="6008" spans="1:3" x14ac:dyDescent="0.3">
      <c r="A6008" s="80"/>
      <c r="B6008" s="81"/>
      <c r="C6008" s="82"/>
    </row>
    <row r="6009" spans="1:3" x14ac:dyDescent="0.3">
      <c r="A6009" s="80"/>
      <c r="B6009" s="81"/>
      <c r="C6009" s="82"/>
    </row>
    <row r="6010" spans="1:3" x14ac:dyDescent="0.3">
      <c r="A6010" s="80"/>
      <c r="B6010" s="81"/>
      <c r="C6010" s="82"/>
    </row>
    <row r="6011" spans="1:3" x14ac:dyDescent="0.3">
      <c r="A6011" s="80"/>
      <c r="B6011" s="81"/>
      <c r="C6011" s="82"/>
    </row>
    <row r="6012" spans="1:3" x14ac:dyDescent="0.3">
      <c r="A6012" s="80"/>
      <c r="B6012" s="81"/>
      <c r="C6012" s="82"/>
    </row>
    <row r="6013" spans="1:3" x14ac:dyDescent="0.3">
      <c r="A6013" s="80"/>
      <c r="B6013" s="81"/>
      <c r="C6013" s="82"/>
    </row>
    <row r="6014" spans="1:3" x14ac:dyDescent="0.3">
      <c r="A6014" s="80"/>
      <c r="B6014" s="81"/>
      <c r="C6014" s="82"/>
    </row>
    <row r="6015" spans="1:3" x14ac:dyDescent="0.3">
      <c r="A6015" s="80"/>
      <c r="B6015" s="81"/>
      <c r="C6015" s="82"/>
    </row>
    <row r="6016" spans="1:3" x14ac:dyDescent="0.3">
      <c r="A6016" s="80"/>
      <c r="B6016" s="81"/>
      <c r="C6016" s="82"/>
    </row>
    <row r="6017" spans="1:3" x14ac:dyDescent="0.3">
      <c r="A6017" s="80"/>
      <c r="B6017" s="81"/>
      <c r="C6017" s="82"/>
    </row>
    <row r="6018" spans="1:3" x14ac:dyDescent="0.3">
      <c r="A6018" s="80"/>
      <c r="B6018" s="81"/>
      <c r="C6018" s="82"/>
    </row>
    <row r="6019" spans="1:3" x14ac:dyDescent="0.3">
      <c r="A6019" s="80"/>
      <c r="B6019" s="81"/>
      <c r="C6019" s="82"/>
    </row>
    <row r="6020" spans="1:3" x14ac:dyDescent="0.3">
      <c r="A6020" s="80"/>
      <c r="B6020" s="81"/>
      <c r="C6020" s="82"/>
    </row>
    <row r="6021" spans="1:3" x14ac:dyDescent="0.3">
      <c r="A6021" s="80"/>
      <c r="B6021" s="81"/>
      <c r="C6021" s="82"/>
    </row>
    <row r="6022" spans="1:3" x14ac:dyDescent="0.3">
      <c r="A6022" s="80"/>
      <c r="B6022" s="81"/>
      <c r="C6022" s="82"/>
    </row>
    <row r="6023" spans="1:3" x14ac:dyDescent="0.3">
      <c r="A6023" s="80"/>
      <c r="B6023" s="81"/>
      <c r="C6023" s="82"/>
    </row>
    <row r="6024" spans="1:3" x14ac:dyDescent="0.3">
      <c r="A6024" s="80"/>
      <c r="B6024" s="81"/>
      <c r="C6024" s="82"/>
    </row>
    <row r="6025" spans="1:3" x14ac:dyDescent="0.3">
      <c r="A6025" s="80"/>
      <c r="B6025" s="81"/>
      <c r="C6025" s="82"/>
    </row>
    <row r="6026" spans="1:3" x14ac:dyDescent="0.3">
      <c r="A6026" s="80"/>
      <c r="B6026" s="81"/>
      <c r="C6026" s="82"/>
    </row>
    <row r="6027" spans="1:3" x14ac:dyDescent="0.3">
      <c r="A6027" s="80"/>
      <c r="B6027" s="81"/>
      <c r="C6027" s="82"/>
    </row>
    <row r="6028" spans="1:3" x14ac:dyDescent="0.3">
      <c r="A6028" s="80"/>
      <c r="B6028" s="81"/>
      <c r="C6028" s="82"/>
    </row>
    <row r="6029" spans="1:3" x14ac:dyDescent="0.3">
      <c r="A6029" s="80"/>
      <c r="B6029" s="81"/>
      <c r="C6029" s="82"/>
    </row>
    <row r="6030" spans="1:3" x14ac:dyDescent="0.3">
      <c r="A6030" s="80"/>
      <c r="B6030" s="81"/>
      <c r="C6030" s="82"/>
    </row>
    <row r="6031" spans="1:3" x14ac:dyDescent="0.3">
      <c r="A6031" s="80"/>
      <c r="B6031" s="81"/>
      <c r="C6031" s="82"/>
    </row>
    <row r="6032" spans="1:3" x14ac:dyDescent="0.3">
      <c r="A6032" s="80"/>
      <c r="B6032" s="81"/>
      <c r="C6032" s="82"/>
    </row>
    <row r="6033" spans="1:3" x14ac:dyDescent="0.3">
      <c r="A6033" s="80"/>
      <c r="B6033" s="81"/>
      <c r="C6033" s="82"/>
    </row>
    <row r="6034" spans="1:3" x14ac:dyDescent="0.3">
      <c r="A6034" s="80"/>
      <c r="B6034" s="81"/>
      <c r="C6034" s="82"/>
    </row>
    <row r="6035" spans="1:3" x14ac:dyDescent="0.3">
      <c r="A6035" s="80"/>
      <c r="B6035" s="81"/>
      <c r="C6035" s="82"/>
    </row>
    <row r="6036" spans="1:3" x14ac:dyDescent="0.3">
      <c r="A6036" s="80"/>
      <c r="B6036" s="81"/>
      <c r="C6036" s="82"/>
    </row>
    <row r="6037" spans="1:3" x14ac:dyDescent="0.3">
      <c r="A6037" s="80"/>
      <c r="B6037" s="81"/>
      <c r="C6037" s="82"/>
    </row>
    <row r="6038" spans="1:3" x14ac:dyDescent="0.3">
      <c r="A6038" s="80"/>
      <c r="B6038" s="81"/>
      <c r="C6038" s="82"/>
    </row>
    <row r="6039" spans="1:3" x14ac:dyDescent="0.3">
      <c r="A6039" s="80"/>
      <c r="B6039" s="81"/>
      <c r="C6039" s="82"/>
    </row>
    <row r="6040" spans="1:3" x14ac:dyDescent="0.3">
      <c r="A6040" s="80"/>
      <c r="B6040" s="81"/>
      <c r="C6040" s="82"/>
    </row>
    <row r="6041" spans="1:3" x14ac:dyDescent="0.3">
      <c r="A6041" s="80"/>
      <c r="B6041" s="81"/>
      <c r="C6041" s="82"/>
    </row>
    <row r="6042" spans="1:3" x14ac:dyDescent="0.3">
      <c r="A6042" s="80"/>
      <c r="B6042" s="81"/>
      <c r="C6042" s="82"/>
    </row>
    <row r="6043" spans="1:3" x14ac:dyDescent="0.3">
      <c r="A6043" s="80"/>
      <c r="B6043" s="81"/>
      <c r="C6043" s="82"/>
    </row>
    <row r="6044" spans="1:3" x14ac:dyDescent="0.3">
      <c r="A6044" s="80"/>
      <c r="B6044" s="81"/>
      <c r="C6044" s="82"/>
    </row>
    <row r="6045" spans="1:3" x14ac:dyDescent="0.3">
      <c r="A6045" s="80"/>
      <c r="B6045" s="81"/>
      <c r="C6045" s="82"/>
    </row>
    <row r="6046" spans="1:3" x14ac:dyDescent="0.3">
      <c r="A6046" s="80"/>
      <c r="B6046" s="81"/>
      <c r="C6046" s="82"/>
    </row>
    <row r="6047" spans="1:3" x14ac:dyDescent="0.3">
      <c r="A6047" s="80"/>
      <c r="B6047" s="81"/>
      <c r="C6047" s="82"/>
    </row>
    <row r="6048" spans="1:3" x14ac:dyDescent="0.3">
      <c r="A6048" s="80"/>
      <c r="B6048" s="81"/>
      <c r="C6048" s="82"/>
    </row>
    <row r="6049" spans="1:3" x14ac:dyDescent="0.3">
      <c r="A6049" s="80"/>
      <c r="B6049" s="81"/>
      <c r="C6049" s="82"/>
    </row>
    <row r="6050" spans="1:3" x14ac:dyDescent="0.3">
      <c r="A6050" s="80"/>
      <c r="B6050" s="81"/>
      <c r="C6050" s="82"/>
    </row>
    <row r="6051" spans="1:3" x14ac:dyDescent="0.3">
      <c r="A6051" s="80"/>
      <c r="B6051" s="81"/>
      <c r="C6051" s="82"/>
    </row>
    <row r="6052" spans="1:3" x14ac:dyDescent="0.3">
      <c r="A6052" s="80"/>
      <c r="B6052" s="81"/>
      <c r="C6052" s="82"/>
    </row>
    <row r="6053" spans="1:3" x14ac:dyDescent="0.3">
      <c r="A6053" s="80"/>
      <c r="B6053" s="81"/>
      <c r="C6053" s="82"/>
    </row>
    <row r="6054" spans="1:3" x14ac:dyDescent="0.3">
      <c r="A6054" s="80"/>
      <c r="B6054" s="81"/>
      <c r="C6054" s="82"/>
    </row>
    <row r="6055" spans="1:3" x14ac:dyDescent="0.3">
      <c r="A6055" s="80"/>
      <c r="B6055" s="81"/>
      <c r="C6055" s="82"/>
    </row>
    <row r="6056" spans="1:3" x14ac:dyDescent="0.3">
      <c r="A6056" s="80"/>
      <c r="B6056" s="81"/>
      <c r="C6056" s="82"/>
    </row>
    <row r="6057" spans="1:3" x14ac:dyDescent="0.3">
      <c r="A6057" s="80"/>
      <c r="B6057" s="81"/>
      <c r="C6057" s="82"/>
    </row>
    <row r="6058" spans="1:3" x14ac:dyDescent="0.3">
      <c r="A6058" s="80"/>
      <c r="B6058" s="81"/>
      <c r="C6058" s="82"/>
    </row>
    <row r="6059" spans="1:3" x14ac:dyDescent="0.3">
      <c r="A6059" s="80"/>
      <c r="B6059" s="81"/>
      <c r="C6059" s="82"/>
    </row>
    <row r="6060" spans="1:3" x14ac:dyDescent="0.3">
      <c r="A6060" s="80"/>
      <c r="B6060" s="81"/>
      <c r="C6060" s="82"/>
    </row>
    <row r="6061" spans="1:3" x14ac:dyDescent="0.3">
      <c r="A6061" s="80"/>
      <c r="B6061" s="81"/>
      <c r="C6061" s="82"/>
    </row>
    <row r="6062" spans="1:3" x14ac:dyDescent="0.3">
      <c r="A6062" s="80"/>
      <c r="B6062" s="81"/>
      <c r="C6062" s="82"/>
    </row>
    <row r="6063" spans="1:3" x14ac:dyDescent="0.3">
      <c r="A6063" s="80"/>
      <c r="B6063" s="81"/>
      <c r="C6063" s="82"/>
    </row>
    <row r="6064" spans="1:3" x14ac:dyDescent="0.3">
      <c r="A6064" s="80"/>
      <c r="B6064" s="81"/>
      <c r="C6064" s="82"/>
    </row>
    <row r="6065" spans="1:3" x14ac:dyDescent="0.3">
      <c r="A6065" s="80"/>
      <c r="B6065" s="81"/>
      <c r="C6065" s="82"/>
    </row>
    <row r="6066" spans="1:3" x14ac:dyDescent="0.3">
      <c r="A6066" s="80"/>
      <c r="B6066" s="81"/>
      <c r="C6066" s="82"/>
    </row>
    <row r="6067" spans="1:3" x14ac:dyDescent="0.3">
      <c r="A6067" s="80"/>
      <c r="B6067" s="81"/>
      <c r="C6067" s="82"/>
    </row>
    <row r="6068" spans="1:3" x14ac:dyDescent="0.3">
      <c r="A6068" s="80"/>
      <c r="B6068" s="81"/>
      <c r="C6068" s="82"/>
    </row>
    <row r="6069" spans="1:3" x14ac:dyDescent="0.3">
      <c r="A6069" s="80"/>
      <c r="B6069" s="81"/>
      <c r="C6069" s="82"/>
    </row>
    <row r="6070" spans="1:3" x14ac:dyDescent="0.3">
      <c r="A6070" s="80"/>
      <c r="B6070" s="81"/>
      <c r="C6070" s="82"/>
    </row>
    <row r="6071" spans="1:3" x14ac:dyDescent="0.3">
      <c r="A6071" s="80"/>
      <c r="B6071" s="81"/>
      <c r="C6071" s="82"/>
    </row>
    <row r="6072" spans="1:3" x14ac:dyDescent="0.3">
      <c r="A6072" s="80"/>
      <c r="B6072" s="81"/>
      <c r="C6072" s="82"/>
    </row>
    <row r="6073" spans="1:3" x14ac:dyDescent="0.3">
      <c r="A6073" s="80"/>
      <c r="B6073" s="81"/>
      <c r="C6073" s="82"/>
    </row>
    <row r="6074" spans="1:3" x14ac:dyDescent="0.3">
      <c r="A6074" s="80"/>
      <c r="B6074" s="81"/>
      <c r="C6074" s="82"/>
    </row>
    <row r="6075" spans="1:3" x14ac:dyDescent="0.3">
      <c r="A6075" s="80"/>
      <c r="B6075" s="81"/>
      <c r="C6075" s="82"/>
    </row>
    <row r="6076" spans="1:3" x14ac:dyDescent="0.3">
      <c r="A6076" s="80"/>
      <c r="B6076" s="81"/>
      <c r="C6076" s="82"/>
    </row>
    <row r="6077" spans="1:3" x14ac:dyDescent="0.3">
      <c r="A6077" s="80"/>
      <c r="B6077" s="81"/>
      <c r="C6077" s="82"/>
    </row>
    <row r="6078" spans="1:3" x14ac:dyDescent="0.3">
      <c r="A6078" s="80"/>
      <c r="B6078" s="81"/>
      <c r="C6078" s="82"/>
    </row>
    <row r="6079" spans="1:3" x14ac:dyDescent="0.3">
      <c r="A6079" s="80"/>
      <c r="B6079" s="81"/>
      <c r="C6079" s="82"/>
    </row>
    <row r="6080" spans="1:3" x14ac:dyDescent="0.3">
      <c r="A6080" s="80"/>
      <c r="B6080" s="81"/>
      <c r="C6080" s="82"/>
    </row>
    <row r="6081" spans="1:3" x14ac:dyDescent="0.3">
      <c r="A6081" s="80"/>
      <c r="B6081" s="81"/>
      <c r="C6081" s="82"/>
    </row>
    <row r="6082" spans="1:3" x14ac:dyDescent="0.3">
      <c r="A6082" s="80"/>
      <c r="B6082" s="81"/>
      <c r="C6082" s="82"/>
    </row>
    <row r="6083" spans="1:3" x14ac:dyDescent="0.3">
      <c r="A6083" s="80"/>
      <c r="B6083" s="81"/>
      <c r="C6083" s="82"/>
    </row>
    <row r="6084" spans="1:3" x14ac:dyDescent="0.3">
      <c r="A6084" s="80"/>
      <c r="B6084" s="81"/>
      <c r="C6084" s="82"/>
    </row>
    <row r="6085" spans="1:3" x14ac:dyDescent="0.3">
      <c r="A6085" s="80"/>
      <c r="B6085" s="81"/>
      <c r="C6085" s="82"/>
    </row>
    <row r="6086" spans="1:3" x14ac:dyDescent="0.3">
      <c r="A6086" s="80"/>
      <c r="B6086" s="81"/>
      <c r="C6086" s="82"/>
    </row>
    <row r="6087" spans="1:3" x14ac:dyDescent="0.3">
      <c r="A6087" s="80"/>
      <c r="B6087" s="81"/>
      <c r="C6087" s="82"/>
    </row>
    <row r="6088" spans="1:3" x14ac:dyDescent="0.3">
      <c r="A6088" s="80"/>
      <c r="B6088" s="81"/>
      <c r="C6088" s="82"/>
    </row>
    <row r="6089" spans="1:3" x14ac:dyDescent="0.3">
      <c r="A6089" s="80"/>
      <c r="B6089" s="81"/>
      <c r="C6089" s="82"/>
    </row>
    <row r="6090" spans="1:3" x14ac:dyDescent="0.3">
      <c r="A6090" s="80"/>
      <c r="B6090" s="81"/>
      <c r="C6090" s="82"/>
    </row>
    <row r="6091" spans="1:3" x14ac:dyDescent="0.3">
      <c r="A6091" s="80"/>
      <c r="B6091" s="81"/>
      <c r="C6091" s="82"/>
    </row>
    <row r="6092" spans="1:3" x14ac:dyDescent="0.3">
      <c r="A6092" s="80"/>
      <c r="B6092" s="81"/>
      <c r="C6092" s="82"/>
    </row>
    <row r="6093" spans="1:3" x14ac:dyDescent="0.3">
      <c r="A6093" s="80"/>
      <c r="B6093" s="81"/>
      <c r="C6093" s="82"/>
    </row>
    <row r="6094" spans="1:3" x14ac:dyDescent="0.3">
      <c r="A6094" s="80"/>
      <c r="B6094" s="81"/>
      <c r="C6094" s="82"/>
    </row>
    <row r="6095" spans="1:3" x14ac:dyDescent="0.3">
      <c r="A6095" s="80"/>
      <c r="B6095" s="81"/>
      <c r="C6095" s="82"/>
    </row>
    <row r="6096" spans="1:3" x14ac:dyDescent="0.3">
      <c r="A6096" s="80"/>
      <c r="B6096" s="81"/>
      <c r="C6096" s="82"/>
    </row>
    <row r="6097" spans="1:3" x14ac:dyDescent="0.3">
      <c r="A6097" s="80"/>
      <c r="B6097" s="81"/>
      <c r="C6097" s="82"/>
    </row>
    <row r="6098" spans="1:3" x14ac:dyDescent="0.3">
      <c r="A6098" s="80"/>
      <c r="B6098" s="81"/>
      <c r="C6098" s="82"/>
    </row>
    <row r="6099" spans="1:3" x14ac:dyDescent="0.3">
      <c r="A6099" s="80"/>
      <c r="B6099" s="81"/>
      <c r="C6099" s="82"/>
    </row>
    <row r="6100" spans="1:3" x14ac:dyDescent="0.3">
      <c r="A6100" s="80"/>
      <c r="B6100" s="81"/>
      <c r="C6100" s="82"/>
    </row>
    <row r="6101" spans="1:3" x14ac:dyDescent="0.3">
      <c r="A6101" s="80"/>
      <c r="B6101" s="81"/>
      <c r="C6101" s="82"/>
    </row>
    <row r="6102" spans="1:3" x14ac:dyDescent="0.3">
      <c r="A6102" s="80"/>
      <c r="B6102" s="81"/>
      <c r="C6102" s="82"/>
    </row>
    <row r="6103" spans="1:3" x14ac:dyDescent="0.3">
      <c r="A6103" s="80"/>
      <c r="B6103" s="81"/>
      <c r="C6103" s="82"/>
    </row>
    <row r="6104" spans="1:3" x14ac:dyDescent="0.3">
      <c r="A6104" s="80"/>
      <c r="B6104" s="81"/>
      <c r="C6104" s="82"/>
    </row>
    <row r="6105" spans="1:3" x14ac:dyDescent="0.3">
      <c r="A6105" s="80"/>
      <c r="B6105" s="81"/>
      <c r="C6105" s="82"/>
    </row>
    <row r="6106" spans="1:3" x14ac:dyDescent="0.3">
      <c r="A6106" s="80"/>
      <c r="B6106" s="81"/>
      <c r="C6106" s="82"/>
    </row>
    <row r="6107" spans="1:3" x14ac:dyDescent="0.3">
      <c r="A6107" s="80"/>
      <c r="B6107" s="81"/>
      <c r="C6107" s="82"/>
    </row>
    <row r="6108" spans="1:3" x14ac:dyDescent="0.3">
      <c r="A6108" s="80"/>
      <c r="B6108" s="81"/>
      <c r="C6108" s="82"/>
    </row>
    <row r="6109" spans="1:3" x14ac:dyDescent="0.3">
      <c r="A6109" s="80"/>
      <c r="B6109" s="81"/>
      <c r="C6109" s="82"/>
    </row>
    <row r="6110" spans="1:3" x14ac:dyDescent="0.3">
      <c r="A6110" s="80"/>
      <c r="B6110" s="81"/>
      <c r="C6110" s="82"/>
    </row>
    <row r="6111" spans="1:3" x14ac:dyDescent="0.3">
      <c r="A6111" s="80"/>
      <c r="B6111" s="81"/>
      <c r="C6111" s="82"/>
    </row>
    <row r="6112" spans="1:3" x14ac:dyDescent="0.3">
      <c r="A6112" s="80"/>
      <c r="B6112" s="81"/>
      <c r="C6112" s="82"/>
    </row>
    <row r="6113" spans="1:3" x14ac:dyDescent="0.3">
      <c r="A6113" s="80"/>
      <c r="B6113" s="81"/>
      <c r="C6113" s="82"/>
    </row>
    <row r="6114" spans="1:3" x14ac:dyDescent="0.3">
      <c r="A6114" s="80"/>
      <c r="B6114" s="81"/>
      <c r="C6114" s="82"/>
    </row>
    <row r="6115" spans="1:3" x14ac:dyDescent="0.3">
      <c r="A6115" s="80"/>
      <c r="B6115" s="81"/>
      <c r="C6115" s="82"/>
    </row>
    <row r="6116" spans="1:3" x14ac:dyDescent="0.3">
      <c r="A6116" s="80"/>
      <c r="B6116" s="81"/>
      <c r="C6116" s="82"/>
    </row>
    <row r="6117" spans="1:3" x14ac:dyDescent="0.3">
      <c r="A6117" s="80"/>
      <c r="B6117" s="81"/>
      <c r="C6117" s="82"/>
    </row>
    <row r="6118" spans="1:3" x14ac:dyDescent="0.3">
      <c r="A6118" s="80"/>
      <c r="B6118" s="81"/>
      <c r="C6118" s="82"/>
    </row>
    <row r="6119" spans="1:3" x14ac:dyDescent="0.3">
      <c r="A6119" s="80"/>
      <c r="B6119" s="81"/>
      <c r="C6119" s="82"/>
    </row>
    <row r="6120" spans="1:3" x14ac:dyDescent="0.3">
      <c r="A6120" s="80"/>
      <c r="B6120" s="81"/>
      <c r="C6120" s="82"/>
    </row>
    <row r="6121" spans="1:3" x14ac:dyDescent="0.3">
      <c r="A6121" s="80"/>
      <c r="B6121" s="81"/>
      <c r="C6121" s="82"/>
    </row>
    <row r="6122" spans="1:3" x14ac:dyDescent="0.3">
      <c r="A6122" s="80"/>
      <c r="B6122" s="81"/>
      <c r="C6122" s="82"/>
    </row>
    <row r="6123" spans="1:3" x14ac:dyDescent="0.3">
      <c r="A6123" s="80"/>
      <c r="B6123" s="81"/>
      <c r="C6123" s="82"/>
    </row>
    <row r="6124" spans="1:3" x14ac:dyDescent="0.3">
      <c r="A6124" s="80"/>
      <c r="B6124" s="81"/>
      <c r="C6124" s="82"/>
    </row>
    <row r="6125" spans="1:3" x14ac:dyDescent="0.3">
      <c r="A6125" s="80"/>
      <c r="B6125" s="81"/>
      <c r="C6125" s="82"/>
    </row>
    <row r="6126" spans="1:3" x14ac:dyDescent="0.3">
      <c r="A6126" s="80"/>
      <c r="B6126" s="81"/>
      <c r="C6126" s="82"/>
    </row>
    <row r="6127" spans="1:3" x14ac:dyDescent="0.3">
      <c r="A6127" s="80"/>
      <c r="B6127" s="81"/>
      <c r="C6127" s="82"/>
    </row>
    <row r="6128" spans="1:3" x14ac:dyDescent="0.3">
      <c r="A6128" s="80"/>
      <c r="B6128" s="81"/>
      <c r="C6128" s="82"/>
    </row>
    <row r="6129" spans="1:3" x14ac:dyDescent="0.3">
      <c r="A6129" s="80"/>
      <c r="B6129" s="81"/>
      <c r="C6129" s="82"/>
    </row>
    <row r="6130" spans="1:3" x14ac:dyDescent="0.3">
      <c r="A6130" s="80"/>
      <c r="B6130" s="81"/>
      <c r="C6130" s="82"/>
    </row>
    <row r="6131" spans="1:3" x14ac:dyDescent="0.3">
      <c r="A6131" s="80"/>
      <c r="B6131" s="81"/>
      <c r="C6131" s="82"/>
    </row>
    <row r="6132" spans="1:3" x14ac:dyDescent="0.3">
      <c r="A6132" s="80"/>
      <c r="B6132" s="81"/>
      <c r="C6132" s="82"/>
    </row>
    <row r="6133" spans="1:3" x14ac:dyDescent="0.3">
      <c r="A6133" s="80"/>
      <c r="B6133" s="81"/>
      <c r="C6133" s="82"/>
    </row>
    <row r="6134" spans="1:3" x14ac:dyDescent="0.3">
      <c r="A6134" s="80"/>
      <c r="B6134" s="81"/>
      <c r="C6134" s="82"/>
    </row>
    <row r="6135" spans="1:3" x14ac:dyDescent="0.3">
      <c r="A6135" s="80"/>
      <c r="B6135" s="81"/>
      <c r="C6135" s="82"/>
    </row>
    <row r="6136" spans="1:3" x14ac:dyDescent="0.3">
      <c r="A6136" s="80"/>
      <c r="B6136" s="81"/>
      <c r="C6136" s="82"/>
    </row>
    <row r="6137" spans="1:3" x14ac:dyDescent="0.3">
      <c r="A6137" s="80"/>
      <c r="B6137" s="81"/>
      <c r="C6137" s="82"/>
    </row>
    <row r="6138" spans="1:3" x14ac:dyDescent="0.3">
      <c r="A6138" s="80"/>
      <c r="B6138" s="81"/>
      <c r="C6138" s="82"/>
    </row>
    <row r="6139" spans="1:3" x14ac:dyDescent="0.3">
      <c r="A6139" s="80"/>
      <c r="B6139" s="81"/>
      <c r="C6139" s="82"/>
    </row>
    <row r="6140" spans="1:3" x14ac:dyDescent="0.3">
      <c r="A6140" s="80"/>
      <c r="B6140" s="81"/>
      <c r="C6140" s="82"/>
    </row>
    <row r="6141" spans="1:3" x14ac:dyDescent="0.3">
      <c r="A6141" s="80"/>
      <c r="B6141" s="81"/>
      <c r="C6141" s="82"/>
    </row>
    <row r="6142" spans="1:3" x14ac:dyDescent="0.3">
      <c r="A6142" s="80"/>
      <c r="B6142" s="81"/>
      <c r="C6142" s="82"/>
    </row>
    <row r="6143" spans="1:3" x14ac:dyDescent="0.3">
      <c r="A6143" s="80"/>
      <c r="B6143" s="81"/>
      <c r="C6143" s="82"/>
    </row>
    <row r="6144" spans="1:3" x14ac:dyDescent="0.3">
      <c r="A6144" s="80"/>
      <c r="B6144" s="81"/>
      <c r="C6144" s="82"/>
    </row>
    <row r="6145" spans="1:3" x14ac:dyDescent="0.3">
      <c r="A6145" s="80"/>
      <c r="B6145" s="81"/>
      <c r="C6145" s="82"/>
    </row>
    <row r="6146" spans="1:3" x14ac:dyDescent="0.3">
      <c r="A6146" s="80"/>
      <c r="B6146" s="81"/>
      <c r="C6146" s="82"/>
    </row>
    <row r="6147" spans="1:3" x14ac:dyDescent="0.3">
      <c r="A6147" s="80"/>
      <c r="B6147" s="81"/>
      <c r="C6147" s="82"/>
    </row>
    <row r="6148" spans="1:3" x14ac:dyDescent="0.3">
      <c r="A6148" s="80"/>
      <c r="B6148" s="81"/>
      <c r="C6148" s="82"/>
    </row>
    <row r="6149" spans="1:3" x14ac:dyDescent="0.3">
      <c r="A6149" s="80"/>
      <c r="B6149" s="81"/>
      <c r="C6149" s="82"/>
    </row>
    <row r="6150" spans="1:3" x14ac:dyDescent="0.3">
      <c r="A6150" s="80"/>
      <c r="B6150" s="81"/>
      <c r="C6150" s="82"/>
    </row>
    <row r="6151" spans="1:3" x14ac:dyDescent="0.3">
      <c r="A6151" s="80"/>
      <c r="B6151" s="81"/>
      <c r="C6151" s="82"/>
    </row>
    <row r="6152" spans="1:3" x14ac:dyDescent="0.3">
      <c r="A6152" s="80"/>
      <c r="B6152" s="81"/>
      <c r="C6152" s="82"/>
    </row>
    <row r="6153" spans="1:3" x14ac:dyDescent="0.3">
      <c r="A6153" s="80"/>
      <c r="B6153" s="81"/>
      <c r="C6153" s="82"/>
    </row>
    <row r="6154" spans="1:3" x14ac:dyDescent="0.3">
      <c r="A6154" s="80"/>
      <c r="B6154" s="81"/>
      <c r="C6154" s="82"/>
    </row>
    <row r="6155" spans="1:3" x14ac:dyDescent="0.3">
      <c r="A6155" s="80"/>
      <c r="B6155" s="81"/>
      <c r="C6155" s="82"/>
    </row>
    <row r="6156" spans="1:3" x14ac:dyDescent="0.3">
      <c r="A6156" s="80"/>
      <c r="B6156" s="81"/>
      <c r="C6156" s="82"/>
    </row>
    <row r="6157" spans="1:3" x14ac:dyDescent="0.3">
      <c r="A6157" s="80"/>
      <c r="B6157" s="81"/>
      <c r="C6157" s="82"/>
    </row>
    <row r="6158" spans="1:3" x14ac:dyDescent="0.3">
      <c r="A6158" s="80"/>
      <c r="B6158" s="81"/>
      <c r="C6158" s="82"/>
    </row>
    <row r="6159" spans="1:3" x14ac:dyDescent="0.3">
      <c r="A6159" s="80"/>
      <c r="B6159" s="81"/>
      <c r="C6159" s="82"/>
    </row>
    <row r="6160" spans="1:3" x14ac:dyDescent="0.3">
      <c r="A6160" s="80"/>
      <c r="B6160" s="81"/>
      <c r="C6160" s="82"/>
    </row>
    <row r="6161" spans="1:3" x14ac:dyDescent="0.3">
      <c r="A6161" s="80"/>
      <c r="B6161" s="81"/>
      <c r="C6161" s="82"/>
    </row>
    <row r="6162" spans="1:3" x14ac:dyDescent="0.3">
      <c r="A6162" s="80"/>
      <c r="B6162" s="81"/>
      <c r="C6162" s="82"/>
    </row>
    <row r="6163" spans="1:3" x14ac:dyDescent="0.3">
      <c r="A6163" s="80"/>
      <c r="B6163" s="81"/>
      <c r="C6163" s="82"/>
    </row>
    <row r="6164" spans="1:3" x14ac:dyDescent="0.3">
      <c r="A6164" s="80"/>
      <c r="B6164" s="81"/>
      <c r="C6164" s="82"/>
    </row>
    <row r="6165" spans="1:3" x14ac:dyDescent="0.3">
      <c r="A6165" s="80"/>
      <c r="B6165" s="81"/>
      <c r="C6165" s="82"/>
    </row>
    <row r="6166" spans="1:3" x14ac:dyDescent="0.3">
      <c r="A6166" s="80"/>
      <c r="B6166" s="81"/>
      <c r="C6166" s="82"/>
    </row>
    <row r="6167" spans="1:3" x14ac:dyDescent="0.3">
      <c r="A6167" s="80"/>
      <c r="B6167" s="81"/>
      <c r="C6167" s="82"/>
    </row>
    <row r="6168" spans="1:3" x14ac:dyDescent="0.3">
      <c r="A6168" s="80"/>
      <c r="B6168" s="81"/>
      <c r="C6168" s="82"/>
    </row>
    <row r="6169" spans="1:3" x14ac:dyDescent="0.3">
      <c r="A6169" s="80"/>
      <c r="B6169" s="81"/>
      <c r="C6169" s="82"/>
    </row>
    <row r="6170" spans="1:3" x14ac:dyDescent="0.3">
      <c r="A6170" s="80"/>
      <c r="B6170" s="81"/>
      <c r="C6170" s="82"/>
    </row>
    <row r="6171" spans="1:3" x14ac:dyDescent="0.3">
      <c r="A6171" s="80"/>
      <c r="B6171" s="81"/>
      <c r="C6171" s="82"/>
    </row>
    <row r="6172" spans="1:3" x14ac:dyDescent="0.3">
      <c r="A6172" s="80"/>
      <c r="B6172" s="81"/>
      <c r="C6172" s="82"/>
    </row>
    <row r="6173" spans="1:3" x14ac:dyDescent="0.3">
      <c r="A6173" s="80"/>
      <c r="B6173" s="81"/>
      <c r="C6173" s="82"/>
    </row>
    <row r="6174" spans="1:3" x14ac:dyDescent="0.3">
      <c r="A6174" s="80"/>
      <c r="B6174" s="81"/>
      <c r="C6174" s="82"/>
    </row>
    <row r="6175" spans="1:3" x14ac:dyDescent="0.3">
      <c r="A6175" s="80"/>
      <c r="B6175" s="81"/>
      <c r="C6175" s="82"/>
    </row>
    <row r="6176" spans="1:3" x14ac:dyDescent="0.3">
      <c r="A6176" s="80"/>
      <c r="B6176" s="81"/>
      <c r="C6176" s="82"/>
    </row>
    <row r="6177" spans="1:3" x14ac:dyDescent="0.3">
      <c r="A6177" s="80"/>
      <c r="B6177" s="81"/>
      <c r="C6177" s="82"/>
    </row>
    <row r="6178" spans="1:3" x14ac:dyDescent="0.3">
      <c r="A6178" s="80"/>
      <c r="B6178" s="81"/>
      <c r="C6178" s="82"/>
    </row>
    <row r="6179" spans="1:3" x14ac:dyDescent="0.3">
      <c r="A6179" s="80"/>
      <c r="B6179" s="81"/>
      <c r="C6179" s="82"/>
    </row>
    <row r="6180" spans="1:3" x14ac:dyDescent="0.3">
      <c r="A6180" s="80"/>
      <c r="B6180" s="81"/>
      <c r="C6180" s="82"/>
    </row>
    <row r="6181" spans="1:3" x14ac:dyDescent="0.3">
      <c r="A6181" s="80"/>
      <c r="B6181" s="81"/>
      <c r="C6181" s="82"/>
    </row>
    <row r="6182" spans="1:3" x14ac:dyDescent="0.3">
      <c r="A6182" s="80"/>
      <c r="B6182" s="81"/>
      <c r="C6182" s="82"/>
    </row>
    <row r="6183" spans="1:3" x14ac:dyDescent="0.3">
      <c r="A6183" s="80"/>
      <c r="B6183" s="81"/>
      <c r="C6183" s="82"/>
    </row>
    <row r="6184" spans="1:3" x14ac:dyDescent="0.3">
      <c r="A6184" s="80"/>
      <c r="B6184" s="81"/>
      <c r="C6184" s="82"/>
    </row>
    <row r="6185" spans="1:3" x14ac:dyDescent="0.3">
      <c r="A6185" s="80"/>
      <c r="B6185" s="81"/>
      <c r="C6185" s="82"/>
    </row>
    <row r="6186" spans="1:3" x14ac:dyDescent="0.3">
      <c r="A6186" s="80"/>
      <c r="B6186" s="81"/>
      <c r="C6186" s="82"/>
    </row>
    <row r="6187" spans="1:3" x14ac:dyDescent="0.3">
      <c r="A6187" s="80"/>
      <c r="B6187" s="81"/>
      <c r="C6187" s="82"/>
    </row>
    <row r="6188" spans="1:3" x14ac:dyDescent="0.3">
      <c r="A6188" s="80"/>
      <c r="B6188" s="81"/>
      <c r="C6188" s="82"/>
    </row>
    <row r="6189" spans="1:3" x14ac:dyDescent="0.3">
      <c r="A6189" s="80"/>
      <c r="B6189" s="81"/>
      <c r="C6189" s="82"/>
    </row>
    <row r="6190" spans="1:3" x14ac:dyDescent="0.3">
      <c r="A6190" s="80"/>
      <c r="B6190" s="81"/>
      <c r="C6190" s="82"/>
    </row>
    <row r="6191" spans="1:3" x14ac:dyDescent="0.3">
      <c r="A6191" s="80"/>
      <c r="B6191" s="81"/>
      <c r="C6191" s="82"/>
    </row>
    <row r="6192" spans="1:3" x14ac:dyDescent="0.3">
      <c r="A6192" s="80"/>
      <c r="B6192" s="81"/>
      <c r="C6192" s="82"/>
    </row>
    <row r="6193" spans="1:3" x14ac:dyDescent="0.3">
      <c r="A6193" s="80"/>
      <c r="B6193" s="81"/>
      <c r="C6193" s="82"/>
    </row>
    <row r="6194" spans="1:3" x14ac:dyDescent="0.3">
      <c r="A6194" s="80"/>
      <c r="B6194" s="81"/>
      <c r="C6194" s="82"/>
    </row>
    <row r="6195" spans="1:3" x14ac:dyDescent="0.3">
      <c r="A6195" s="80"/>
      <c r="B6195" s="81"/>
      <c r="C6195" s="82"/>
    </row>
    <row r="6196" spans="1:3" x14ac:dyDescent="0.3">
      <c r="A6196" s="80"/>
      <c r="B6196" s="81"/>
      <c r="C6196" s="82"/>
    </row>
    <row r="6197" spans="1:3" x14ac:dyDescent="0.3">
      <c r="A6197" s="80"/>
      <c r="B6197" s="81"/>
      <c r="C6197" s="82"/>
    </row>
    <row r="6198" spans="1:3" x14ac:dyDescent="0.3">
      <c r="A6198" s="80"/>
      <c r="B6198" s="81"/>
      <c r="C6198" s="82"/>
    </row>
    <row r="6199" spans="1:3" x14ac:dyDescent="0.3">
      <c r="A6199" s="80"/>
      <c r="B6199" s="81"/>
      <c r="C6199" s="82"/>
    </row>
    <row r="6200" spans="1:3" x14ac:dyDescent="0.3">
      <c r="A6200" s="80"/>
      <c r="B6200" s="81"/>
      <c r="C6200" s="82"/>
    </row>
    <row r="6201" spans="1:3" x14ac:dyDescent="0.3">
      <c r="A6201" s="80"/>
      <c r="B6201" s="81"/>
      <c r="C6201" s="82"/>
    </row>
    <row r="6202" spans="1:3" x14ac:dyDescent="0.3">
      <c r="A6202" s="80"/>
      <c r="B6202" s="81"/>
      <c r="C6202" s="82"/>
    </row>
    <row r="6203" spans="1:3" x14ac:dyDescent="0.3">
      <c r="A6203" s="80"/>
      <c r="B6203" s="81"/>
      <c r="C6203" s="82"/>
    </row>
    <row r="6204" spans="1:3" x14ac:dyDescent="0.3">
      <c r="A6204" s="80"/>
      <c r="B6204" s="81"/>
      <c r="C6204" s="82"/>
    </row>
    <row r="6205" spans="1:3" x14ac:dyDescent="0.3">
      <c r="A6205" s="80"/>
      <c r="B6205" s="81"/>
      <c r="C6205" s="82"/>
    </row>
    <row r="6206" spans="1:3" x14ac:dyDescent="0.3">
      <c r="A6206" s="80"/>
      <c r="B6206" s="81"/>
      <c r="C6206" s="82"/>
    </row>
    <row r="6207" spans="1:3" x14ac:dyDescent="0.3">
      <c r="A6207" s="80"/>
      <c r="B6207" s="81"/>
      <c r="C6207" s="82"/>
    </row>
    <row r="6208" spans="1:3" x14ac:dyDescent="0.3">
      <c r="A6208" s="80"/>
      <c r="B6208" s="81"/>
      <c r="C6208" s="82"/>
    </row>
    <row r="6209" spans="1:3" x14ac:dyDescent="0.3">
      <c r="A6209" s="80"/>
      <c r="B6209" s="81"/>
      <c r="C6209" s="82"/>
    </row>
    <row r="6210" spans="1:3" x14ac:dyDescent="0.3">
      <c r="A6210" s="80"/>
      <c r="B6210" s="81"/>
      <c r="C6210" s="82"/>
    </row>
    <row r="6211" spans="1:3" x14ac:dyDescent="0.3">
      <c r="A6211" s="80"/>
      <c r="B6211" s="81"/>
      <c r="C6211" s="82"/>
    </row>
    <row r="6212" spans="1:3" x14ac:dyDescent="0.3">
      <c r="A6212" s="80"/>
      <c r="B6212" s="81"/>
      <c r="C6212" s="82"/>
    </row>
    <row r="6213" spans="1:3" x14ac:dyDescent="0.3">
      <c r="A6213" s="80"/>
      <c r="B6213" s="81"/>
      <c r="C6213" s="82"/>
    </row>
    <row r="6214" spans="1:3" x14ac:dyDescent="0.3">
      <c r="A6214" s="80"/>
      <c r="B6214" s="81"/>
      <c r="C6214" s="82"/>
    </row>
    <row r="6215" spans="1:3" x14ac:dyDescent="0.3">
      <c r="A6215" s="80"/>
      <c r="B6215" s="81"/>
      <c r="C6215" s="82"/>
    </row>
    <row r="6216" spans="1:3" x14ac:dyDescent="0.3">
      <c r="A6216" s="80"/>
      <c r="B6216" s="81"/>
      <c r="C6216" s="82"/>
    </row>
    <row r="6217" spans="1:3" x14ac:dyDescent="0.3">
      <c r="A6217" s="80"/>
      <c r="B6217" s="81"/>
      <c r="C6217" s="82"/>
    </row>
    <row r="6218" spans="1:3" x14ac:dyDescent="0.3">
      <c r="A6218" s="80"/>
      <c r="B6218" s="81"/>
      <c r="C6218" s="82"/>
    </row>
    <row r="6219" spans="1:3" x14ac:dyDescent="0.3">
      <c r="A6219" s="80"/>
      <c r="B6219" s="81"/>
      <c r="C6219" s="82"/>
    </row>
    <row r="6220" spans="1:3" x14ac:dyDescent="0.3">
      <c r="A6220" s="80"/>
      <c r="B6220" s="81"/>
      <c r="C6220" s="82"/>
    </row>
    <row r="6221" spans="1:3" x14ac:dyDescent="0.3">
      <c r="A6221" s="80"/>
      <c r="B6221" s="81"/>
      <c r="C6221" s="82"/>
    </row>
    <row r="6222" spans="1:3" x14ac:dyDescent="0.3">
      <c r="A6222" s="80"/>
      <c r="B6222" s="81"/>
      <c r="C6222" s="82"/>
    </row>
    <row r="6223" spans="1:3" x14ac:dyDescent="0.3">
      <c r="A6223" s="80"/>
      <c r="B6223" s="81"/>
      <c r="C6223" s="82"/>
    </row>
    <row r="6224" spans="1:3" x14ac:dyDescent="0.3">
      <c r="A6224" s="80"/>
      <c r="B6224" s="81"/>
      <c r="C6224" s="82"/>
    </row>
    <row r="6225" spans="1:3" x14ac:dyDescent="0.3">
      <c r="A6225" s="80"/>
      <c r="B6225" s="81"/>
      <c r="C6225" s="82"/>
    </row>
    <row r="6226" spans="1:3" x14ac:dyDescent="0.3">
      <c r="A6226" s="80"/>
      <c r="B6226" s="81"/>
      <c r="C6226" s="82"/>
    </row>
    <row r="6227" spans="1:3" x14ac:dyDescent="0.3">
      <c r="A6227" s="80"/>
      <c r="B6227" s="81"/>
      <c r="C6227" s="82"/>
    </row>
    <row r="6228" spans="1:3" x14ac:dyDescent="0.3">
      <c r="A6228" s="80"/>
      <c r="B6228" s="81"/>
      <c r="C6228" s="82"/>
    </row>
    <row r="6229" spans="1:3" x14ac:dyDescent="0.3">
      <c r="A6229" s="80"/>
      <c r="B6229" s="81"/>
      <c r="C6229" s="82"/>
    </row>
    <row r="6230" spans="1:3" x14ac:dyDescent="0.3">
      <c r="A6230" s="80"/>
      <c r="B6230" s="81"/>
      <c r="C6230" s="82"/>
    </row>
    <row r="6231" spans="1:3" x14ac:dyDescent="0.3">
      <c r="A6231" s="80"/>
      <c r="B6231" s="81"/>
      <c r="C6231" s="82"/>
    </row>
    <row r="6232" spans="1:3" x14ac:dyDescent="0.3">
      <c r="A6232" s="80"/>
      <c r="B6232" s="81"/>
      <c r="C6232" s="82"/>
    </row>
    <row r="6233" spans="1:3" x14ac:dyDescent="0.3">
      <c r="A6233" s="80"/>
      <c r="B6233" s="81"/>
      <c r="C6233" s="82"/>
    </row>
    <row r="6234" spans="1:3" x14ac:dyDescent="0.3">
      <c r="A6234" s="80"/>
      <c r="B6234" s="81"/>
      <c r="C6234" s="82"/>
    </row>
    <row r="6235" spans="1:3" x14ac:dyDescent="0.3">
      <c r="A6235" s="80"/>
      <c r="B6235" s="81"/>
      <c r="C6235" s="82"/>
    </row>
    <row r="6236" spans="1:3" x14ac:dyDescent="0.3">
      <c r="A6236" s="80"/>
      <c r="B6236" s="81"/>
      <c r="C6236" s="82"/>
    </row>
    <row r="6237" spans="1:3" x14ac:dyDescent="0.3">
      <c r="A6237" s="80"/>
      <c r="B6237" s="81"/>
      <c r="C6237" s="82"/>
    </row>
    <row r="6238" spans="1:3" x14ac:dyDescent="0.3">
      <c r="A6238" s="80"/>
      <c r="B6238" s="81"/>
      <c r="C6238" s="82"/>
    </row>
    <row r="6239" spans="1:3" x14ac:dyDescent="0.3">
      <c r="A6239" s="80"/>
      <c r="B6239" s="81"/>
      <c r="C6239" s="82"/>
    </row>
    <row r="6240" spans="1:3" x14ac:dyDescent="0.3">
      <c r="A6240" s="80"/>
      <c r="B6240" s="81"/>
      <c r="C6240" s="82"/>
    </row>
    <row r="6241" spans="1:3" x14ac:dyDescent="0.3">
      <c r="A6241" s="80"/>
      <c r="B6241" s="81"/>
      <c r="C6241" s="82"/>
    </row>
    <row r="6242" spans="1:3" x14ac:dyDescent="0.3">
      <c r="A6242" s="80"/>
      <c r="B6242" s="81"/>
      <c r="C6242" s="82"/>
    </row>
    <row r="6243" spans="1:3" x14ac:dyDescent="0.3">
      <c r="A6243" s="80"/>
      <c r="B6243" s="81"/>
      <c r="C6243" s="82"/>
    </row>
    <row r="6244" spans="1:3" x14ac:dyDescent="0.3">
      <c r="A6244" s="80"/>
      <c r="B6244" s="81"/>
      <c r="C6244" s="82"/>
    </row>
    <row r="6245" spans="1:3" x14ac:dyDescent="0.3">
      <c r="A6245" s="80"/>
      <c r="B6245" s="81"/>
      <c r="C6245" s="82"/>
    </row>
    <row r="6246" spans="1:3" x14ac:dyDescent="0.3">
      <c r="A6246" s="80"/>
      <c r="B6246" s="81"/>
      <c r="C6246" s="82"/>
    </row>
    <row r="6247" spans="1:3" x14ac:dyDescent="0.3">
      <c r="A6247" s="80"/>
      <c r="B6247" s="81"/>
      <c r="C6247" s="82"/>
    </row>
    <row r="6248" spans="1:3" x14ac:dyDescent="0.3">
      <c r="A6248" s="80"/>
      <c r="B6248" s="81"/>
      <c r="C6248" s="82"/>
    </row>
    <row r="6249" spans="1:3" x14ac:dyDescent="0.3">
      <c r="A6249" s="80"/>
      <c r="B6249" s="81"/>
      <c r="C6249" s="82"/>
    </row>
    <row r="6250" spans="1:3" x14ac:dyDescent="0.3">
      <c r="A6250" s="80"/>
      <c r="B6250" s="81"/>
      <c r="C6250" s="82"/>
    </row>
    <row r="6251" spans="1:3" x14ac:dyDescent="0.3">
      <c r="A6251" s="80"/>
      <c r="B6251" s="81"/>
      <c r="C6251" s="82"/>
    </row>
    <row r="6252" spans="1:3" x14ac:dyDescent="0.3">
      <c r="A6252" s="80"/>
      <c r="B6252" s="81"/>
      <c r="C6252" s="82"/>
    </row>
    <row r="6253" spans="1:3" x14ac:dyDescent="0.3">
      <c r="A6253" s="80"/>
      <c r="B6253" s="81"/>
      <c r="C6253" s="82"/>
    </row>
    <row r="6254" spans="1:3" x14ac:dyDescent="0.3">
      <c r="A6254" s="80"/>
      <c r="B6254" s="81"/>
      <c r="C6254" s="82"/>
    </row>
    <row r="6255" spans="1:3" x14ac:dyDescent="0.3">
      <c r="A6255" s="80"/>
      <c r="B6255" s="81"/>
      <c r="C6255" s="82"/>
    </row>
    <row r="6256" spans="1:3" x14ac:dyDescent="0.3">
      <c r="A6256" s="80"/>
      <c r="B6256" s="81"/>
      <c r="C6256" s="82"/>
    </row>
    <row r="6257" spans="1:3" x14ac:dyDescent="0.3">
      <c r="A6257" s="80"/>
      <c r="B6257" s="81"/>
      <c r="C6257" s="82"/>
    </row>
    <row r="6258" spans="1:3" x14ac:dyDescent="0.3">
      <c r="A6258" s="80"/>
      <c r="B6258" s="81"/>
      <c r="C6258" s="82"/>
    </row>
    <row r="6259" spans="1:3" x14ac:dyDescent="0.3">
      <c r="A6259" s="80"/>
      <c r="B6259" s="81"/>
      <c r="C6259" s="82"/>
    </row>
    <row r="6260" spans="1:3" x14ac:dyDescent="0.3">
      <c r="A6260" s="80"/>
      <c r="B6260" s="81"/>
      <c r="C6260" s="82"/>
    </row>
    <row r="6261" spans="1:3" x14ac:dyDescent="0.3">
      <c r="A6261" s="80"/>
      <c r="B6261" s="81"/>
      <c r="C6261" s="82"/>
    </row>
    <row r="6262" spans="1:3" x14ac:dyDescent="0.3">
      <c r="A6262" s="80"/>
      <c r="B6262" s="81"/>
      <c r="C6262" s="82"/>
    </row>
    <row r="6263" spans="1:3" x14ac:dyDescent="0.3">
      <c r="A6263" s="80"/>
      <c r="B6263" s="81"/>
      <c r="C6263" s="82"/>
    </row>
    <row r="6264" spans="1:3" x14ac:dyDescent="0.3">
      <c r="A6264" s="80"/>
      <c r="B6264" s="81"/>
      <c r="C6264" s="82"/>
    </row>
    <row r="6265" spans="1:3" x14ac:dyDescent="0.3">
      <c r="A6265" s="80"/>
      <c r="B6265" s="81"/>
      <c r="C6265" s="82"/>
    </row>
    <row r="6266" spans="1:3" x14ac:dyDescent="0.3">
      <c r="A6266" s="80"/>
      <c r="B6266" s="81"/>
      <c r="C6266" s="82"/>
    </row>
    <row r="6267" spans="1:3" x14ac:dyDescent="0.3">
      <c r="A6267" s="80"/>
      <c r="B6267" s="81"/>
      <c r="C6267" s="82"/>
    </row>
    <row r="6268" spans="1:3" x14ac:dyDescent="0.3">
      <c r="A6268" s="80"/>
      <c r="B6268" s="81"/>
      <c r="C6268" s="82"/>
    </row>
    <row r="6269" spans="1:3" x14ac:dyDescent="0.3">
      <c r="A6269" s="80"/>
      <c r="B6269" s="81"/>
      <c r="C6269" s="82"/>
    </row>
    <row r="6270" spans="1:3" x14ac:dyDescent="0.3">
      <c r="A6270" s="80"/>
      <c r="B6270" s="81"/>
      <c r="C6270" s="82"/>
    </row>
    <row r="6271" spans="1:3" x14ac:dyDescent="0.3">
      <c r="A6271" s="80"/>
      <c r="B6271" s="81"/>
      <c r="C6271" s="82"/>
    </row>
    <row r="6272" spans="1:3" x14ac:dyDescent="0.3">
      <c r="A6272" s="80"/>
      <c r="B6272" s="81"/>
      <c r="C6272" s="82"/>
    </row>
    <row r="6273" spans="1:3" x14ac:dyDescent="0.3">
      <c r="A6273" s="80"/>
      <c r="B6273" s="81"/>
      <c r="C6273" s="82"/>
    </row>
    <row r="6274" spans="1:3" x14ac:dyDescent="0.3">
      <c r="A6274" s="80"/>
      <c r="B6274" s="81"/>
      <c r="C6274" s="82"/>
    </row>
    <row r="6275" spans="1:3" x14ac:dyDescent="0.3">
      <c r="A6275" s="80"/>
      <c r="B6275" s="81"/>
      <c r="C6275" s="82"/>
    </row>
    <row r="6276" spans="1:3" x14ac:dyDescent="0.3">
      <c r="A6276" s="80"/>
      <c r="B6276" s="81"/>
      <c r="C6276" s="82"/>
    </row>
    <row r="6277" spans="1:3" x14ac:dyDescent="0.3">
      <c r="A6277" s="80"/>
      <c r="B6277" s="81"/>
      <c r="C6277" s="82"/>
    </row>
    <row r="6278" spans="1:3" x14ac:dyDescent="0.3">
      <c r="A6278" s="80"/>
      <c r="B6278" s="81"/>
      <c r="C6278" s="82"/>
    </row>
    <row r="6279" spans="1:3" x14ac:dyDescent="0.3">
      <c r="A6279" s="80"/>
      <c r="B6279" s="81"/>
      <c r="C6279" s="82"/>
    </row>
    <row r="6280" spans="1:3" x14ac:dyDescent="0.3">
      <c r="A6280" s="80"/>
      <c r="B6280" s="81"/>
      <c r="C6280" s="82"/>
    </row>
    <row r="6281" spans="1:3" x14ac:dyDescent="0.3">
      <c r="A6281" s="80"/>
      <c r="B6281" s="81"/>
      <c r="C6281" s="82"/>
    </row>
    <row r="6282" spans="1:3" x14ac:dyDescent="0.3">
      <c r="A6282" s="80"/>
      <c r="B6282" s="81"/>
      <c r="C6282" s="82"/>
    </row>
    <row r="6283" spans="1:3" x14ac:dyDescent="0.3">
      <c r="A6283" s="80"/>
      <c r="B6283" s="81"/>
      <c r="C6283" s="82"/>
    </row>
    <row r="6284" spans="1:3" x14ac:dyDescent="0.3">
      <c r="A6284" s="80"/>
      <c r="B6284" s="81"/>
      <c r="C6284" s="82"/>
    </row>
    <row r="6285" spans="1:3" x14ac:dyDescent="0.3">
      <c r="A6285" s="80"/>
      <c r="B6285" s="81"/>
      <c r="C6285" s="82"/>
    </row>
    <row r="6286" spans="1:3" x14ac:dyDescent="0.3">
      <c r="A6286" s="80"/>
      <c r="B6286" s="81"/>
      <c r="C6286" s="82"/>
    </row>
    <row r="6287" spans="1:3" x14ac:dyDescent="0.3">
      <c r="A6287" s="80"/>
      <c r="B6287" s="81"/>
      <c r="C6287" s="82"/>
    </row>
    <row r="6288" spans="1:3" x14ac:dyDescent="0.3">
      <c r="A6288" s="80"/>
      <c r="B6288" s="81"/>
      <c r="C6288" s="82"/>
    </row>
    <row r="6289" spans="1:3" x14ac:dyDescent="0.3">
      <c r="A6289" s="80"/>
      <c r="B6289" s="81"/>
      <c r="C6289" s="82"/>
    </row>
    <row r="6290" spans="1:3" x14ac:dyDescent="0.3">
      <c r="A6290" s="80"/>
      <c r="B6290" s="81"/>
      <c r="C6290" s="82"/>
    </row>
    <row r="6291" spans="1:3" x14ac:dyDescent="0.3">
      <c r="A6291" s="80"/>
      <c r="B6291" s="81"/>
      <c r="C6291" s="82"/>
    </row>
    <row r="6292" spans="1:3" x14ac:dyDescent="0.3">
      <c r="A6292" s="80"/>
      <c r="B6292" s="81"/>
      <c r="C6292" s="82"/>
    </row>
    <row r="6293" spans="1:3" x14ac:dyDescent="0.3">
      <c r="A6293" s="80"/>
      <c r="B6293" s="81"/>
      <c r="C6293" s="82"/>
    </row>
    <row r="6294" spans="1:3" x14ac:dyDescent="0.3">
      <c r="A6294" s="80"/>
      <c r="B6294" s="81"/>
      <c r="C6294" s="82"/>
    </row>
    <row r="6295" spans="1:3" x14ac:dyDescent="0.3">
      <c r="A6295" s="80"/>
      <c r="B6295" s="81"/>
      <c r="C6295" s="82"/>
    </row>
    <row r="6296" spans="1:3" x14ac:dyDescent="0.3">
      <c r="A6296" s="80"/>
      <c r="B6296" s="81"/>
      <c r="C6296" s="82"/>
    </row>
    <row r="6297" spans="1:3" x14ac:dyDescent="0.3">
      <c r="A6297" s="80"/>
      <c r="B6297" s="81"/>
      <c r="C6297" s="82"/>
    </row>
    <row r="6298" spans="1:3" x14ac:dyDescent="0.3">
      <c r="A6298" s="80"/>
      <c r="B6298" s="81"/>
      <c r="C6298" s="82"/>
    </row>
    <row r="6299" spans="1:3" x14ac:dyDescent="0.3">
      <c r="A6299" s="80"/>
      <c r="B6299" s="81"/>
      <c r="C6299" s="82"/>
    </row>
    <row r="6300" spans="1:3" x14ac:dyDescent="0.3">
      <c r="A6300" s="80"/>
      <c r="B6300" s="81"/>
      <c r="C6300" s="82"/>
    </row>
    <row r="6301" spans="1:3" x14ac:dyDescent="0.3">
      <c r="A6301" s="80"/>
      <c r="B6301" s="81"/>
      <c r="C6301" s="82"/>
    </row>
    <row r="6302" spans="1:3" x14ac:dyDescent="0.3">
      <c r="A6302" s="80"/>
      <c r="B6302" s="81"/>
      <c r="C6302" s="82"/>
    </row>
    <row r="6303" spans="1:3" x14ac:dyDescent="0.3">
      <c r="A6303" s="80"/>
      <c r="B6303" s="81"/>
      <c r="C6303" s="82"/>
    </row>
    <row r="6304" spans="1:3" x14ac:dyDescent="0.3">
      <c r="A6304" s="80"/>
      <c r="B6304" s="81"/>
      <c r="C6304" s="82"/>
    </row>
    <row r="6305" spans="1:3" x14ac:dyDescent="0.3">
      <c r="A6305" s="80"/>
      <c r="B6305" s="81"/>
      <c r="C6305" s="82"/>
    </row>
    <row r="6306" spans="1:3" x14ac:dyDescent="0.3">
      <c r="A6306" s="80"/>
      <c r="B6306" s="81"/>
      <c r="C6306" s="82"/>
    </row>
    <row r="6307" spans="1:3" x14ac:dyDescent="0.3">
      <c r="A6307" s="80"/>
      <c r="B6307" s="81"/>
      <c r="C6307" s="82"/>
    </row>
    <row r="6308" spans="1:3" x14ac:dyDescent="0.3">
      <c r="A6308" s="80"/>
      <c r="B6308" s="81"/>
      <c r="C6308" s="82"/>
    </row>
    <row r="6309" spans="1:3" x14ac:dyDescent="0.3">
      <c r="A6309" s="80"/>
      <c r="B6309" s="81"/>
      <c r="C6309" s="82"/>
    </row>
    <row r="6310" spans="1:3" x14ac:dyDescent="0.3">
      <c r="A6310" s="80"/>
      <c r="B6310" s="81"/>
      <c r="C6310" s="82"/>
    </row>
    <row r="6311" spans="1:3" x14ac:dyDescent="0.3">
      <c r="A6311" s="80"/>
      <c r="B6311" s="81"/>
      <c r="C6311" s="82"/>
    </row>
    <row r="6312" spans="1:3" x14ac:dyDescent="0.3">
      <c r="A6312" s="80"/>
      <c r="B6312" s="81"/>
      <c r="C6312" s="82"/>
    </row>
    <row r="6313" spans="1:3" x14ac:dyDescent="0.3">
      <c r="A6313" s="80"/>
      <c r="B6313" s="81"/>
      <c r="C6313" s="82"/>
    </row>
    <row r="6314" spans="1:3" x14ac:dyDescent="0.3">
      <c r="A6314" s="80"/>
      <c r="B6314" s="81"/>
      <c r="C6314" s="82"/>
    </row>
    <row r="6315" spans="1:3" x14ac:dyDescent="0.3">
      <c r="A6315" s="80"/>
      <c r="B6315" s="81"/>
      <c r="C6315" s="82"/>
    </row>
    <row r="6316" spans="1:3" x14ac:dyDescent="0.3">
      <c r="A6316" s="80"/>
      <c r="B6316" s="81"/>
      <c r="C6316" s="82"/>
    </row>
    <row r="6317" spans="1:3" x14ac:dyDescent="0.3">
      <c r="A6317" s="80"/>
      <c r="B6317" s="81"/>
      <c r="C6317" s="82"/>
    </row>
    <row r="6318" spans="1:3" x14ac:dyDescent="0.3">
      <c r="A6318" s="80"/>
      <c r="B6318" s="81"/>
      <c r="C6318" s="82"/>
    </row>
    <row r="6319" spans="1:3" x14ac:dyDescent="0.3">
      <c r="A6319" s="80"/>
      <c r="B6319" s="81"/>
      <c r="C6319" s="82"/>
    </row>
    <row r="6320" spans="1:3" x14ac:dyDescent="0.3">
      <c r="A6320" s="80"/>
      <c r="B6320" s="81"/>
      <c r="C6320" s="82"/>
    </row>
    <row r="6321" spans="1:3" x14ac:dyDescent="0.3">
      <c r="A6321" s="80"/>
      <c r="B6321" s="81"/>
      <c r="C6321" s="82"/>
    </row>
    <row r="6322" spans="1:3" x14ac:dyDescent="0.3">
      <c r="A6322" s="80"/>
      <c r="B6322" s="81"/>
      <c r="C6322" s="82"/>
    </row>
    <row r="6323" spans="1:3" x14ac:dyDescent="0.3">
      <c r="A6323" s="80"/>
      <c r="B6323" s="81"/>
      <c r="C6323" s="82"/>
    </row>
    <row r="6324" spans="1:3" x14ac:dyDescent="0.3">
      <c r="A6324" s="80"/>
      <c r="B6324" s="81"/>
      <c r="C6324" s="82"/>
    </row>
    <row r="6325" spans="1:3" x14ac:dyDescent="0.3">
      <c r="A6325" s="80"/>
      <c r="B6325" s="81"/>
      <c r="C6325" s="82"/>
    </row>
    <row r="6326" spans="1:3" x14ac:dyDescent="0.3">
      <c r="A6326" s="80"/>
      <c r="B6326" s="81"/>
      <c r="C6326" s="82"/>
    </row>
    <row r="6327" spans="1:3" x14ac:dyDescent="0.3">
      <c r="A6327" s="80"/>
      <c r="B6327" s="81"/>
      <c r="C6327" s="82"/>
    </row>
    <row r="6328" spans="1:3" x14ac:dyDescent="0.3">
      <c r="A6328" s="80"/>
      <c r="B6328" s="81"/>
      <c r="C6328" s="82"/>
    </row>
    <row r="6329" spans="1:3" x14ac:dyDescent="0.3">
      <c r="A6329" s="80"/>
      <c r="B6329" s="81"/>
      <c r="C6329" s="82"/>
    </row>
    <row r="6330" spans="1:3" x14ac:dyDescent="0.3">
      <c r="A6330" s="80"/>
      <c r="B6330" s="81"/>
      <c r="C6330" s="82"/>
    </row>
    <row r="6331" spans="1:3" x14ac:dyDescent="0.3">
      <c r="A6331" s="80"/>
      <c r="B6331" s="81"/>
      <c r="C6331" s="82"/>
    </row>
    <row r="6332" spans="1:3" x14ac:dyDescent="0.3">
      <c r="A6332" s="80"/>
      <c r="B6332" s="81"/>
      <c r="C6332" s="82"/>
    </row>
    <row r="6333" spans="1:3" x14ac:dyDescent="0.3">
      <c r="A6333" s="80"/>
      <c r="B6333" s="81"/>
      <c r="C6333" s="82"/>
    </row>
    <row r="6334" spans="1:3" x14ac:dyDescent="0.3">
      <c r="A6334" s="80"/>
      <c r="B6334" s="81"/>
      <c r="C6334" s="82"/>
    </row>
    <row r="6335" spans="1:3" x14ac:dyDescent="0.3">
      <c r="A6335" s="80"/>
      <c r="B6335" s="81"/>
      <c r="C6335" s="82"/>
    </row>
    <row r="6336" spans="1:3" x14ac:dyDescent="0.3">
      <c r="A6336" s="80"/>
      <c r="B6336" s="81"/>
      <c r="C6336" s="82"/>
    </row>
    <row r="6337" spans="1:3" x14ac:dyDescent="0.3">
      <c r="A6337" s="80"/>
      <c r="B6337" s="81"/>
      <c r="C6337" s="82"/>
    </row>
    <row r="6338" spans="1:3" x14ac:dyDescent="0.3">
      <c r="A6338" s="80"/>
      <c r="B6338" s="81"/>
      <c r="C6338" s="82"/>
    </row>
    <row r="6339" spans="1:3" x14ac:dyDescent="0.3">
      <c r="A6339" s="80"/>
      <c r="B6339" s="81"/>
      <c r="C6339" s="82"/>
    </row>
    <row r="6340" spans="1:3" x14ac:dyDescent="0.3">
      <c r="A6340" s="80"/>
      <c r="B6340" s="81"/>
      <c r="C6340" s="82"/>
    </row>
    <row r="6341" spans="1:3" x14ac:dyDescent="0.3">
      <c r="A6341" s="80"/>
      <c r="B6341" s="81"/>
      <c r="C6341" s="82"/>
    </row>
    <row r="6342" spans="1:3" x14ac:dyDescent="0.3">
      <c r="A6342" s="80"/>
      <c r="B6342" s="81"/>
      <c r="C6342" s="82"/>
    </row>
    <row r="6343" spans="1:3" x14ac:dyDescent="0.3">
      <c r="A6343" s="80"/>
      <c r="B6343" s="81"/>
      <c r="C6343" s="82"/>
    </row>
    <row r="6344" spans="1:3" x14ac:dyDescent="0.3">
      <c r="A6344" s="80"/>
      <c r="B6344" s="81"/>
      <c r="C6344" s="82"/>
    </row>
    <row r="6345" spans="1:3" x14ac:dyDescent="0.3">
      <c r="A6345" s="80"/>
      <c r="B6345" s="81"/>
      <c r="C6345" s="82"/>
    </row>
    <row r="6346" spans="1:3" x14ac:dyDescent="0.3">
      <c r="A6346" s="80"/>
      <c r="B6346" s="81"/>
      <c r="C6346" s="82"/>
    </row>
    <row r="6347" spans="1:3" x14ac:dyDescent="0.3">
      <c r="A6347" s="80"/>
      <c r="B6347" s="81"/>
      <c r="C6347" s="82"/>
    </row>
    <row r="6348" spans="1:3" x14ac:dyDescent="0.3">
      <c r="A6348" s="80"/>
      <c r="B6348" s="81"/>
      <c r="C6348" s="82"/>
    </row>
    <row r="6349" spans="1:3" x14ac:dyDescent="0.3">
      <c r="A6349" s="80"/>
      <c r="B6349" s="81"/>
      <c r="C6349" s="82"/>
    </row>
    <row r="6350" spans="1:3" x14ac:dyDescent="0.3">
      <c r="A6350" s="80"/>
      <c r="B6350" s="81"/>
      <c r="C6350" s="82"/>
    </row>
    <row r="6351" spans="1:3" x14ac:dyDescent="0.3">
      <c r="A6351" s="80"/>
      <c r="B6351" s="81"/>
      <c r="C6351" s="82"/>
    </row>
    <row r="6352" spans="1:3" x14ac:dyDescent="0.3">
      <c r="A6352" s="80"/>
      <c r="B6352" s="81"/>
      <c r="C6352" s="82"/>
    </row>
    <row r="6353" spans="1:3" x14ac:dyDescent="0.3">
      <c r="A6353" s="80"/>
      <c r="B6353" s="81"/>
      <c r="C6353" s="82"/>
    </row>
    <row r="6354" spans="1:3" x14ac:dyDescent="0.3">
      <c r="A6354" s="80"/>
      <c r="B6354" s="81"/>
      <c r="C6354" s="82"/>
    </row>
    <row r="6355" spans="1:3" x14ac:dyDescent="0.3">
      <c r="A6355" s="80"/>
      <c r="B6355" s="81"/>
      <c r="C6355" s="82"/>
    </row>
    <row r="6356" spans="1:3" x14ac:dyDescent="0.3">
      <c r="A6356" s="80"/>
      <c r="B6356" s="81"/>
      <c r="C6356" s="82"/>
    </row>
    <row r="6357" spans="1:3" x14ac:dyDescent="0.3">
      <c r="A6357" s="80"/>
      <c r="B6357" s="81"/>
      <c r="C6357" s="82"/>
    </row>
    <row r="6358" spans="1:3" x14ac:dyDescent="0.3">
      <c r="A6358" s="80"/>
      <c r="B6358" s="81"/>
      <c r="C6358" s="82"/>
    </row>
    <row r="6359" spans="1:3" x14ac:dyDescent="0.3">
      <c r="A6359" s="80"/>
      <c r="B6359" s="81"/>
      <c r="C6359" s="82"/>
    </row>
    <row r="6360" spans="1:3" x14ac:dyDescent="0.3">
      <c r="A6360" s="80"/>
      <c r="B6360" s="81"/>
      <c r="C6360" s="82"/>
    </row>
    <row r="6361" spans="1:3" x14ac:dyDescent="0.3">
      <c r="A6361" s="80"/>
      <c r="B6361" s="81"/>
      <c r="C6361" s="82"/>
    </row>
    <row r="6362" spans="1:3" x14ac:dyDescent="0.3">
      <c r="A6362" s="80"/>
      <c r="B6362" s="81"/>
      <c r="C6362" s="82"/>
    </row>
    <row r="6363" spans="1:3" x14ac:dyDescent="0.3">
      <c r="A6363" s="80"/>
      <c r="B6363" s="81"/>
      <c r="C6363" s="82"/>
    </row>
    <row r="6364" spans="1:3" x14ac:dyDescent="0.3">
      <c r="A6364" s="80"/>
      <c r="B6364" s="81"/>
      <c r="C6364" s="82"/>
    </row>
    <row r="6365" spans="1:3" x14ac:dyDescent="0.3">
      <c r="A6365" s="80"/>
      <c r="B6365" s="81"/>
      <c r="C6365" s="82"/>
    </row>
    <row r="6366" spans="1:3" x14ac:dyDescent="0.3">
      <c r="A6366" s="80"/>
      <c r="B6366" s="81"/>
      <c r="C6366" s="82"/>
    </row>
    <row r="6367" spans="1:3" x14ac:dyDescent="0.3">
      <c r="A6367" s="80"/>
      <c r="B6367" s="81"/>
      <c r="C6367" s="82"/>
    </row>
    <row r="6368" spans="1:3" x14ac:dyDescent="0.3">
      <c r="A6368" s="80"/>
      <c r="B6368" s="81"/>
      <c r="C6368" s="82"/>
    </row>
    <row r="6369" spans="1:3" x14ac:dyDescent="0.3">
      <c r="A6369" s="80"/>
      <c r="B6369" s="81"/>
      <c r="C6369" s="82"/>
    </row>
    <row r="6370" spans="1:3" x14ac:dyDescent="0.3">
      <c r="A6370" s="80"/>
      <c r="B6370" s="81"/>
      <c r="C6370" s="82"/>
    </row>
    <row r="6371" spans="1:3" x14ac:dyDescent="0.3">
      <c r="A6371" s="80"/>
      <c r="B6371" s="81"/>
      <c r="C6371" s="82"/>
    </row>
    <row r="6372" spans="1:3" x14ac:dyDescent="0.3">
      <c r="A6372" s="80"/>
      <c r="B6372" s="81"/>
      <c r="C6372" s="82"/>
    </row>
    <row r="6373" spans="1:3" x14ac:dyDescent="0.3">
      <c r="A6373" s="80"/>
      <c r="B6373" s="81"/>
      <c r="C6373" s="82"/>
    </row>
    <row r="6374" spans="1:3" x14ac:dyDescent="0.3">
      <c r="A6374" s="80"/>
      <c r="B6374" s="81"/>
      <c r="C6374" s="82"/>
    </row>
    <row r="6375" spans="1:3" x14ac:dyDescent="0.3">
      <c r="A6375" s="80"/>
      <c r="B6375" s="81"/>
      <c r="C6375" s="82"/>
    </row>
    <row r="6376" spans="1:3" x14ac:dyDescent="0.3">
      <c r="A6376" s="80"/>
      <c r="B6376" s="81"/>
      <c r="C6376" s="82"/>
    </row>
    <row r="6377" spans="1:3" x14ac:dyDescent="0.3">
      <c r="A6377" s="80"/>
      <c r="B6377" s="81"/>
      <c r="C6377" s="82"/>
    </row>
    <row r="6378" spans="1:3" x14ac:dyDescent="0.3">
      <c r="A6378" s="80"/>
      <c r="B6378" s="81"/>
      <c r="C6378" s="82"/>
    </row>
    <row r="6379" spans="1:3" x14ac:dyDescent="0.3">
      <c r="A6379" s="80"/>
      <c r="B6379" s="81"/>
      <c r="C6379" s="82"/>
    </row>
    <row r="6380" spans="1:3" x14ac:dyDescent="0.3">
      <c r="A6380" s="80"/>
      <c r="B6380" s="81"/>
      <c r="C6380" s="82"/>
    </row>
    <row r="6381" spans="1:3" x14ac:dyDescent="0.3">
      <c r="A6381" s="80"/>
      <c r="B6381" s="81"/>
      <c r="C6381" s="82"/>
    </row>
    <row r="6382" spans="1:3" x14ac:dyDescent="0.3">
      <c r="A6382" s="80"/>
      <c r="B6382" s="81"/>
      <c r="C6382" s="82"/>
    </row>
    <row r="6383" spans="1:3" x14ac:dyDescent="0.3">
      <c r="A6383" s="80"/>
      <c r="B6383" s="81"/>
      <c r="C6383" s="82"/>
    </row>
    <row r="6384" spans="1:3" x14ac:dyDescent="0.3">
      <c r="A6384" s="80"/>
      <c r="B6384" s="81"/>
      <c r="C6384" s="82"/>
    </row>
    <row r="6385" spans="1:3" x14ac:dyDescent="0.3">
      <c r="A6385" s="80"/>
      <c r="B6385" s="81"/>
      <c r="C6385" s="82"/>
    </row>
    <row r="6386" spans="1:3" x14ac:dyDescent="0.3">
      <c r="A6386" s="80"/>
      <c r="B6386" s="81"/>
      <c r="C6386" s="82"/>
    </row>
    <row r="6387" spans="1:3" x14ac:dyDescent="0.3">
      <c r="A6387" s="80"/>
      <c r="B6387" s="81"/>
      <c r="C6387" s="82"/>
    </row>
    <row r="6388" spans="1:3" x14ac:dyDescent="0.3">
      <c r="A6388" s="80"/>
      <c r="B6388" s="81"/>
      <c r="C6388" s="82"/>
    </row>
    <row r="6389" spans="1:3" x14ac:dyDescent="0.3">
      <c r="A6389" s="80"/>
      <c r="B6389" s="81"/>
      <c r="C6389" s="82"/>
    </row>
    <row r="6390" spans="1:3" x14ac:dyDescent="0.3">
      <c r="A6390" s="80"/>
      <c r="B6390" s="81"/>
      <c r="C6390" s="82"/>
    </row>
    <row r="6391" spans="1:3" x14ac:dyDescent="0.3">
      <c r="A6391" s="80"/>
      <c r="B6391" s="81"/>
      <c r="C6391" s="82"/>
    </row>
    <row r="6392" spans="1:3" x14ac:dyDescent="0.3">
      <c r="A6392" s="80"/>
      <c r="B6392" s="81"/>
      <c r="C6392" s="82"/>
    </row>
    <row r="6393" spans="1:3" x14ac:dyDescent="0.3">
      <c r="A6393" s="80"/>
      <c r="B6393" s="81"/>
      <c r="C6393" s="82"/>
    </row>
    <row r="6394" spans="1:3" x14ac:dyDescent="0.3">
      <c r="A6394" s="80"/>
      <c r="B6394" s="81"/>
      <c r="C6394" s="82"/>
    </row>
    <row r="6395" spans="1:3" x14ac:dyDescent="0.3">
      <c r="A6395" s="80"/>
      <c r="B6395" s="81"/>
      <c r="C6395" s="82"/>
    </row>
    <row r="6396" spans="1:3" x14ac:dyDescent="0.3">
      <c r="A6396" s="80"/>
      <c r="B6396" s="81"/>
      <c r="C6396" s="82"/>
    </row>
    <row r="6397" spans="1:3" x14ac:dyDescent="0.3">
      <c r="A6397" s="80"/>
      <c r="B6397" s="81"/>
      <c r="C6397" s="82"/>
    </row>
    <row r="6398" spans="1:3" x14ac:dyDescent="0.3">
      <c r="A6398" s="80"/>
      <c r="B6398" s="81"/>
      <c r="C6398" s="82"/>
    </row>
    <row r="6399" spans="1:3" x14ac:dyDescent="0.3">
      <c r="A6399" s="80"/>
      <c r="B6399" s="81"/>
      <c r="C6399" s="82"/>
    </row>
    <row r="6400" spans="1:3" x14ac:dyDescent="0.3">
      <c r="A6400" s="80"/>
      <c r="B6400" s="81"/>
      <c r="C6400" s="82"/>
    </row>
    <row r="6401" spans="1:3" x14ac:dyDescent="0.3">
      <c r="A6401" s="80"/>
      <c r="B6401" s="81"/>
      <c r="C6401" s="82"/>
    </row>
    <row r="6402" spans="1:3" x14ac:dyDescent="0.3">
      <c r="A6402" s="80"/>
      <c r="B6402" s="81"/>
      <c r="C6402" s="82"/>
    </row>
    <row r="6403" spans="1:3" x14ac:dyDescent="0.3">
      <c r="A6403" s="80"/>
      <c r="B6403" s="81"/>
      <c r="C6403" s="82"/>
    </row>
    <row r="6404" spans="1:3" x14ac:dyDescent="0.3">
      <c r="A6404" s="80"/>
      <c r="B6404" s="81"/>
      <c r="C6404" s="82"/>
    </row>
    <row r="6405" spans="1:3" x14ac:dyDescent="0.3">
      <c r="A6405" s="80"/>
      <c r="B6405" s="81"/>
      <c r="C6405" s="82"/>
    </row>
    <row r="6406" spans="1:3" x14ac:dyDescent="0.3">
      <c r="A6406" s="80"/>
      <c r="B6406" s="81"/>
      <c r="C6406" s="82"/>
    </row>
    <row r="6407" spans="1:3" x14ac:dyDescent="0.3">
      <c r="A6407" s="80"/>
      <c r="B6407" s="81"/>
      <c r="C6407" s="82"/>
    </row>
    <row r="6408" spans="1:3" x14ac:dyDescent="0.3">
      <c r="A6408" s="80"/>
      <c r="B6408" s="81"/>
      <c r="C6408" s="82"/>
    </row>
    <row r="6409" spans="1:3" x14ac:dyDescent="0.3">
      <c r="A6409" s="80"/>
      <c r="B6409" s="81"/>
      <c r="C6409" s="82"/>
    </row>
    <row r="6410" spans="1:3" x14ac:dyDescent="0.3">
      <c r="A6410" s="80"/>
      <c r="B6410" s="81"/>
      <c r="C6410" s="82"/>
    </row>
    <row r="6411" spans="1:3" x14ac:dyDescent="0.3">
      <c r="A6411" s="80"/>
      <c r="B6411" s="81"/>
      <c r="C6411" s="82"/>
    </row>
    <row r="6412" spans="1:3" x14ac:dyDescent="0.3">
      <c r="A6412" s="80"/>
      <c r="B6412" s="81"/>
      <c r="C6412" s="82"/>
    </row>
    <row r="6413" spans="1:3" x14ac:dyDescent="0.3">
      <c r="A6413" s="80"/>
      <c r="B6413" s="81"/>
      <c r="C6413" s="82"/>
    </row>
    <row r="6414" spans="1:3" x14ac:dyDescent="0.3">
      <c r="A6414" s="80"/>
      <c r="B6414" s="81"/>
      <c r="C6414" s="82"/>
    </row>
    <row r="6415" spans="1:3" x14ac:dyDescent="0.3">
      <c r="A6415" s="80"/>
      <c r="B6415" s="81"/>
      <c r="C6415" s="82"/>
    </row>
    <row r="6416" spans="1:3" x14ac:dyDescent="0.3">
      <c r="A6416" s="80"/>
      <c r="B6416" s="81"/>
      <c r="C6416" s="82"/>
    </row>
    <row r="6417" spans="1:3" x14ac:dyDescent="0.3">
      <c r="A6417" s="80"/>
      <c r="B6417" s="81"/>
      <c r="C6417" s="82"/>
    </row>
    <row r="6418" spans="1:3" x14ac:dyDescent="0.3">
      <c r="A6418" s="80"/>
      <c r="B6418" s="81"/>
      <c r="C6418" s="82"/>
    </row>
    <row r="6419" spans="1:3" x14ac:dyDescent="0.3">
      <c r="A6419" s="80"/>
      <c r="B6419" s="81"/>
      <c r="C6419" s="82"/>
    </row>
    <row r="6420" spans="1:3" x14ac:dyDescent="0.3">
      <c r="A6420" s="80"/>
      <c r="B6420" s="81"/>
      <c r="C6420" s="82"/>
    </row>
    <row r="6421" spans="1:3" x14ac:dyDescent="0.3">
      <c r="A6421" s="80"/>
      <c r="B6421" s="81"/>
      <c r="C6421" s="82"/>
    </row>
    <row r="6422" spans="1:3" x14ac:dyDescent="0.3">
      <c r="A6422" s="80"/>
      <c r="B6422" s="81"/>
      <c r="C6422" s="82"/>
    </row>
    <row r="6423" spans="1:3" x14ac:dyDescent="0.3">
      <c r="A6423" s="80"/>
      <c r="B6423" s="81"/>
      <c r="C6423" s="82"/>
    </row>
    <row r="6424" spans="1:3" x14ac:dyDescent="0.3">
      <c r="A6424" s="80"/>
      <c r="B6424" s="81"/>
      <c r="C6424" s="82"/>
    </row>
    <row r="6425" spans="1:3" x14ac:dyDescent="0.3">
      <c r="A6425" s="80"/>
      <c r="B6425" s="81"/>
      <c r="C6425" s="82"/>
    </row>
    <row r="6426" spans="1:3" x14ac:dyDescent="0.3">
      <c r="A6426" s="80"/>
      <c r="B6426" s="81"/>
      <c r="C6426" s="82"/>
    </row>
    <row r="6427" spans="1:3" x14ac:dyDescent="0.3">
      <c r="A6427" s="80"/>
      <c r="B6427" s="81"/>
      <c r="C6427" s="82"/>
    </row>
    <row r="6428" spans="1:3" x14ac:dyDescent="0.3">
      <c r="A6428" s="80"/>
      <c r="B6428" s="81"/>
      <c r="C6428" s="82"/>
    </row>
    <row r="6429" spans="1:3" x14ac:dyDescent="0.3">
      <c r="A6429" s="80"/>
      <c r="B6429" s="81"/>
      <c r="C6429" s="82"/>
    </row>
    <row r="6430" spans="1:3" x14ac:dyDescent="0.3">
      <c r="A6430" s="80"/>
      <c r="B6430" s="81"/>
      <c r="C6430" s="82"/>
    </row>
    <row r="6431" spans="1:3" x14ac:dyDescent="0.3">
      <c r="A6431" s="80"/>
      <c r="B6431" s="81"/>
      <c r="C6431" s="82"/>
    </row>
    <row r="6432" spans="1:3" x14ac:dyDescent="0.3">
      <c r="A6432" s="80"/>
      <c r="B6432" s="81"/>
      <c r="C6432" s="82"/>
    </row>
    <row r="6433" spans="1:3" x14ac:dyDescent="0.3">
      <c r="A6433" s="80"/>
      <c r="B6433" s="81"/>
      <c r="C6433" s="82"/>
    </row>
    <row r="6434" spans="1:3" x14ac:dyDescent="0.3">
      <c r="A6434" s="80"/>
      <c r="B6434" s="81"/>
      <c r="C6434" s="82"/>
    </row>
    <row r="6435" spans="1:3" x14ac:dyDescent="0.3">
      <c r="A6435" s="80"/>
      <c r="B6435" s="81"/>
      <c r="C6435" s="82"/>
    </row>
    <row r="6436" spans="1:3" x14ac:dyDescent="0.3">
      <c r="A6436" s="80"/>
      <c r="B6436" s="81"/>
      <c r="C6436" s="82"/>
    </row>
    <row r="6437" spans="1:3" x14ac:dyDescent="0.3">
      <c r="A6437" s="80"/>
      <c r="B6437" s="81"/>
      <c r="C6437" s="82"/>
    </row>
    <row r="6438" spans="1:3" x14ac:dyDescent="0.3">
      <c r="A6438" s="80"/>
      <c r="B6438" s="81"/>
      <c r="C6438" s="82"/>
    </row>
    <row r="6439" spans="1:3" x14ac:dyDescent="0.3">
      <c r="A6439" s="80"/>
      <c r="B6439" s="81"/>
      <c r="C6439" s="82"/>
    </row>
    <row r="6440" spans="1:3" x14ac:dyDescent="0.3">
      <c r="A6440" s="80"/>
      <c r="B6440" s="81"/>
      <c r="C6440" s="82"/>
    </row>
    <row r="6441" spans="1:3" x14ac:dyDescent="0.3">
      <c r="A6441" s="80"/>
      <c r="B6441" s="81"/>
      <c r="C6441" s="82"/>
    </row>
    <row r="6442" spans="1:3" x14ac:dyDescent="0.3">
      <c r="A6442" s="80"/>
      <c r="B6442" s="81"/>
      <c r="C6442" s="82"/>
    </row>
    <row r="6443" spans="1:3" x14ac:dyDescent="0.3">
      <c r="A6443" s="80"/>
      <c r="B6443" s="81"/>
      <c r="C6443" s="82"/>
    </row>
    <row r="6444" spans="1:3" x14ac:dyDescent="0.3">
      <c r="A6444" s="80"/>
      <c r="B6444" s="81"/>
      <c r="C6444" s="82"/>
    </row>
    <row r="6445" spans="1:3" x14ac:dyDescent="0.3">
      <c r="A6445" s="80"/>
      <c r="B6445" s="81"/>
      <c r="C6445" s="82"/>
    </row>
    <row r="6446" spans="1:3" x14ac:dyDescent="0.3">
      <c r="A6446" s="80"/>
      <c r="B6446" s="81"/>
      <c r="C6446" s="82"/>
    </row>
    <row r="6447" spans="1:3" x14ac:dyDescent="0.3">
      <c r="A6447" s="80"/>
      <c r="B6447" s="81"/>
      <c r="C6447" s="82"/>
    </row>
    <row r="6448" spans="1:3" x14ac:dyDescent="0.3">
      <c r="A6448" s="80"/>
      <c r="B6448" s="81"/>
      <c r="C6448" s="82"/>
    </row>
    <row r="6449" spans="1:3" x14ac:dyDescent="0.3">
      <c r="A6449" s="80"/>
      <c r="B6449" s="81"/>
      <c r="C6449" s="82"/>
    </row>
    <row r="6450" spans="1:3" x14ac:dyDescent="0.3">
      <c r="A6450" s="80"/>
      <c r="B6450" s="81"/>
      <c r="C6450" s="82"/>
    </row>
    <row r="6451" spans="1:3" x14ac:dyDescent="0.3">
      <c r="A6451" s="80"/>
      <c r="B6451" s="81"/>
      <c r="C6451" s="82"/>
    </row>
    <row r="6452" spans="1:3" x14ac:dyDescent="0.3">
      <c r="A6452" s="80"/>
      <c r="B6452" s="81"/>
      <c r="C6452" s="82"/>
    </row>
    <row r="6453" spans="1:3" x14ac:dyDescent="0.3">
      <c r="A6453" s="80"/>
      <c r="B6453" s="81"/>
      <c r="C6453" s="82"/>
    </row>
    <row r="6454" spans="1:3" x14ac:dyDescent="0.3">
      <c r="A6454" s="80"/>
      <c r="B6454" s="81"/>
      <c r="C6454" s="82"/>
    </row>
    <row r="6455" spans="1:3" x14ac:dyDescent="0.3">
      <c r="A6455" s="80"/>
      <c r="B6455" s="81"/>
      <c r="C6455" s="82"/>
    </row>
    <row r="6456" spans="1:3" x14ac:dyDescent="0.3">
      <c r="A6456" s="80"/>
      <c r="B6456" s="81"/>
      <c r="C6456" s="82"/>
    </row>
    <row r="6457" spans="1:3" x14ac:dyDescent="0.3">
      <c r="A6457" s="80"/>
      <c r="B6457" s="81"/>
      <c r="C6457" s="82"/>
    </row>
    <row r="6458" spans="1:3" x14ac:dyDescent="0.3">
      <c r="A6458" s="80"/>
      <c r="B6458" s="81"/>
      <c r="C6458" s="82"/>
    </row>
    <row r="6459" spans="1:3" x14ac:dyDescent="0.3">
      <c r="A6459" s="80"/>
      <c r="B6459" s="81"/>
      <c r="C6459" s="82"/>
    </row>
    <row r="6460" spans="1:3" x14ac:dyDescent="0.3">
      <c r="A6460" s="80"/>
      <c r="B6460" s="81"/>
      <c r="C6460" s="82"/>
    </row>
    <row r="6461" spans="1:3" x14ac:dyDescent="0.3">
      <c r="A6461" s="80"/>
      <c r="B6461" s="81"/>
      <c r="C6461" s="82"/>
    </row>
    <row r="6462" spans="1:3" x14ac:dyDescent="0.3">
      <c r="A6462" s="80"/>
      <c r="B6462" s="81"/>
      <c r="C6462" s="82"/>
    </row>
    <row r="6463" spans="1:3" x14ac:dyDescent="0.3">
      <c r="A6463" s="80"/>
      <c r="B6463" s="81"/>
      <c r="C6463" s="82"/>
    </row>
    <row r="6464" spans="1:3" x14ac:dyDescent="0.3">
      <c r="A6464" s="80"/>
      <c r="B6464" s="81"/>
      <c r="C6464" s="82"/>
    </row>
    <row r="6465" spans="1:3" x14ac:dyDescent="0.3">
      <c r="A6465" s="80"/>
      <c r="B6465" s="81"/>
      <c r="C6465" s="82"/>
    </row>
    <row r="6466" spans="1:3" x14ac:dyDescent="0.3">
      <c r="A6466" s="80"/>
      <c r="B6466" s="81"/>
      <c r="C6466" s="82"/>
    </row>
    <row r="6467" spans="1:3" x14ac:dyDescent="0.3">
      <c r="A6467" s="80"/>
      <c r="B6467" s="81"/>
      <c r="C6467" s="82"/>
    </row>
    <row r="6468" spans="1:3" x14ac:dyDescent="0.3">
      <c r="A6468" s="80"/>
      <c r="B6468" s="81"/>
      <c r="C6468" s="82"/>
    </row>
    <row r="6469" spans="1:3" x14ac:dyDescent="0.3">
      <c r="A6469" s="80"/>
      <c r="B6469" s="81"/>
      <c r="C6469" s="82"/>
    </row>
    <row r="6470" spans="1:3" x14ac:dyDescent="0.3">
      <c r="A6470" s="80"/>
      <c r="B6470" s="81"/>
      <c r="C6470" s="82"/>
    </row>
    <row r="6471" spans="1:3" x14ac:dyDescent="0.3">
      <c r="A6471" s="80"/>
      <c r="B6471" s="81"/>
      <c r="C6471" s="82"/>
    </row>
    <row r="6472" spans="1:3" x14ac:dyDescent="0.3">
      <c r="A6472" s="80"/>
      <c r="B6472" s="81"/>
      <c r="C6472" s="82"/>
    </row>
    <row r="6473" spans="1:3" x14ac:dyDescent="0.3">
      <c r="A6473" s="80"/>
      <c r="B6473" s="81"/>
      <c r="C6473" s="82"/>
    </row>
    <row r="6474" spans="1:3" x14ac:dyDescent="0.3">
      <c r="A6474" s="80"/>
      <c r="B6474" s="81"/>
      <c r="C6474" s="82"/>
    </row>
    <row r="6475" spans="1:3" x14ac:dyDescent="0.3">
      <c r="A6475" s="80"/>
      <c r="B6475" s="81"/>
      <c r="C6475" s="82"/>
    </row>
    <row r="6476" spans="1:3" x14ac:dyDescent="0.3">
      <c r="A6476" s="80"/>
      <c r="B6476" s="81"/>
      <c r="C6476" s="82"/>
    </row>
    <row r="6477" spans="1:3" x14ac:dyDescent="0.3">
      <c r="A6477" s="80"/>
      <c r="B6477" s="81"/>
      <c r="C6477" s="82"/>
    </row>
    <row r="6478" spans="1:3" x14ac:dyDescent="0.3">
      <c r="A6478" s="80"/>
      <c r="B6478" s="81"/>
      <c r="C6478" s="82"/>
    </row>
    <row r="6479" spans="1:3" x14ac:dyDescent="0.3">
      <c r="A6479" s="80"/>
      <c r="B6479" s="81"/>
      <c r="C6479" s="82"/>
    </row>
    <row r="6480" spans="1:3" x14ac:dyDescent="0.3">
      <c r="A6480" s="80"/>
      <c r="B6480" s="81"/>
      <c r="C6480" s="82"/>
    </row>
    <row r="6481" spans="1:3" x14ac:dyDescent="0.3">
      <c r="A6481" s="80"/>
      <c r="B6481" s="81"/>
      <c r="C6481" s="82"/>
    </row>
    <row r="6482" spans="1:3" x14ac:dyDescent="0.3">
      <c r="A6482" s="80"/>
      <c r="B6482" s="81"/>
      <c r="C6482" s="82"/>
    </row>
    <row r="6483" spans="1:3" x14ac:dyDescent="0.3">
      <c r="A6483" s="80"/>
      <c r="B6483" s="81"/>
      <c r="C6483" s="82"/>
    </row>
    <row r="6484" spans="1:3" x14ac:dyDescent="0.3">
      <c r="A6484" s="80"/>
      <c r="B6484" s="81"/>
      <c r="C6484" s="82"/>
    </row>
    <row r="6485" spans="1:3" x14ac:dyDescent="0.3">
      <c r="A6485" s="80"/>
      <c r="B6485" s="81"/>
      <c r="C6485" s="82"/>
    </row>
    <row r="6486" spans="1:3" x14ac:dyDescent="0.3">
      <c r="A6486" s="80"/>
      <c r="B6486" s="81"/>
      <c r="C6486" s="82"/>
    </row>
    <row r="6487" spans="1:3" x14ac:dyDescent="0.3">
      <c r="A6487" s="80"/>
      <c r="B6487" s="81"/>
      <c r="C6487" s="82"/>
    </row>
    <row r="6488" spans="1:3" x14ac:dyDescent="0.3">
      <c r="A6488" s="80"/>
      <c r="B6488" s="81"/>
      <c r="C6488" s="82"/>
    </row>
    <row r="6489" spans="1:3" x14ac:dyDescent="0.3">
      <c r="A6489" s="80"/>
      <c r="B6489" s="81"/>
      <c r="C6489" s="82"/>
    </row>
    <row r="6490" spans="1:3" x14ac:dyDescent="0.3">
      <c r="A6490" s="80"/>
      <c r="B6490" s="81"/>
      <c r="C6490" s="82"/>
    </row>
    <row r="6491" spans="1:3" x14ac:dyDescent="0.3">
      <c r="A6491" s="80"/>
      <c r="B6491" s="81"/>
      <c r="C6491" s="82"/>
    </row>
    <row r="6492" spans="1:3" x14ac:dyDescent="0.3">
      <c r="A6492" s="80"/>
      <c r="B6492" s="81"/>
      <c r="C6492" s="82"/>
    </row>
    <row r="6493" spans="1:3" x14ac:dyDescent="0.3">
      <c r="A6493" s="80"/>
      <c r="B6493" s="81"/>
      <c r="C6493" s="82"/>
    </row>
    <row r="6494" spans="1:3" x14ac:dyDescent="0.3">
      <c r="A6494" s="80"/>
      <c r="B6494" s="81"/>
      <c r="C6494" s="82"/>
    </row>
    <row r="6495" spans="1:3" x14ac:dyDescent="0.3">
      <c r="A6495" s="80"/>
      <c r="B6495" s="81"/>
      <c r="C6495" s="82"/>
    </row>
    <row r="6496" spans="1:3" x14ac:dyDescent="0.3">
      <c r="A6496" s="80"/>
      <c r="B6496" s="81"/>
      <c r="C6496" s="82"/>
    </row>
    <row r="6497" spans="1:3" x14ac:dyDescent="0.3">
      <c r="A6497" s="80"/>
      <c r="B6497" s="81"/>
      <c r="C6497" s="82"/>
    </row>
    <row r="6498" spans="1:3" x14ac:dyDescent="0.3">
      <c r="A6498" s="80"/>
      <c r="B6498" s="81"/>
      <c r="C6498" s="82"/>
    </row>
    <row r="6499" spans="1:3" x14ac:dyDescent="0.3">
      <c r="A6499" s="80"/>
      <c r="B6499" s="81"/>
      <c r="C6499" s="82"/>
    </row>
    <row r="6500" spans="1:3" x14ac:dyDescent="0.3">
      <c r="A6500" s="80"/>
      <c r="B6500" s="81"/>
      <c r="C6500" s="82"/>
    </row>
    <row r="6501" spans="1:3" x14ac:dyDescent="0.3">
      <c r="A6501" s="80"/>
      <c r="B6501" s="81"/>
      <c r="C6501" s="82"/>
    </row>
    <row r="6502" spans="1:3" x14ac:dyDescent="0.3">
      <c r="A6502" s="80"/>
      <c r="B6502" s="81"/>
      <c r="C6502" s="82"/>
    </row>
    <row r="6503" spans="1:3" x14ac:dyDescent="0.3">
      <c r="A6503" s="80"/>
      <c r="B6503" s="81"/>
      <c r="C6503" s="82"/>
    </row>
    <row r="6504" spans="1:3" x14ac:dyDescent="0.3">
      <c r="A6504" s="80"/>
      <c r="B6504" s="81"/>
      <c r="C6504" s="82"/>
    </row>
    <row r="6505" spans="1:3" x14ac:dyDescent="0.3">
      <c r="A6505" s="80"/>
      <c r="B6505" s="81"/>
      <c r="C6505" s="82"/>
    </row>
    <row r="6506" spans="1:3" x14ac:dyDescent="0.3">
      <c r="A6506" s="80"/>
      <c r="B6506" s="81"/>
      <c r="C6506" s="82"/>
    </row>
    <row r="6507" spans="1:3" x14ac:dyDescent="0.3">
      <c r="A6507" s="80"/>
      <c r="B6507" s="81"/>
      <c r="C6507" s="82"/>
    </row>
    <row r="6508" spans="1:3" x14ac:dyDescent="0.3">
      <c r="A6508" s="80"/>
      <c r="B6508" s="81"/>
      <c r="C6508" s="82"/>
    </row>
    <row r="6509" spans="1:3" x14ac:dyDescent="0.3">
      <c r="A6509" s="80"/>
      <c r="B6509" s="81"/>
      <c r="C6509" s="82"/>
    </row>
    <row r="6510" spans="1:3" x14ac:dyDescent="0.3">
      <c r="A6510" s="80"/>
      <c r="B6510" s="81"/>
      <c r="C6510" s="82"/>
    </row>
    <row r="6511" spans="1:3" x14ac:dyDescent="0.3">
      <c r="A6511" s="80"/>
      <c r="B6511" s="81"/>
      <c r="C6511" s="82"/>
    </row>
    <row r="6512" spans="1:3" x14ac:dyDescent="0.3">
      <c r="A6512" s="80"/>
      <c r="B6512" s="81"/>
      <c r="C6512" s="82"/>
    </row>
    <row r="6513" spans="1:3" x14ac:dyDescent="0.3">
      <c r="A6513" s="80"/>
      <c r="B6513" s="81"/>
      <c r="C6513" s="82"/>
    </row>
    <row r="6514" spans="1:3" x14ac:dyDescent="0.3">
      <c r="A6514" s="80"/>
      <c r="B6514" s="81"/>
      <c r="C6514" s="82"/>
    </row>
    <row r="6515" spans="1:3" x14ac:dyDescent="0.3">
      <c r="A6515" s="80"/>
      <c r="B6515" s="81"/>
      <c r="C6515" s="82"/>
    </row>
    <row r="6516" spans="1:3" x14ac:dyDescent="0.3">
      <c r="A6516" s="80"/>
      <c r="B6516" s="81"/>
      <c r="C6516" s="82"/>
    </row>
    <row r="6517" spans="1:3" x14ac:dyDescent="0.3">
      <c r="A6517" s="80"/>
      <c r="B6517" s="81"/>
      <c r="C6517" s="82"/>
    </row>
    <row r="6518" spans="1:3" x14ac:dyDescent="0.3">
      <c r="A6518" s="80"/>
      <c r="B6518" s="81"/>
      <c r="C6518" s="82"/>
    </row>
    <row r="6519" spans="1:3" x14ac:dyDescent="0.3">
      <c r="A6519" s="80"/>
      <c r="B6519" s="81"/>
      <c r="C6519" s="82"/>
    </row>
    <row r="6520" spans="1:3" x14ac:dyDescent="0.3">
      <c r="A6520" s="80"/>
      <c r="B6520" s="81"/>
      <c r="C6520" s="82"/>
    </row>
    <row r="6521" spans="1:3" x14ac:dyDescent="0.3">
      <c r="A6521" s="80"/>
      <c r="B6521" s="81"/>
      <c r="C6521" s="82"/>
    </row>
    <row r="6522" spans="1:3" x14ac:dyDescent="0.3">
      <c r="A6522" s="80"/>
      <c r="B6522" s="81"/>
      <c r="C6522" s="82"/>
    </row>
    <row r="6523" spans="1:3" x14ac:dyDescent="0.3">
      <c r="A6523" s="80"/>
      <c r="B6523" s="81"/>
      <c r="C6523" s="82"/>
    </row>
    <row r="6524" spans="1:3" x14ac:dyDescent="0.3">
      <c r="A6524" s="80"/>
      <c r="B6524" s="81"/>
      <c r="C6524" s="82"/>
    </row>
    <row r="6525" spans="1:3" x14ac:dyDescent="0.3">
      <c r="A6525" s="80"/>
      <c r="B6525" s="81"/>
      <c r="C6525" s="82"/>
    </row>
    <row r="6526" spans="1:3" x14ac:dyDescent="0.3">
      <c r="A6526" s="80"/>
      <c r="B6526" s="81"/>
      <c r="C6526" s="82"/>
    </row>
    <row r="6527" spans="1:3" x14ac:dyDescent="0.3">
      <c r="A6527" s="80"/>
      <c r="B6527" s="81"/>
      <c r="C6527" s="82"/>
    </row>
    <row r="6528" spans="1:3" x14ac:dyDescent="0.3">
      <c r="A6528" s="80"/>
      <c r="B6528" s="81"/>
      <c r="C6528" s="82"/>
    </row>
    <row r="6529" spans="1:3" x14ac:dyDescent="0.3">
      <c r="A6529" s="80"/>
      <c r="B6529" s="81"/>
      <c r="C6529" s="82"/>
    </row>
    <row r="6530" spans="1:3" x14ac:dyDescent="0.3">
      <c r="A6530" s="80"/>
      <c r="B6530" s="81"/>
      <c r="C6530" s="82"/>
    </row>
    <row r="6531" spans="1:3" x14ac:dyDescent="0.3">
      <c r="A6531" s="80"/>
      <c r="B6531" s="81"/>
      <c r="C6531" s="82"/>
    </row>
    <row r="6532" spans="1:3" x14ac:dyDescent="0.3">
      <c r="A6532" s="80"/>
      <c r="B6532" s="81"/>
      <c r="C6532" s="82"/>
    </row>
    <row r="6533" spans="1:3" x14ac:dyDescent="0.3">
      <c r="A6533" s="80"/>
      <c r="B6533" s="81"/>
      <c r="C6533" s="82"/>
    </row>
    <row r="6534" spans="1:3" x14ac:dyDescent="0.3">
      <c r="A6534" s="80"/>
      <c r="B6534" s="81"/>
      <c r="C6534" s="82"/>
    </row>
    <row r="6535" spans="1:3" x14ac:dyDescent="0.3">
      <c r="A6535" s="80"/>
      <c r="B6535" s="81"/>
      <c r="C6535" s="82"/>
    </row>
    <row r="6536" spans="1:3" x14ac:dyDescent="0.3">
      <c r="A6536" s="80"/>
      <c r="B6536" s="81"/>
      <c r="C6536" s="82"/>
    </row>
    <row r="6537" spans="1:3" x14ac:dyDescent="0.3">
      <c r="A6537" s="80"/>
      <c r="B6537" s="81"/>
      <c r="C6537" s="82"/>
    </row>
    <row r="6538" spans="1:3" x14ac:dyDescent="0.3">
      <c r="A6538" s="80"/>
      <c r="B6538" s="81"/>
      <c r="C6538" s="82"/>
    </row>
    <row r="6539" spans="1:3" x14ac:dyDescent="0.3">
      <c r="A6539" s="80"/>
      <c r="B6539" s="81"/>
      <c r="C6539" s="82"/>
    </row>
    <row r="6540" spans="1:3" x14ac:dyDescent="0.3">
      <c r="A6540" s="80"/>
      <c r="B6540" s="81"/>
      <c r="C6540" s="82"/>
    </row>
    <row r="6541" spans="1:3" x14ac:dyDescent="0.3">
      <c r="A6541" s="80"/>
      <c r="B6541" s="81"/>
      <c r="C6541" s="82"/>
    </row>
    <row r="6542" spans="1:3" x14ac:dyDescent="0.3">
      <c r="A6542" s="80"/>
      <c r="B6542" s="81"/>
      <c r="C6542" s="82"/>
    </row>
    <row r="6543" spans="1:3" x14ac:dyDescent="0.3">
      <c r="A6543" s="80"/>
      <c r="B6543" s="81"/>
      <c r="C6543" s="82"/>
    </row>
    <row r="6544" spans="1:3" x14ac:dyDescent="0.3">
      <c r="A6544" s="80"/>
      <c r="B6544" s="81"/>
      <c r="C6544" s="82"/>
    </row>
    <row r="6545" spans="1:3" x14ac:dyDescent="0.3">
      <c r="A6545" s="80"/>
      <c r="B6545" s="81"/>
      <c r="C6545" s="82"/>
    </row>
    <row r="6546" spans="1:3" x14ac:dyDescent="0.3">
      <c r="A6546" s="80"/>
      <c r="B6546" s="81"/>
      <c r="C6546" s="82"/>
    </row>
    <row r="6547" spans="1:3" x14ac:dyDescent="0.3">
      <c r="A6547" s="80"/>
      <c r="B6547" s="81"/>
      <c r="C6547" s="82"/>
    </row>
    <row r="6548" spans="1:3" x14ac:dyDescent="0.3">
      <c r="A6548" s="80"/>
      <c r="B6548" s="81"/>
      <c r="C6548" s="82"/>
    </row>
    <row r="6549" spans="1:3" x14ac:dyDescent="0.3">
      <c r="A6549" s="80"/>
      <c r="B6549" s="81"/>
      <c r="C6549" s="82"/>
    </row>
    <row r="6550" spans="1:3" x14ac:dyDescent="0.3">
      <c r="A6550" s="80"/>
      <c r="B6550" s="81"/>
      <c r="C6550" s="82"/>
    </row>
    <row r="6551" spans="1:3" x14ac:dyDescent="0.3">
      <c r="A6551" s="80"/>
      <c r="B6551" s="81"/>
      <c r="C6551" s="82"/>
    </row>
    <row r="6552" spans="1:3" x14ac:dyDescent="0.3">
      <c r="A6552" s="80"/>
      <c r="B6552" s="81"/>
      <c r="C6552" s="82"/>
    </row>
    <row r="6553" spans="1:3" x14ac:dyDescent="0.3">
      <c r="A6553" s="80"/>
      <c r="B6553" s="81"/>
      <c r="C6553" s="82"/>
    </row>
    <row r="6554" spans="1:3" x14ac:dyDescent="0.3">
      <c r="A6554" s="80"/>
      <c r="B6554" s="81"/>
      <c r="C6554" s="82"/>
    </row>
    <row r="6555" spans="1:3" x14ac:dyDescent="0.3">
      <c r="A6555" s="80"/>
      <c r="B6555" s="81"/>
      <c r="C6555" s="82"/>
    </row>
    <row r="6556" spans="1:3" x14ac:dyDescent="0.3">
      <c r="A6556" s="80"/>
      <c r="B6556" s="81"/>
      <c r="C6556" s="82"/>
    </row>
    <row r="6557" spans="1:3" x14ac:dyDescent="0.3">
      <c r="A6557" s="80"/>
      <c r="B6557" s="81"/>
      <c r="C6557" s="82"/>
    </row>
    <row r="6558" spans="1:3" x14ac:dyDescent="0.3">
      <c r="A6558" s="80"/>
      <c r="B6558" s="81"/>
      <c r="C6558" s="82"/>
    </row>
    <row r="6559" spans="1:3" x14ac:dyDescent="0.3">
      <c r="A6559" s="80"/>
      <c r="B6559" s="81"/>
      <c r="C6559" s="82"/>
    </row>
    <row r="6560" spans="1:3" x14ac:dyDescent="0.3">
      <c r="A6560" s="80"/>
      <c r="B6560" s="81"/>
      <c r="C6560" s="82"/>
    </row>
    <row r="6561" spans="1:3" x14ac:dyDescent="0.3">
      <c r="A6561" s="80"/>
      <c r="B6561" s="81"/>
      <c r="C6561" s="82"/>
    </row>
    <row r="6562" spans="1:3" x14ac:dyDescent="0.3">
      <c r="A6562" s="80"/>
      <c r="B6562" s="81"/>
      <c r="C6562" s="82"/>
    </row>
    <row r="6563" spans="1:3" x14ac:dyDescent="0.3">
      <c r="A6563" s="80"/>
      <c r="B6563" s="81"/>
      <c r="C6563" s="82"/>
    </row>
    <row r="6564" spans="1:3" x14ac:dyDescent="0.3">
      <c r="A6564" s="80"/>
      <c r="B6564" s="81"/>
      <c r="C6564" s="82"/>
    </row>
    <row r="6565" spans="1:3" x14ac:dyDescent="0.3">
      <c r="A6565" s="80"/>
      <c r="B6565" s="81"/>
      <c r="C6565" s="82"/>
    </row>
    <row r="6566" spans="1:3" x14ac:dyDescent="0.3">
      <c r="A6566" s="80"/>
      <c r="B6566" s="81"/>
      <c r="C6566" s="82"/>
    </row>
    <row r="6567" spans="1:3" x14ac:dyDescent="0.3">
      <c r="A6567" s="80"/>
      <c r="B6567" s="81"/>
      <c r="C6567" s="82"/>
    </row>
    <row r="6568" spans="1:3" x14ac:dyDescent="0.3">
      <c r="A6568" s="80"/>
      <c r="B6568" s="81"/>
      <c r="C6568" s="82"/>
    </row>
    <row r="6569" spans="1:3" x14ac:dyDescent="0.3">
      <c r="A6569" s="80"/>
      <c r="B6569" s="81"/>
      <c r="C6569" s="82"/>
    </row>
    <row r="6570" spans="1:3" x14ac:dyDescent="0.3">
      <c r="A6570" s="80"/>
      <c r="B6570" s="81"/>
      <c r="C6570" s="82"/>
    </row>
    <row r="6571" spans="1:3" x14ac:dyDescent="0.3">
      <c r="A6571" s="80"/>
      <c r="B6571" s="81"/>
      <c r="C6571" s="82"/>
    </row>
    <row r="6572" spans="1:3" x14ac:dyDescent="0.3">
      <c r="A6572" s="80"/>
      <c r="B6572" s="81"/>
      <c r="C6572" s="82"/>
    </row>
    <row r="6573" spans="1:3" x14ac:dyDescent="0.3">
      <c r="A6573" s="80"/>
      <c r="B6573" s="81"/>
      <c r="C6573" s="82"/>
    </row>
    <row r="6574" spans="1:3" x14ac:dyDescent="0.3">
      <c r="A6574" s="80"/>
      <c r="B6574" s="81"/>
      <c r="C6574" s="82"/>
    </row>
    <row r="6575" spans="1:3" x14ac:dyDescent="0.3">
      <c r="A6575" s="80"/>
      <c r="B6575" s="81"/>
      <c r="C6575" s="82"/>
    </row>
    <row r="6576" spans="1:3" x14ac:dyDescent="0.3">
      <c r="A6576" s="80"/>
      <c r="B6576" s="81"/>
      <c r="C6576" s="82"/>
    </row>
    <row r="6577" spans="1:3" x14ac:dyDescent="0.3">
      <c r="A6577" s="80"/>
      <c r="B6577" s="81"/>
      <c r="C6577" s="82"/>
    </row>
    <row r="6578" spans="1:3" x14ac:dyDescent="0.3">
      <c r="A6578" s="80"/>
      <c r="B6578" s="81"/>
      <c r="C6578" s="82"/>
    </row>
    <row r="6579" spans="1:3" x14ac:dyDescent="0.3">
      <c r="A6579" s="80"/>
      <c r="B6579" s="81"/>
      <c r="C6579" s="82"/>
    </row>
    <row r="6580" spans="1:3" x14ac:dyDescent="0.3">
      <c r="A6580" s="80"/>
      <c r="B6580" s="81"/>
      <c r="C6580" s="82"/>
    </row>
    <row r="6581" spans="1:3" x14ac:dyDescent="0.3">
      <c r="A6581" s="80"/>
      <c r="B6581" s="81"/>
      <c r="C6581" s="82"/>
    </row>
    <row r="6582" spans="1:3" x14ac:dyDescent="0.3">
      <c r="A6582" s="80"/>
      <c r="B6582" s="81"/>
      <c r="C6582" s="82"/>
    </row>
    <row r="6583" spans="1:3" x14ac:dyDescent="0.3">
      <c r="A6583" s="80"/>
      <c r="B6583" s="81"/>
      <c r="C6583" s="82"/>
    </row>
    <row r="6584" spans="1:3" x14ac:dyDescent="0.3">
      <c r="A6584" s="80"/>
      <c r="B6584" s="81"/>
      <c r="C6584" s="82"/>
    </row>
    <row r="6585" spans="1:3" x14ac:dyDescent="0.3">
      <c r="A6585" s="80"/>
      <c r="B6585" s="81"/>
      <c r="C6585" s="82"/>
    </row>
    <row r="6586" spans="1:3" x14ac:dyDescent="0.3">
      <c r="A6586" s="80"/>
      <c r="B6586" s="81"/>
      <c r="C6586" s="82"/>
    </row>
    <row r="6587" spans="1:3" x14ac:dyDescent="0.3">
      <c r="A6587" s="80"/>
      <c r="B6587" s="81"/>
      <c r="C6587" s="82"/>
    </row>
    <row r="6588" spans="1:3" x14ac:dyDescent="0.3">
      <c r="A6588" s="80"/>
      <c r="B6588" s="81"/>
      <c r="C6588" s="82"/>
    </row>
    <row r="6589" spans="1:3" x14ac:dyDescent="0.3">
      <c r="A6589" s="80"/>
      <c r="B6589" s="81"/>
      <c r="C6589" s="82"/>
    </row>
    <row r="6590" spans="1:3" x14ac:dyDescent="0.3">
      <c r="A6590" s="80"/>
      <c r="B6590" s="81"/>
      <c r="C6590" s="82"/>
    </row>
    <row r="6591" spans="1:3" x14ac:dyDescent="0.3">
      <c r="A6591" s="80"/>
      <c r="B6591" s="81"/>
      <c r="C6591" s="82"/>
    </row>
    <row r="6592" spans="1:3" x14ac:dyDescent="0.3">
      <c r="A6592" s="80"/>
      <c r="B6592" s="81"/>
      <c r="C6592" s="82"/>
    </row>
    <row r="6593" spans="1:3" x14ac:dyDescent="0.3">
      <c r="A6593" s="80"/>
      <c r="B6593" s="81"/>
      <c r="C6593" s="82"/>
    </row>
    <row r="6594" spans="1:3" x14ac:dyDescent="0.3">
      <c r="A6594" s="80"/>
      <c r="B6594" s="81"/>
      <c r="C6594" s="82"/>
    </row>
    <row r="6595" spans="1:3" x14ac:dyDescent="0.3">
      <c r="A6595" s="80"/>
      <c r="B6595" s="81"/>
      <c r="C6595" s="82"/>
    </row>
    <row r="6596" spans="1:3" x14ac:dyDescent="0.3">
      <c r="A6596" s="80"/>
      <c r="B6596" s="81"/>
      <c r="C6596" s="82"/>
    </row>
    <row r="6597" spans="1:3" x14ac:dyDescent="0.3">
      <c r="A6597" s="80"/>
      <c r="B6597" s="81"/>
      <c r="C6597" s="82"/>
    </row>
    <row r="6598" spans="1:3" x14ac:dyDescent="0.3">
      <c r="A6598" s="80"/>
      <c r="B6598" s="81"/>
      <c r="C6598" s="82"/>
    </row>
    <row r="6599" spans="1:3" x14ac:dyDescent="0.3">
      <c r="A6599" s="80"/>
      <c r="B6599" s="81"/>
      <c r="C6599" s="82"/>
    </row>
    <row r="6600" spans="1:3" x14ac:dyDescent="0.3">
      <c r="A6600" s="80"/>
      <c r="B6600" s="81"/>
      <c r="C6600" s="82"/>
    </row>
    <row r="6601" spans="1:3" x14ac:dyDescent="0.3">
      <c r="A6601" s="80"/>
      <c r="B6601" s="81"/>
      <c r="C6601" s="82"/>
    </row>
    <row r="6602" spans="1:3" x14ac:dyDescent="0.3">
      <c r="A6602" s="80"/>
      <c r="B6602" s="81"/>
      <c r="C6602" s="82"/>
    </row>
    <row r="6603" spans="1:3" x14ac:dyDescent="0.3">
      <c r="A6603" s="80"/>
      <c r="B6603" s="81"/>
      <c r="C6603" s="82"/>
    </row>
    <row r="6604" spans="1:3" x14ac:dyDescent="0.3">
      <c r="A6604" s="80"/>
      <c r="B6604" s="81"/>
      <c r="C6604" s="82"/>
    </row>
    <row r="6605" spans="1:3" x14ac:dyDescent="0.3">
      <c r="A6605" s="80"/>
      <c r="B6605" s="81"/>
      <c r="C6605" s="82"/>
    </row>
    <row r="6606" spans="1:3" x14ac:dyDescent="0.3">
      <c r="A6606" s="80"/>
      <c r="B6606" s="81"/>
      <c r="C6606" s="82"/>
    </row>
    <row r="6607" spans="1:3" x14ac:dyDescent="0.3">
      <c r="A6607" s="80"/>
      <c r="B6607" s="81"/>
      <c r="C6607" s="82"/>
    </row>
    <row r="6608" spans="1:3" x14ac:dyDescent="0.3">
      <c r="A6608" s="80"/>
      <c r="B6608" s="81"/>
      <c r="C6608" s="82"/>
    </row>
    <row r="6609" spans="1:3" x14ac:dyDescent="0.3">
      <c r="A6609" s="80"/>
      <c r="B6609" s="81"/>
      <c r="C6609" s="82"/>
    </row>
    <row r="6610" spans="1:3" x14ac:dyDescent="0.3">
      <c r="A6610" s="80"/>
      <c r="B6610" s="81"/>
      <c r="C6610" s="82"/>
    </row>
    <row r="6611" spans="1:3" x14ac:dyDescent="0.3">
      <c r="A6611" s="80"/>
      <c r="B6611" s="81"/>
      <c r="C6611" s="82"/>
    </row>
    <row r="6612" spans="1:3" x14ac:dyDescent="0.3">
      <c r="A6612" s="80"/>
      <c r="B6612" s="81"/>
      <c r="C6612" s="82"/>
    </row>
    <row r="6613" spans="1:3" x14ac:dyDescent="0.3">
      <c r="A6613" s="80"/>
      <c r="B6613" s="81"/>
      <c r="C6613" s="82"/>
    </row>
    <row r="6614" spans="1:3" x14ac:dyDescent="0.3">
      <c r="A6614" s="80"/>
      <c r="B6614" s="81"/>
      <c r="C6614" s="82"/>
    </row>
    <row r="6615" spans="1:3" x14ac:dyDescent="0.3">
      <c r="A6615" s="80"/>
      <c r="B6615" s="81"/>
      <c r="C6615" s="82"/>
    </row>
    <row r="6616" spans="1:3" x14ac:dyDescent="0.3">
      <c r="A6616" s="80"/>
      <c r="B6616" s="81"/>
      <c r="C6616" s="82"/>
    </row>
    <row r="6617" spans="1:3" x14ac:dyDescent="0.3">
      <c r="A6617" s="80"/>
      <c r="B6617" s="81"/>
      <c r="C6617" s="82"/>
    </row>
    <row r="6618" spans="1:3" x14ac:dyDescent="0.3">
      <c r="A6618" s="80"/>
      <c r="B6618" s="81"/>
      <c r="C6618" s="82"/>
    </row>
    <row r="6619" spans="1:3" x14ac:dyDescent="0.3">
      <c r="A6619" s="80"/>
      <c r="B6619" s="81"/>
      <c r="C6619" s="82"/>
    </row>
    <row r="6620" spans="1:3" x14ac:dyDescent="0.3">
      <c r="A6620" s="80"/>
      <c r="B6620" s="81"/>
      <c r="C6620" s="82"/>
    </row>
    <row r="6621" spans="1:3" x14ac:dyDescent="0.3">
      <c r="A6621" s="80"/>
      <c r="B6621" s="81"/>
      <c r="C6621" s="82"/>
    </row>
    <row r="6622" spans="1:3" x14ac:dyDescent="0.3">
      <c r="A6622" s="80"/>
      <c r="B6622" s="81"/>
      <c r="C6622" s="82"/>
    </row>
    <row r="6623" spans="1:3" x14ac:dyDescent="0.3">
      <c r="A6623" s="80"/>
      <c r="B6623" s="81"/>
      <c r="C6623" s="82"/>
    </row>
    <row r="6624" spans="1:3" x14ac:dyDescent="0.3">
      <c r="A6624" s="80"/>
      <c r="B6624" s="81"/>
      <c r="C6624" s="82"/>
    </row>
    <row r="6625" spans="1:3" x14ac:dyDescent="0.3">
      <c r="A6625" s="80"/>
      <c r="B6625" s="81"/>
      <c r="C6625" s="82"/>
    </row>
    <row r="6626" spans="1:3" x14ac:dyDescent="0.3">
      <c r="A6626" s="80"/>
      <c r="B6626" s="81"/>
      <c r="C6626" s="82"/>
    </row>
    <row r="6627" spans="1:3" x14ac:dyDescent="0.3">
      <c r="A6627" s="80"/>
      <c r="B6627" s="81"/>
      <c r="C6627" s="82"/>
    </row>
    <row r="6628" spans="1:3" x14ac:dyDescent="0.3">
      <c r="A6628" s="80"/>
      <c r="B6628" s="81"/>
      <c r="C6628" s="82"/>
    </row>
    <row r="6629" spans="1:3" x14ac:dyDescent="0.3">
      <c r="A6629" s="80"/>
      <c r="B6629" s="81"/>
      <c r="C6629" s="82"/>
    </row>
    <row r="6630" spans="1:3" x14ac:dyDescent="0.3">
      <c r="A6630" s="80"/>
      <c r="B6630" s="81"/>
      <c r="C6630" s="82"/>
    </row>
    <row r="6631" spans="1:3" x14ac:dyDescent="0.3">
      <c r="A6631" s="80"/>
      <c r="B6631" s="81"/>
      <c r="C6631" s="82"/>
    </row>
    <row r="6632" spans="1:3" x14ac:dyDescent="0.3">
      <c r="A6632" s="80"/>
      <c r="B6632" s="81"/>
      <c r="C6632" s="82"/>
    </row>
    <row r="6633" spans="1:3" x14ac:dyDescent="0.3">
      <c r="A6633" s="80"/>
      <c r="B6633" s="81"/>
      <c r="C6633" s="82"/>
    </row>
    <row r="6634" spans="1:3" x14ac:dyDescent="0.3">
      <c r="A6634" s="80"/>
      <c r="B6634" s="81"/>
      <c r="C6634" s="82"/>
    </row>
    <row r="6635" spans="1:3" x14ac:dyDescent="0.3">
      <c r="A6635" s="80"/>
      <c r="B6635" s="81"/>
      <c r="C6635" s="82"/>
    </row>
    <row r="6636" spans="1:3" x14ac:dyDescent="0.3">
      <c r="A6636" s="80"/>
      <c r="B6636" s="81"/>
      <c r="C6636" s="82"/>
    </row>
    <row r="6637" spans="1:3" x14ac:dyDescent="0.3">
      <c r="A6637" s="80"/>
      <c r="B6637" s="81"/>
      <c r="C6637" s="82"/>
    </row>
    <row r="6638" spans="1:3" x14ac:dyDescent="0.3">
      <c r="A6638" s="80"/>
      <c r="B6638" s="81"/>
      <c r="C6638" s="82"/>
    </row>
    <row r="6639" spans="1:3" x14ac:dyDescent="0.3">
      <c r="A6639" s="80"/>
      <c r="B6639" s="81"/>
      <c r="C6639" s="82"/>
    </row>
    <row r="6640" spans="1:3" x14ac:dyDescent="0.3">
      <c r="A6640" s="80"/>
      <c r="B6640" s="81"/>
      <c r="C6640" s="82"/>
    </row>
    <row r="6641" spans="1:3" x14ac:dyDescent="0.3">
      <c r="A6641" s="80"/>
      <c r="B6641" s="81"/>
      <c r="C6641" s="82"/>
    </row>
    <row r="6642" spans="1:3" x14ac:dyDescent="0.3">
      <c r="A6642" s="80"/>
      <c r="B6642" s="81"/>
      <c r="C6642" s="82"/>
    </row>
    <row r="6643" spans="1:3" x14ac:dyDescent="0.3">
      <c r="A6643" s="80"/>
      <c r="B6643" s="81"/>
      <c r="C6643" s="82"/>
    </row>
    <row r="6644" spans="1:3" x14ac:dyDescent="0.3">
      <c r="A6644" s="80"/>
      <c r="B6644" s="81"/>
      <c r="C6644" s="82"/>
    </row>
    <row r="6645" spans="1:3" x14ac:dyDescent="0.3">
      <c r="A6645" s="80"/>
      <c r="B6645" s="81"/>
      <c r="C6645" s="82"/>
    </row>
    <row r="6646" spans="1:3" x14ac:dyDescent="0.3">
      <c r="A6646" s="80"/>
      <c r="B6646" s="81"/>
      <c r="C6646" s="82"/>
    </row>
    <row r="6647" spans="1:3" x14ac:dyDescent="0.3">
      <c r="A6647" s="80"/>
      <c r="B6647" s="81"/>
      <c r="C6647" s="82"/>
    </row>
    <row r="6648" spans="1:3" x14ac:dyDescent="0.3">
      <c r="A6648" s="80"/>
      <c r="B6648" s="81"/>
      <c r="C6648" s="82"/>
    </row>
    <row r="6649" spans="1:3" x14ac:dyDescent="0.3">
      <c r="A6649" s="80"/>
      <c r="B6649" s="81"/>
      <c r="C6649" s="82"/>
    </row>
    <row r="6650" spans="1:3" x14ac:dyDescent="0.3">
      <c r="A6650" s="80"/>
      <c r="B6650" s="81"/>
      <c r="C6650" s="82"/>
    </row>
    <row r="6651" spans="1:3" x14ac:dyDescent="0.3">
      <c r="A6651" s="80"/>
      <c r="B6651" s="81"/>
      <c r="C6651" s="82"/>
    </row>
    <row r="6652" spans="1:3" x14ac:dyDescent="0.3">
      <c r="A6652" s="80"/>
      <c r="B6652" s="81"/>
      <c r="C6652" s="82"/>
    </row>
    <row r="6653" spans="1:3" x14ac:dyDescent="0.3">
      <c r="A6653" s="80"/>
      <c r="B6653" s="81"/>
      <c r="C6653" s="82"/>
    </row>
    <row r="6654" spans="1:3" x14ac:dyDescent="0.3">
      <c r="A6654" s="80"/>
      <c r="B6654" s="81"/>
      <c r="C6654" s="82"/>
    </row>
    <row r="6655" spans="1:3" x14ac:dyDescent="0.3">
      <c r="A6655" s="80"/>
      <c r="B6655" s="81"/>
      <c r="C6655" s="82"/>
    </row>
    <row r="6656" spans="1:3" x14ac:dyDescent="0.3">
      <c r="A6656" s="80"/>
      <c r="B6656" s="81"/>
      <c r="C6656" s="82"/>
    </row>
    <row r="6657" spans="1:3" x14ac:dyDescent="0.3">
      <c r="A6657" s="80"/>
      <c r="B6657" s="81"/>
      <c r="C6657" s="82"/>
    </row>
    <row r="6658" spans="1:3" x14ac:dyDescent="0.3">
      <c r="A6658" s="80"/>
      <c r="B6658" s="81"/>
      <c r="C6658" s="82"/>
    </row>
    <row r="6659" spans="1:3" x14ac:dyDescent="0.3">
      <c r="A6659" s="80"/>
      <c r="B6659" s="81"/>
      <c r="C6659" s="82"/>
    </row>
    <row r="6660" spans="1:3" x14ac:dyDescent="0.3">
      <c r="A6660" s="80"/>
      <c r="B6660" s="81"/>
      <c r="C6660" s="82"/>
    </row>
    <row r="6661" spans="1:3" x14ac:dyDescent="0.3">
      <c r="A6661" s="80"/>
      <c r="B6661" s="81"/>
      <c r="C6661" s="82"/>
    </row>
    <row r="6662" spans="1:3" x14ac:dyDescent="0.3">
      <c r="A6662" s="80"/>
      <c r="B6662" s="81"/>
      <c r="C6662" s="82"/>
    </row>
    <row r="6663" spans="1:3" x14ac:dyDescent="0.3">
      <c r="A6663" s="80"/>
      <c r="B6663" s="81"/>
      <c r="C6663" s="82"/>
    </row>
    <row r="6664" spans="1:3" x14ac:dyDescent="0.3">
      <c r="A6664" s="80"/>
      <c r="B6664" s="81"/>
      <c r="C6664" s="82"/>
    </row>
    <row r="6665" spans="1:3" x14ac:dyDescent="0.3">
      <c r="A6665" s="80"/>
      <c r="B6665" s="81"/>
      <c r="C6665" s="82"/>
    </row>
    <row r="6666" spans="1:3" x14ac:dyDescent="0.3">
      <c r="A6666" s="80"/>
      <c r="B6666" s="81"/>
      <c r="C6666" s="82"/>
    </row>
    <row r="6667" spans="1:3" x14ac:dyDescent="0.3">
      <c r="A6667" s="80"/>
      <c r="B6667" s="81"/>
      <c r="C6667" s="82"/>
    </row>
    <row r="6668" spans="1:3" x14ac:dyDescent="0.3">
      <c r="A6668" s="80"/>
      <c r="B6668" s="81"/>
      <c r="C6668" s="82"/>
    </row>
    <row r="6669" spans="1:3" x14ac:dyDescent="0.3">
      <c r="A6669" s="80"/>
      <c r="B6669" s="81"/>
      <c r="C6669" s="82"/>
    </row>
    <row r="6670" spans="1:3" x14ac:dyDescent="0.3">
      <c r="A6670" s="80"/>
      <c r="B6670" s="81"/>
      <c r="C6670" s="82"/>
    </row>
    <row r="6671" spans="1:3" x14ac:dyDescent="0.3">
      <c r="A6671" s="80"/>
      <c r="B6671" s="81"/>
      <c r="C6671" s="82"/>
    </row>
    <row r="6672" spans="1:3" x14ac:dyDescent="0.3">
      <c r="A6672" s="80"/>
      <c r="B6672" s="81"/>
      <c r="C6672" s="82"/>
    </row>
    <row r="6673" spans="1:3" x14ac:dyDescent="0.3">
      <c r="A6673" s="80"/>
      <c r="B6673" s="81"/>
      <c r="C6673" s="82"/>
    </row>
    <row r="6674" spans="1:3" x14ac:dyDescent="0.3">
      <c r="A6674" s="80"/>
      <c r="B6674" s="81"/>
      <c r="C6674" s="82"/>
    </row>
    <row r="6675" spans="1:3" x14ac:dyDescent="0.3">
      <c r="A6675" s="80"/>
      <c r="B6675" s="81"/>
      <c r="C6675" s="82"/>
    </row>
    <row r="6676" spans="1:3" x14ac:dyDescent="0.3">
      <c r="A6676" s="80"/>
      <c r="B6676" s="81"/>
      <c r="C6676" s="82"/>
    </row>
    <row r="6677" spans="1:3" x14ac:dyDescent="0.3">
      <c r="A6677" s="80"/>
      <c r="B6677" s="81"/>
      <c r="C6677" s="82"/>
    </row>
    <row r="6678" spans="1:3" x14ac:dyDescent="0.3">
      <c r="A6678" s="80"/>
      <c r="B6678" s="81"/>
      <c r="C6678" s="82"/>
    </row>
    <row r="6679" spans="1:3" x14ac:dyDescent="0.3">
      <c r="A6679" s="80"/>
      <c r="B6679" s="81"/>
      <c r="C6679" s="82"/>
    </row>
    <row r="6680" spans="1:3" x14ac:dyDescent="0.3">
      <c r="A6680" s="80"/>
      <c r="B6680" s="81"/>
      <c r="C6680" s="82"/>
    </row>
    <row r="6681" spans="1:3" x14ac:dyDescent="0.3">
      <c r="A6681" s="80"/>
      <c r="B6681" s="81"/>
      <c r="C6681" s="82"/>
    </row>
    <row r="6682" spans="1:3" x14ac:dyDescent="0.3">
      <c r="A6682" s="80"/>
      <c r="B6682" s="81"/>
      <c r="C6682" s="82"/>
    </row>
    <row r="6683" spans="1:3" x14ac:dyDescent="0.3">
      <c r="A6683" s="80"/>
      <c r="B6683" s="81"/>
      <c r="C6683" s="82"/>
    </row>
    <row r="6684" spans="1:3" x14ac:dyDescent="0.3">
      <c r="A6684" s="80"/>
      <c r="B6684" s="81"/>
      <c r="C6684" s="82"/>
    </row>
    <row r="6685" spans="1:3" x14ac:dyDescent="0.3">
      <c r="A6685" s="80"/>
      <c r="B6685" s="81"/>
      <c r="C6685" s="82"/>
    </row>
    <row r="6686" spans="1:3" x14ac:dyDescent="0.3">
      <c r="A6686" s="80"/>
      <c r="B6686" s="81"/>
      <c r="C6686" s="82"/>
    </row>
    <row r="6687" spans="1:3" x14ac:dyDescent="0.3">
      <c r="A6687" s="80"/>
      <c r="B6687" s="81"/>
      <c r="C6687" s="82"/>
    </row>
    <row r="6688" spans="1:3" x14ac:dyDescent="0.3">
      <c r="A6688" s="80"/>
      <c r="B6688" s="81"/>
      <c r="C6688" s="82"/>
    </row>
    <row r="6689" spans="1:3" x14ac:dyDescent="0.3">
      <c r="A6689" s="80"/>
      <c r="B6689" s="81"/>
      <c r="C6689" s="82"/>
    </row>
    <row r="6690" spans="1:3" x14ac:dyDescent="0.3">
      <c r="A6690" s="80"/>
      <c r="B6690" s="81"/>
      <c r="C6690" s="82"/>
    </row>
    <row r="6691" spans="1:3" x14ac:dyDescent="0.3">
      <c r="A6691" s="80"/>
      <c r="B6691" s="81"/>
      <c r="C6691" s="82"/>
    </row>
    <row r="6692" spans="1:3" x14ac:dyDescent="0.3">
      <c r="A6692" s="80"/>
      <c r="B6692" s="81"/>
      <c r="C6692" s="82"/>
    </row>
    <row r="6693" spans="1:3" x14ac:dyDescent="0.3">
      <c r="A6693" s="80"/>
      <c r="B6693" s="81"/>
      <c r="C6693" s="82"/>
    </row>
    <row r="6694" spans="1:3" x14ac:dyDescent="0.3">
      <c r="A6694" s="80"/>
      <c r="B6694" s="81"/>
      <c r="C6694" s="82"/>
    </row>
    <row r="6695" spans="1:3" x14ac:dyDescent="0.3">
      <c r="A6695" s="80"/>
      <c r="B6695" s="81"/>
      <c r="C6695" s="82"/>
    </row>
    <row r="6696" spans="1:3" x14ac:dyDescent="0.3">
      <c r="A6696" s="80"/>
      <c r="B6696" s="81"/>
      <c r="C6696" s="82"/>
    </row>
    <row r="6697" spans="1:3" x14ac:dyDescent="0.3">
      <c r="A6697" s="80"/>
      <c r="B6697" s="81"/>
      <c r="C6697" s="82"/>
    </row>
    <row r="6698" spans="1:3" x14ac:dyDescent="0.3">
      <c r="A6698" s="80"/>
      <c r="B6698" s="81"/>
      <c r="C6698" s="82"/>
    </row>
    <row r="6699" spans="1:3" x14ac:dyDescent="0.3">
      <c r="A6699" s="80"/>
      <c r="B6699" s="81"/>
      <c r="C6699" s="82"/>
    </row>
    <row r="6700" spans="1:3" x14ac:dyDescent="0.3">
      <c r="A6700" s="80"/>
      <c r="B6700" s="81"/>
      <c r="C6700" s="82"/>
    </row>
    <row r="6701" spans="1:3" x14ac:dyDescent="0.3">
      <c r="A6701" s="80"/>
      <c r="B6701" s="81"/>
      <c r="C6701" s="82"/>
    </row>
    <row r="6702" spans="1:3" x14ac:dyDescent="0.3">
      <c r="A6702" s="80"/>
      <c r="B6702" s="81"/>
      <c r="C6702" s="82"/>
    </row>
    <row r="6703" spans="1:3" x14ac:dyDescent="0.3">
      <c r="A6703" s="80"/>
      <c r="B6703" s="81"/>
      <c r="C6703" s="82"/>
    </row>
    <row r="6704" spans="1:3" x14ac:dyDescent="0.3">
      <c r="A6704" s="80"/>
      <c r="B6704" s="81"/>
      <c r="C6704" s="82"/>
    </row>
    <row r="6705" spans="1:3" x14ac:dyDescent="0.3">
      <c r="A6705" s="80"/>
      <c r="B6705" s="81"/>
      <c r="C6705" s="82"/>
    </row>
    <row r="6706" spans="1:3" x14ac:dyDescent="0.3">
      <c r="A6706" s="80"/>
      <c r="B6706" s="81"/>
      <c r="C6706" s="82"/>
    </row>
    <row r="6707" spans="1:3" x14ac:dyDescent="0.3">
      <c r="A6707" s="80"/>
      <c r="B6707" s="81"/>
      <c r="C6707" s="82"/>
    </row>
    <row r="6708" spans="1:3" x14ac:dyDescent="0.3">
      <c r="A6708" s="80"/>
      <c r="B6708" s="81"/>
      <c r="C6708" s="82"/>
    </row>
    <row r="6709" spans="1:3" x14ac:dyDescent="0.3">
      <c r="A6709" s="80"/>
      <c r="B6709" s="81"/>
      <c r="C6709" s="82"/>
    </row>
    <row r="6710" spans="1:3" x14ac:dyDescent="0.3">
      <c r="A6710" s="80"/>
      <c r="B6710" s="81"/>
      <c r="C6710" s="82"/>
    </row>
    <row r="6711" spans="1:3" x14ac:dyDescent="0.3">
      <c r="A6711" s="80"/>
      <c r="B6711" s="81"/>
      <c r="C6711" s="82"/>
    </row>
    <row r="6712" spans="1:3" x14ac:dyDescent="0.3">
      <c r="A6712" s="80"/>
      <c r="B6712" s="81"/>
      <c r="C6712" s="82"/>
    </row>
    <row r="6713" spans="1:3" x14ac:dyDescent="0.3">
      <c r="A6713" s="80"/>
      <c r="B6713" s="81"/>
      <c r="C6713" s="82"/>
    </row>
    <row r="6714" spans="1:3" x14ac:dyDescent="0.3">
      <c r="A6714" s="80"/>
      <c r="B6714" s="81"/>
      <c r="C6714" s="82"/>
    </row>
    <row r="6715" spans="1:3" x14ac:dyDescent="0.3">
      <c r="A6715" s="80"/>
      <c r="B6715" s="81"/>
      <c r="C6715" s="82"/>
    </row>
    <row r="6716" spans="1:3" x14ac:dyDescent="0.3">
      <c r="A6716" s="80"/>
      <c r="B6716" s="81"/>
      <c r="C6716" s="82"/>
    </row>
    <row r="6717" spans="1:3" x14ac:dyDescent="0.3">
      <c r="A6717" s="80"/>
      <c r="B6717" s="81"/>
      <c r="C6717" s="82"/>
    </row>
    <row r="6718" spans="1:3" x14ac:dyDescent="0.3">
      <c r="A6718" s="80"/>
      <c r="B6718" s="81"/>
      <c r="C6718" s="82"/>
    </row>
    <row r="6719" spans="1:3" x14ac:dyDescent="0.3">
      <c r="A6719" s="80"/>
      <c r="B6719" s="81"/>
      <c r="C6719" s="82"/>
    </row>
    <row r="6720" spans="1:3" x14ac:dyDescent="0.3">
      <c r="A6720" s="80"/>
      <c r="B6720" s="81"/>
      <c r="C6720" s="82"/>
    </row>
    <row r="6721" spans="1:3" x14ac:dyDescent="0.3">
      <c r="A6721" s="80"/>
      <c r="B6721" s="81"/>
      <c r="C6721" s="82"/>
    </row>
    <row r="6722" spans="1:3" x14ac:dyDescent="0.3">
      <c r="A6722" s="80"/>
      <c r="B6722" s="81"/>
      <c r="C6722" s="82"/>
    </row>
    <row r="6723" spans="1:3" x14ac:dyDescent="0.3">
      <c r="A6723" s="80"/>
      <c r="B6723" s="81"/>
      <c r="C6723" s="82"/>
    </row>
    <row r="6724" spans="1:3" x14ac:dyDescent="0.3">
      <c r="A6724" s="80"/>
      <c r="B6724" s="81"/>
      <c r="C6724" s="82"/>
    </row>
    <row r="6725" spans="1:3" x14ac:dyDescent="0.3">
      <c r="A6725" s="80"/>
      <c r="B6725" s="81"/>
      <c r="C6725" s="82"/>
    </row>
    <row r="6726" spans="1:3" x14ac:dyDescent="0.3">
      <c r="A6726" s="80"/>
      <c r="B6726" s="81"/>
      <c r="C6726" s="82"/>
    </row>
    <row r="6727" spans="1:3" x14ac:dyDescent="0.3">
      <c r="A6727" s="80"/>
      <c r="B6727" s="81"/>
      <c r="C6727" s="82"/>
    </row>
    <row r="6728" spans="1:3" x14ac:dyDescent="0.3">
      <c r="A6728" s="80"/>
      <c r="B6728" s="81"/>
      <c r="C6728" s="82"/>
    </row>
    <row r="6729" spans="1:3" x14ac:dyDescent="0.3">
      <c r="A6729" s="80"/>
      <c r="B6729" s="81"/>
      <c r="C6729" s="82"/>
    </row>
    <row r="6730" spans="1:3" x14ac:dyDescent="0.3">
      <c r="A6730" s="80"/>
      <c r="B6730" s="81"/>
      <c r="C6730" s="82"/>
    </row>
    <row r="6731" spans="1:3" x14ac:dyDescent="0.3">
      <c r="A6731" s="80"/>
      <c r="B6731" s="81"/>
      <c r="C6731" s="82"/>
    </row>
    <row r="6732" spans="1:3" x14ac:dyDescent="0.3">
      <c r="A6732" s="80"/>
      <c r="B6732" s="81"/>
      <c r="C6732" s="82"/>
    </row>
    <row r="6733" spans="1:3" x14ac:dyDescent="0.3">
      <c r="A6733" s="80"/>
      <c r="B6733" s="81"/>
      <c r="C6733" s="82"/>
    </row>
    <row r="6734" spans="1:3" x14ac:dyDescent="0.3">
      <c r="A6734" s="80"/>
      <c r="B6734" s="81"/>
      <c r="C6734" s="82"/>
    </row>
    <row r="6735" spans="1:3" x14ac:dyDescent="0.3">
      <c r="A6735" s="80"/>
      <c r="B6735" s="81"/>
      <c r="C6735" s="82"/>
    </row>
    <row r="6736" spans="1:3" x14ac:dyDescent="0.3">
      <c r="A6736" s="80"/>
      <c r="B6736" s="81"/>
      <c r="C6736" s="82"/>
    </row>
    <row r="6737" spans="1:3" x14ac:dyDescent="0.3">
      <c r="A6737" s="80"/>
      <c r="B6737" s="81"/>
      <c r="C6737" s="82"/>
    </row>
    <row r="6738" spans="1:3" x14ac:dyDescent="0.3">
      <c r="A6738" s="80"/>
      <c r="B6738" s="81"/>
      <c r="C6738" s="82"/>
    </row>
    <row r="6739" spans="1:3" x14ac:dyDescent="0.3">
      <c r="A6739" s="80"/>
      <c r="B6739" s="81"/>
      <c r="C6739" s="82"/>
    </row>
    <row r="6740" spans="1:3" x14ac:dyDescent="0.3">
      <c r="A6740" s="80"/>
      <c r="B6740" s="81"/>
      <c r="C6740" s="82"/>
    </row>
    <row r="6741" spans="1:3" x14ac:dyDescent="0.3">
      <c r="A6741" s="80"/>
      <c r="B6741" s="81"/>
      <c r="C6741" s="82"/>
    </row>
    <row r="6742" spans="1:3" x14ac:dyDescent="0.3">
      <c r="A6742" s="80"/>
      <c r="B6742" s="81"/>
      <c r="C6742" s="82"/>
    </row>
    <row r="6743" spans="1:3" x14ac:dyDescent="0.3">
      <c r="A6743" s="80"/>
      <c r="B6743" s="81"/>
      <c r="C6743" s="82"/>
    </row>
    <row r="6744" spans="1:3" x14ac:dyDescent="0.3">
      <c r="A6744" s="80"/>
      <c r="B6744" s="81"/>
      <c r="C6744" s="82"/>
    </row>
    <row r="6745" spans="1:3" x14ac:dyDescent="0.3">
      <c r="A6745" s="80"/>
      <c r="B6745" s="81"/>
      <c r="C6745" s="82"/>
    </row>
    <row r="6746" spans="1:3" x14ac:dyDescent="0.3">
      <c r="A6746" s="80"/>
      <c r="B6746" s="81"/>
      <c r="C6746" s="82"/>
    </row>
    <row r="6747" spans="1:3" x14ac:dyDescent="0.3">
      <c r="A6747" s="80"/>
      <c r="B6747" s="81"/>
      <c r="C6747" s="82"/>
    </row>
    <row r="6748" spans="1:3" x14ac:dyDescent="0.3">
      <c r="A6748" s="80"/>
      <c r="B6748" s="81"/>
      <c r="C6748" s="82"/>
    </row>
    <row r="6749" spans="1:3" x14ac:dyDescent="0.3">
      <c r="A6749" s="80"/>
      <c r="B6749" s="81"/>
      <c r="C6749" s="82"/>
    </row>
    <row r="6750" spans="1:3" x14ac:dyDescent="0.3">
      <c r="A6750" s="80"/>
      <c r="B6750" s="81"/>
      <c r="C6750" s="82"/>
    </row>
    <row r="6751" spans="1:3" x14ac:dyDescent="0.3">
      <c r="A6751" s="80"/>
      <c r="B6751" s="81"/>
      <c r="C6751" s="82"/>
    </row>
    <row r="6752" spans="1:3" x14ac:dyDescent="0.3">
      <c r="A6752" s="80"/>
      <c r="B6752" s="81"/>
      <c r="C6752" s="82"/>
    </row>
    <row r="6753" spans="1:3" x14ac:dyDescent="0.3">
      <c r="A6753" s="80"/>
      <c r="B6753" s="81"/>
      <c r="C6753" s="82"/>
    </row>
    <row r="6754" spans="1:3" x14ac:dyDescent="0.3">
      <c r="A6754" s="80"/>
      <c r="B6754" s="81"/>
      <c r="C6754" s="82"/>
    </row>
    <row r="6755" spans="1:3" x14ac:dyDescent="0.3">
      <c r="A6755" s="80"/>
      <c r="B6755" s="81"/>
      <c r="C6755" s="82"/>
    </row>
    <row r="6756" spans="1:3" x14ac:dyDescent="0.3">
      <c r="A6756" s="80"/>
      <c r="B6756" s="81"/>
      <c r="C6756" s="82"/>
    </row>
    <row r="6757" spans="1:3" x14ac:dyDescent="0.3">
      <c r="A6757" s="80"/>
      <c r="B6757" s="81"/>
      <c r="C6757" s="82"/>
    </row>
    <row r="6758" spans="1:3" x14ac:dyDescent="0.3">
      <c r="A6758" s="80"/>
      <c r="B6758" s="81"/>
      <c r="C6758" s="82"/>
    </row>
    <row r="6759" spans="1:3" x14ac:dyDescent="0.3">
      <c r="A6759" s="80"/>
      <c r="B6759" s="81"/>
      <c r="C6759" s="82"/>
    </row>
    <row r="6760" spans="1:3" x14ac:dyDescent="0.3">
      <c r="A6760" s="80"/>
      <c r="B6760" s="81"/>
      <c r="C6760" s="82"/>
    </row>
    <row r="6761" spans="1:3" x14ac:dyDescent="0.3">
      <c r="A6761" s="80"/>
      <c r="B6761" s="81"/>
      <c r="C6761" s="82"/>
    </row>
    <row r="6762" spans="1:3" x14ac:dyDescent="0.3">
      <c r="A6762" s="80"/>
      <c r="B6762" s="81"/>
      <c r="C6762" s="82"/>
    </row>
    <row r="6763" spans="1:3" x14ac:dyDescent="0.3">
      <c r="A6763" s="80"/>
      <c r="B6763" s="81"/>
      <c r="C6763" s="82"/>
    </row>
    <row r="6764" spans="1:3" x14ac:dyDescent="0.3">
      <c r="A6764" s="80"/>
      <c r="B6764" s="81"/>
      <c r="C6764" s="82"/>
    </row>
    <row r="6765" spans="1:3" x14ac:dyDescent="0.3">
      <c r="A6765" s="80"/>
      <c r="B6765" s="81"/>
      <c r="C6765" s="82"/>
    </row>
    <row r="6766" spans="1:3" x14ac:dyDescent="0.3">
      <c r="A6766" s="80"/>
      <c r="B6766" s="81"/>
      <c r="C6766" s="82"/>
    </row>
    <row r="6767" spans="1:3" x14ac:dyDescent="0.3">
      <c r="A6767" s="80"/>
      <c r="B6767" s="81"/>
      <c r="C6767" s="82"/>
    </row>
    <row r="6768" spans="1:3" x14ac:dyDescent="0.3">
      <c r="A6768" s="80"/>
      <c r="B6768" s="81"/>
      <c r="C6768" s="82"/>
    </row>
    <row r="6769" spans="1:3" x14ac:dyDescent="0.3">
      <c r="A6769" s="80"/>
      <c r="B6769" s="81"/>
      <c r="C6769" s="82"/>
    </row>
    <row r="6770" spans="1:3" x14ac:dyDescent="0.3">
      <c r="A6770" s="80"/>
      <c r="B6770" s="81"/>
      <c r="C6770" s="82"/>
    </row>
    <row r="6771" spans="1:3" x14ac:dyDescent="0.3">
      <c r="A6771" s="80"/>
      <c r="B6771" s="81"/>
      <c r="C6771" s="82"/>
    </row>
    <row r="6772" spans="1:3" x14ac:dyDescent="0.3">
      <c r="A6772" s="80"/>
      <c r="B6772" s="81"/>
      <c r="C6772" s="82"/>
    </row>
    <row r="6773" spans="1:3" x14ac:dyDescent="0.3">
      <c r="A6773" s="80"/>
      <c r="B6773" s="81"/>
      <c r="C6773" s="82"/>
    </row>
    <row r="6774" spans="1:3" x14ac:dyDescent="0.3">
      <c r="A6774" s="80"/>
      <c r="B6774" s="81"/>
      <c r="C6774" s="82"/>
    </row>
    <row r="6775" spans="1:3" x14ac:dyDescent="0.3">
      <c r="A6775" s="80"/>
      <c r="B6775" s="81"/>
      <c r="C6775" s="82"/>
    </row>
    <row r="6776" spans="1:3" x14ac:dyDescent="0.3">
      <c r="A6776" s="80"/>
      <c r="B6776" s="81"/>
      <c r="C6776" s="82"/>
    </row>
    <row r="6777" spans="1:3" x14ac:dyDescent="0.3">
      <c r="A6777" s="80"/>
      <c r="B6777" s="81"/>
      <c r="C6777" s="82"/>
    </row>
    <row r="6778" spans="1:3" x14ac:dyDescent="0.3">
      <c r="A6778" s="80"/>
      <c r="B6778" s="81"/>
      <c r="C6778" s="82"/>
    </row>
    <row r="6779" spans="1:3" x14ac:dyDescent="0.3">
      <c r="A6779" s="80"/>
      <c r="B6779" s="81"/>
      <c r="C6779" s="82"/>
    </row>
    <row r="6780" spans="1:3" x14ac:dyDescent="0.3">
      <c r="A6780" s="80"/>
      <c r="B6780" s="81"/>
      <c r="C6780" s="82"/>
    </row>
    <row r="6781" spans="1:3" x14ac:dyDescent="0.3">
      <c r="A6781" s="80"/>
      <c r="B6781" s="81"/>
      <c r="C6781" s="82"/>
    </row>
    <row r="6782" spans="1:3" x14ac:dyDescent="0.3">
      <c r="A6782" s="80"/>
      <c r="B6782" s="81"/>
      <c r="C6782" s="82"/>
    </row>
    <row r="6783" spans="1:3" x14ac:dyDescent="0.3">
      <c r="A6783" s="80"/>
      <c r="B6783" s="81"/>
      <c r="C6783" s="82"/>
    </row>
    <row r="6784" spans="1:3" x14ac:dyDescent="0.3">
      <c r="A6784" s="80"/>
      <c r="B6784" s="81"/>
      <c r="C6784" s="82"/>
    </row>
    <row r="6785" spans="1:3" x14ac:dyDescent="0.3">
      <c r="A6785" s="80"/>
      <c r="B6785" s="81"/>
      <c r="C6785" s="82"/>
    </row>
    <row r="6786" spans="1:3" x14ac:dyDescent="0.3">
      <c r="A6786" s="80"/>
      <c r="B6786" s="81"/>
      <c r="C6786" s="82"/>
    </row>
    <row r="6787" spans="1:3" x14ac:dyDescent="0.3">
      <c r="A6787" s="80"/>
      <c r="B6787" s="81"/>
      <c r="C6787" s="82"/>
    </row>
    <row r="6788" spans="1:3" x14ac:dyDescent="0.3">
      <c r="A6788" s="80"/>
      <c r="B6788" s="81"/>
      <c r="C6788" s="82"/>
    </row>
    <row r="6789" spans="1:3" x14ac:dyDescent="0.3">
      <c r="A6789" s="80"/>
      <c r="B6789" s="81"/>
      <c r="C6789" s="82"/>
    </row>
    <row r="6790" spans="1:3" x14ac:dyDescent="0.3">
      <c r="A6790" s="80"/>
      <c r="B6790" s="81"/>
      <c r="C6790" s="82"/>
    </row>
    <row r="6791" spans="1:3" x14ac:dyDescent="0.3">
      <c r="A6791" s="80"/>
      <c r="B6791" s="81"/>
      <c r="C6791" s="82"/>
    </row>
    <row r="6792" spans="1:3" x14ac:dyDescent="0.3">
      <c r="A6792" s="80"/>
      <c r="B6792" s="81"/>
      <c r="C6792" s="82"/>
    </row>
    <row r="6793" spans="1:3" x14ac:dyDescent="0.3">
      <c r="A6793" s="80"/>
      <c r="B6793" s="81"/>
      <c r="C6793" s="82"/>
    </row>
    <row r="6794" spans="1:3" x14ac:dyDescent="0.3">
      <c r="A6794" s="80"/>
      <c r="B6794" s="81"/>
      <c r="C6794" s="82"/>
    </row>
    <row r="6795" spans="1:3" x14ac:dyDescent="0.3">
      <c r="A6795" s="80"/>
      <c r="B6795" s="81"/>
      <c r="C6795" s="82"/>
    </row>
    <row r="6796" spans="1:3" x14ac:dyDescent="0.3">
      <c r="A6796" s="80"/>
      <c r="B6796" s="81"/>
      <c r="C6796" s="82"/>
    </row>
    <row r="6797" spans="1:3" x14ac:dyDescent="0.3">
      <c r="A6797" s="80"/>
      <c r="B6797" s="81"/>
      <c r="C6797" s="82"/>
    </row>
    <row r="6798" spans="1:3" x14ac:dyDescent="0.3">
      <c r="A6798" s="80"/>
      <c r="B6798" s="81"/>
      <c r="C6798" s="82"/>
    </row>
    <row r="6799" spans="1:3" x14ac:dyDescent="0.3">
      <c r="A6799" s="80"/>
      <c r="B6799" s="81"/>
      <c r="C6799" s="82"/>
    </row>
    <row r="6800" spans="1:3" x14ac:dyDescent="0.3">
      <c r="A6800" s="80"/>
      <c r="B6800" s="81"/>
      <c r="C6800" s="82"/>
    </row>
    <row r="6801" spans="1:3" x14ac:dyDescent="0.3">
      <c r="A6801" s="80"/>
      <c r="B6801" s="81"/>
      <c r="C6801" s="82"/>
    </row>
    <row r="6802" spans="1:3" x14ac:dyDescent="0.3">
      <c r="A6802" s="80"/>
      <c r="B6802" s="81"/>
      <c r="C6802" s="82"/>
    </row>
    <row r="6803" spans="1:3" x14ac:dyDescent="0.3">
      <c r="A6803" s="80"/>
      <c r="B6803" s="81"/>
      <c r="C6803" s="82"/>
    </row>
    <row r="6804" spans="1:3" x14ac:dyDescent="0.3">
      <c r="A6804" s="80"/>
      <c r="B6804" s="81"/>
      <c r="C6804" s="82"/>
    </row>
    <row r="6805" spans="1:3" x14ac:dyDescent="0.3">
      <c r="A6805" s="80"/>
      <c r="B6805" s="81"/>
      <c r="C6805" s="82"/>
    </row>
    <row r="6806" spans="1:3" x14ac:dyDescent="0.3">
      <c r="A6806" s="80"/>
      <c r="B6806" s="81"/>
      <c r="C6806" s="82"/>
    </row>
    <row r="6807" spans="1:3" x14ac:dyDescent="0.3">
      <c r="A6807" s="80"/>
      <c r="B6807" s="81"/>
      <c r="C6807" s="82"/>
    </row>
    <row r="6808" spans="1:3" x14ac:dyDescent="0.3">
      <c r="A6808" s="80"/>
      <c r="B6808" s="81"/>
      <c r="C6808" s="82"/>
    </row>
    <row r="6809" spans="1:3" x14ac:dyDescent="0.3">
      <c r="A6809" s="80"/>
      <c r="B6809" s="81"/>
      <c r="C6809" s="82"/>
    </row>
    <row r="6810" spans="1:3" x14ac:dyDescent="0.3">
      <c r="A6810" s="80"/>
      <c r="B6810" s="81"/>
      <c r="C6810" s="82"/>
    </row>
    <row r="6811" spans="1:3" x14ac:dyDescent="0.3">
      <c r="A6811" s="80"/>
      <c r="B6811" s="81"/>
      <c r="C6811" s="82"/>
    </row>
    <row r="6812" spans="1:3" x14ac:dyDescent="0.3">
      <c r="A6812" s="80"/>
      <c r="B6812" s="81"/>
      <c r="C6812" s="82"/>
    </row>
    <row r="6813" spans="1:3" x14ac:dyDescent="0.3">
      <c r="A6813" s="80"/>
      <c r="B6813" s="81"/>
      <c r="C6813" s="82"/>
    </row>
    <row r="6814" spans="1:3" x14ac:dyDescent="0.3">
      <c r="A6814" s="80"/>
      <c r="B6814" s="81"/>
      <c r="C6814" s="82"/>
    </row>
    <row r="6815" spans="1:3" x14ac:dyDescent="0.3">
      <c r="A6815" s="80"/>
      <c r="B6815" s="81"/>
      <c r="C6815" s="82"/>
    </row>
    <row r="6816" spans="1:3" x14ac:dyDescent="0.3">
      <c r="A6816" s="80"/>
      <c r="B6816" s="81"/>
      <c r="C6816" s="82"/>
    </row>
    <row r="6817" spans="1:3" x14ac:dyDescent="0.3">
      <c r="A6817" s="80"/>
      <c r="B6817" s="81"/>
      <c r="C6817" s="82"/>
    </row>
    <row r="6818" spans="1:3" x14ac:dyDescent="0.3">
      <c r="A6818" s="80"/>
      <c r="B6818" s="81"/>
      <c r="C6818" s="82"/>
    </row>
    <row r="6819" spans="1:3" x14ac:dyDescent="0.3">
      <c r="A6819" s="80"/>
      <c r="B6819" s="81"/>
      <c r="C6819" s="82"/>
    </row>
    <row r="6820" spans="1:3" x14ac:dyDescent="0.3">
      <c r="A6820" s="80"/>
      <c r="B6820" s="81"/>
      <c r="C6820" s="82"/>
    </row>
    <row r="6821" spans="1:3" x14ac:dyDescent="0.3">
      <c r="A6821" s="80"/>
      <c r="B6821" s="81"/>
      <c r="C6821" s="82"/>
    </row>
    <row r="6822" spans="1:3" x14ac:dyDescent="0.3">
      <c r="A6822" s="80"/>
      <c r="B6822" s="81"/>
      <c r="C6822" s="82"/>
    </row>
    <row r="6823" spans="1:3" x14ac:dyDescent="0.3">
      <c r="A6823" s="80"/>
      <c r="B6823" s="81"/>
      <c r="C6823" s="82"/>
    </row>
    <row r="6824" spans="1:3" x14ac:dyDescent="0.3">
      <c r="A6824" s="80"/>
      <c r="B6824" s="81"/>
      <c r="C6824" s="82"/>
    </row>
    <row r="6825" spans="1:3" x14ac:dyDescent="0.3">
      <c r="A6825" s="80"/>
      <c r="B6825" s="81"/>
      <c r="C6825" s="82"/>
    </row>
    <row r="6826" spans="1:3" x14ac:dyDescent="0.3">
      <c r="A6826" s="80"/>
      <c r="B6826" s="81"/>
      <c r="C6826" s="82"/>
    </row>
    <row r="6827" spans="1:3" x14ac:dyDescent="0.3">
      <c r="A6827" s="80"/>
      <c r="B6827" s="81"/>
      <c r="C6827" s="82"/>
    </row>
    <row r="6828" spans="1:3" x14ac:dyDescent="0.3">
      <c r="A6828" s="80"/>
      <c r="B6828" s="81"/>
      <c r="C6828" s="82"/>
    </row>
    <row r="6829" spans="1:3" x14ac:dyDescent="0.3">
      <c r="A6829" s="80"/>
      <c r="B6829" s="81"/>
      <c r="C6829" s="82"/>
    </row>
    <row r="6830" spans="1:3" x14ac:dyDescent="0.3">
      <c r="A6830" s="80"/>
      <c r="B6830" s="81"/>
      <c r="C6830" s="82"/>
    </row>
    <row r="6831" spans="1:3" x14ac:dyDescent="0.3">
      <c r="A6831" s="80"/>
      <c r="B6831" s="81"/>
      <c r="C6831" s="82"/>
    </row>
    <row r="6832" spans="1:3" x14ac:dyDescent="0.3">
      <c r="A6832" s="80"/>
      <c r="B6832" s="81"/>
      <c r="C6832" s="82"/>
    </row>
    <row r="6833" spans="1:3" x14ac:dyDescent="0.3">
      <c r="A6833" s="80"/>
      <c r="B6833" s="81"/>
      <c r="C6833" s="82"/>
    </row>
    <row r="6834" spans="1:3" x14ac:dyDescent="0.3">
      <c r="A6834" s="80"/>
      <c r="B6834" s="81"/>
      <c r="C6834" s="82"/>
    </row>
    <row r="6835" spans="1:3" x14ac:dyDescent="0.3">
      <c r="A6835" s="80"/>
      <c r="B6835" s="81"/>
      <c r="C6835" s="82"/>
    </row>
    <row r="6836" spans="1:3" x14ac:dyDescent="0.3">
      <c r="A6836" s="80"/>
      <c r="B6836" s="81"/>
      <c r="C6836" s="82"/>
    </row>
    <row r="6837" spans="1:3" x14ac:dyDescent="0.3">
      <c r="A6837" s="80"/>
      <c r="B6837" s="81"/>
      <c r="C6837" s="82"/>
    </row>
    <row r="6838" spans="1:3" x14ac:dyDescent="0.3">
      <c r="A6838" s="80"/>
      <c r="B6838" s="81"/>
      <c r="C6838" s="82"/>
    </row>
    <row r="6839" spans="1:3" x14ac:dyDescent="0.3">
      <c r="A6839" s="80"/>
      <c r="B6839" s="81"/>
      <c r="C6839" s="82"/>
    </row>
    <row r="6840" spans="1:3" x14ac:dyDescent="0.3">
      <c r="A6840" s="80"/>
      <c r="B6840" s="81"/>
      <c r="C6840" s="82"/>
    </row>
    <row r="6841" spans="1:3" x14ac:dyDescent="0.3">
      <c r="A6841" s="80"/>
      <c r="B6841" s="81"/>
      <c r="C6841" s="82"/>
    </row>
    <row r="6842" spans="1:3" x14ac:dyDescent="0.3">
      <c r="A6842" s="80"/>
      <c r="B6842" s="81"/>
      <c r="C6842" s="82"/>
    </row>
    <row r="6843" spans="1:3" x14ac:dyDescent="0.3">
      <c r="A6843" s="80"/>
      <c r="B6843" s="81"/>
      <c r="C6843" s="82"/>
    </row>
    <row r="6844" spans="1:3" x14ac:dyDescent="0.3">
      <c r="A6844" s="80"/>
      <c r="B6844" s="81"/>
      <c r="C6844" s="82"/>
    </row>
    <row r="6845" spans="1:3" x14ac:dyDescent="0.3">
      <c r="A6845" s="80"/>
      <c r="B6845" s="81"/>
      <c r="C6845" s="82"/>
    </row>
    <row r="6846" spans="1:3" x14ac:dyDescent="0.3">
      <c r="A6846" s="80"/>
      <c r="B6846" s="81"/>
      <c r="C6846" s="82"/>
    </row>
    <row r="6847" spans="1:3" x14ac:dyDescent="0.3">
      <c r="A6847" s="80"/>
      <c r="B6847" s="81"/>
      <c r="C6847" s="82"/>
    </row>
    <row r="6848" spans="1:3" x14ac:dyDescent="0.3">
      <c r="A6848" s="80"/>
      <c r="B6848" s="81"/>
      <c r="C6848" s="82"/>
    </row>
    <row r="6849" spans="1:3" x14ac:dyDescent="0.3">
      <c r="A6849" s="80"/>
      <c r="B6849" s="81"/>
      <c r="C6849" s="82"/>
    </row>
    <row r="6850" spans="1:3" x14ac:dyDescent="0.3">
      <c r="A6850" s="80"/>
      <c r="B6850" s="81"/>
      <c r="C6850" s="82"/>
    </row>
    <row r="6851" spans="1:3" x14ac:dyDescent="0.3">
      <c r="A6851" s="80"/>
      <c r="B6851" s="81"/>
      <c r="C6851" s="82"/>
    </row>
    <row r="6852" spans="1:3" x14ac:dyDescent="0.3">
      <c r="A6852" s="80"/>
      <c r="B6852" s="81"/>
      <c r="C6852" s="82"/>
    </row>
    <row r="6853" spans="1:3" x14ac:dyDescent="0.3">
      <c r="A6853" s="80"/>
      <c r="B6853" s="81"/>
      <c r="C6853" s="82"/>
    </row>
    <row r="6854" spans="1:3" x14ac:dyDescent="0.3">
      <c r="A6854" s="80"/>
      <c r="B6854" s="81"/>
      <c r="C6854" s="82"/>
    </row>
    <row r="6855" spans="1:3" x14ac:dyDescent="0.3">
      <c r="A6855" s="80"/>
      <c r="B6855" s="81"/>
      <c r="C6855" s="82"/>
    </row>
    <row r="6856" spans="1:3" x14ac:dyDescent="0.3">
      <c r="A6856" s="80"/>
      <c r="B6856" s="81"/>
      <c r="C6856" s="82"/>
    </row>
    <row r="6857" spans="1:3" x14ac:dyDescent="0.3">
      <c r="A6857" s="80"/>
      <c r="B6857" s="81"/>
      <c r="C6857" s="82"/>
    </row>
    <row r="6858" spans="1:3" x14ac:dyDescent="0.3">
      <c r="A6858" s="80"/>
      <c r="B6858" s="81"/>
      <c r="C6858" s="82"/>
    </row>
    <row r="6859" spans="1:3" x14ac:dyDescent="0.3">
      <c r="A6859" s="80"/>
      <c r="B6859" s="81"/>
      <c r="C6859" s="82"/>
    </row>
    <row r="6860" spans="1:3" x14ac:dyDescent="0.3">
      <c r="A6860" s="80"/>
      <c r="B6860" s="81"/>
      <c r="C6860" s="82"/>
    </row>
    <row r="6861" spans="1:3" x14ac:dyDescent="0.3">
      <c r="A6861" s="80"/>
      <c r="B6861" s="81"/>
      <c r="C6861" s="82"/>
    </row>
    <row r="6862" spans="1:3" x14ac:dyDescent="0.3">
      <c r="A6862" s="80"/>
      <c r="B6862" s="81"/>
      <c r="C6862" s="82"/>
    </row>
    <row r="6863" spans="1:3" x14ac:dyDescent="0.3">
      <c r="A6863" s="80"/>
      <c r="B6863" s="81"/>
      <c r="C6863" s="82"/>
    </row>
    <row r="6864" spans="1:3" x14ac:dyDescent="0.3">
      <c r="A6864" s="80"/>
      <c r="B6864" s="81"/>
      <c r="C6864" s="82"/>
    </row>
    <row r="6865" spans="1:3" x14ac:dyDescent="0.3">
      <c r="A6865" s="80"/>
      <c r="B6865" s="81"/>
      <c r="C6865" s="82"/>
    </row>
    <row r="6866" spans="1:3" x14ac:dyDescent="0.3">
      <c r="A6866" s="80"/>
      <c r="B6866" s="81"/>
      <c r="C6866" s="82"/>
    </row>
    <row r="6867" spans="1:3" x14ac:dyDescent="0.3">
      <c r="A6867" s="80"/>
      <c r="B6867" s="81"/>
      <c r="C6867" s="82"/>
    </row>
    <row r="6868" spans="1:3" x14ac:dyDescent="0.3">
      <c r="A6868" s="80"/>
      <c r="B6868" s="81"/>
      <c r="C6868" s="82"/>
    </row>
    <row r="6869" spans="1:3" x14ac:dyDescent="0.3">
      <c r="A6869" s="80"/>
      <c r="B6869" s="81"/>
      <c r="C6869" s="82"/>
    </row>
    <row r="6870" spans="1:3" x14ac:dyDescent="0.3">
      <c r="A6870" s="80"/>
      <c r="B6870" s="81"/>
      <c r="C6870" s="82"/>
    </row>
    <row r="6871" spans="1:3" x14ac:dyDescent="0.3">
      <c r="A6871" s="80"/>
      <c r="B6871" s="81"/>
      <c r="C6871" s="82"/>
    </row>
    <row r="6872" spans="1:3" x14ac:dyDescent="0.3">
      <c r="A6872" s="80"/>
      <c r="B6872" s="81"/>
      <c r="C6872" s="82"/>
    </row>
    <row r="6873" spans="1:3" x14ac:dyDescent="0.3">
      <c r="A6873" s="80"/>
      <c r="B6873" s="81"/>
      <c r="C6873" s="82"/>
    </row>
    <row r="6874" spans="1:3" x14ac:dyDescent="0.3">
      <c r="A6874" s="80"/>
      <c r="B6874" s="81"/>
      <c r="C6874" s="82"/>
    </row>
    <row r="6875" spans="1:3" x14ac:dyDescent="0.3">
      <c r="A6875" s="80"/>
      <c r="B6875" s="81"/>
      <c r="C6875" s="82"/>
    </row>
    <row r="6876" spans="1:3" x14ac:dyDescent="0.3">
      <c r="A6876" s="80"/>
      <c r="B6876" s="81"/>
      <c r="C6876" s="82"/>
    </row>
    <row r="6877" spans="1:3" x14ac:dyDescent="0.3">
      <c r="A6877" s="80"/>
      <c r="B6877" s="81"/>
      <c r="C6877" s="82"/>
    </row>
    <row r="6878" spans="1:3" x14ac:dyDescent="0.3">
      <c r="A6878" s="80"/>
      <c r="B6878" s="81"/>
      <c r="C6878" s="82"/>
    </row>
    <row r="6879" spans="1:3" x14ac:dyDescent="0.3">
      <c r="A6879" s="80"/>
      <c r="B6879" s="81"/>
      <c r="C6879" s="82"/>
    </row>
    <row r="6880" spans="1:3" x14ac:dyDescent="0.3">
      <c r="A6880" s="80"/>
      <c r="B6880" s="81"/>
      <c r="C6880" s="82"/>
    </row>
    <row r="6881" spans="1:3" x14ac:dyDescent="0.3">
      <c r="A6881" s="80"/>
      <c r="B6881" s="81"/>
      <c r="C6881" s="82"/>
    </row>
    <row r="6882" spans="1:3" x14ac:dyDescent="0.3">
      <c r="A6882" s="80"/>
      <c r="B6882" s="81"/>
      <c r="C6882" s="82"/>
    </row>
    <row r="6883" spans="1:3" x14ac:dyDescent="0.3">
      <c r="A6883" s="80"/>
      <c r="B6883" s="81"/>
      <c r="C6883" s="82"/>
    </row>
    <row r="6884" spans="1:3" x14ac:dyDescent="0.3">
      <c r="A6884" s="80"/>
      <c r="B6884" s="81"/>
      <c r="C6884" s="82"/>
    </row>
    <row r="6885" spans="1:3" x14ac:dyDescent="0.3">
      <c r="A6885" s="80"/>
      <c r="B6885" s="81"/>
      <c r="C6885" s="82"/>
    </row>
    <row r="6886" spans="1:3" x14ac:dyDescent="0.3">
      <c r="A6886" s="80"/>
      <c r="B6886" s="81"/>
      <c r="C6886" s="82"/>
    </row>
    <row r="6887" spans="1:3" x14ac:dyDescent="0.3">
      <c r="A6887" s="80"/>
      <c r="B6887" s="81"/>
      <c r="C6887" s="82"/>
    </row>
    <row r="6888" spans="1:3" x14ac:dyDescent="0.3">
      <c r="A6888" s="80"/>
      <c r="B6888" s="81"/>
      <c r="C6888" s="82"/>
    </row>
    <row r="6889" spans="1:3" x14ac:dyDescent="0.3">
      <c r="A6889" s="80"/>
      <c r="B6889" s="81"/>
      <c r="C6889" s="82"/>
    </row>
    <row r="6890" spans="1:3" x14ac:dyDescent="0.3">
      <c r="A6890" s="80"/>
      <c r="B6890" s="81"/>
      <c r="C6890" s="82"/>
    </row>
    <row r="6891" spans="1:3" x14ac:dyDescent="0.3">
      <c r="A6891" s="80"/>
      <c r="B6891" s="81"/>
      <c r="C6891" s="82"/>
    </row>
    <row r="6892" spans="1:3" x14ac:dyDescent="0.3">
      <c r="A6892" s="80"/>
      <c r="B6892" s="81"/>
      <c r="C6892" s="82"/>
    </row>
    <row r="6893" spans="1:3" x14ac:dyDescent="0.3">
      <c r="A6893" s="80"/>
      <c r="B6893" s="81"/>
      <c r="C6893" s="82"/>
    </row>
    <row r="6894" spans="1:3" x14ac:dyDescent="0.3">
      <c r="A6894" s="80"/>
      <c r="B6894" s="81"/>
      <c r="C6894" s="82"/>
    </row>
    <row r="6895" spans="1:3" x14ac:dyDescent="0.3">
      <c r="A6895" s="80"/>
      <c r="B6895" s="81"/>
      <c r="C6895" s="82"/>
    </row>
    <row r="6896" spans="1:3" x14ac:dyDescent="0.3">
      <c r="A6896" s="80"/>
      <c r="B6896" s="81"/>
      <c r="C6896" s="82"/>
    </row>
    <row r="6897" spans="1:3" x14ac:dyDescent="0.3">
      <c r="A6897" s="80"/>
      <c r="B6897" s="81"/>
      <c r="C6897" s="82"/>
    </row>
    <row r="6898" spans="1:3" x14ac:dyDescent="0.3">
      <c r="A6898" s="80"/>
      <c r="B6898" s="81"/>
      <c r="C6898" s="82"/>
    </row>
    <row r="6899" spans="1:3" x14ac:dyDescent="0.3">
      <c r="A6899" s="80"/>
      <c r="B6899" s="81"/>
      <c r="C6899" s="82"/>
    </row>
    <row r="6900" spans="1:3" x14ac:dyDescent="0.3">
      <c r="A6900" s="80"/>
      <c r="B6900" s="81"/>
      <c r="C6900" s="82"/>
    </row>
    <row r="6901" spans="1:3" x14ac:dyDescent="0.3">
      <c r="A6901" s="80"/>
      <c r="B6901" s="81"/>
      <c r="C6901" s="82"/>
    </row>
    <row r="6902" spans="1:3" x14ac:dyDescent="0.3">
      <c r="A6902" s="80"/>
      <c r="B6902" s="81"/>
      <c r="C6902" s="82"/>
    </row>
    <row r="6903" spans="1:3" x14ac:dyDescent="0.3">
      <c r="A6903" s="80"/>
      <c r="B6903" s="81"/>
      <c r="C6903" s="82"/>
    </row>
    <row r="6904" spans="1:3" x14ac:dyDescent="0.3">
      <c r="A6904" s="80"/>
      <c r="B6904" s="81"/>
      <c r="C6904" s="82"/>
    </row>
    <row r="6905" spans="1:3" x14ac:dyDescent="0.3">
      <c r="A6905" s="80"/>
      <c r="B6905" s="81"/>
      <c r="C6905" s="82"/>
    </row>
    <row r="6906" spans="1:3" x14ac:dyDescent="0.3">
      <c r="A6906" s="80"/>
      <c r="B6906" s="81"/>
      <c r="C6906" s="82"/>
    </row>
    <row r="6907" spans="1:3" x14ac:dyDescent="0.3">
      <c r="A6907" s="80"/>
      <c r="B6907" s="81"/>
      <c r="C6907" s="82"/>
    </row>
    <row r="6908" spans="1:3" x14ac:dyDescent="0.3">
      <c r="A6908" s="80"/>
      <c r="B6908" s="81"/>
      <c r="C6908" s="82"/>
    </row>
    <row r="6909" spans="1:3" x14ac:dyDescent="0.3">
      <c r="A6909" s="80"/>
      <c r="B6909" s="81"/>
      <c r="C6909" s="82"/>
    </row>
    <row r="6910" spans="1:3" x14ac:dyDescent="0.3">
      <c r="A6910" s="80"/>
      <c r="B6910" s="81"/>
      <c r="C6910" s="82"/>
    </row>
    <row r="6911" spans="1:3" x14ac:dyDescent="0.3">
      <c r="A6911" s="80"/>
      <c r="B6911" s="81"/>
      <c r="C6911" s="82"/>
    </row>
    <row r="6912" spans="1:3" x14ac:dyDescent="0.3">
      <c r="A6912" s="80"/>
      <c r="B6912" s="81"/>
      <c r="C6912" s="82"/>
    </row>
    <row r="6913" spans="1:3" x14ac:dyDescent="0.3">
      <c r="A6913" s="80"/>
      <c r="B6913" s="81"/>
      <c r="C6913" s="82"/>
    </row>
    <row r="6914" spans="1:3" x14ac:dyDescent="0.3">
      <c r="A6914" s="80"/>
      <c r="B6914" s="81"/>
      <c r="C6914" s="82"/>
    </row>
    <row r="6915" spans="1:3" x14ac:dyDescent="0.3">
      <c r="A6915" s="80"/>
      <c r="B6915" s="81"/>
      <c r="C6915" s="82"/>
    </row>
    <row r="6916" spans="1:3" x14ac:dyDescent="0.3">
      <c r="A6916" s="80"/>
      <c r="B6916" s="81"/>
      <c r="C6916" s="82"/>
    </row>
    <row r="6917" spans="1:3" x14ac:dyDescent="0.3">
      <c r="A6917" s="80"/>
      <c r="B6917" s="81"/>
      <c r="C6917" s="82"/>
    </row>
    <row r="6918" spans="1:3" x14ac:dyDescent="0.3">
      <c r="A6918" s="80"/>
      <c r="B6918" s="81"/>
      <c r="C6918" s="82"/>
    </row>
    <row r="6919" spans="1:3" x14ac:dyDescent="0.3">
      <c r="A6919" s="80"/>
      <c r="B6919" s="81"/>
      <c r="C6919" s="82"/>
    </row>
    <row r="6920" spans="1:3" x14ac:dyDescent="0.3">
      <c r="A6920" s="80"/>
      <c r="B6920" s="81"/>
      <c r="C6920" s="82"/>
    </row>
    <row r="6921" spans="1:3" x14ac:dyDescent="0.3">
      <c r="A6921" s="80"/>
      <c r="B6921" s="81"/>
      <c r="C6921" s="82"/>
    </row>
    <row r="6922" spans="1:3" x14ac:dyDescent="0.3">
      <c r="A6922" s="80"/>
      <c r="B6922" s="81"/>
      <c r="C6922" s="82"/>
    </row>
    <row r="6923" spans="1:3" x14ac:dyDescent="0.3">
      <c r="A6923" s="80"/>
      <c r="B6923" s="81"/>
      <c r="C6923" s="82"/>
    </row>
    <row r="6924" spans="1:3" x14ac:dyDescent="0.3">
      <c r="A6924" s="80"/>
      <c r="B6924" s="81"/>
      <c r="C6924" s="82"/>
    </row>
    <row r="6925" spans="1:3" x14ac:dyDescent="0.3">
      <c r="A6925" s="80"/>
      <c r="B6925" s="81"/>
      <c r="C6925" s="82"/>
    </row>
    <row r="6926" spans="1:3" x14ac:dyDescent="0.3">
      <c r="A6926" s="80"/>
      <c r="B6926" s="81"/>
      <c r="C6926" s="82"/>
    </row>
    <row r="6927" spans="1:3" x14ac:dyDescent="0.3">
      <c r="A6927" s="80"/>
      <c r="B6927" s="81"/>
      <c r="C6927" s="82"/>
    </row>
    <row r="6928" spans="1:3" x14ac:dyDescent="0.3">
      <c r="A6928" s="80"/>
      <c r="B6928" s="81"/>
      <c r="C6928" s="82"/>
    </row>
    <row r="6929" spans="1:3" x14ac:dyDescent="0.3">
      <c r="A6929" s="80"/>
      <c r="B6929" s="81"/>
      <c r="C6929" s="82"/>
    </row>
    <row r="6930" spans="1:3" x14ac:dyDescent="0.3">
      <c r="A6930" s="80"/>
      <c r="B6930" s="81"/>
      <c r="C6930" s="82"/>
    </row>
    <row r="6931" spans="1:3" x14ac:dyDescent="0.3">
      <c r="A6931" s="80"/>
      <c r="B6931" s="81"/>
      <c r="C6931" s="82"/>
    </row>
    <row r="6932" spans="1:3" x14ac:dyDescent="0.3">
      <c r="A6932" s="80"/>
      <c r="B6932" s="81"/>
      <c r="C6932" s="82"/>
    </row>
    <row r="6933" spans="1:3" x14ac:dyDescent="0.3">
      <c r="A6933" s="80"/>
      <c r="B6933" s="81"/>
      <c r="C6933" s="82"/>
    </row>
    <row r="6934" spans="1:3" x14ac:dyDescent="0.3">
      <c r="A6934" s="80"/>
      <c r="B6934" s="81"/>
      <c r="C6934" s="82"/>
    </row>
    <row r="6935" spans="1:3" x14ac:dyDescent="0.3">
      <c r="A6935" s="80"/>
      <c r="B6935" s="81"/>
      <c r="C6935" s="82"/>
    </row>
    <row r="6936" spans="1:3" x14ac:dyDescent="0.3">
      <c r="A6936" s="80"/>
      <c r="B6936" s="81"/>
      <c r="C6936" s="82"/>
    </row>
    <row r="6937" spans="1:3" x14ac:dyDescent="0.3">
      <c r="A6937" s="80"/>
      <c r="B6937" s="81"/>
      <c r="C6937" s="82"/>
    </row>
    <row r="6938" spans="1:3" x14ac:dyDescent="0.3">
      <c r="A6938" s="80"/>
      <c r="B6938" s="81"/>
      <c r="C6938" s="82"/>
    </row>
    <row r="6939" spans="1:3" x14ac:dyDescent="0.3">
      <c r="A6939" s="80"/>
      <c r="B6939" s="81"/>
      <c r="C6939" s="82"/>
    </row>
    <row r="6940" spans="1:3" x14ac:dyDescent="0.3">
      <c r="A6940" s="80"/>
      <c r="B6940" s="81"/>
      <c r="C6940" s="82"/>
    </row>
    <row r="6941" spans="1:3" x14ac:dyDescent="0.3">
      <c r="A6941" s="80"/>
      <c r="B6941" s="81"/>
      <c r="C6941" s="82"/>
    </row>
    <row r="6942" spans="1:3" x14ac:dyDescent="0.3">
      <c r="A6942" s="80"/>
      <c r="B6942" s="81"/>
      <c r="C6942" s="82"/>
    </row>
    <row r="6943" spans="1:3" x14ac:dyDescent="0.3">
      <c r="A6943" s="80"/>
      <c r="B6943" s="81"/>
      <c r="C6943" s="82"/>
    </row>
    <row r="6944" spans="1:3" x14ac:dyDescent="0.3">
      <c r="A6944" s="80"/>
      <c r="B6944" s="81"/>
      <c r="C6944" s="82"/>
    </row>
    <row r="6945" spans="1:3" x14ac:dyDescent="0.3">
      <c r="A6945" s="80"/>
      <c r="B6945" s="81"/>
      <c r="C6945" s="82"/>
    </row>
    <row r="6946" spans="1:3" x14ac:dyDescent="0.3">
      <c r="A6946" s="80"/>
      <c r="B6946" s="81"/>
      <c r="C6946" s="82"/>
    </row>
    <row r="6947" spans="1:3" x14ac:dyDescent="0.3">
      <c r="A6947" s="80"/>
      <c r="B6947" s="81"/>
      <c r="C6947" s="82"/>
    </row>
    <row r="6948" spans="1:3" x14ac:dyDescent="0.3">
      <c r="A6948" s="80"/>
      <c r="B6948" s="81"/>
      <c r="C6948" s="82"/>
    </row>
    <row r="6949" spans="1:3" x14ac:dyDescent="0.3">
      <c r="A6949" s="80"/>
      <c r="B6949" s="81"/>
      <c r="C6949" s="82"/>
    </row>
    <row r="6950" spans="1:3" x14ac:dyDescent="0.3">
      <c r="A6950" s="80"/>
      <c r="B6950" s="81"/>
      <c r="C6950" s="82"/>
    </row>
    <row r="6951" spans="1:3" x14ac:dyDescent="0.3">
      <c r="A6951" s="80"/>
      <c r="B6951" s="81"/>
      <c r="C6951" s="82"/>
    </row>
    <row r="6952" spans="1:3" x14ac:dyDescent="0.3">
      <c r="A6952" s="80"/>
      <c r="B6952" s="81"/>
      <c r="C6952" s="82"/>
    </row>
    <row r="6953" spans="1:3" x14ac:dyDescent="0.3">
      <c r="A6953" s="80"/>
      <c r="B6953" s="81"/>
      <c r="C6953" s="82"/>
    </row>
    <row r="6954" spans="1:3" x14ac:dyDescent="0.3">
      <c r="A6954" s="80"/>
      <c r="B6954" s="81"/>
      <c r="C6954" s="82"/>
    </row>
    <row r="6955" spans="1:3" x14ac:dyDescent="0.3">
      <c r="A6955" s="80"/>
      <c r="B6955" s="81"/>
      <c r="C6955" s="82"/>
    </row>
    <row r="6956" spans="1:3" x14ac:dyDescent="0.3">
      <c r="A6956" s="80"/>
      <c r="B6956" s="81"/>
      <c r="C6956" s="82"/>
    </row>
    <row r="6957" spans="1:3" x14ac:dyDescent="0.3">
      <c r="A6957" s="80"/>
      <c r="B6957" s="81"/>
      <c r="C6957" s="82"/>
    </row>
    <row r="6958" spans="1:3" x14ac:dyDescent="0.3">
      <c r="A6958" s="80"/>
      <c r="B6958" s="81"/>
      <c r="C6958" s="82"/>
    </row>
    <row r="6959" spans="1:3" x14ac:dyDescent="0.3">
      <c r="A6959" s="80"/>
      <c r="B6959" s="81"/>
      <c r="C6959" s="82"/>
    </row>
    <row r="6960" spans="1:3" x14ac:dyDescent="0.3">
      <c r="A6960" s="80"/>
      <c r="B6960" s="81"/>
      <c r="C6960" s="82"/>
    </row>
    <row r="6961" spans="1:3" x14ac:dyDescent="0.3">
      <c r="A6961" s="80"/>
      <c r="B6961" s="81"/>
      <c r="C6961" s="82"/>
    </row>
    <row r="6962" spans="1:3" x14ac:dyDescent="0.3">
      <c r="A6962" s="80"/>
      <c r="B6962" s="81"/>
      <c r="C6962" s="82"/>
    </row>
    <row r="6963" spans="1:3" x14ac:dyDescent="0.3">
      <c r="A6963" s="80"/>
      <c r="B6963" s="81"/>
      <c r="C6963" s="82"/>
    </row>
    <row r="6964" spans="1:3" x14ac:dyDescent="0.3">
      <c r="A6964" s="80"/>
      <c r="B6964" s="81"/>
      <c r="C6964" s="82"/>
    </row>
    <row r="6965" spans="1:3" x14ac:dyDescent="0.3">
      <c r="A6965" s="80"/>
      <c r="B6965" s="81"/>
      <c r="C6965" s="82"/>
    </row>
    <row r="6966" spans="1:3" x14ac:dyDescent="0.3">
      <c r="A6966" s="80"/>
      <c r="B6966" s="81"/>
      <c r="C6966" s="82"/>
    </row>
    <row r="6967" spans="1:3" x14ac:dyDescent="0.3">
      <c r="A6967" s="80"/>
      <c r="B6967" s="81"/>
      <c r="C6967" s="82"/>
    </row>
    <row r="6968" spans="1:3" x14ac:dyDescent="0.3">
      <c r="A6968" s="80"/>
      <c r="B6968" s="81"/>
      <c r="C6968" s="82"/>
    </row>
    <row r="6969" spans="1:3" x14ac:dyDescent="0.3">
      <c r="A6969" s="80"/>
      <c r="B6969" s="81"/>
      <c r="C6969" s="82"/>
    </row>
    <row r="6970" spans="1:3" x14ac:dyDescent="0.3">
      <c r="A6970" s="80"/>
      <c r="B6970" s="81"/>
      <c r="C6970" s="82"/>
    </row>
    <row r="6971" spans="1:3" x14ac:dyDescent="0.3">
      <c r="A6971" s="80"/>
      <c r="B6971" s="81"/>
      <c r="C6971" s="82"/>
    </row>
    <row r="6972" spans="1:3" x14ac:dyDescent="0.3">
      <c r="A6972" s="80"/>
      <c r="B6972" s="81"/>
      <c r="C6972" s="82"/>
    </row>
    <row r="6973" spans="1:3" x14ac:dyDescent="0.3">
      <c r="A6973" s="80"/>
      <c r="B6973" s="81"/>
      <c r="C6973" s="82"/>
    </row>
    <row r="6974" spans="1:3" x14ac:dyDescent="0.3">
      <c r="A6974" s="80"/>
      <c r="B6974" s="81"/>
      <c r="C6974" s="82"/>
    </row>
    <row r="6975" spans="1:3" x14ac:dyDescent="0.3">
      <c r="A6975" s="80"/>
      <c r="B6975" s="81"/>
      <c r="C6975" s="82"/>
    </row>
    <row r="6976" spans="1:3" x14ac:dyDescent="0.3">
      <c r="A6976" s="80"/>
      <c r="B6976" s="81"/>
      <c r="C6976" s="82"/>
    </row>
    <row r="6977" spans="1:3" x14ac:dyDescent="0.3">
      <c r="A6977" s="80"/>
      <c r="B6977" s="81"/>
      <c r="C6977" s="82"/>
    </row>
    <row r="6978" spans="1:3" x14ac:dyDescent="0.3">
      <c r="A6978" s="80"/>
      <c r="B6978" s="81"/>
      <c r="C6978" s="82"/>
    </row>
    <row r="6979" spans="1:3" x14ac:dyDescent="0.3">
      <c r="A6979" s="80"/>
      <c r="B6979" s="81"/>
      <c r="C6979" s="82"/>
    </row>
    <row r="6980" spans="1:3" x14ac:dyDescent="0.3">
      <c r="A6980" s="80"/>
      <c r="B6980" s="81"/>
      <c r="C6980" s="82"/>
    </row>
    <row r="6981" spans="1:3" x14ac:dyDescent="0.3">
      <c r="A6981" s="80"/>
      <c r="B6981" s="81"/>
      <c r="C6981" s="82"/>
    </row>
    <row r="6982" spans="1:3" x14ac:dyDescent="0.3">
      <c r="A6982" s="80"/>
      <c r="B6982" s="81"/>
      <c r="C6982" s="82"/>
    </row>
    <row r="6983" spans="1:3" x14ac:dyDescent="0.3">
      <c r="A6983" s="80"/>
      <c r="B6983" s="81"/>
      <c r="C6983" s="82"/>
    </row>
    <row r="6984" spans="1:3" x14ac:dyDescent="0.3">
      <c r="A6984" s="80"/>
      <c r="B6984" s="81"/>
      <c r="C6984" s="82"/>
    </row>
    <row r="6985" spans="1:3" x14ac:dyDescent="0.3">
      <c r="A6985" s="80"/>
      <c r="B6985" s="81"/>
      <c r="C6985" s="82"/>
    </row>
    <row r="6986" spans="1:3" x14ac:dyDescent="0.3">
      <c r="A6986" s="80"/>
      <c r="B6986" s="81"/>
      <c r="C6986" s="82"/>
    </row>
    <row r="6987" spans="1:3" x14ac:dyDescent="0.3">
      <c r="A6987" s="80"/>
      <c r="B6987" s="81"/>
      <c r="C6987" s="82"/>
    </row>
    <row r="6988" spans="1:3" x14ac:dyDescent="0.3">
      <c r="A6988" s="80"/>
      <c r="B6988" s="81"/>
      <c r="C6988" s="82"/>
    </row>
    <row r="6989" spans="1:3" x14ac:dyDescent="0.3">
      <c r="A6989" s="80"/>
      <c r="B6989" s="81"/>
      <c r="C6989" s="82"/>
    </row>
    <row r="6990" spans="1:3" x14ac:dyDescent="0.3">
      <c r="A6990" s="80"/>
      <c r="B6990" s="81"/>
      <c r="C6990" s="82"/>
    </row>
    <row r="6991" spans="1:3" x14ac:dyDescent="0.3">
      <c r="A6991" s="80"/>
      <c r="B6991" s="81"/>
      <c r="C6991" s="82"/>
    </row>
    <row r="6992" spans="1:3" x14ac:dyDescent="0.3">
      <c r="A6992" s="80"/>
      <c r="B6992" s="81"/>
      <c r="C6992" s="82"/>
    </row>
    <row r="6993" spans="1:3" x14ac:dyDescent="0.3">
      <c r="A6993" s="80"/>
      <c r="B6993" s="81"/>
      <c r="C6993" s="82"/>
    </row>
    <row r="6994" spans="1:3" x14ac:dyDescent="0.3">
      <c r="A6994" s="80"/>
      <c r="B6994" s="81"/>
      <c r="C6994" s="82"/>
    </row>
    <row r="6995" spans="1:3" x14ac:dyDescent="0.3">
      <c r="A6995" s="80"/>
      <c r="B6995" s="81"/>
      <c r="C6995" s="82"/>
    </row>
    <row r="6996" spans="1:3" x14ac:dyDescent="0.3">
      <c r="A6996" s="80"/>
      <c r="B6996" s="81"/>
      <c r="C6996" s="82"/>
    </row>
    <row r="6997" spans="1:3" x14ac:dyDescent="0.3">
      <c r="A6997" s="80"/>
      <c r="B6997" s="81"/>
      <c r="C6997" s="82"/>
    </row>
    <row r="6998" spans="1:3" x14ac:dyDescent="0.3">
      <c r="A6998" s="80"/>
      <c r="B6998" s="81"/>
      <c r="C6998" s="82"/>
    </row>
    <row r="6999" spans="1:3" x14ac:dyDescent="0.3">
      <c r="A6999" s="80"/>
      <c r="B6999" s="81"/>
      <c r="C6999" s="82"/>
    </row>
    <row r="7000" spans="1:3" x14ac:dyDescent="0.3">
      <c r="A7000" s="80"/>
      <c r="B7000" s="81"/>
      <c r="C7000" s="82"/>
    </row>
    <row r="7001" spans="1:3" x14ac:dyDescent="0.3">
      <c r="A7001" s="80"/>
      <c r="B7001" s="81"/>
      <c r="C7001" s="82"/>
    </row>
    <row r="7002" spans="1:3" x14ac:dyDescent="0.3">
      <c r="A7002" s="80"/>
      <c r="B7002" s="81"/>
      <c r="C7002" s="82"/>
    </row>
    <row r="7003" spans="1:3" x14ac:dyDescent="0.3">
      <c r="A7003" s="80"/>
      <c r="B7003" s="81"/>
      <c r="C7003" s="82"/>
    </row>
    <row r="7004" spans="1:3" x14ac:dyDescent="0.3">
      <c r="A7004" s="80"/>
      <c r="B7004" s="81"/>
      <c r="C7004" s="82"/>
    </row>
    <row r="7005" spans="1:3" x14ac:dyDescent="0.3">
      <c r="A7005" s="80"/>
      <c r="B7005" s="81"/>
      <c r="C7005" s="82"/>
    </row>
    <row r="7006" spans="1:3" x14ac:dyDescent="0.3">
      <c r="A7006" s="80"/>
      <c r="B7006" s="81"/>
      <c r="C7006" s="82"/>
    </row>
    <row r="7007" spans="1:3" x14ac:dyDescent="0.3">
      <c r="A7007" s="80"/>
      <c r="B7007" s="81"/>
      <c r="C7007" s="82"/>
    </row>
    <row r="7008" spans="1:3" x14ac:dyDescent="0.3">
      <c r="A7008" s="80"/>
      <c r="B7008" s="81"/>
      <c r="C7008" s="82"/>
    </row>
    <row r="7009" spans="1:3" x14ac:dyDescent="0.3">
      <c r="A7009" s="80"/>
      <c r="B7009" s="81"/>
      <c r="C7009" s="82"/>
    </row>
    <row r="7010" spans="1:3" x14ac:dyDescent="0.3">
      <c r="A7010" s="80"/>
      <c r="B7010" s="81"/>
      <c r="C7010" s="82"/>
    </row>
    <row r="7011" spans="1:3" x14ac:dyDescent="0.3">
      <c r="A7011" s="80"/>
      <c r="B7011" s="81"/>
      <c r="C7011" s="82"/>
    </row>
    <row r="7012" spans="1:3" x14ac:dyDescent="0.3">
      <c r="A7012" s="80"/>
      <c r="B7012" s="81"/>
      <c r="C7012" s="82"/>
    </row>
    <row r="7013" spans="1:3" x14ac:dyDescent="0.3">
      <c r="A7013" s="80"/>
      <c r="B7013" s="81"/>
      <c r="C7013" s="82"/>
    </row>
    <row r="7014" spans="1:3" x14ac:dyDescent="0.3">
      <c r="A7014" s="80"/>
      <c r="B7014" s="81"/>
      <c r="C7014" s="82"/>
    </row>
    <row r="7015" spans="1:3" x14ac:dyDescent="0.3">
      <c r="A7015" s="80"/>
      <c r="B7015" s="81"/>
      <c r="C7015" s="82"/>
    </row>
    <row r="7016" spans="1:3" x14ac:dyDescent="0.3">
      <c r="A7016" s="80"/>
      <c r="B7016" s="81"/>
      <c r="C7016" s="82"/>
    </row>
    <row r="7017" spans="1:3" x14ac:dyDescent="0.3">
      <c r="A7017" s="80"/>
      <c r="B7017" s="81"/>
      <c r="C7017" s="82"/>
    </row>
    <row r="7018" spans="1:3" x14ac:dyDescent="0.3">
      <c r="A7018" s="80"/>
      <c r="B7018" s="81"/>
      <c r="C7018" s="82"/>
    </row>
    <row r="7019" spans="1:3" x14ac:dyDescent="0.3">
      <c r="A7019" s="80"/>
      <c r="B7019" s="81"/>
      <c r="C7019" s="82"/>
    </row>
    <row r="7020" spans="1:3" x14ac:dyDescent="0.3">
      <c r="A7020" s="80"/>
      <c r="B7020" s="81"/>
      <c r="C7020" s="82"/>
    </row>
    <row r="7021" spans="1:3" x14ac:dyDescent="0.3">
      <c r="A7021" s="80"/>
      <c r="B7021" s="81"/>
      <c r="C7021" s="82"/>
    </row>
    <row r="7022" spans="1:3" x14ac:dyDescent="0.3">
      <c r="A7022" s="80"/>
      <c r="B7022" s="81"/>
      <c r="C7022" s="82"/>
    </row>
    <row r="7023" spans="1:3" x14ac:dyDescent="0.3">
      <c r="A7023" s="80"/>
      <c r="B7023" s="81"/>
      <c r="C7023" s="82"/>
    </row>
    <row r="7024" spans="1:3" x14ac:dyDescent="0.3">
      <c r="A7024" s="80"/>
      <c r="B7024" s="81"/>
      <c r="C7024" s="82"/>
    </row>
    <row r="7025" spans="1:3" x14ac:dyDescent="0.3">
      <c r="A7025" s="80"/>
      <c r="B7025" s="81"/>
      <c r="C7025" s="82"/>
    </row>
    <row r="7026" spans="1:3" x14ac:dyDescent="0.3">
      <c r="A7026" s="80"/>
      <c r="B7026" s="81"/>
      <c r="C7026" s="82"/>
    </row>
    <row r="7027" spans="1:3" x14ac:dyDescent="0.3">
      <c r="A7027" s="80"/>
      <c r="B7027" s="81"/>
      <c r="C7027" s="82"/>
    </row>
    <row r="7028" spans="1:3" x14ac:dyDescent="0.3">
      <c r="A7028" s="80"/>
      <c r="B7028" s="81"/>
      <c r="C7028" s="82"/>
    </row>
    <row r="7029" spans="1:3" x14ac:dyDescent="0.3">
      <c r="A7029" s="80"/>
      <c r="B7029" s="81"/>
      <c r="C7029" s="82"/>
    </row>
    <row r="7030" spans="1:3" x14ac:dyDescent="0.3">
      <c r="A7030" s="80"/>
      <c r="B7030" s="81"/>
      <c r="C7030" s="82"/>
    </row>
    <row r="7031" spans="1:3" x14ac:dyDescent="0.3">
      <c r="A7031" s="80"/>
      <c r="B7031" s="81"/>
      <c r="C7031" s="82"/>
    </row>
    <row r="7032" spans="1:3" x14ac:dyDescent="0.3">
      <c r="A7032" s="80"/>
      <c r="B7032" s="81"/>
      <c r="C7032" s="82"/>
    </row>
    <row r="7033" spans="1:3" x14ac:dyDescent="0.3">
      <c r="A7033" s="80"/>
      <c r="B7033" s="81"/>
      <c r="C7033" s="82"/>
    </row>
    <row r="7034" spans="1:3" x14ac:dyDescent="0.3">
      <c r="A7034" s="80"/>
      <c r="B7034" s="81"/>
      <c r="C7034" s="82"/>
    </row>
    <row r="7035" spans="1:3" x14ac:dyDescent="0.3">
      <c r="A7035" s="80"/>
      <c r="B7035" s="81"/>
      <c r="C7035" s="82"/>
    </row>
    <row r="7036" spans="1:3" x14ac:dyDescent="0.3">
      <c r="A7036" s="80"/>
      <c r="B7036" s="81"/>
      <c r="C7036" s="82"/>
    </row>
    <row r="7037" spans="1:3" x14ac:dyDescent="0.3">
      <c r="A7037" s="80"/>
      <c r="B7037" s="81"/>
      <c r="C7037" s="82"/>
    </row>
    <row r="7038" spans="1:3" x14ac:dyDescent="0.3">
      <c r="A7038" s="80"/>
      <c r="B7038" s="81"/>
      <c r="C7038" s="82"/>
    </row>
    <row r="7039" spans="1:3" x14ac:dyDescent="0.3">
      <c r="A7039" s="80"/>
      <c r="B7039" s="81"/>
      <c r="C7039" s="82"/>
    </row>
    <row r="7040" spans="1:3" x14ac:dyDescent="0.3">
      <c r="A7040" s="80"/>
      <c r="B7040" s="81"/>
      <c r="C7040" s="82"/>
    </row>
    <row r="7041" spans="1:3" x14ac:dyDescent="0.3">
      <c r="A7041" s="80"/>
      <c r="B7041" s="81"/>
      <c r="C7041" s="82"/>
    </row>
    <row r="7042" spans="1:3" x14ac:dyDescent="0.3">
      <c r="A7042" s="80"/>
      <c r="B7042" s="81"/>
      <c r="C7042" s="82"/>
    </row>
    <row r="7043" spans="1:3" x14ac:dyDescent="0.3">
      <c r="A7043" s="80"/>
      <c r="B7043" s="81"/>
      <c r="C7043" s="82"/>
    </row>
    <row r="7044" spans="1:3" x14ac:dyDescent="0.3">
      <c r="A7044" s="80"/>
      <c r="B7044" s="81"/>
      <c r="C7044" s="82"/>
    </row>
    <row r="7045" spans="1:3" x14ac:dyDescent="0.3">
      <c r="A7045" s="80"/>
      <c r="B7045" s="81"/>
      <c r="C7045" s="82"/>
    </row>
    <row r="7046" spans="1:3" x14ac:dyDescent="0.3">
      <c r="A7046" s="80"/>
      <c r="B7046" s="81"/>
      <c r="C7046" s="82"/>
    </row>
    <row r="7047" spans="1:3" x14ac:dyDescent="0.3">
      <c r="A7047" s="80"/>
      <c r="B7047" s="81"/>
      <c r="C7047" s="82"/>
    </row>
    <row r="7048" spans="1:3" x14ac:dyDescent="0.3">
      <c r="A7048" s="80"/>
      <c r="B7048" s="81"/>
      <c r="C7048" s="82"/>
    </row>
    <row r="7049" spans="1:3" x14ac:dyDescent="0.3">
      <c r="A7049" s="80"/>
      <c r="B7049" s="81"/>
      <c r="C7049" s="82"/>
    </row>
    <row r="7050" spans="1:3" x14ac:dyDescent="0.3">
      <c r="A7050" s="80"/>
      <c r="B7050" s="81"/>
      <c r="C7050" s="82"/>
    </row>
    <row r="7051" spans="1:3" x14ac:dyDescent="0.3">
      <c r="A7051" s="80"/>
      <c r="B7051" s="81"/>
      <c r="C7051" s="82"/>
    </row>
    <row r="7052" spans="1:3" x14ac:dyDescent="0.3">
      <c r="A7052" s="80"/>
      <c r="B7052" s="81"/>
      <c r="C7052" s="82"/>
    </row>
    <row r="7053" spans="1:3" x14ac:dyDescent="0.3">
      <c r="A7053" s="80"/>
      <c r="B7053" s="81"/>
      <c r="C7053" s="82"/>
    </row>
    <row r="7054" spans="1:3" x14ac:dyDescent="0.3">
      <c r="A7054" s="80"/>
      <c r="B7054" s="81"/>
      <c r="C7054" s="82"/>
    </row>
    <row r="7055" spans="1:3" x14ac:dyDescent="0.3">
      <c r="A7055" s="80"/>
      <c r="B7055" s="81"/>
      <c r="C7055" s="82"/>
    </row>
    <row r="7056" spans="1:3" x14ac:dyDescent="0.3">
      <c r="A7056" s="80"/>
      <c r="B7056" s="81"/>
      <c r="C7056" s="82"/>
    </row>
    <row r="7057" spans="1:3" x14ac:dyDescent="0.3">
      <c r="A7057" s="80"/>
      <c r="B7057" s="81"/>
      <c r="C7057" s="82"/>
    </row>
    <row r="7058" spans="1:3" x14ac:dyDescent="0.3">
      <c r="A7058" s="80"/>
      <c r="B7058" s="81"/>
      <c r="C7058" s="82"/>
    </row>
    <row r="7059" spans="1:3" x14ac:dyDescent="0.3">
      <c r="A7059" s="80"/>
      <c r="B7059" s="81"/>
      <c r="C7059" s="82"/>
    </row>
    <row r="7060" spans="1:3" x14ac:dyDescent="0.3">
      <c r="A7060" s="80"/>
      <c r="B7060" s="81"/>
      <c r="C7060" s="82"/>
    </row>
    <row r="7061" spans="1:3" x14ac:dyDescent="0.3">
      <c r="A7061" s="80"/>
      <c r="B7061" s="81"/>
      <c r="C7061" s="82"/>
    </row>
    <row r="7062" spans="1:3" x14ac:dyDescent="0.3">
      <c r="A7062" s="80"/>
      <c r="B7062" s="81"/>
      <c r="C7062" s="82"/>
    </row>
    <row r="7063" spans="1:3" x14ac:dyDescent="0.3">
      <c r="A7063" s="80"/>
      <c r="B7063" s="81"/>
      <c r="C7063" s="82"/>
    </row>
    <row r="7064" spans="1:3" x14ac:dyDescent="0.3">
      <c r="A7064" s="80"/>
      <c r="B7064" s="81"/>
      <c r="C7064" s="82"/>
    </row>
    <row r="7065" spans="1:3" x14ac:dyDescent="0.3">
      <c r="A7065" s="80"/>
      <c r="B7065" s="81"/>
      <c r="C7065" s="82"/>
    </row>
    <row r="7066" spans="1:3" x14ac:dyDescent="0.3">
      <c r="A7066" s="80"/>
      <c r="B7066" s="81"/>
      <c r="C7066" s="82"/>
    </row>
    <row r="7067" spans="1:3" x14ac:dyDescent="0.3">
      <c r="A7067" s="80"/>
      <c r="B7067" s="81"/>
      <c r="C7067" s="82"/>
    </row>
    <row r="7068" spans="1:3" x14ac:dyDescent="0.3">
      <c r="A7068" s="80"/>
      <c r="B7068" s="81"/>
      <c r="C7068" s="82"/>
    </row>
    <row r="7069" spans="1:3" x14ac:dyDescent="0.3">
      <c r="A7069" s="80"/>
      <c r="B7069" s="81"/>
      <c r="C7069" s="82"/>
    </row>
    <row r="7070" spans="1:3" x14ac:dyDescent="0.3">
      <c r="A7070" s="80"/>
      <c r="B7070" s="81"/>
      <c r="C7070" s="82"/>
    </row>
    <row r="7071" spans="1:3" x14ac:dyDescent="0.3">
      <c r="A7071" s="80"/>
      <c r="B7071" s="81"/>
      <c r="C7071" s="82"/>
    </row>
    <row r="7072" spans="1:3" x14ac:dyDescent="0.3">
      <c r="A7072" s="80"/>
      <c r="B7072" s="81"/>
      <c r="C7072" s="82"/>
    </row>
    <row r="7073" spans="1:3" x14ac:dyDescent="0.3">
      <c r="A7073" s="80"/>
      <c r="B7073" s="81"/>
      <c r="C7073" s="82"/>
    </row>
    <row r="7074" spans="1:3" x14ac:dyDescent="0.3">
      <c r="A7074" s="80"/>
      <c r="B7074" s="81"/>
      <c r="C7074" s="82"/>
    </row>
    <row r="7075" spans="1:3" x14ac:dyDescent="0.3">
      <c r="A7075" s="80"/>
      <c r="B7075" s="81"/>
      <c r="C7075" s="82"/>
    </row>
    <row r="7076" spans="1:3" x14ac:dyDescent="0.3">
      <c r="A7076" s="80"/>
      <c r="B7076" s="81"/>
      <c r="C7076" s="82"/>
    </row>
    <row r="7077" spans="1:3" x14ac:dyDescent="0.3">
      <c r="A7077" s="80"/>
      <c r="B7077" s="81"/>
      <c r="C7077" s="82"/>
    </row>
    <row r="7078" spans="1:3" x14ac:dyDescent="0.3">
      <c r="A7078" s="80"/>
      <c r="B7078" s="81"/>
      <c r="C7078" s="82"/>
    </row>
    <row r="7079" spans="1:3" x14ac:dyDescent="0.3">
      <c r="A7079" s="80"/>
      <c r="B7079" s="81"/>
      <c r="C7079" s="82"/>
    </row>
    <row r="7080" spans="1:3" x14ac:dyDescent="0.3">
      <c r="A7080" s="80"/>
      <c r="B7080" s="81"/>
      <c r="C7080" s="82"/>
    </row>
    <row r="7081" spans="1:3" x14ac:dyDescent="0.3">
      <c r="A7081" s="80"/>
      <c r="B7081" s="81"/>
      <c r="C7081" s="82"/>
    </row>
    <row r="7082" spans="1:3" x14ac:dyDescent="0.3">
      <c r="A7082" s="80"/>
      <c r="B7082" s="81"/>
      <c r="C7082" s="82"/>
    </row>
    <row r="7083" spans="1:3" x14ac:dyDescent="0.3">
      <c r="A7083" s="80"/>
      <c r="B7083" s="81"/>
      <c r="C7083" s="82"/>
    </row>
    <row r="7084" spans="1:3" x14ac:dyDescent="0.3">
      <c r="A7084" s="80"/>
      <c r="B7084" s="81"/>
      <c r="C7084" s="82"/>
    </row>
    <row r="7085" spans="1:3" x14ac:dyDescent="0.3">
      <c r="A7085" s="80"/>
      <c r="B7085" s="81"/>
      <c r="C7085" s="82"/>
    </row>
    <row r="7086" spans="1:3" x14ac:dyDescent="0.3">
      <c r="A7086" s="80"/>
      <c r="B7086" s="81"/>
      <c r="C7086" s="82"/>
    </row>
    <row r="7087" spans="1:3" x14ac:dyDescent="0.3">
      <c r="A7087" s="80"/>
      <c r="B7087" s="81"/>
      <c r="C7087" s="82"/>
    </row>
    <row r="7088" spans="1:3" x14ac:dyDescent="0.3">
      <c r="A7088" s="80"/>
      <c r="B7088" s="81"/>
      <c r="C7088" s="82"/>
    </row>
    <row r="7089" spans="1:3" x14ac:dyDescent="0.3">
      <c r="A7089" s="80"/>
      <c r="B7089" s="81"/>
      <c r="C7089" s="82"/>
    </row>
    <row r="7090" spans="1:3" x14ac:dyDescent="0.3">
      <c r="A7090" s="80"/>
      <c r="B7090" s="81"/>
      <c r="C7090" s="82"/>
    </row>
    <row r="7091" spans="1:3" x14ac:dyDescent="0.3">
      <c r="A7091" s="80"/>
      <c r="B7091" s="81"/>
      <c r="C7091" s="82"/>
    </row>
    <row r="7092" spans="1:3" x14ac:dyDescent="0.3">
      <c r="A7092" s="80"/>
      <c r="B7092" s="81"/>
      <c r="C7092" s="82"/>
    </row>
    <row r="7093" spans="1:3" x14ac:dyDescent="0.3">
      <c r="A7093" s="80"/>
      <c r="B7093" s="81"/>
      <c r="C7093" s="82"/>
    </row>
    <row r="7094" spans="1:3" x14ac:dyDescent="0.3">
      <c r="A7094" s="80"/>
      <c r="B7094" s="81"/>
      <c r="C7094" s="82"/>
    </row>
    <row r="7095" spans="1:3" x14ac:dyDescent="0.3">
      <c r="A7095" s="80"/>
      <c r="B7095" s="81"/>
      <c r="C7095" s="82"/>
    </row>
    <row r="7096" spans="1:3" x14ac:dyDescent="0.3">
      <c r="A7096" s="80"/>
      <c r="B7096" s="81"/>
      <c r="C7096" s="82"/>
    </row>
    <row r="7097" spans="1:3" x14ac:dyDescent="0.3">
      <c r="A7097" s="80"/>
      <c r="B7097" s="81"/>
      <c r="C7097" s="82"/>
    </row>
    <row r="7098" spans="1:3" x14ac:dyDescent="0.3">
      <c r="A7098" s="80"/>
      <c r="B7098" s="81"/>
      <c r="C7098" s="82"/>
    </row>
    <row r="7099" spans="1:3" x14ac:dyDescent="0.3">
      <c r="A7099" s="80"/>
      <c r="B7099" s="81"/>
      <c r="C7099" s="82"/>
    </row>
    <row r="7100" spans="1:3" x14ac:dyDescent="0.3">
      <c r="A7100" s="80"/>
      <c r="B7100" s="81"/>
      <c r="C7100" s="82"/>
    </row>
    <row r="7101" spans="1:3" x14ac:dyDescent="0.3">
      <c r="A7101" s="80"/>
      <c r="B7101" s="81"/>
      <c r="C7101" s="82"/>
    </row>
    <row r="7102" spans="1:3" x14ac:dyDescent="0.3">
      <c r="A7102" s="80"/>
      <c r="B7102" s="81"/>
      <c r="C7102" s="82"/>
    </row>
    <row r="7103" spans="1:3" x14ac:dyDescent="0.3">
      <c r="A7103" s="80"/>
      <c r="B7103" s="81"/>
      <c r="C7103" s="82"/>
    </row>
    <row r="7104" spans="1:3" x14ac:dyDescent="0.3">
      <c r="A7104" s="80"/>
      <c r="B7104" s="81"/>
      <c r="C7104" s="82"/>
    </row>
    <row r="7105" spans="1:3" x14ac:dyDescent="0.3">
      <c r="A7105" s="80"/>
      <c r="B7105" s="81"/>
      <c r="C7105" s="82"/>
    </row>
    <row r="7106" spans="1:3" x14ac:dyDescent="0.3">
      <c r="A7106" s="80"/>
      <c r="B7106" s="81"/>
      <c r="C7106" s="82"/>
    </row>
    <row r="7107" spans="1:3" x14ac:dyDescent="0.3">
      <c r="A7107" s="80"/>
      <c r="B7107" s="81"/>
      <c r="C7107" s="82"/>
    </row>
    <row r="7108" spans="1:3" x14ac:dyDescent="0.3">
      <c r="A7108" s="80"/>
      <c r="B7108" s="81"/>
      <c r="C7108" s="82"/>
    </row>
    <row r="7109" spans="1:3" x14ac:dyDescent="0.3">
      <c r="A7109" s="80"/>
      <c r="B7109" s="81"/>
      <c r="C7109" s="82"/>
    </row>
    <row r="7110" spans="1:3" x14ac:dyDescent="0.3">
      <c r="A7110" s="80"/>
      <c r="B7110" s="81"/>
      <c r="C7110" s="82"/>
    </row>
    <row r="7111" spans="1:3" x14ac:dyDescent="0.3">
      <c r="A7111" s="80"/>
      <c r="B7111" s="81"/>
      <c r="C7111" s="82"/>
    </row>
    <row r="7112" spans="1:3" x14ac:dyDescent="0.3">
      <c r="A7112" s="80"/>
      <c r="B7112" s="81"/>
      <c r="C7112" s="82"/>
    </row>
    <row r="7113" spans="1:3" x14ac:dyDescent="0.3">
      <c r="A7113" s="80"/>
      <c r="B7113" s="81"/>
      <c r="C7113" s="82"/>
    </row>
    <row r="7114" spans="1:3" x14ac:dyDescent="0.3">
      <c r="A7114" s="80"/>
      <c r="B7114" s="81"/>
      <c r="C7114" s="82"/>
    </row>
    <row r="7115" spans="1:3" x14ac:dyDescent="0.3">
      <c r="A7115" s="80"/>
      <c r="B7115" s="81"/>
      <c r="C7115" s="82"/>
    </row>
    <row r="7116" spans="1:3" x14ac:dyDescent="0.3">
      <c r="A7116" s="80"/>
      <c r="B7116" s="81"/>
      <c r="C7116" s="82"/>
    </row>
    <row r="7117" spans="1:3" x14ac:dyDescent="0.3">
      <c r="A7117" s="80"/>
      <c r="B7117" s="81"/>
      <c r="C7117" s="82"/>
    </row>
    <row r="7118" spans="1:3" x14ac:dyDescent="0.3">
      <c r="A7118" s="80"/>
      <c r="B7118" s="81"/>
      <c r="C7118" s="82"/>
    </row>
    <row r="7119" spans="1:3" x14ac:dyDescent="0.3">
      <c r="A7119" s="80"/>
      <c r="B7119" s="81"/>
      <c r="C7119" s="82"/>
    </row>
    <row r="7120" spans="1:3" x14ac:dyDescent="0.3">
      <c r="A7120" s="80"/>
      <c r="B7120" s="81"/>
      <c r="C7120" s="82"/>
    </row>
    <row r="7121" spans="1:3" x14ac:dyDescent="0.3">
      <c r="A7121" s="80"/>
      <c r="B7121" s="81"/>
      <c r="C7121" s="82"/>
    </row>
    <row r="7122" spans="1:3" x14ac:dyDescent="0.3">
      <c r="A7122" s="80"/>
      <c r="B7122" s="81"/>
      <c r="C7122" s="82"/>
    </row>
    <row r="7123" spans="1:3" x14ac:dyDescent="0.3">
      <c r="A7123" s="80"/>
      <c r="B7123" s="81"/>
      <c r="C7123" s="82"/>
    </row>
    <row r="7124" spans="1:3" x14ac:dyDescent="0.3">
      <c r="A7124" s="80"/>
      <c r="B7124" s="81"/>
      <c r="C7124" s="82"/>
    </row>
    <row r="7125" spans="1:3" x14ac:dyDescent="0.3">
      <c r="A7125" s="80"/>
      <c r="B7125" s="81"/>
      <c r="C7125" s="82"/>
    </row>
    <row r="7126" spans="1:3" x14ac:dyDescent="0.3">
      <c r="A7126" s="80"/>
      <c r="B7126" s="81"/>
      <c r="C7126" s="82"/>
    </row>
    <row r="7127" spans="1:3" x14ac:dyDescent="0.3">
      <c r="A7127" s="80"/>
      <c r="B7127" s="81"/>
      <c r="C7127" s="82"/>
    </row>
    <row r="7128" spans="1:3" x14ac:dyDescent="0.3">
      <c r="A7128" s="80"/>
      <c r="B7128" s="81"/>
      <c r="C7128" s="82"/>
    </row>
    <row r="7129" spans="1:3" x14ac:dyDescent="0.3">
      <c r="A7129" s="80"/>
      <c r="B7129" s="81"/>
      <c r="C7129" s="82"/>
    </row>
    <row r="7130" spans="1:3" x14ac:dyDescent="0.3">
      <c r="A7130" s="80"/>
      <c r="B7130" s="81"/>
      <c r="C7130" s="82"/>
    </row>
    <row r="7131" spans="1:3" x14ac:dyDescent="0.3">
      <c r="A7131" s="80"/>
      <c r="B7131" s="81"/>
      <c r="C7131" s="82"/>
    </row>
    <row r="7132" spans="1:3" x14ac:dyDescent="0.3">
      <c r="A7132" s="80"/>
      <c r="B7132" s="81"/>
      <c r="C7132" s="82"/>
    </row>
    <row r="7133" spans="1:3" x14ac:dyDescent="0.3">
      <c r="A7133" s="80"/>
      <c r="B7133" s="81"/>
      <c r="C7133" s="82"/>
    </row>
    <row r="7134" spans="1:3" x14ac:dyDescent="0.3">
      <c r="A7134" s="80"/>
      <c r="B7134" s="81"/>
      <c r="C7134" s="82"/>
    </row>
    <row r="7135" spans="1:3" x14ac:dyDescent="0.3">
      <c r="A7135" s="80"/>
      <c r="B7135" s="81"/>
      <c r="C7135" s="82"/>
    </row>
    <row r="7136" spans="1:3" x14ac:dyDescent="0.3">
      <c r="A7136" s="80"/>
      <c r="B7136" s="81"/>
      <c r="C7136" s="82"/>
    </row>
    <row r="7137" spans="1:3" x14ac:dyDescent="0.3">
      <c r="A7137" s="80"/>
      <c r="B7137" s="81"/>
      <c r="C7137" s="82"/>
    </row>
    <row r="7138" spans="1:3" x14ac:dyDescent="0.3">
      <c r="A7138" s="80"/>
      <c r="B7138" s="81"/>
      <c r="C7138" s="82"/>
    </row>
    <row r="7139" spans="1:3" x14ac:dyDescent="0.3">
      <c r="A7139" s="80"/>
      <c r="B7139" s="81"/>
      <c r="C7139" s="82"/>
    </row>
    <row r="7140" spans="1:3" x14ac:dyDescent="0.3">
      <c r="A7140" s="80"/>
      <c r="B7140" s="81"/>
      <c r="C7140" s="82"/>
    </row>
    <row r="7141" spans="1:3" x14ac:dyDescent="0.3">
      <c r="A7141" s="80"/>
      <c r="B7141" s="81"/>
      <c r="C7141" s="82"/>
    </row>
    <row r="7142" spans="1:3" x14ac:dyDescent="0.3">
      <c r="A7142" s="80"/>
      <c r="B7142" s="81"/>
      <c r="C7142" s="82"/>
    </row>
    <row r="7143" spans="1:3" x14ac:dyDescent="0.3">
      <c r="A7143" s="80"/>
      <c r="B7143" s="81"/>
      <c r="C7143" s="82"/>
    </row>
    <row r="7144" spans="1:3" x14ac:dyDescent="0.3">
      <c r="A7144" s="80"/>
      <c r="B7144" s="81"/>
      <c r="C7144" s="82"/>
    </row>
    <row r="7145" spans="1:3" x14ac:dyDescent="0.3">
      <c r="A7145" s="80"/>
      <c r="B7145" s="81"/>
      <c r="C7145" s="82"/>
    </row>
    <row r="7146" spans="1:3" x14ac:dyDescent="0.3">
      <c r="A7146" s="80"/>
      <c r="B7146" s="81"/>
      <c r="C7146" s="82"/>
    </row>
    <row r="7147" spans="1:3" x14ac:dyDescent="0.3">
      <c r="A7147" s="80"/>
      <c r="B7147" s="81"/>
      <c r="C7147" s="82"/>
    </row>
    <row r="7148" spans="1:3" x14ac:dyDescent="0.3">
      <c r="A7148" s="80"/>
      <c r="B7148" s="81"/>
      <c r="C7148" s="82"/>
    </row>
    <row r="7149" spans="1:3" x14ac:dyDescent="0.3">
      <c r="A7149" s="80"/>
      <c r="B7149" s="81"/>
      <c r="C7149" s="82"/>
    </row>
    <row r="7150" spans="1:3" x14ac:dyDescent="0.3">
      <c r="A7150" s="80"/>
      <c r="B7150" s="81"/>
      <c r="C7150" s="82"/>
    </row>
    <row r="7151" spans="1:3" x14ac:dyDescent="0.3">
      <c r="A7151" s="80"/>
      <c r="B7151" s="81"/>
      <c r="C7151" s="82"/>
    </row>
    <row r="7152" spans="1:3" x14ac:dyDescent="0.3">
      <c r="A7152" s="80"/>
      <c r="B7152" s="81"/>
      <c r="C7152" s="82"/>
    </row>
    <row r="7153" spans="1:3" x14ac:dyDescent="0.3">
      <c r="A7153" s="80"/>
      <c r="B7153" s="81"/>
      <c r="C7153" s="82"/>
    </row>
    <row r="7154" spans="1:3" x14ac:dyDescent="0.3">
      <c r="A7154" s="80"/>
      <c r="B7154" s="81"/>
      <c r="C7154" s="82"/>
    </row>
    <row r="7155" spans="1:3" x14ac:dyDescent="0.3">
      <c r="A7155" s="80"/>
      <c r="B7155" s="81"/>
      <c r="C7155" s="82"/>
    </row>
    <row r="7156" spans="1:3" x14ac:dyDescent="0.3">
      <c r="A7156" s="80"/>
      <c r="B7156" s="81"/>
      <c r="C7156" s="82"/>
    </row>
    <row r="7157" spans="1:3" x14ac:dyDescent="0.3">
      <c r="A7157" s="80"/>
      <c r="B7157" s="81"/>
      <c r="C7157" s="82"/>
    </row>
    <row r="7158" spans="1:3" x14ac:dyDescent="0.3">
      <c r="A7158" s="80"/>
      <c r="B7158" s="81"/>
      <c r="C7158" s="82"/>
    </row>
    <row r="7159" spans="1:3" x14ac:dyDescent="0.3">
      <c r="A7159" s="80"/>
      <c r="B7159" s="81"/>
      <c r="C7159" s="82"/>
    </row>
    <row r="7160" spans="1:3" x14ac:dyDescent="0.3">
      <c r="A7160" s="80"/>
      <c r="B7160" s="81"/>
      <c r="C7160" s="82"/>
    </row>
    <row r="7161" spans="1:3" x14ac:dyDescent="0.3">
      <c r="A7161" s="80"/>
      <c r="B7161" s="81"/>
      <c r="C7161" s="82"/>
    </row>
    <row r="7162" spans="1:3" x14ac:dyDescent="0.3">
      <c r="A7162" s="80"/>
      <c r="B7162" s="81"/>
      <c r="C7162" s="82"/>
    </row>
    <row r="7163" spans="1:3" x14ac:dyDescent="0.3">
      <c r="A7163" s="80"/>
      <c r="B7163" s="81"/>
      <c r="C7163" s="82"/>
    </row>
    <row r="7164" spans="1:3" x14ac:dyDescent="0.3">
      <c r="A7164" s="80"/>
      <c r="B7164" s="81"/>
      <c r="C7164" s="82"/>
    </row>
    <row r="7165" spans="1:3" x14ac:dyDescent="0.3">
      <c r="A7165" s="80"/>
      <c r="B7165" s="81"/>
      <c r="C7165" s="82"/>
    </row>
    <row r="7166" spans="1:3" x14ac:dyDescent="0.3">
      <c r="A7166" s="80"/>
      <c r="B7166" s="81"/>
      <c r="C7166" s="82"/>
    </row>
    <row r="7167" spans="1:3" x14ac:dyDescent="0.3">
      <c r="A7167" s="80"/>
      <c r="B7167" s="81"/>
      <c r="C7167" s="82"/>
    </row>
    <row r="7168" spans="1:3" x14ac:dyDescent="0.3">
      <c r="A7168" s="80"/>
      <c r="B7168" s="81"/>
      <c r="C7168" s="82"/>
    </row>
    <row r="7169" spans="1:3" x14ac:dyDescent="0.3">
      <c r="A7169" s="80"/>
      <c r="B7169" s="81"/>
      <c r="C7169" s="82"/>
    </row>
    <row r="7170" spans="1:3" x14ac:dyDescent="0.3">
      <c r="A7170" s="80"/>
      <c r="B7170" s="81"/>
      <c r="C7170" s="82"/>
    </row>
    <row r="7171" spans="1:3" x14ac:dyDescent="0.3">
      <c r="A7171" s="80"/>
      <c r="B7171" s="81"/>
      <c r="C7171" s="82"/>
    </row>
    <row r="7172" spans="1:3" x14ac:dyDescent="0.3">
      <c r="A7172" s="80"/>
      <c r="B7172" s="81"/>
      <c r="C7172" s="82"/>
    </row>
    <row r="7173" spans="1:3" x14ac:dyDescent="0.3">
      <c r="A7173" s="80"/>
      <c r="B7173" s="81"/>
      <c r="C7173" s="82"/>
    </row>
    <row r="7174" spans="1:3" x14ac:dyDescent="0.3">
      <c r="A7174" s="80"/>
      <c r="B7174" s="81"/>
      <c r="C7174" s="82"/>
    </row>
    <row r="7175" spans="1:3" x14ac:dyDescent="0.3">
      <c r="A7175" s="80"/>
      <c r="B7175" s="81"/>
      <c r="C7175" s="82"/>
    </row>
    <row r="7176" spans="1:3" x14ac:dyDescent="0.3">
      <c r="A7176" s="80"/>
      <c r="B7176" s="81"/>
      <c r="C7176" s="82"/>
    </row>
    <row r="7177" spans="1:3" x14ac:dyDescent="0.3">
      <c r="A7177" s="80"/>
      <c r="B7177" s="81"/>
      <c r="C7177" s="82"/>
    </row>
    <row r="7178" spans="1:3" x14ac:dyDescent="0.3">
      <c r="A7178" s="80"/>
      <c r="B7178" s="81"/>
      <c r="C7178" s="82"/>
    </row>
    <row r="7179" spans="1:3" x14ac:dyDescent="0.3">
      <c r="A7179" s="80"/>
      <c r="B7179" s="81"/>
      <c r="C7179" s="82"/>
    </row>
    <row r="7180" spans="1:3" x14ac:dyDescent="0.3">
      <c r="A7180" s="80"/>
      <c r="B7180" s="81"/>
      <c r="C7180" s="82"/>
    </row>
    <row r="7181" spans="1:3" x14ac:dyDescent="0.3">
      <c r="A7181" s="80"/>
      <c r="B7181" s="81"/>
      <c r="C7181" s="82"/>
    </row>
    <row r="7182" spans="1:3" x14ac:dyDescent="0.3">
      <c r="A7182" s="80"/>
      <c r="B7182" s="81"/>
      <c r="C7182" s="82"/>
    </row>
    <row r="7183" spans="1:3" x14ac:dyDescent="0.3">
      <c r="A7183" s="80"/>
      <c r="B7183" s="81"/>
      <c r="C7183" s="82"/>
    </row>
    <row r="7184" spans="1:3" x14ac:dyDescent="0.3">
      <c r="A7184" s="80"/>
      <c r="B7184" s="81"/>
      <c r="C7184" s="82"/>
    </row>
    <row r="7185" spans="1:3" x14ac:dyDescent="0.3">
      <c r="A7185" s="80"/>
      <c r="B7185" s="81"/>
      <c r="C7185" s="82"/>
    </row>
    <row r="7186" spans="1:3" x14ac:dyDescent="0.3">
      <c r="A7186" s="80"/>
      <c r="B7186" s="81"/>
      <c r="C7186" s="82"/>
    </row>
    <row r="7187" spans="1:3" x14ac:dyDescent="0.3">
      <c r="A7187" s="80"/>
      <c r="B7187" s="81"/>
      <c r="C7187" s="82"/>
    </row>
    <row r="7188" spans="1:3" x14ac:dyDescent="0.3">
      <c r="A7188" s="80"/>
      <c r="B7188" s="81"/>
      <c r="C7188" s="82"/>
    </row>
    <row r="7189" spans="1:3" x14ac:dyDescent="0.3">
      <c r="A7189" s="80"/>
      <c r="B7189" s="81"/>
      <c r="C7189" s="82"/>
    </row>
    <row r="7190" spans="1:3" x14ac:dyDescent="0.3">
      <c r="A7190" s="80"/>
      <c r="B7190" s="81"/>
      <c r="C7190" s="82"/>
    </row>
    <row r="7191" spans="1:3" x14ac:dyDescent="0.3">
      <c r="A7191" s="80"/>
      <c r="B7191" s="81"/>
      <c r="C7191" s="82"/>
    </row>
    <row r="7192" spans="1:3" x14ac:dyDescent="0.3">
      <c r="A7192" s="80"/>
      <c r="B7192" s="81"/>
      <c r="C7192" s="82"/>
    </row>
    <row r="7193" spans="1:3" x14ac:dyDescent="0.3">
      <c r="A7193" s="80"/>
      <c r="B7193" s="81"/>
      <c r="C7193" s="82"/>
    </row>
    <row r="7194" spans="1:3" x14ac:dyDescent="0.3">
      <c r="A7194" s="80"/>
      <c r="B7194" s="81"/>
      <c r="C7194" s="82"/>
    </row>
    <row r="7195" spans="1:3" x14ac:dyDescent="0.3">
      <c r="A7195" s="80"/>
      <c r="B7195" s="81"/>
      <c r="C7195" s="82"/>
    </row>
    <row r="7196" spans="1:3" x14ac:dyDescent="0.3">
      <c r="A7196" s="80"/>
      <c r="B7196" s="81"/>
      <c r="C7196" s="82"/>
    </row>
    <row r="7197" spans="1:3" x14ac:dyDescent="0.3">
      <c r="A7197" s="80"/>
      <c r="B7197" s="81"/>
      <c r="C7197" s="82"/>
    </row>
    <row r="7198" spans="1:3" x14ac:dyDescent="0.3">
      <c r="A7198" s="80"/>
      <c r="B7198" s="81"/>
      <c r="C7198" s="82"/>
    </row>
    <row r="7199" spans="1:3" x14ac:dyDescent="0.3">
      <c r="A7199" s="80"/>
      <c r="B7199" s="81"/>
      <c r="C7199" s="82"/>
    </row>
    <row r="7200" spans="1:3" x14ac:dyDescent="0.3">
      <c r="A7200" s="80"/>
      <c r="B7200" s="81"/>
      <c r="C7200" s="82"/>
    </row>
    <row r="7201" spans="1:3" x14ac:dyDescent="0.3">
      <c r="A7201" s="80"/>
      <c r="B7201" s="81"/>
      <c r="C7201" s="82"/>
    </row>
    <row r="7202" spans="1:3" x14ac:dyDescent="0.3">
      <c r="A7202" s="80"/>
      <c r="B7202" s="81"/>
      <c r="C7202" s="82"/>
    </row>
    <row r="7203" spans="1:3" x14ac:dyDescent="0.3">
      <c r="A7203" s="80"/>
      <c r="B7203" s="81"/>
      <c r="C7203" s="82"/>
    </row>
    <row r="7204" spans="1:3" x14ac:dyDescent="0.3">
      <c r="A7204" s="80"/>
      <c r="B7204" s="81"/>
      <c r="C7204" s="82"/>
    </row>
    <row r="7205" spans="1:3" x14ac:dyDescent="0.3">
      <c r="A7205" s="80"/>
      <c r="B7205" s="81"/>
      <c r="C7205" s="82"/>
    </row>
    <row r="7206" spans="1:3" x14ac:dyDescent="0.3">
      <c r="A7206" s="80"/>
      <c r="B7206" s="81"/>
      <c r="C7206" s="82"/>
    </row>
    <row r="7207" spans="1:3" x14ac:dyDescent="0.3">
      <c r="A7207" s="80"/>
      <c r="B7207" s="81"/>
      <c r="C7207" s="82"/>
    </row>
    <row r="7208" spans="1:3" x14ac:dyDescent="0.3">
      <c r="A7208" s="80"/>
      <c r="B7208" s="81"/>
      <c r="C7208" s="82"/>
    </row>
    <row r="7209" spans="1:3" x14ac:dyDescent="0.3">
      <c r="A7209" s="80"/>
      <c r="B7209" s="81"/>
      <c r="C7209" s="82"/>
    </row>
    <row r="7210" spans="1:3" x14ac:dyDescent="0.3">
      <c r="A7210" s="80"/>
      <c r="B7210" s="81"/>
      <c r="C7210" s="82"/>
    </row>
    <row r="7211" spans="1:3" x14ac:dyDescent="0.3">
      <c r="A7211" s="80"/>
      <c r="B7211" s="81"/>
      <c r="C7211" s="82"/>
    </row>
    <row r="7212" spans="1:3" x14ac:dyDescent="0.3">
      <c r="A7212" s="80"/>
      <c r="B7212" s="81"/>
      <c r="C7212" s="82"/>
    </row>
    <row r="7213" spans="1:3" x14ac:dyDescent="0.3">
      <c r="A7213" s="80"/>
      <c r="B7213" s="81"/>
      <c r="C7213" s="82"/>
    </row>
    <row r="7214" spans="1:3" x14ac:dyDescent="0.3">
      <c r="A7214" s="80"/>
      <c r="B7214" s="81"/>
      <c r="C7214" s="82"/>
    </row>
    <row r="7215" spans="1:3" x14ac:dyDescent="0.3">
      <c r="A7215" s="80"/>
      <c r="B7215" s="81"/>
      <c r="C7215" s="82"/>
    </row>
    <row r="7216" spans="1:3" x14ac:dyDescent="0.3">
      <c r="A7216" s="80"/>
      <c r="B7216" s="81"/>
      <c r="C7216" s="82"/>
    </row>
    <row r="7217" spans="1:3" x14ac:dyDescent="0.3">
      <c r="A7217" s="80"/>
      <c r="B7217" s="81"/>
      <c r="C7217" s="82"/>
    </row>
    <row r="7218" spans="1:3" x14ac:dyDescent="0.3">
      <c r="A7218" s="80"/>
      <c r="B7218" s="81"/>
      <c r="C7218" s="82"/>
    </row>
    <row r="7219" spans="1:3" x14ac:dyDescent="0.3">
      <c r="A7219" s="80"/>
      <c r="B7219" s="81"/>
      <c r="C7219" s="82"/>
    </row>
    <row r="7220" spans="1:3" x14ac:dyDescent="0.3">
      <c r="A7220" s="80"/>
      <c r="B7220" s="81"/>
      <c r="C7220" s="82"/>
    </row>
    <row r="7221" spans="1:3" x14ac:dyDescent="0.3">
      <c r="A7221" s="80"/>
      <c r="B7221" s="81"/>
      <c r="C7221" s="82"/>
    </row>
    <row r="7222" spans="1:3" x14ac:dyDescent="0.3">
      <c r="A7222" s="80"/>
      <c r="B7222" s="81"/>
      <c r="C7222" s="82"/>
    </row>
    <row r="7223" spans="1:3" x14ac:dyDescent="0.3">
      <c r="A7223" s="80"/>
      <c r="B7223" s="81"/>
      <c r="C7223" s="82"/>
    </row>
    <row r="7224" spans="1:3" x14ac:dyDescent="0.3">
      <c r="A7224" s="80"/>
      <c r="B7224" s="81"/>
      <c r="C7224" s="82"/>
    </row>
    <row r="7225" spans="1:3" x14ac:dyDescent="0.3">
      <c r="A7225" s="80"/>
      <c r="B7225" s="81"/>
      <c r="C7225" s="82"/>
    </row>
    <row r="7226" spans="1:3" x14ac:dyDescent="0.3">
      <c r="A7226" s="80"/>
      <c r="B7226" s="81"/>
      <c r="C7226" s="82"/>
    </row>
    <row r="7227" spans="1:3" x14ac:dyDescent="0.3">
      <c r="A7227" s="80"/>
      <c r="B7227" s="81"/>
      <c r="C7227" s="82"/>
    </row>
    <row r="7228" spans="1:3" x14ac:dyDescent="0.3">
      <c r="A7228" s="80"/>
      <c r="B7228" s="81"/>
      <c r="C7228" s="82"/>
    </row>
    <row r="7229" spans="1:3" x14ac:dyDescent="0.3">
      <c r="A7229" s="80"/>
      <c r="B7229" s="81"/>
      <c r="C7229" s="82"/>
    </row>
    <row r="7230" spans="1:3" x14ac:dyDescent="0.3">
      <c r="A7230" s="80"/>
      <c r="B7230" s="81"/>
      <c r="C7230" s="82"/>
    </row>
    <row r="7231" spans="1:3" x14ac:dyDescent="0.3">
      <c r="A7231" s="80"/>
      <c r="B7231" s="81"/>
      <c r="C7231" s="82"/>
    </row>
    <row r="7232" spans="1:3" x14ac:dyDescent="0.3">
      <c r="A7232" s="80"/>
      <c r="B7232" s="81"/>
      <c r="C7232" s="82"/>
    </row>
    <row r="7233" spans="1:3" x14ac:dyDescent="0.3">
      <c r="A7233" s="80"/>
      <c r="B7233" s="81"/>
      <c r="C7233" s="82"/>
    </row>
    <row r="7234" spans="1:3" x14ac:dyDescent="0.3">
      <c r="A7234" s="80"/>
      <c r="B7234" s="81"/>
      <c r="C7234" s="82"/>
    </row>
    <row r="7235" spans="1:3" x14ac:dyDescent="0.3">
      <c r="A7235" s="80"/>
      <c r="B7235" s="81"/>
      <c r="C7235" s="82"/>
    </row>
    <row r="7236" spans="1:3" x14ac:dyDescent="0.3">
      <c r="A7236" s="80"/>
      <c r="B7236" s="81"/>
      <c r="C7236" s="82"/>
    </row>
    <row r="7237" spans="1:3" x14ac:dyDescent="0.3">
      <c r="A7237" s="80"/>
      <c r="B7237" s="81"/>
      <c r="C7237" s="82"/>
    </row>
    <row r="7238" spans="1:3" x14ac:dyDescent="0.3">
      <c r="A7238" s="80"/>
      <c r="B7238" s="81"/>
      <c r="C7238" s="82"/>
    </row>
    <row r="7239" spans="1:3" x14ac:dyDescent="0.3">
      <c r="A7239" s="80"/>
      <c r="B7239" s="81"/>
      <c r="C7239" s="82"/>
    </row>
    <row r="7240" spans="1:3" x14ac:dyDescent="0.3">
      <c r="A7240" s="80"/>
      <c r="B7240" s="81"/>
      <c r="C7240" s="82"/>
    </row>
    <row r="7241" spans="1:3" x14ac:dyDescent="0.3">
      <c r="A7241" s="80"/>
      <c r="B7241" s="81"/>
      <c r="C7241" s="82"/>
    </row>
    <row r="7242" spans="1:3" x14ac:dyDescent="0.3">
      <c r="A7242" s="80"/>
      <c r="B7242" s="81"/>
      <c r="C7242" s="82"/>
    </row>
    <row r="7243" spans="1:3" x14ac:dyDescent="0.3">
      <c r="A7243" s="80"/>
      <c r="B7243" s="81"/>
      <c r="C7243" s="82"/>
    </row>
    <row r="7244" spans="1:3" x14ac:dyDescent="0.3">
      <c r="A7244" s="80"/>
      <c r="B7244" s="81"/>
      <c r="C7244" s="82"/>
    </row>
    <row r="7245" spans="1:3" x14ac:dyDescent="0.3">
      <c r="A7245" s="80"/>
      <c r="B7245" s="81"/>
      <c r="C7245" s="82"/>
    </row>
    <row r="7246" spans="1:3" x14ac:dyDescent="0.3">
      <c r="A7246" s="80"/>
      <c r="B7246" s="81"/>
      <c r="C7246" s="82"/>
    </row>
    <row r="7247" spans="1:3" x14ac:dyDescent="0.3">
      <c r="A7247" s="80"/>
      <c r="B7247" s="81"/>
      <c r="C7247" s="82"/>
    </row>
    <row r="7248" spans="1:3" x14ac:dyDescent="0.3">
      <c r="A7248" s="80"/>
      <c r="B7248" s="81"/>
      <c r="C7248" s="82"/>
    </row>
    <row r="7249" spans="1:3" x14ac:dyDescent="0.3">
      <c r="A7249" s="80"/>
      <c r="B7249" s="81"/>
      <c r="C7249" s="82"/>
    </row>
    <row r="7250" spans="1:3" x14ac:dyDescent="0.3">
      <c r="A7250" s="80"/>
      <c r="B7250" s="81"/>
      <c r="C7250" s="82"/>
    </row>
    <row r="7251" spans="1:3" x14ac:dyDescent="0.3">
      <c r="A7251" s="80"/>
      <c r="B7251" s="81"/>
      <c r="C7251" s="82"/>
    </row>
    <row r="7252" spans="1:3" x14ac:dyDescent="0.3">
      <c r="A7252" s="80"/>
      <c r="B7252" s="81"/>
      <c r="C7252" s="82"/>
    </row>
    <row r="7253" spans="1:3" x14ac:dyDescent="0.3">
      <c r="A7253" s="80"/>
      <c r="B7253" s="81"/>
      <c r="C7253" s="82"/>
    </row>
    <row r="7254" spans="1:3" x14ac:dyDescent="0.3">
      <c r="A7254" s="80"/>
      <c r="B7254" s="81"/>
      <c r="C7254" s="82"/>
    </row>
    <row r="7255" spans="1:3" x14ac:dyDescent="0.3">
      <c r="A7255" s="80"/>
      <c r="B7255" s="81"/>
      <c r="C7255" s="82"/>
    </row>
    <row r="7256" spans="1:3" x14ac:dyDescent="0.3">
      <c r="A7256" s="80"/>
      <c r="B7256" s="81"/>
      <c r="C7256" s="82"/>
    </row>
    <row r="7257" spans="1:3" x14ac:dyDescent="0.3">
      <c r="A7257" s="80"/>
      <c r="B7257" s="81"/>
      <c r="C7257" s="82"/>
    </row>
    <row r="7258" spans="1:3" x14ac:dyDescent="0.3">
      <c r="A7258" s="80"/>
      <c r="B7258" s="81"/>
      <c r="C7258" s="82"/>
    </row>
    <row r="7259" spans="1:3" x14ac:dyDescent="0.3">
      <c r="A7259" s="80"/>
      <c r="B7259" s="81"/>
      <c r="C7259" s="82"/>
    </row>
    <row r="7260" spans="1:3" x14ac:dyDescent="0.3">
      <c r="A7260" s="80"/>
      <c r="B7260" s="81"/>
      <c r="C7260" s="82"/>
    </row>
    <row r="7261" spans="1:3" x14ac:dyDescent="0.3">
      <c r="A7261" s="80"/>
      <c r="B7261" s="81"/>
      <c r="C7261" s="82"/>
    </row>
    <row r="7262" spans="1:3" x14ac:dyDescent="0.3">
      <c r="A7262" s="80"/>
      <c r="B7262" s="81"/>
      <c r="C7262" s="82"/>
    </row>
    <row r="7263" spans="1:3" x14ac:dyDescent="0.3">
      <c r="A7263" s="80"/>
      <c r="B7263" s="81"/>
      <c r="C7263" s="82"/>
    </row>
    <row r="7264" spans="1:3" x14ac:dyDescent="0.3">
      <c r="A7264" s="80"/>
      <c r="B7264" s="81"/>
      <c r="C7264" s="82"/>
    </row>
    <row r="7265" spans="1:3" x14ac:dyDescent="0.3">
      <c r="A7265" s="80"/>
      <c r="B7265" s="81"/>
      <c r="C7265" s="82"/>
    </row>
    <row r="7266" spans="1:3" x14ac:dyDescent="0.3">
      <c r="A7266" s="80"/>
      <c r="B7266" s="81"/>
      <c r="C7266" s="82"/>
    </row>
    <row r="7267" spans="1:3" x14ac:dyDescent="0.3">
      <c r="A7267" s="80"/>
      <c r="B7267" s="81"/>
      <c r="C7267" s="82"/>
    </row>
    <row r="7268" spans="1:3" x14ac:dyDescent="0.3">
      <c r="A7268" s="80"/>
      <c r="B7268" s="81"/>
      <c r="C7268" s="82"/>
    </row>
    <row r="7269" spans="1:3" x14ac:dyDescent="0.3">
      <c r="A7269" s="80"/>
      <c r="B7269" s="81"/>
      <c r="C7269" s="82"/>
    </row>
    <row r="7270" spans="1:3" x14ac:dyDescent="0.3">
      <c r="A7270" s="80"/>
      <c r="B7270" s="81"/>
      <c r="C7270" s="82"/>
    </row>
    <row r="7271" spans="1:3" x14ac:dyDescent="0.3">
      <c r="A7271" s="80"/>
      <c r="B7271" s="81"/>
      <c r="C7271" s="82"/>
    </row>
    <row r="7272" spans="1:3" x14ac:dyDescent="0.3">
      <c r="A7272" s="80"/>
      <c r="B7272" s="81"/>
      <c r="C7272" s="82"/>
    </row>
    <row r="7273" spans="1:3" x14ac:dyDescent="0.3">
      <c r="A7273" s="80"/>
      <c r="B7273" s="81"/>
      <c r="C7273" s="82"/>
    </row>
    <row r="7274" spans="1:3" x14ac:dyDescent="0.3">
      <c r="A7274" s="80"/>
      <c r="B7274" s="81"/>
      <c r="C7274" s="82"/>
    </row>
    <row r="7275" spans="1:3" x14ac:dyDescent="0.3">
      <c r="A7275" s="80"/>
      <c r="B7275" s="81"/>
      <c r="C7275" s="82"/>
    </row>
    <row r="7276" spans="1:3" x14ac:dyDescent="0.3">
      <c r="A7276" s="80"/>
      <c r="B7276" s="81"/>
      <c r="C7276" s="82"/>
    </row>
    <row r="7277" spans="1:3" x14ac:dyDescent="0.3">
      <c r="A7277" s="80"/>
      <c r="B7277" s="81"/>
      <c r="C7277" s="82"/>
    </row>
    <row r="7278" spans="1:3" x14ac:dyDescent="0.3">
      <c r="A7278" s="80"/>
      <c r="B7278" s="81"/>
      <c r="C7278" s="82"/>
    </row>
    <row r="7279" spans="1:3" x14ac:dyDescent="0.3">
      <c r="A7279" s="80"/>
      <c r="B7279" s="81"/>
      <c r="C7279" s="82"/>
    </row>
    <row r="7280" spans="1:3" x14ac:dyDescent="0.3">
      <c r="A7280" s="80"/>
      <c r="B7280" s="81"/>
      <c r="C7280" s="82"/>
    </row>
    <row r="7281" spans="1:3" x14ac:dyDescent="0.3">
      <c r="A7281" s="80"/>
      <c r="B7281" s="81"/>
      <c r="C7281" s="82"/>
    </row>
    <row r="7282" spans="1:3" x14ac:dyDescent="0.3">
      <c r="A7282" s="80"/>
      <c r="B7282" s="81"/>
      <c r="C7282" s="82"/>
    </row>
    <row r="7283" spans="1:3" x14ac:dyDescent="0.3">
      <c r="A7283" s="80"/>
      <c r="B7283" s="81"/>
      <c r="C7283" s="82"/>
    </row>
    <row r="7284" spans="1:3" x14ac:dyDescent="0.3">
      <c r="A7284" s="80"/>
      <c r="B7284" s="81"/>
      <c r="C7284" s="82"/>
    </row>
    <row r="7285" spans="1:3" x14ac:dyDescent="0.3">
      <c r="A7285" s="80"/>
      <c r="B7285" s="81"/>
      <c r="C7285" s="82"/>
    </row>
    <row r="7286" spans="1:3" x14ac:dyDescent="0.3">
      <c r="A7286" s="80"/>
      <c r="B7286" s="81"/>
      <c r="C7286" s="82"/>
    </row>
    <row r="7287" spans="1:3" x14ac:dyDescent="0.3">
      <c r="A7287" s="80"/>
      <c r="B7287" s="81"/>
      <c r="C7287" s="82"/>
    </row>
    <row r="7288" spans="1:3" x14ac:dyDescent="0.3">
      <c r="A7288" s="80"/>
      <c r="B7288" s="81"/>
      <c r="C7288" s="82"/>
    </row>
    <row r="7289" spans="1:3" x14ac:dyDescent="0.3">
      <c r="A7289" s="80"/>
      <c r="B7289" s="81"/>
      <c r="C7289" s="82"/>
    </row>
    <row r="7290" spans="1:3" x14ac:dyDescent="0.3">
      <c r="A7290" s="80"/>
      <c r="B7290" s="81"/>
      <c r="C7290" s="82"/>
    </row>
    <row r="7291" spans="1:3" x14ac:dyDescent="0.3">
      <c r="A7291" s="80"/>
      <c r="B7291" s="81"/>
      <c r="C7291" s="82"/>
    </row>
    <row r="7292" spans="1:3" x14ac:dyDescent="0.3">
      <c r="A7292" s="80"/>
      <c r="B7292" s="81"/>
      <c r="C7292" s="82"/>
    </row>
    <row r="7293" spans="1:3" x14ac:dyDescent="0.3">
      <c r="A7293" s="80"/>
      <c r="B7293" s="81"/>
      <c r="C7293" s="82"/>
    </row>
    <row r="7294" spans="1:3" x14ac:dyDescent="0.3">
      <c r="A7294" s="80"/>
      <c r="B7294" s="81"/>
      <c r="C7294" s="82"/>
    </row>
    <row r="7295" spans="1:3" x14ac:dyDescent="0.3">
      <c r="A7295" s="80"/>
      <c r="B7295" s="81"/>
      <c r="C7295" s="82"/>
    </row>
    <row r="7296" spans="1:3" x14ac:dyDescent="0.3">
      <c r="A7296" s="80"/>
      <c r="B7296" s="81"/>
      <c r="C7296" s="82"/>
    </row>
    <row r="7297" spans="1:3" x14ac:dyDescent="0.3">
      <c r="A7297" s="80"/>
      <c r="B7297" s="81"/>
      <c r="C7297" s="82"/>
    </row>
    <row r="7298" spans="1:3" x14ac:dyDescent="0.3">
      <c r="A7298" s="80"/>
      <c r="B7298" s="81"/>
      <c r="C7298" s="82"/>
    </row>
    <row r="7299" spans="1:3" x14ac:dyDescent="0.3">
      <c r="A7299" s="80"/>
      <c r="B7299" s="81"/>
      <c r="C7299" s="82"/>
    </row>
    <row r="7300" spans="1:3" x14ac:dyDescent="0.3">
      <c r="A7300" s="80"/>
      <c r="B7300" s="81"/>
      <c r="C7300" s="82"/>
    </row>
    <row r="7301" spans="1:3" x14ac:dyDescent="0.3">
      <c r="A7301" s="80"/>
      <c r="B7301" s="81"/>
      <c r="C7301" s="82"/>
    </row>
    <row r="7302" spans="1:3" x14ac:dyDescent="0.3">
      <c r="A7302" s="80"/>
      <c r="B7302" s="81"/>
      <c r="C7302" s="82"/>
    </row>
    <row r="7303" spans="1:3" x14ac:dyDescent="0.3">
      <c r="A7303" s="80"/>
      <c r="B7303" s="81"/>
      <c r="C7303" s="82"/>
    </row>
    <row r="7304" spans="1:3" x14ac:dyDescent="0.3">
      <c r="A7304" s="80"/>
      <c r="B7304" s="81"/>
      <c r="C7304" s="82"/>
    </row>
    <row r="7305" spans="1:3" x14ac:dyDescent="0.3">
      <c r="A7305" s="80"/>
      <c r="B7305" s="81"/>
      <c r="C7305" s="82"/>
    </row>
    <row r="7306" spans="1:3" x14ac:dyDescent="0.3">
      <c r="A7306" s="80"/>
      <c r="B7306" s="81"/>
      <c r="C7306" s="82"/>
    </row>
    <row r="7307" spans="1:3" x14ac:dyDescent="0.3">
      <c r="A7307" s="80"/>
      <c r="B7307" s="81"/>
      <c r="C7307" s="82"/>
    </row>
    <row r="7308" spans="1:3" x14ac:dyDescent="0.3">
      <c r="A7308" s="80"/>
      <c r="B7308" s="81"/>
      <c r="C7308" s="82"/>
    </row>
    <row r="7309" spans="1:3" x14ac:dyDescent="0.3">
      <c r="A7309" s="80"/>
      <c r="B7309" s="81"/>
      <c r="C7309" s="82"/>
    </row>
    <row r="7310" spans="1:3" x14ac:dyDescent="0.3">
      <c r="A7310" s="80"/>
      <c r="B7310" s="81"/>
      <c r="C7310" s="82"/>
    </row>
    <row r="7311" spans="1:3" x14ac:dyDescent="0.3">
      <c r="A7311" s="80"/>
      <c r="B7311" s="81"/>
      <c r="C7311" s="82"/>
    </row>
    <row r="7312" spans="1:3" x14ac:dyDescent="0.3">
      <c r="A7312" s="80"/>
      <c r="B7312" s="81"/>
      <c r="C7312" s="82"/>
    </row>
    <row r="7313" spans="1:3" x14ac:dyDescent="0.3">
      <c r="A7313" s="80"/>
      <c r="B7313" s="81"/>
      <c r="C7313" s="82"/>
    </row>
    <row r="7314" spans="1:3" x14ac:dyDescent="0.3">
      <c r="A7314" s="80"/>
      <c r="B7314" s="81"/>
      <c r="C7314" s="82"/>
    </row>
    <row r="7315" spans="1:3" x14ac:dyDescent="0.3">
      <c r="A7315" s="80"/>
      <c r="B7315" s="81"/>
      <c r="C7315" s="82"/>
    </row>
    <row r="7316" spans="1:3" x14ac:dyDescent="0.3">
      <c r="A7316" s="80"/>
      <c r="B7316" s="81"/>
      <c r="C7316" s="82"/>
    </row>
    <row r="7317" spans="1:3" x14ac:dyDescent="0.3">
      <c r="A7317" s="80"/>
      <c r="B7317" s="81"/>
      <c r="C7317" s="82"/>
    </row>
    <row r="7318" spans="1:3" x14ac:dyDescent="0.3">
      <c r="A7318" s="80"/>
      <c r="B7318" s="81"/>
      <c r="C7318" s="82"/>
    </row>
    <row r="7319" spans="1:3" x14ac:dyDescent="0.3">
      <c r="A7319" s="80"/>
      <c r="B7319" s="81"/>
      <c r="C7319" s="82"/>
    </row>
    <row r="7320" spans="1:3" x14ac:dyDescent="0.3">
      <c r="A7320" s="80"/>
      <c r="B7320" s="81"/>
      <c r="C7320" s="82"/>
    </row>
    <row r="7321" spans="1:3" x14ac:dyDescent="0.3">
      <c r="A7321" s="80"/>
      <c r="B7321" s="81"/>
      <c r="C7321" s="82"/>
    </row>
    <row r="7322" spans="1:3" x14ac:dyDescent="0.3">
      <c r="A7322" s="80"/>
      <c r="B7322" s="81"/>
      <c r="C7322" s="82"/>
    </row>
    <row r="7323" spans="1:3" x14ac:dyDescent="0.3">
      <c r="A7323" s="80"/>
      <c r="B7323" s="81"/>
      <c r="C7323" s="82"/>
    </row>
    <row r="7324" spans="1:3" x14ac:dyDescent="0.3">
      <c r="A7324" s="80"/>
      <c r="B7324" s="81"/>
      <c r="C7324" s="82"/>
    </row>
    <row r="7325" spans="1:3" x14ac:dyDescent="0.3">
      <c r="A7325" s="80"/>
      <c r="B7325" s="81"/>
      <c r="C7325" s="82"/>
    </row>
    <row r="7326" spans="1:3" x14ac:dyDescent="0.3">
      <c r="A7326" s="80"/>
      <c r="B7326" s="81"/>
      <c r="C7326" s="82"/>
    </row>
    <row r="7327" spans="1:3" x14ac:dyDescent="0.3">
      <c r="A7327" s="80"/>
      <c r="B7327" s="81"/>
      <c r="C7327" s="82"/>
    </row>
    <row r="7328" spans="1:3" x14ac:dyDescent="0.3">
      <c r="A7328" s="80"/>
      <c r="B7328" s="81"/>
      <c r="C7328" s="82"/>
    </row>
    <row r="7329" spans="1:3" x14ac:dyDescent="0.3">
      <c r="A7329" s="80"/>
      <c r="B7329" s="81"/>
      <c r="C7329" s="82"/>
    </row>
    <row r="7330" spans="1:3" x14ac:dyDescent="0.3">
      <c r="A7330" s="80"/>
      <c r="B7330" s="81"/>
      <c r="C7330" s="82"/>
    </row>
    <row r="7331" spans="1:3" x14ac:dyDescent="0.3">
      <c r="A7331" s="80"/>
      <c r="B7331" s="81"/>
      <c r="C7331" s="82"/>
    </row>
    <row r="7332" spans="1:3" x14ac:dyDescent="0.3">
      <c r="A7332" s="80"/>
      <c r="B7332" s="81"/>
      <c r="C7332" s="82"/>
    </row>
    <row r="7333" spans="1:3" x14ac:dyDescent="0.3">
      <c r="A7333" s="80"/>
      <c r="B7333" s="81"/>
      <c r="C7333" s="82"/>
    </row>
    <row r="7334" spans="1:3" x14ac:dyDescent="0.3">
      <c r="A7334" s="80"/>
      <c r="B7334" s="81"/>
      <c r="C7334" s="82"/>
    </row>
    <row r="7335" spans="1:3" x14ac:dyDescent="0.3">
      <c r="A7335" s="80"/>
      <c r="B7335" s="81"/>
      <c r="C7335" s="82"/>
    </row>
    <row r="7336" spans="1:3" x14ac:dyDescent="0.3">
      <c r="A7336" s="80"/>
      <c r="B7336" s="81"/>
      <c r="C7336" s="82"/>
    </row>
    <row r="7337" spans="1:3" x14ac:dyDescent="0.3">
      <c r="A7337" s="80"/>
      <c r="B7337" s="81"/>
      <c r="C7337" s="82"/>
    </row>
    <row r="7338" spans="1:3" x14ac:dyDescent="0.3">
      <c r="A7338" s="80"/>
      <c r="B7338" s="81"/>
      <c r="C7338" s="82"/>
    </row>
    <row r="7339" spans="1:3" x14ac:dyDescent="0.3">
      <c r="A7339" s="80"/>
      <c r="B7339" s="81"/>
      <c r="C7339" s="82"/>
    </row>
    <row r="7340" spans="1:3" x14ac:dyDescent="0.3">
      <c r="A7340" s="80"/>
      <c r="B7340" s="81"/>
      <c r="C7340" s="82"/>
    </row>
    <row r="7341" spans="1:3" x14ac:dyDescent="0.3">
      <c r="A7341" s="80"/>
      <c r="B7341" s="81"/>
      <c r="C7341" s="82"/>
    </row>
    <row r="7342" spans="1:3" x14ac:dyDescent="0.3">
      <c r="A7342" s="80"/>
      <c r="B7342" s="81"/>
      <c r="C7342" s="82"/>
    </row>
    <row r="7343" spans="1:3" x14ac:dyDescent="0.3">
      <c r="A7343" s="80"/>
      <c r="B7343" s="81"/>
      <c r="C7343" s="82"/>
    </row>
    <row r="7344" spans="1:3" x14ac:dyDescent="0.3">
      <c r="A7344" s="80"/>
      <c r="B7344" s="81"/>
      <c r="C7344" s="82"/>
    </row>
    <row r="7345" spans="1:3" x14ac:dyDescent="0.3">
      <c r="A7345" s="80"/>
      <c r="B7345" s="81"/>
      <c r="C7345" s="82"/>
    </row>
    <row r="7346" spans="1:3" x14ac:dyDescent="0.3">
      <c r="A7346" s="80"/>
      <c r="B7346" s="81"/>
      <c r="C7346" s="82"/>
    </row>
    <row r="7347" spans="1:3" x14ac:dyDescent="0.3">
      <c r="A7347" s="80"/>
      <c r="B7347" s="81"/>
      <c r="C7347" s="82"/>
    </row>
    <row r="7348" spans="1:3" x14ac:dyDescent="0.3">
      <c r="A7348" s="80"/>
      <c r="B7348" s="81"/>
      <c r="C7348" s="82"/>
    </row>
    <row r="7349" spans="1:3" x14ac:dyDescent="0.3">
      <c r="A7349" s="80"/>
      <c r="B7349" s="81"/>
      <c r="C7349" s="82"/>
    </row>
    <row r="7350" spans="1:3" x14ac:dyDescent="0.3">
      <c r="A7350" s="80"/>
      <c r="B7350" s="81"/>
      <c r="C7350" s="82"/>
    </row>
    <row r="7351" spans="1:3" x14ac:dyDescent="0.3">
      <c r="A7351" s="80"/>
      <c r="B7351" s="81"/>
      <c r="C7351" s="82"/>
    </row>
    <row r="7352" spans="1:3" x14ac:dyDescent="0.3">
      <c r="A7352" s="80"/>
      <c r="B7352" s="81"/>
      <c r="C7352" s="82"/>
    </row>
    <row r="7353" spans="1:3" x14ac:dyDescent="0.3">
      <c r="A7353" s="80"/>
      <c r="B7353" s="81"/>
      <c r="C7353" s="82"/>
    </row>
    <row r="7354" spans="1:3" x14ac:dyDescent="0.3">
      <c r="A7354" s="80"/>
      <c r="B7354" s="81"/>
      <c r="C7354" s="82"/>
    </row>
    <row r="7355" spans="1:3" x14ac:dyDescent="0.3">
      <c r="A7355" s="80"/>
      <c r="B7355" s="81"/>
      <c r="C7355" s="82"/>
    </row>
    <row r="7356" spans="1:3" x14ac:dyDescent="0.3">
      <c r="A7356" s="80"/>
      <c r="B7356" s="81"/>
      <c r="C7356" s="82"/>
    </row>
    <row r="7357" spans="1:3" x14ac:dyDescent="0.3">
      <c r="A7357" s="80"/>
      <c r="B7357" s="81"/>
      <c r="C7357" s="82"/>
    </row>
    <row r="7358" spans="1:3" x14ac:dyDescent="0.3">
      <c r="A7358" s="80"/>
      <c r="B7358" s="81"/>
      <c r="C7358" s="82"/>
    </row>
    <row r="7359" spans="1:3" x14ac:dyDescent="0.3">
      <c r="A7359" s="80"/>
      <c r="B7359" s="81"/>
      <c r="C7359" s="82"/>
    </row>
    <row r="7360" spans="1:3" x14ac:dyDescent="0.3">
      <c r="A7360" s="80"/>
      <c r="B7360" s="81"/>
      <c r="C7360" s="82"/>
    </row>
    <row r="7361" spans="1:3" x14ac:dyDescent="0.3">
      <c r="A7361" s="80"/>
      <c r="B7361" s="81"/>
      <c r="C7361" s="82"/>
    </row>
    <row r="7362" spans="1:3" x14ac:dyDescent="0.3">
      <c r="A7362" s="80"/>
      <c r="B7362" s="81"/>
      <c r="C7362" s="82"/>
    </row>
    <row r="7363" spans="1:3" x14ac:dyDescent="0.3">
      <c r="A7363" s="80"/>
      <c r="B7363" s="81"/>
      <c r="C7363" s="82"/>
    </row>
    <row r="7364" spans="1:3" x14ac:dyDescent="0.3">
      <c r="A7364" s="80"/>
      <c r="B7364" s="81"/>
      <c r="C7364" s="82"/>
    </row>
    <row r="7365" spans="1:3" x14ac:dyDescent="0.3">
      <c r="A7365" s="80"/>
      <c r="B7365" s="81"/>
      <c r="C7365" s="82"/>
    </row>
    <row r="7366" spans="1:3" x14ac:dyDescent="0.3">
      <c r="A7366" s="80"/>
      <c r="B7366" s="81"/>
      <c r="C7366" s="82"/>
    </row>
    <row r="7367" spans="1:3" x14ac:dyDescent="0.3">
      <c r="A7367" s="80"/>
      <c r="B7367" s="81"/>
      <c r="C7367" s="82"/>
    </row>
    <row r="7368" spans="1:3" x14ac:dyDescent="0.3">
      <c r="A7368" s="80"/>
      <c r="B7368" s="81"/>
      <c r="C7368" s="82"/>
    </row>
    <row r="7369" spans="1:3" x14ac:dyDescent="0.3">
      <c r="A7369" s="80"/>
      <c r="B7369" s="81"/>
      <c r="C7369" s="82"/>
    </row>
    <row r="7370" spans="1:3" x14ac:dyDescent="0.3">
      <c r="A7370" s="80"/>
      <c r="B7370" s="81"/>
      <c r="C7370" s="82"/>
    </row>
    <row r="7371" spans="1:3" x14ac:dyDescent="0.3">
      <c r="A7371" s="80"/>
      <c r="B7371" s="81"/>
      <c r="C7371" s="82"/>
    </row>
    <row r="7372" spans="1:3" x14ac:dyDescent="0.3">
      <c r="A7372" s="80"/>
      <c r="B7372" s="81"/>
      <c r="C7372" s="82"/>
    </row>
    <row r="7373" spans="1:3" x14ac:dyDescent="0.3">
      <c r="A7373" s="80"/>
      <c r="B7373" s="81"/>
      <c r="C7373" s="82"/>
    </row>
    <row r="7374" spans="1:3" x14ac:dyDescent="0.3">
      <c r="A7374" s="80"/>
      <c r="B7374" s="81"/>
      <c r="C7374" s="82"/>
    </row>
    <row r="7375" spans="1:3" x14ac:dyDescent="0.3">
      <c r="A7375" s="80"/>
      <c r="B7375" s="81"/>
      <c r="C7375" s="82"/>
    </row>
    <row r="7376" spans="1:3" x14ac:dyDescent="0.3">
      <c r="A7376" s="80"/>
      <c r="B7376" s="81"/>
      <c r="C7376" s="82"/>
    </row>
    <row r="7377" spans="1:3" x14ac:dyDescent="0.3">
      <c r="A7377" s="80"/>
      <c r="B7377" s="81"/>
      <c r="C7377" s="82"/>
    </row>
    <row r="7378" spans="1:3" x14ac:dyDescent="0.3">
      <c r="A7378" s="80"/>
      <c r="B7378" s="81"/>
      <c r="C7378" s="82"/>
    </row>
    <row r="7379" spans="1:3" x14ac:dyDescent="0.3">
      <c r="A7379" s="80"/>
      <c r="B7379" s="81"/>
      <c r="C7379" s="82"/>
    </row>
    <row r="7380" spans="1:3" x14ac:dyDescent="0.3">
      <c r="A7380" s="80"/>
      <c r="B7380" s="81"/>
      <c r="C7380" s="82"/>
    </row>
    <row r="7381" spans="1:3" x14ac:dyDescent="0.3">
      <c r="A7381" s="80"/>
      <c r="B7381" s="81"/>
      <c r="C7381" s="82"/>
    </row>
    <row r="7382" spans="1:3" x14ac:dyDescent="0.3">
      <c r="A7382" s="80"/>
      <c r="B7382" s="81"/>
      <c r="C7382" s="82"/>
    </row>
    <row r="7383" spans="1:3" x14ac:dyDescent="0.3">
      <c r="A7383" s="80"/>
      <c r="B7383" s="81"/>
      <c r="C7383" s="82"/>
    </row>
    <row r="7384" spans="1:3" x14ac:dyDescent="0.3">
      <c r="A7384" s="80"/>
      <c r="B7384" s="81"/>
      <c r="C7384" s="82"/>
    </row>
    <row r="7385" spans="1:3" x14ac:dyDescent="0.3">
      <c r="A7385" s="80"/>
      <c r="B7385" s="81"/>
      <c r="C7385" s="82"/>
    </row>
    <row r="7386" spans="1:3" x14ac:dyDescent="0.3">
      <c r="A7386" s="80"/>
      <c r="B7386" s="81"/>
      <c r="C7386" s="82"/>
    </row>
    <row r="7387" spans="1:3" x14ac:dyDescent="0.3">
      <c r="A7387" s="80"/>
      <c r="B7387" s="81"/>
      <c r="C7387" s="82"/>
    </row>
    <row r="7388" spans="1:3" x14ac:dyDescent="0.3">
      <c r="A7388" s="80"/>
      <c r="B7388" s="81"/>
      <c r="C7388" s="82"/>
    </row>
    <row r="7389" spans="1:3" x14ac:dyDescent="0.3">
      <c r="A7389" s="80"/>
      <c r="B7389" s="81"/>
      <c r="C7389" s="82"/>
    </row>
    <row r="7390" spans="1:3" x14ac:dyDescent="0.3">
      <c r="A7390" s="80"/>
      <c r="B7390" s="81"/>
      <c r="C7390" s="82"/>
    </row>
    <row r="7391" spans="1:3" x14ac:dyDescent="0.3">
      <c r="A7391" s="80"/>
      <c r="B7391" s="81"/>
      <c r="C7391" s="82"/>
    </row>
    <row r="7392" spans="1:3" x14ac:dyDescent="0.3">
      <c r="A7392" s="80"/>
      <c r="B7392" s="81"/>
      <c r="C7392" s="82"/>
    </row>
    <row r="7393" spans="1:3" x14ac:dyDescent="0.3">
      <c r="A7393" s="80"/>
      <c r="B7393" s="81"/>
      <c r="C7393" s="82"/>
    </row>
    <row r="7394" spans="1:3" x14ac:dyDescent="0.3">
      <c r="A7394" s="80"/>
      <c r="B7394" s="81"/>
      <c r="C7394" s="82"/>
    </row>
    <row r="7395" spans="1:3" x14ac:dyDescent="0.3">
      <c r="A7395" s="80"/>
      <c r="B7395" s="81"/>
      <c r="C7395" s="82"/>
    </row>
    <row r="7396" spans="1:3" x14ac:dyDescent="0.3">
      <c r="A7396" s="80"/>
      <c r="B7396" s="81"/>
      <c r="C7396" s="82"/>
    </row>
    <row r="7397" spans="1:3" x14ac:dyDescent="0.3">
      <c r="A7397" s="80"/>
      <c r="B7397" s="81"/>
      <c r="C7397" s="82"/>
    </row>
    <row r="7398" spans="1:3" x14ac:dyDescent="0.3">
      <c r="A7398" s="80"/>
      <c r="B7398" s="81"/>
      <c r="C7398" s="82"/>
    </row>
    <row r="7399" spans="1:3" x14ac:dyDescent="0.3">
      <c r="A7399" s="80"/>
      <c r="B7399" s="81"/>
      <c r="C7399" s="82"/>
    </row>
    <row r="7400" spans="1:3" x14ac:dyDescent="0.3">
      <c r="A7400" s="80"/>
      <c r="B7400" s="81"/>
      <c r="C7400" s="82"/>
    </row>
    <row r="7401" spans="1:3" x14ac:dyDescent="0.3">
      <c r="A7401" s="80"/>
      <c r="B7401" s="81"/>
      <c r="C7401" s="82"/>
    </row>
    <row r="7402" spans="1:3" x14ac:dyDescent="0.3">
      <c r="A7402" s="80"/>
      <c r="B7402" s="81"/>
      <c r="C7402" s="82"/>
    </row>
    <row r="7403" spans="1:3" x14ac:dyDescent="0.3">
      <c r="A7403" s="80"/>
      <c r="B7403" s="81"/>
      <c r="C7403" s="82"/>
    </row>
    <row r="7404" spans="1:3" x14ac:dyDescent="0.3">
      <c r="A7404" s="80"/>
      <c r="B7404" s="81"/>
      <c r="C7404" s="82"/>
    </row>
    <row r="7405" spans="1:3" x14ac:dyDescent="0.3">
      <c r="A7405" s="80"/>
      <c r="B7405" s="81"/>
      <c r="C7405" s="82"/>
    </row>
    <row r="7406" spans="1:3" x14ac:dyDescent="0.3">
      <c r="A7406" s="80"/>
      <c r="B7406" s="81"/>
      <c r="C7406" s="82"/>
    </row>
    <row r="7407" spans="1:3" x14ac:dyDescent="0.3">
      <c r="A7407" s="80"/>
      <c r="B7407" s="81"/>
      <c r="C7407" s="82"/>
    </row>
    <row r="7408" spans="1:3" x14ac:dyDescent="0.3">
      <c r="A7408" s="80"/>
      <c r="B7408" s="81"/>
      <c r="C7408" s="82"/>
    </row>
    <row r="7409" spans="1:3" x14ac:dyDescent="0.3">
      <c r="A7409" s="80"/>
      <c r="B7409" s="81"/>
      <c r="C7409" s="82"/>
    </row>
    <row r="7410" spans="1:3" x14ac:dyDescent="0.3">
      <c r="A7410" s="80"/>
      <c r="B7410" s="81"/>
      <c r="C7410" s="82"/>
    </row>
    <row r="7411" spans="1:3" x14ac:dyDescent="0.3">
      <c r="A7411" s="80"/>
      <c r="B7411" s="81"/>
      <c r="C7411" s="82"/>
    </row>
    <row r="7412" spans="1:3" x14ac:dyDescent="0.3">
      <c r="A7412" s="80"/>
      <c r="B7412" s="81"/>
      <c r="C7412" s="82"/>
    </row>
    <row r="7413" spans="1:3" x14ac:dyDescent="0.3">
      <c r="A7413" s="80"/>
      <c r="B7413" s="81"/>
      <c r="C7413" s="82"/>
    </row>
    <row r="7414" spans="1:3" x14ac:dyDescent="0.3">
      <c r="A7414" s="80"/>
      <c r="B7414" s="81"/>
      <c r="C7414" s="82"/>
    </row>
    <row r="7415" spans="1:3" x14ac:dyDescent="0.3">
      <c r="A7415" s="80"/>
      <c r="B7415" s="81"/>
      <c r="C7415" s="82"/>
    </row>
    <row r="7416" spans="1:3" x14ac:dyDescent="0.3">
      <c r="A7416" s="80"/>
      <c r="B7416" s="81"/>
      <c r="C7416" s="82"/>
    </row>
    <row r="7417" spans="1:3" x14ac:dyDescent="0.3">
      <c r="A7417" s="80"/>
      <c r="B7417" s="81"/>
      <c r="C7417" s="82"/>
    </row>
    <row r="7418" spans="1:3" x14ac:dyDescent="0.3">
      <c r="A7418" s="80"/>
      <c r="B7418" s="81"/>
      <c r="C7418" s="82"/>
    </row>
    <row r="7419" spans="1:3" x14ac:dyDescent="0.3">
      <c r="A7419" s="80"/>
      <c r="B7419" s="81"/>
      <c r="C7419" s="82"/>
    </row>
    <row r="7420" spans="1:3" x14ac:dyDescent="0.3">
      <c r="A7420" s="80"/>
      <c r="B7420" s="81"/>
      <c r="C7420" s="82"/>
    </row>
    <row r="7421" spans="1:3" x14ac:dyDescent="0.3">
      <c r="A7421" s="80"/>
      <c r="B7421" s="81"/>
      <c r="C7421" s="82"/>
    </row>
    <row r="7422" spans="1:3" x14ac:dyDescent="0.3">
      <c r="A7422" s="80"/>
      <c r="B7422" s="81"/>
      <c r="C7422" s="82"/>
    </row>
    <row r="7423" spans="1:3" x14ac:dyDescent="0.3">
      <c r="A7423" s="80"/>
      <c r="B7423" s="81"/>
      <c r="C7423" s="82"/>
    </row>
    <row r="7424" spans="1:3" x14ac:dyDescent="0.3">
      <c r="A7424" s="80"/>
      <c r="B7424" s="81"/>
      <c r="C7424" s="82"/>
    </row>
    <row r="7425" spans="1:3" x14ac:dyDescent="0.3">
      <c r="A7425" s="80"/>
      <c r="B7425" s="81"/>
      <c r="C7425" s="82"/>
    </row>
    <row r="7426" spans="1:3" x14ac:dyDescent="0.3">
      <c r="A7426" s="80"/>
      <c r="B7426" s="81"/>
      <c r="C7426" s="82"/>
    </row>
    <row r="7427" spans="1:3" x14ac:dyDescent="0.3">
      <c r="A7427" s="80"/>
      <c r="B7427" s="81"/>
      <c r="C7427" s="82"/>
    </row>
    <row r="7428" spans="1:3" x14ac:dyDescent="0.3">
      <c r="A7428" s="80"/>
      <c r="B7428" s="81"/>
      <c r="C7428" s="82"/>
    </row>
    <row r="7429" spans="1:3" x14ac:dyDescent="0.3">
      <c r="A7429" s="80"/>
      <c r="B7429" s="81"/>
      <c r="C7429" s="82"/>
    </row>
    <row r="7430" spans="1:3" x14ac:dyDescent="0.3">
      <c r="A7430" s="80"/>
      <c r="B7430" s="81"/>
      <c r="C7430" s="82"/>
    </row>
    <row r="7431" spans="1:3" x14ac:dyDescent="0.3">
      <c r="A7431" s="80"/>
      <c r="B7431" s="81"/>
      <c r="C7431" s="82"/>
    </row>
    <row r="7432" spans="1:3" x14ac:dyDescent="0.3">
      <c r="A7432" s="80"/>
      <c r="B7432" s="81"/>
      <c r="C7432" s="82"/>
    </row>
    <row r="7433" spans="1:3" x14ac:dyDescent="0.3">
      <c r="A7433" s="80"/>
      <c r="B7433" s="81"/>
      <c r="C7433" s="82"/>
    </row>
    <row r="7434" spans="1:3" x14ac:dyDescent="0.3">
      <c r="A7434" s="80"/>
      <c r="B7434" s="81"/>
      <c r="C7434" s="82"/>
    </row>
    <row r="7435" spans="1:3" x14ac:dyDescent="0.3">
      <c r="A7435" s="80"/>
      <c r="B7435" s="81"/>
      <c r="C7435" s="82"/>
    </row>
    <row r="7436" spans="1:3" x14ac:dyDescent="0.3">
      <c r="A7436" s="80"/>
      <c r="B7436" s="81"/>
      <c r="C7436" s="82"/>
    </row>
    <row r="7437" spans="1:3" x14ac:dyDescent="0.3">
      <c r="A7437" s="80"/>
      <c r="B7437" s="81"/>
      <c r="C7437" s="82"/>
    </row>
    <row r="7438" spans="1:3" x14ac:dyDescent="0.3">
      <c r="A7438" s="80"/>
      <c r="B7438" s="81"/>
      <c r="C7438" s="82"/>
    </row>
    <row r="7439" spans="1:3" x14ac:dyDescent="0.3">
      <c r="A7439" s="80"/>
      <c r="B7439" s="81"/>
      <c r="C7439" s="82"/>
    </row>
    <row r="7440" spans="1:3" x14ac:dyDescent="0.3">
      <c r="A7440" s="80"/>
      <c r="B7440" s="81"/>
      <c r="C7440" s="82"/>
    </row>
    <row r="7441" spans="1:3" x14ac:dyDescent="0.3">
      <c r="A7441" s="80"/>
      <c r="B7441" s="81"/>
      <c r="C7441" s="82"/>
    </row>
    <row r="7442" spans="1:3" x14ac:dyDescent="0.3">
      <c r="A7442" s="80"/>
      <c r="B7442" s="81"/>
      <c r="C7442" s="82"/>
    </row>
    <row r="7443" spans="1:3" x14ac:dyDescent="0.3">
      <c r="A7443" s="80"/>
      <c r="B7443" s="81"/>
      <c r="C7443" s="82"/>
    </row>
    <row r="7444" spans="1:3" x14ac:dyDescent="0.3">
      <c r="A7444" s="80"/>
      <c r="B7444" s="81"/>
      <c r="C7444" s="82"/>
    </row>
    <row r="7445" spans="1:3" x14ac:dyDescent="0.3">
      <c r="A7445" s="80"/>
      <c r="B7445" s="81"/>
      <c r="C7445" s="82"/>
    </row>
    <row r="7446" spans="1:3" x14ac:dyDescent="0.3">
      <c r="A7446" s="80"/>
      <c r="B7446" s="81"/>
      <c r="C7446" s="82"/>
    </row>
    <row r="7447" spans="1:3" x14ac:dyDescent="0.3">
      <c r="A7447" s="80"/>
      <c r="B7447" s="81"/>
      <c r="C7447" s="82"/>
    </row>
    <row r="7448" spans="1:3" x14ac:dyDescent="0.3">
      <c r="A7448" s="80"/>
      <c r="B7448" s="81"/>
      <c r="C7448" s="82"/>
    </row>
    <row r="7449" spans="1:3" x14ac:dyDescent="0.3">
      <c r="A7449" s="80"/>
      <c r="B7449" s="81"/>
      <c r="C7449" s="82"/>
    </row>
    <row r="7450" spans="1:3" x14ac:dyDescent="0.3">
      <c r="A7450" s="80"/>
      <c r="B7450" s="81"/>
      <c r="C7450" s="82"/>
    </row>
    <row r="7451" spans="1:3" x14ac:dyDescent="0.3">
      <c r="A7451" s="80"/>
      <c r="B7451" s="81"/>
      <c r="C7451" s="82"/>
    </row>
    <row r="7452" spans="1:3" x14ac:dyDescent="0.3">
      <c r="A7452" s="80"/>
      <c r="B7452" s="81"/>
      <c r="C7452" s="82"/>
    </row>
    <row r="7453" spans="1:3" x14ac:dyDescent="0.3">
      <c r="A7453" s="80"/>
      <c r="B7453" s="81"/>
      <c r="C7453" s="82"/>
    </row>
    <row r="7454" spans="1:3" x14ac:dyDescent="0.3">
      <c r="A7454" s="80"/>
      <c r="B7454" s="81"/>
      <c r="C7454" s="82"/>
    </row>
    <row r="7455" spans="1:3" x14ac:dyDescent="0.3">
      <c r="A7455" s="80"/>
      <c r="B7455" s="81"/>
      <c r="C7455" s="82"/>
    </row>
    <row r="7456" spans="1:3" x14ac:dyDescent="0.3">
      <c r="A7456" s="80"/>
      <c r="B7456" s="81"/>
      <c r="C7456" s="82"/>
    </row>
    <row r="7457" spans="1:3" x14ac:dyDescent="0.3">
      <c r="A7457" s="80"/>
      <c r="B7457" s="81"/>
      <c r="C7457" s="82"/>
    </row>
    <row r="7458" spans="1:3" x14ac:dyDescent="0.3">
      <c r="A7458" s="80"/>
      <c r="B7458" s="81"/>
      <c r="C7458" s="82"/>
    </row>
    <row r="7459" spans="1:3" x14ac:dyDescent="0.3">
      <c r="A7459" s="80"/>
      <c r="B7459" s="81"/>
      <c r="C7459" s="82"/>
    </row>
    <row r="7460" spans="1:3" x14ac:dyDescent="0.3">
      <c r="A7460" s="80"/>
      <c r="B7460" s="81"/>
      <c r="C7460" s="82"/>
    </row>
    <row r="7461" spans="1:3" x14ac:dyDescent="0.3">
      <c r="A7461" s="80"/>
      <c r="B7461" s="81"/>
      <c r="C7461" s="82"/>
    </row>
    <row r="7462" spans="1:3" x14ac:dyDescent="0.3">
      <c r="A7462" s="80"/>
      <c r="B7462" s="81"/>
      <c r="C7462" s="82"/>
    </row>
    <row r="7463" spans="1:3" x14ac:dyDescent="0.3">
      <c r="A7463" s="80"/>
      <c r="B7463" s="81"/>
      <c r="C7463" s="82"/>
    </row>
    <row r="7464" spans="1:3" x14ac:dyDescent="0.3">
      <c r="A7464" s="80"/>
      <c r="B7464" s="81"/>
      <c r="C7464" s="82"/>
    </row>
    <row r="7465" spans="1:3" x14ac:dyDescent="0.3">
      <c r="A7465" s="80"/>
      <c r="B7465" s="81"/>
      <c r="C7465" s="82"/>
    </row>
    <row r="7466" spans="1:3" x14ac:dyDescent="0.3">
      <c r="A7466" s="80"/>
      <c r="B7466" s="81"/>
      <c r="C7466" s="82"/>
    </row>
    <row r="7467" spans="1:3" x14ac:dyDescent="0.3">
      <c r="A7467" s="80"/>
      <c r="B7467" s="81"/>
      <c r="C7467" s="82"/>
    </row>
    <row r="7468" spans="1:3" x14ac:dyDescent="0.3">
      <c r="A7468" s="80"/>
      <c r="B7468" s="81"/>
      <c r="C7468" s="82"/>
    </row>
    <row r="7469" spans="1:3" x14ac:dyDescent="0.3">
      <c r="A7469" s="80"/>
      <c r="B7469" s="81"/>
      <c r="C7469" s="82"/>
    </row>
    <row r="7470" spans="1:3" x14ac:dyDescent="0.3">
      <c r="A7470" s="80"/>
      <c r="B7470" s="81"/>
      <c r="C7470" s="82"/>
    </row>
    <row r="7471" spans="1:3" x14ac:dyDescent="0.3">
      <c r="A7471" s="80"/>
      <c r="B7471" s="81"/>
      <c r="C7471" s="82"/>
    </row>
    <row r="7472" spans="1:3" x14ac:dyDescent="0.3">
      <c r="A7472" s="80"/>
      <c r="B7472" s="81"/>
      <c r="C7472" s="82"/>
    </row>
    <row r="7473" spans="1:3" x14ac:dyDescent="0.3">
      <c r="A7473" s="80"/>
      <c r="B7473" s="81"/>
      <c r="C7473" s="82"/>
    </row>
    <row r="7474" spans="1:3" x14ac:dyDescent="0.3">
      <c r="A7474" s="80"/>
      <c r="B7474" s="81"/>
      <c r="C7474" s="82"/>
    </row>
    <row r="7475" spans="1:3" x14ac:dyDescent="0.3">
      <c r="A7475" s="80"/>
      <c r="B7475" s="81"/>
      <c r="C7475" s="82"/>
    </row>
    <row r="7476" spans="1:3" x14ac:dyDescent="0.3">
      <c r="A7476" s="80"/>
      <c r="B7476" s="81"/>
      <c r="C7476" s="82"/>
    </row>
    <row r="7477" spans="1:3" x14ac:dyDescent="0.3">
      <c r="A7477" s="80"/>
      <c r="B7477" s="81"/>
      <c r="C7477" s="82"/>
    </row>
    <row r="7478" spans="1:3" x14ac:dyDescent="0.3">
      <c r="A7478" s="80"/>
      <c r="B7478" s="81"/>
      <c r="C7478" s="82"/>
    </row>
    <row r="7479" spans="1:3" x14ac:dyDescent="0.3">
      <c r="A7479" s="80"/>
      <c r="B7479" s="81"/>
      <c r="C7479" s="82"/>
    </row>
    <row r="7480" spans="1:3" x14ac:dyDescent="0.3">
      <c r="A7480" s="80"/>
      <c r="B7480" s="81"/>
      <c r="C7480" s="82"/>
    </row>
    <row r="7481" spans="1:3" x14ac:dyDescent="0.3">
      <c r="A7481" s="80"/>
      <c r="B7481" s="81"/>
      <c r="C7481" s="82"/>
    </row>
    <row r="7482" spans="1:3" x14ac:dyDescent="0.3">
      <c r="A7482" s="80"/>
      <c r="B7482" s="81"/>
      <c r="C7482" s="82"/>
    </row>
    <row r="7483" spans="1:3" x14ac:dyDescent="0.3">
      <c r="A7483" s="80"/>
      <c r="B7483" s="81"/>
      <c r="C7483" s="82"/>
    </row>
    <row r="7484" spans="1:3" x14ac:dyDescent="0.3">
      <c r="A7484" s="80"/>
      <c r="B7484" s="81"/>
      <c r="C7484" s="82"/>
    </row>
    <row r="7485" spans="1:3" x14ac:dyDescent="0.3">
      <c r="A7485" s="80"/>
      <c r="B7485" s="81"/>
      <c r="C7485" s="82"/>
    </row>
    <row r="7486" spans="1:3" x14ac:dyDescent="0.3">
      <c r="A7486" s="80"/>
      <c r="B7486" s="81"/>
      <c r="C7486" s="82"/>
    </row>
    <row r="7487" spans="1:3" x14ac:dyDescent="0.3">
      <c r="A7487" s="80"/>
      <c r="B7487" s="81"/>
      <c r="C7487" s="82"/>
    </row>
    <row r="7488" spans="1:3" x14ac:dyDescent="0.3">
      <c r="A7488" s="80"/>
      <c r="B7488" s="81"/>
      <c r="C7488" s="82"/>
    </row>
    <row r="7489" spans="1:3" x14ac:dyDescent="0.3">
      <c r="A7489" s="80"/>
      <c r="B7489" s="81"/>
      <c r="C7489" s="82"/>
    </row>
    <row r="7490" spans="1:3" x14ac:dyDescent="0.3">
      <c r="A7490" s="80"/>
      <c r="B7490" s="81"/>
      <c r="C7490" s="82"/>
    </row>
    <row r="7491" spans="1:3" x14ac:dyDescent="0.3">
      <c r="A7491" s="80"/>
      <c r="B7491" s="81"/>
      <c r="C7491" s="82"/>
    </row>
    <row r="7492" spans="1:3" x14ac:dyDescent="0.3">
      <c r="A7492" s="80"/>
      <c r="B7492" s="81"/>
      <c r="C7492" s="82"/>
    </row>
    <row r="7493" spans="1:3" x14ac:dyDescent="0.3">
      <c r="A7493" s="80"/>
      <c r="B7493" s="81"/>
      <c r="C7493" s="82"/>
    </row>
    <row r="7494" spans="1:3" x14ac:dyDescent="0.3">
      <c r="A7494" s="80"/>
      <c r="B7494" s="81"/>
      <c r="C7494" s="82"/>
    </row>
    <row r="7495" spans="1:3" x14ac:dyDescent="0.3">
      <c r="A7495" s="80"/>
      <c r="B7495" s="81"/>
      <c r="C7495" s="82"/>
    </row>
    <row r="7496" spans="1:3" x14ac:dyDescent="0.3">
      <c r="A7496" s="80"/>
      <c r="B7496" s="81"/>
      <c r="C7496" s="82"/>
    </row>
    <row r="7497" spans="1:3" x14ac:dyDescent="0.3">
      <c r="A7497" s="80"/>
      <c r="B7497" s="81"/>
      <c r="C7497" s="82"/>
    </row>
    <row r="7498" spans="1:3" x14ac:dyDescent="0.3">
      <c r="A7498" s="80"/>
      <c r="B7498" s="81"/>
      <c r="C7498" s="82"/>
    </row>
    <row r="7499" spans="1:3" x14ac:dyDescent="0.3">
      <c r="A7499" s="80"/>
      <c r="B7499" s="81"/>
      <c r="C7499" s="82"/>
    </row>
    <row r="7500" spans="1:3" x14ac:dyDescent="0.3">
      <c r="A7500" s="80"/>
      <c r="B7500" s="81"/>
      <c r="C7500" s="82"/>
    </row>
    <row r="7501" spans="1:3" x14ac:dyDescent="0.3">
      <c r="A7501" s="80"/>
      <c r="B7501" s="81"/>
      <c r="C7501" s="82"/>
    </row>
    <row r="7502" spans="1:3" x14ac:dyDescent="0.3">
      <c r="A7502" s="80"/>
      <c r="B7502" s="81"/>
      <c r="C7502" s="82"/>
    </row>
    <row r="7503" spans="1:3" x14ac:dyDescent="0.3">
      <c r="A7503" s="80"/>
      <c r="B7503" s="81"/>
      <c r="C7503" s="82"/>
    </row>
    <row r="7504" spans="1:3" x14ac:dyDescent="0.3">
      <c r="A7504" s="80"/>
      <c r="B7504" s="81"/>
      <c r="C7504" s="82"/>
    </row>
    <row r="7505" spans="1:3" x14ac:dyDescent="0.3">
      <c r="A7505" s="80"/>
      <c r="B7505" s="81"/>
      <c r="C7505" s="82"/>
    </row>
    <row r="7506" spans="1:3" x14ac:dyDescent="0.3">
      <c r="A7506" s="80"/>
      <c r="B7506" s="81"/>
      <c r="C7506" s="82"/>
    </row>
    <row r="7507" spans="1:3" x14ac:dyDescent="0.3">
      <c r="A7507" s="80"/>
      <c r="B7507" s="81"/>
      <c r="C7507" s="82"/>
    </row>
    <row r="7508" spans="1:3" x14ac:dyDescent="0.3">
      <c r="A7508" s="80"/>
      <c r="B7508" s="81"/>
      <c r="C7508" s="82"/>
    </row>
    <row r="7509" spans="1:3" x14ac:dyDescent="0.3">
      <c r="A7509" s="80"/>
      <c r="B7509" s="81"/>
      <c r="C7509" s="82"/>
    </row>
    <row r="7510" spans="1:3" x14ac:dyDescent="0.3">
      <c r="A7510" s="80"/>
      <c r="B7510" s="81"/>
      <c r="C7510" s="82"/>
    </row>
    <row r="7511" spans="1:3" x14ac:dyDescent="0.3">
      <c r="A7511" s="80"/>
      <c r="B7511" s="81"/>
      <c r="C7511" s="82"/>
    </row>
    <row r="7512" spans="1:3" x14ac:dyDescent="0.3">
      <c r="A7512" s="80"/>
      <c r="B7512" s="81"/>
      <c r="C7512" s="82"/>
    </row>
    <row r="7513" spans="1:3" x14ac:dyDescent="0.3">
      <c r="A7513" s="80"/>
      <c r="B7513" s="81"/>
      <c r="C7513" s="82"/>
    </row>
    <row r="7514" spans="1:3" x14ac:dyDescent="0.3">
      <c r="A7514" s="80"/>
      <c r="B7514" s="81"/>
      <c r="C7514" s="82"/>
    </row>
    <row r="7515" spans="1:3" x14ac:dyDescent="0.3">
      <c r="A7515" s="80"/>
      <c r="B7515" s="81"/>
      <c r="C7515" s="82"/>
    </row>
    <row r="7516" spans="1:3" x14ac:dyDescent="0.3">
      <c r="A7516" s="80"/>
      <c r="B7516" s="81"/>
      <c r="C7516" s="82"/>
    </row>
    <row r="7517" spans="1:3" x14ac:dyDescent="0.3">
      <c r="A7517" s="80"/>
      <c r="B7517" s="81"/>
      <c r="C7517" s="82"/>
    </row>
    <row r="7518" spans="1:3" x14ac:dyDescent="0.3">
      <c r="A7518" s="80"/>
      <c r="B7518" s="81"/>
      <c r="C7518" s="82"/>
    </row>
    <row r="7519" spans="1:3" x14ac:dyDescent="0.3">
      <c r="A7519" s="80"/>
      <c r="B7519" s="81"/>
      <c r="C7519" s="82"/>
    </row>
    <row r="7520" spans="1:3" x14ac:dyDescent="0.3">
      <c r="A7520" s="80"/>
      <c r="B7520" s="81"/>
      <c r="C7520" s="82"/>
    </row>
    <row r="7521" spans="1:3" x14ac:dyDescent="0.3">
      <c r="A7521" s="80"/>
      <c r="B7521" s="81"/>
      <c r="C7521" s="82"/>
    </row>
    <row r="7522" spans="1:3" x14ac:dyDescent="0.3">
      <c r="A7522" s="80"/>
      <c r="B7522" s="81"/>
      <c r="C7522" s="82"/>
    </row>
    <row r="7523" spans="1:3" x14ac:dyDescent="0.3">
      <c r="A7523" s="80"/>
      <c r="B7523" s="81"/>
      <c r="C7523" s="82"/>
    </row>
    <row r="7524" spans="1:3" x14ac:dyDescent="0.3">
      <c r="A7524" s="80"/>
      <c r="B7524" s="81"/>
      <c r="C7524" s="82"/>
    </row>
    <row r="7525" spans="1:3" x14ac:dyDescent="0.3">
      <c r="A7525" s="80"/>
      <c r="B7525" s="81"/>
      <c r="C7525" s="82"/>
    </row>
    <row r="7526" spans="1:3" x14ac:dyDescent="0.3">
      <c r="A7526" s="80"/>
      <c r="B7526" s="81"/>
      <c r="C7526" s="82"/>
    </row>
    <row r="7527" spans="1:3" x14ac:dyDescent="0.3">
      <c r="A7527" s="80"/>
      <c r="B7527" s="81"/>
      <c r="C7527" s="82"/>
    </row>
    <row r="7528" spans="1:3" x14ac:dyDescent="0.3">
      <c r="A7528" s="80"/>
      <c r="B7528" s="81"/>
      <c r="C7528" s="82"/>
    </row>
    <row r="7529" spans="1:3" x14ac:dyDescent="0.3">
      <c r="A7529" s="80"/>
      <c r="B7529" s="81"/>
      <c r="C7529" s="82"/>
    </row>
    <row r="7530" spans="1:3" x14ac:dyDescent="0.3">
      <c r="A7530" s="80"/>
      <c r="B7530" s="81"/>
      <c r="C7530" s="82"/>
    </row>
    <row r="7531" spans="1:3" x14ac:dyDescent="0.3">
      <c r="A7531" s="80"/>
      <c r="B7531" s="81"/>
      <c r="C7531" s="82"/>
    </row>
    <row r="7532" spans="1:3" x14ac:dyDescent="0.3">
      <c r="A7532" s="80"/>
      <c r="B7532" s="81"/>
      <c r="C7532" s="82"/>
    </row>
    <row r="7533" spans="1:3" x14ac:dyDescent="0.3">
      <c r="A7533" s="80"/>
      <c r="B7533" s="81"/>
      <c r="C7533" s="82"/>
    </row>
    <row r="7534" spans="1:3" x14ac:dyDescent="0.3">
      <c r="A7534" s="80"/>
      <c r="B7534" s="81"/>
      <c r="C7534" s="82"/>
    </row>
    <row r="7535" spans="1:3" x14ac:dyDescent="0.3">
      <c r="A7535" s="80"/>
      <c r="B7535" s="81"/>
      <c r="C7535" s="82"/>
    </row>
    <row r="7536" spans="1:3" x14ac:dyDescent="0.3">
      <c r="A7536" s="80"/>
      <c r="B7536" s="81"/>
      <c r="C7536" s="82"/>
    </row>
    <row r="7537" spans="1:3" x14ac:dyDescent="0.3">
      <c r="A7537" s="80"/>
      <c r="B7537" s="81"/>
      <c r="C7537" s="82"/>
    </row>
    <row r="7538" spans="1:3" x14ac:dyDescent="0.3">
      <c r="A7538" s="80"/>
      <c r="B7538" s="81"/>
      <c r="C7538" s="82"/>
    </row>
    <row r="7539" spans="1:3" x14ac:dyDescent="0.3">
      <c r="A7539" s="80"/>
      <c r="B7539" s="81"/>
      <c r="C7539" s="82"/>
    </row>
    <row r="7540" spans="1:3" x14ac:dyDescent="0.3">
      <c r="A7540" s="80"/>
      <c r="B7540" s="81"/>
      <c r="C7540" s="82"/>
    </row>
    <row r="7541" spans="1:3" x14ac:dyDescent="0.3">
      <c r="A7541" s="80"/>
      <c r="B7541" s="81"/>
      <c r="C7541" s="82"/>
    </row>
    <row r="7542" spans="1:3" x14ac:dyDescent="0.3">
      <c r="A7542" s="80"/>
      <c r="B7542" s="81"/>
      <c r="C7542" s="82"/>
    </row>
    <row r="7543" spans="1:3" x14ac:dyDescent="0.3">
      <c r="A7543" s="80"/>
      <c r="B7543" s="81"/>
      <c r="C7543" s="82"/>
    </row>
    <row r="7544" spans="1:3" x14ac:dyDescent="0.3">
      <c r="A7544" s="80"/>
      <c r="B7544" s="81"/>
      <c r="C7544" s="82"/>
    </row>
    <row r="7545" spans="1:3" x14ac:dyDescent="0.3">
      <c r="A7545" s="80"/>
      <c r="B7545" s="81"/>
      <c r="C7545" s="82"/>
    </row>
    <row r="7546" spans="1:3" x14ac:dyDescent="0.3">
      <c r="A7546" s="80"/>
      <c r="B7546" s="81"/>
      <c r="C7546" s="82"/>
    </row>
    <row r="7547" spans="1:3" x14ac:dyDescent="0.3">
      <c r="A7547" s="80"/>
      <c r="B7547" s="81"/>
      <c r="C7547" s="82"/>
    </row>
    <row r="7548" spans="1:3" x14ac:dyDescent="0.3">
      <c r="A7548" s="80"/>
      <c r="B7548" s="81"/>
      <c r="C7548" s="82"/>
    </row>
    <row r="7549" spans="1:3" x14ac:dyDescent="0.3">
      <c r="A7549" s="80"/>
      <c r="B7549" s="81"/>
      <c r="C7549" s="82"/>
    </row>
    <row r="7550" spans="1:3" x14ac:dyDescent="0.3">
      <c r="A7550" s="80"/>
      <c r="B7550" s="81"/>
      <c r="C7550" s="82"/>
    </row>
    <row r="7551" spans="1:3" x14ac:dyDescent="0.3">
      <c r="A7551" s="80"/>
      <c r="B7551" s="81"/>
      <c r="C7551" s="82"/>
    </row>
    <row r="7552" spans="1:3" x14ac:dyDescent="0.3">
      <c r="A7552" s="80"/>
      <c r="B7552" s="81"/>
      <c r="C7552" s="82"/>
    </row>
    <row r="7553" spans="1:3" x14ac:dyDescent="0.3">
      <c r="A7553" s="80"/>
      <c r="B7553" s="81"/>
      <c r="C7553" s="82"/>
    </row>
    <row r="7554" spans="1:3" x14ac:dyDescent="0.3">
      <c r="A7554" s="80"/>
      <c r="B7554" s="81"/>
      <c r="C7554" s="82"/>
    </row>
    <row r="7555" spans="1:3" x14ac:dyDescent="0.3">
      <c r="A7555" s="80"/>
      <c r="B7555" s="81"/>
      <c r="C7555" s="82"/>
    </row>
    <row r="7556" spans="1:3" x14ac:dyDescent="0.3">
      <c r="A7556" s="80"/>
      <c r="B7556" s="81"/>
      <c r="C7556" s="82"/>
    </row>
    <row r="7557" spans="1:3" x14ac:dyDescent="0.3">
      <c r="A7557" s="80"/>
      <c r="B7557" s="81"/>
      <c r="C7557" s="82"/>
    </row>
    <row r="7558" spans="1:3" x14ac:dyDescent="0.3">
      <c r="A7558" s="80"/>
      <c r="B7558" s="81"/>
      <c r="C7558" s="82"/>
    </row>
    <row r="7559" spans="1:3" x14ac:dyDescent="0.3">
      <c r="A7559" s="80"/>
      <c r="B7559" s="81"/>
      <c r="C7559" s="82"/>
    </row>
    <row r="7560" spans="1:3" x14ac:dyDescent="0.3">
      <c r="A7560" s="80"/>
      <c r="B7560" s="81"/>
      <c r="C7560" s="82"/>
    </row>
    <row r="7561" spans="1:3" x14ac:dyDescent="0.3">
      <c r="A7561" s="80"/>
      <c r="B7561" s="81"/>
      <c r="C7561" s="82"/>
    </row>
    <row r="7562" spans="1:3" x14ac:dyDescent="0.3">
      <c r="A7562" s="80"/>
      <c r="B7562" s="81"/>
      <c r="C7562" s="82"/>
    </row>
    <row r="7563" spans="1:3" x14ac:dyDescent="0.3">
      <c r="A7563" s="80"/>
      <c r="B7563" s="81"/>
      <c r="C7563" s="82"/>
    </row>
    <row r="7564" spans="1:3" x14ac:dyDescent="0.3">
      <c r="A7564" s="80"/>
      <c r="B7564" s="81"/>
      <c r="C7564" s="82"/>
    </row>
    <row r="7565" spans="1:3" x14ac:dyDescent="0.3">
      <c r="A7565" s="80"/>
      <c r="B7565" s="81"/>
      <c r="C7565" s="82"/>
    </row>
    <row r="7566" spans="1:3" x14ac:dyDescent="0.3">
      <c r="A7566" s="80"/>
      <c r="B7566" s="81"/>
      <c r="C7566" s="82"/>
    </row>
    <row r="7567" spans="1:3" x14ac:dyDescent="0.3">
      <c r="A7567" s="80"/>
      <c r="B7567" s="81"/>
      <c r="C7567" s="82"/>
    </row>
    <row r="7568" spans="1:3" x14ac:dyDescent="0.3">
      <c r="A7568" s="80"/>
      <c r="B7568" s="81"/>
      <c r="C7568" s="82"/>
    </row>
    <row r="7569" spans="1:3" x14ac:dyDescent="0.3">
      <c r="A7569" s="80"/>
      <c r="B7569" s="81"/>
      <c r="C7569" s="82"/>
    </row>
    <row r="7570" spans="1:3" x14ac:dyDescent="0.3">
      <c r="A7570" s="80"/>
      <c r="B7570" s="81"/>
      <c r="C7570" s="82"/>
    </row>
    <row r="7571" spans="1:3" x14ac:dyDescent="0.3">
      <c r="A7571" s="80"/>
      <c r="B7571" s="81"/>
      <c r="C7571" s="82"/>
    </row>
    <row r="7572" spans="1:3" x14ac:dyDescent="0.3">
      <c r="A7572" s="80"/>
      <c r="B7572" s="81"/>
      <c r="C7572" s="82"/>
    </row>
    <row r="7573" spans="1:3" x14ac:dyDescent="0.3">
      <c r="A7573" s="80"/>
      <c r="B7573" s="81"/>
      <c r="C7573" s="82"/>
    </row>
    <row r="7574" spans="1:3" x14ac:dyDescent="0.3">
      <c r="A7574" s="80"/>
      <c r="B7574" s="81"/>
      <c r="C7574" s="82"/>
    </row>
    <row r="7575" spans="1:3" x14ac:dyDescent="0.3">
      <c r="A7575" s="80"/>
      <c r="B7575" s="81"/>
      <c r="C7575" s="82"/>
    </row>
    <row r="7576" spans="1:3" x14ac:dyDescent="0.3">
      <c r="A7576" s="80"/>
      <c r="B7576" s="81"/>
      <c r="C7576" s="82"/>
    </row>
    <row r="7577" spans="1:3" x14ac:dyDescent="0.3">
      <c r="A7577" s="80"/>
      <c r="B7577" s="81"/>
      <c r="C7577" s="82"/>
    </row>
    <row r="7578" spans="1:3" x14ac:dyDescent="0.3">
      <c r="A7578" s="80"/>
      <c r="B7578" s="81"/>
      <c r="C7578" s="82"/>
    </row>
    <row r="7579" spans="1:3" x14ac:dyDescent="0.3">
      <c r="A7579" s="80"/>
      <c r="B7579" s="81"/>
      <c r="C7579" s="82"/>
    </row>
    <row r="7580" spans="1:3" x14ac:dyDescent="0.3">
      <c r="A7580" s="80"/>
      <c r="B7580" s="81"/>
      <c r="C7580" s="82"/>
    </row>
    <row r="7581" spans="1:3" x14ac:dyDescent="0.3">
      <c r="A7581" s="80"/>
      <c r="B7581" s="81"/>
      <c r="C7581" s="82"/>
    </row>
    <row r="7582" spans="1:3" x14ac:dyDescent="0.3">
      <c r="A7582" s="80"/>
      <c r="B7582" s="81"/>
      <c r="C7582" s="82"/>
    </row>
    <row r="7583" spans="1:3" x14ac:dyDescent="0.3">
      <c r="A7583" s="80"/>
      <c r="B7583" s="81"/>
      <c r="C7583" s="82"/>
    </row>
    <row r="7584" spans="1:3" x14ac:dyDescent="0.3">
      <c r="A7584" s="80"/>
      <c r="B7584" s="81"/>
      <c r="C7584" s="82"/>
    </row>
    <row r="7585" spans="1:3" x14ac:dyDescent="0.3">
      <c r="A7585" s="80"/>
      <c r="B7585" s="81"/>
      <c r="C7585" s="82"/>
    </row>
    <row r="7586" spans="1:3" x14ac:dyDescent="0.3">
      <c r="A7586" s="80"/>
      <c r="B7586" s="81"/>
      <c r="C7586" s="82"/>
    </row>
    <row r="7587" spans="1:3" x14ac:dyDescent="0.3">
      <c r="A7587" s="80"/>
      <c r="B7587" s="81"/>
      <c r="C7587" s="82"/>
    </row>
    <row r="7588" spans="1:3" x14ac:dyDescent="0.3">
      <c r="A7588" s="80"/>
      <c r="B7588" s="81"/>
      <c r="C7588" s="82"/>
    </row>
    <row r="7589" spans="1:3" x14ac:dyDescent="0.3">
      <c r="A7589" s="80"/>
      <c r="B7589" s="81"/>
      <c r="C7589" s="82"/>
    </row>
    <row r="7590" spans="1:3" x14ac:dyDescent="0.3">
      <c r="A7590" s="80"/>
      <c r="B7590" s="81"/>
      <c r="C7590" s="82"/>
    </row>
    <row r="7591" spans="1:3" x14ac:dyDescent="0.3">
      <c r="A7591" s="80"/>
      <c r="B7591" s="81"/>
      <c r="C7591" s="82"/>
    </row>
    <row r="7592" spans="1:3" x14ac:dyDescent="0.3">
      <c r="A7592" s="80"/>
      <c r="B7592" s="81"/>
      <c r="C7592" s="82"/>
    </row>
    <row r="7593" spans="1:3" x14ac:dyDescent="0.3">
      <c r="A7593" s="80"/>
      <c r="B7593" s="81"/>
      <c r="C7593" s="82"/>
    </row>
    <row r="7594" spans="1:3" x14ac:dyDescent="0.3">
      <c r="A7594" s="80"/>
      <c r="B7594" s="81"/>
      <c r="C7594" s="82"/>
    </row>
    <row r="7595" spans="1:3" x14ac:dyDescent="0.3">
      <c r="A7595" s="80"/>
      <c r="B7595" s="81"/>
      <c r="C7595" s="82"/>
    </row>
    <row r="7596" spans="1:3" x14ac:dyDescent="0.3">
      <c r="A7596" s="80"/>
      <c r="B7596" s="81"/>
      <c r="C7596" s="82"/>
    </row>
    <row r="7597" spans="1:3" x14ac:dyDescent="0.3">
      <c r="A7597" s="80"/>
      <c r="B7597" s="81"/>
      <c r="C7597" s="82"/>
    </row>
    <row r="7598" spans="1:3" x14ac:dyDescent="0.3">
      <c r="A7598" s="80"/>
      <c r="B7598" s="81"/>
      <c r="C7598" s="82"/>
    </row>
    <row r="7599" spans="1:3" x14ac:dyDescent="0.3">
      <c r="A7599" s="80"/>
      <c r="B7599" s="81"/>
      <c r="C7599" s="82"/>
    </row>
    <row r="7600" spans="1:3" x14ac:dyDescent="0.3">
      <c r="A7600" s="80"/>
      <c r="B7600" s="81"/>
      <c r="C7600" s="82"/>
    </row>
    <row r="7601" spans="1:3" x14ac:dyDescent="0.3">
      <c r="A7601" s="80"/>
      <c r="B7601" s="81"/>
      <c r="C7601" s="82"/>
    </row>
    <row r="7602" spans="1:3" x14ac:dyDescent="0.3">
      <c r="A7602" s="80"/>
      <c r="B7602" s="81"/>
      <c r="C7602" s="82"/>
    </row>
    <row r="7603" spans="1:3" x14ac:dyDescent="0.3">
      <c r="A7603" s="80"/>
      <c r="B7603" s="81"/>
      <c r="C7603" s="82"/>
    </row>
    <row r="7604" spans="1:3" x14ac:dyDescent="0.3">
      <c r="A7604" s="80"/>
      <c r="B7604" s="81"/>
      <c r="C7604" s="82"/>
    </row>
    <row r="7605" spans="1:3" x14ac:dyDescent="0.3">
      <c r="A7605" s="80"/>
      <c r="B7605" s="81"/>
      <c r="C7605" s="82"/>
    </row>
    <row r="7606" spans="1:3" x14ac:dyDescent="0.3">
      <c r="A7606" s="80"/>
      <c r="B7606" s="81"/>
      <c r="C7606" s="82"/>
    </row>
    <row r="7607" spans="1:3" x14ac:dyDescent="0.3">
      <c r="A7607" s="80"/>
      <c r="B7607" s="81"/>
      <c r="C7607" s="82"/>
    </row>
    <row r="7608" spans="1:3" x14ac:dyDescent="0.3">
      <c r="A7608" s="80"/>
      <c r="B7608" s="81"/>
      <c r="C7608" s="82"/>
    </row>
    <row r="7609" spans="1:3" x14ac:dyDescent="0.3">
      <c r="A7609" s="80"/>
      <c r="B7609" s="81"/>
      <c r="C7609" s="82"/>
    </row>
    <row r="7610" spans="1:3" x14ac:dyDescent="0.3">
      <c r="A7610" s="80"/>
      <c r="B7610" s="81"/>
      <c r="C7610" s="82"/>
    </row>
    <row r="7611" spans="1:3" x14ac:dyDescent="0.3">
      <c r="A7611" s="80"/>
      <c r="B7611" s="81"/>
      <c r="C7611" s="82"/>
    </row>
    <row r="7612" spans="1:3" x14ac:dyDescent="0.3">
      <c r="A7612" s="80"/>
      <c r="B7612" s="81"/>
      <c r="C7612" s="82"/>
    </row>
    <row r="7613" spans="1:3" x14ac:dyDescent="0.3">
      <c r="A7613" s="80"/>
      <c r="B7613" s="81"/>
      <c r="C7613" s="82"/>
    </row>
    <row r="7614" spans="1:3" x14ac:dyDescent="0.3">
      <c r="A7614" s="80"/>
      <c r="B7614" s="81"/>
      <c r="C7614" s="82"/>
    </row>
    <row r="7615" spans="1:3" x14ac:dyDescent="0.3">
      <c r="A7615" s="80"/>
      <c r="B7615" s="81"/>
      <c r="C7615" s="82"/>
    </row>
    <row r="7616" spans="1:3" x14ac:dyDescent="0.3">
      <c r="A7616" s="80"/>
      <c r="B7616" s="81"/>
      <c r="C7616" s="82"/>
    </row>
    <row r="7617" spans="1:3" x14ac:dyDescent="0.3">
      <c r="A7617" s="80"/>
      <c r="B7617" s="81"/>
      <c r="C7617" s="82"/>
    </row>
    <row r="7618" spans="1:3" x14ac:dyDescent="0.3">
      <c r="A7618" s="80"/>
      <c r="B7618" s="81"/>
      <c r="C7618" s="82"/>
    </row>
    <row r="7619" spans="1:3" x14ac:dyDescent="0.3">
      <c r="A7619" s="80"/>
      <c r="B7619" s="81"/>
      <c r="C7619" s="82"/>
    </row>
    <row r="7620" spans="1:3" x14ac:dyDescent="0.3">
      <c r="A7620" s="80"/>
      <c r="B7620" s="81"/>
      <c r="C7620" s="82"/>
    </row>
    <row r="7621" spans="1:3" x14ac:dyDescent="0.3">
      <c r="A7621" s="80"/>
      <c r="B7621" s="81"/>
      <c r="C7621" s="82"/>
    </row>
    <row r="7622" spans="1:3" x14ac:dyDescent="0.3">
      <c r="A7622" s="80"/>
      <c r="B7622" s="81"/>
      <c r="C7622" s="82"/>
    </row>
    <row r="7623" spans="1:3" x14ac:dyDescent="0.3">
      <c r="A7623" s="80"/>
      <c r="B7623" s="81"/>
      <c r="C7623" s="82"/>
    </row>
    <row r="7624" spans="1:3" x14ac:dyDescent="0.3">
      <c r="A7624" s="80"/>
      <c r="B7624" s="81"/>
      <c r="C7624" s="82"/>
    </row>
    <row r="7625" spans="1:3" x14ac:dyDescent="0.3">
      <c r="A7625" s="80"/>
      <c r="B7625" s="81"/>
      <c r="C7625" s="82"/>
    </row>
    <row r="7626" spans="1:3" x14ac:dyDescent="0.3">
      <c r="A7626" s="80"/>
      <c r="B7626" s="81"/>
      <c r="C7626" s="82"/>
    </row>
    <row r="7627" spans="1:3" x14ac:dyDescent="0.3">
      <c r="A7627" s="80"/>
      <c r="B7627" s="81"/>
      <c r="C7627" s="82"/>
    </row>
    <row r="7628" spans="1:3" x14ac:dyDescent="0.3">
      <c r="A7628" s="80"/>
      <c r="B7628" s="81"/>
      <c r="C7628" s="82"/>
    </row>
    <row r="7629" spans="1:3" x14ac:dyDescent="0.3">
      <c r="A7629" s="80"/>
      <c r="B7629" s="81"/>
      <c r="C7629" s="82"/>
    </row>
    <row r="7630" spans="1:3" x14ac:dyDescent="0.3">
      <c r="A7630" s="80"/>
      <c r="B7630" s="81"/>
      <c r="C7630" s="82"/>
    </row>
    <row r="7631" spans="1:3" x14ac:dyDescent="0.3">
      <c r="A7631" s="80"/>
      <c r="B7631" s="81"/>
      <c r="C7631" s="82"/>
    </row>
    <row r="7632" spans="1:3" x14ac:dyDescent="0.3">
      <c r="A7632" s="80"/>
      <c r="B7632" s="81"/>
      <c r="C7632" s="82"/>
    </row>
    <row r="7633" spans="1:3" x14ac:dyDescent="0.3">
      <c r="A7633" s="80"/>
      <c r="B7633" s="81"/>
      <c r="C7633" s="82"/>
    </row>
    <row r="7634" spans="1:3" x14ac:dyDescent="0.3">
      <c r="A7634" s="80"/>
      <c r="B7634" s="81"/>
      <c r="C7634" s="82"/>
    </row>
    <row r="7635" spans="1:3" x14ac:dyDescent="0.3">
      <c r="A7635" s="80"/>
      <c r="B7635" s="81"/>
      <c r="C7635" s="82"/>
    </row>
    <row r="7636" spans="1:3" x14ac:dyDescent="0.3">
      <c r="A7636" s="80"/>
      <c r="B7636" s="81"/>
      <c r="C7636" s="82"/>
    </row>
    <row r="7637" spans="1:3" x14ac:dyDescent="0.3">
      <c r="A7637" s="80"/>
      <c r="B7637" s="81"/>
      <c r="C7637" s="82"/>
    </row>
    <row r="7638" spans="1:3" x14ac:dyDescent="0.3">
      <c r="A7638" s="80"/>
      <c r="B7638" s="81"/>
      <c r="C7638" s="82"/>
    </row>
    <row r="7639" spans="1:3" x14ac:dyDescent="0.3">
      <c r="A7639" s="80"/>
      <c r="B7639" s="81"/>
      <c r="C7639" s="82"/>
    </row>
    <row r="7640" spans="1:3" x14ac:dyDescent="0.3">
      <c r="A7640" s="80"/>
      <c r="B7640" s="81"/>
      <c r="C7640" s="82"/>
    </row>
    <row r="7641" spans="1:3" x14ac:dyDescent="0.3">
      <c r="A7641" s="80"/>
      <c r="B7641" s="81"/>
      <c r="C7641" s="82"/>
    </row>
    <row r="7642" spans="1:3" x14ac:dyDescent="0.3">
      <c r="A7642" s="80"/>
      <c r="B7642" s="81"/>
      <c r="C7642" s="82"/>
    </row>
    <row r="7643" spans="1:3" x14ac:dyDescent="0.3">
      <c r="A7643" s="80"/>
      <c r="B7643" s="81"/>
      <c r="C7643" s="82"/>
    </row>
    <row r="7644" spans="1:3" x14ac:dyDescent="0.3">
      <c r="A7644" s="80"/>
      <c r="B7644" s="81"/>
      <c r="C7644" s="82"/>
    </row>
    <row r="7645" spans="1:3" x14ac:dyDescent="0.3">
      <c r="A7645" s="80"/>
      <c r="B7645" s="81"/>
      <c r="C7645" s="82"/>
    </row>
    <row r="7646" spans="1:3" x14ac:dyDescent="0.3">
      <c r="A7646" s="80"/>
      <c r="B7646" s="81"/>
      <c r="C7646" s="82"/>
    </row>
    <row r="7647" spans="1:3" x14ac:dyDescent="0.3">
      <c r="A7647" s="80"/>
      <c r="B7647" s="81"/>
      <c r="C7647" s="82"/>
    </row>
    <row r="7648" spans="1:3" x14ac:dyDescent="0.3">
      <c r="A7648" s="80"/>
      <c r="B7648" s="81"/>
      <c r="C7648" s="82"/>
    </row>
    <row r="7649" spans="1:3" x14ac:dyDescent="0.3">
      <c r="A7649" s="80"/>
      <c r="B7649" s="81"/>
      <c r="C7649" s="82"/>
    </row>
    <row r="7650" spans="1:3" x14ac:dyDescent="0.3">
      <c r="A7650" s="80"/>
      <c r="B7650" s="81"/>
      <c r="C7650" s="82"/>
    </row>
    <row r="7651" spans="1:3" x14ac:dyDescent="0.3">
      <c r="A7651" s="80"/>
      <c r="B7651" s="81"/>
      <c r="C7651" s="82"/>
    </row>
    <row r="7652" spans="1:3" x14ac:dyDescent="0.3">
      <c r="A7652" s="80"/>
      <c r="B7652" s="81"/>
      <c r="C7652" s="82"/>
    </row>
    <row r="7653" spans="1:3" x14ac:dyDescent="0.3">
      <c r="A7653" s="80"/>
      <c r="B7653" s="81"/>
      <c r="C7653" s="82"/>
    </row>
    <row r="7654" spans="1:3" x14ac:dyDescent="0.3">
      <c r="A7654" s="80"/>
      <c r="B7654" s="81"/>
      <c r="C7654" s="82"/>
    </row>
    <row r="7655" spans="1:3" x14ac:dyDescent="0.3">
      <c r="A7655" s="80"/>
      <c r="B7655" s="81"/>
      <c r="C7655" s="82"/>
    </row>
    <row r="7656" spans="1:3" x14ac:dyDescent="0.3">
      <c r="A7656" s="80"/>
      <c r="B7656" s="81"/>
      <c r="C7656" s="82"/>
    </row>
    <row r="7657" spans="1:3" x14ac:dyDescent="0.3">
      <c r="A7657" s="80"/>
      <c r="B7657" s="81"/>
      <c r="C7657" s="82"/>
    </row>
    <row r="7658" spans="1:3" x14ac:dyDescent="0.3">
      <c r="A7658" s="80"/>
      <c r="B7658" s="81"/>
      <c r="C7658" s="82"/>
    </row>
    <row r="7659" spans="1:3" x14ac:dyDescent="0.3">
      <c r="A7659" s="80"/>
      <c r="B7659" s="81"/>
      <c r="C7659" s="82"/>
    </row>
    <row r="7660" spans="1:3" x14ac:dyDescent="0.3">
      <c r="A7660" s="80"/>
      <c r="B7660" s="81"/>
      <c r="C7660" s="82"/>
    </row>
    <row r="7661" spans="1:3" x14ac:dyDescent="0.3">
      <c r="A7661" s="80"/>
      <c r="B7661" s="81"/>
      <c r="C7661" s="82"/>
    </row>
    <row r="7662" spans="1:3" x14ac:dyDescent="0.3">
      <c r="A7662" s="80"/>
      <c r="B7662" s="81"/>
      <c r="C7662" s="82"/>
    </row>
    <row r="7663" spans="1:3" x14ac:dyDescent="0.3">
      <c r="A7663" s="80"/>
      <c r="B7663" s="81"/>
      <c r="C7663" s="82"/>
    </row>
    <row r="7664" spans="1:3" x14ac:dyDescent="0.3">
      <c r="A7664" s="80"/>
      <c r="B7664" s="81"/>
      <c r="C7664" s="82"/>
    </row>
    <row r="7665" spans="1:3" x14ac:dyDescent="0.3">
      <c r="A7665" s="80"/>
      <c r="B7665" s="81"/>
      <c r="C7665" s="82"/>
    </row>
    <row r="7666" spans="1:3" x14ac:dyDescent="0.3">
      <c r="A7666" s="80"/>
      <c r="B7666" s="81"/>
      <c r="C7666" s="82"/>
    </row>
    <row r="7667" spans="1:3" x14ac:dyDescent="0.3">
      <c r="A7667" s="80"/>
      <c r="B7667" s="81"/>
      <c r="C7667" s="82"/>
    </row>
    <row r="7668" spans="1:3" x14ac:dyDescent="0.3">
      <c r="A7668" s="80"/>
      <c r="B7668" s="81"/>
      <c r="C7668" s="82"/>
    </row>
    <row r="7669" spans="1:3" x14ac:dyDescent="0.3">
      <c r="A7669" s="80"/>
      <c r="B7669" s="81"/>
      <c r="C7669" s="82"/>
    </row>
    <row r="7670" spans="1:3" x14ac:dyDescent="0.3">
      <c r="A7670" s="80"/>
      <c r="B7670" s="81"/>
      <c r="C7670" s="82"/>
    </row>
    <row r="7671" spans="1:3" x14ac:dyDescent="0.3">
      <c r="A7671" s="80"/>
      <c r="B7671" s="81"/>
      <c r="C7671" s="82"/>
    </row>
    <row r="7672" spans="1:3" x14ac:dyDescent="0.3">
      <c r="A7672" s="80"/>
      <c r="B7672" s="81"/>
      <c r="C7672" s="82"/>
    </row>
    <row r="7673" spans="1:3" x14ac:dyDescent="0.3">
      <c r="A7673" s="80"/>
      <c r="B7673" s="81"/>
      <c r="C7673" s="82"/>
    </row>
    <row r="7674" spans="1:3" x14ac:dyDescent="0.3">
      <c r="A7674" s="80"/>
      <c r="B7674" s="81"/>
      <c r="C7674" s="82"/>
    </row>
    <row r="7675" spans="1:3" x14ac:dyDescent="0.3">
      <c r="A7675" s="80"/>
      <c r="B7675" s="81"/>
      <c r="C7675" s="82"/>
    </row>
    <row r="7676" spans="1:3" x14ac:dyDescent="0.3">
      <c r="A7676" s="80"/>
      <c r="B7676" s="81"/>
      <c r="C7676" s="82"/>
    </row>
    <row r="7677" spans="1:3" x14ac:dyDescent="0.3">
      <c r="A7677" s="80"/>
      <c r="B7677" s="81"/>
      <c r="C7677" s="82"/>
    </row>
    <row r="7678" spans="1:3" x14ac:dyDescent="0.3">
      <c r="A7678" s="80"/>
      <c r="B7678" s="81"/>
      <c r="C7678" s="82"/>
    </row>
    <row r="7679" spans="1:3" x14ac:dyDescent="0.3">
      <c r="A7679" s="80"/>
      <c r="B7679" s="81"/>
      <c r="C7679" s="82"/>
    </row>
    <row r="7680" spans="1:3" x14ac:dyDescent="0.3">
      <c r="A7680" s="80"/>
      <c r="B7680" s="81"/>
      <c r="C7680" s="82"/>
    </row>
    <row r="7681" spans="1:3" x14ac:dyDescent="0.3">
      <c r="A7681" s="80"/>
      <c r="B7681" s="81"/>
      <c r="C7681" s="82"/>
    </row>
    <row r="7682" spans="1:3" x14ac:dyDescent="0.3">
      <c r="A7682" s="80"/>
      <c r="B7682" s="81"/>
      <c r="C7682" s="82"/>
    </row>
    <row r="7683" spans="1:3" x14ac:dyDescent="0.3">
      <c r="A7683" s="80"/>
      <c r="B7683" s="81"/>
      <c r="C7683" s="82"/>
    </row>
    <row r="7684" spans="1:3" x14ac:dyDescent="0.3">
      <c r="A7684" s="80"/>
      <c r="B7684" s="81"/>
      <c r="C7684" s="82"/>
    </row>
    <row r="7685" spans="1:3" x14ac:dyDescent="0.3">
      <c r="A7685" s="80"/>
      <c r="B7685" s="81"/>
      <c r="C7685" s="82"/>
    </row>
    <row r="7686" spans="1:3" x14ac:dyDescent="0.3">
      <c r="A7686" s="80"/>
      <c r="B7686" s="81"/>
      <c r="C7686" s="82"/>
    </row>
    <row r="7687" spans="1:3" x14ac:dyDescent="0.3">
      <c r="A7687" s="80"/>
      <c r="B7687" s="81"/>
      <c r="C7687" s="82"/>
    </row>
    <row r="7688" spans="1:3" x14ac:dyDescent="0.3">
      <c r="A7688" s="80"/>
      <c r="B7688" s="81"/>
      <c r="C7688" s="82"/>
    </row>
    <row r="7689" spans="1:3" x14ac:dyDescent="0.3">
      <c r="A7689" s="80"/>
      <c r="B7689" s="81"/>
      <c r="C7689" s="82"/>
    </row>
    <row r="7690" spans="1:3" x14ac:dyDescent="0.3">
      <c r="A7690" s="80"/>
      <c r="B7690" s="81"/>
      <c r="C7690" s="82"/>
    </row>
    <row r="7691" spans="1:3" x14ac:dyDescent="0.3">
      <c r="A7691" s="80"/>
      <c r="B7691" s="81"/>
      <c r="C7691" s="82"/>
    </row>
    <row r="7692" spans="1:3" x14ac:dyDescent="0.3">
      <c r="A7692" s="80"/>
      <c r="B7692" s="81"/>
      <c r="C7692" s="82"/>
    </row>
    <row r="7693" spans="1:3" x14ac:dyDescent="0.3">
      <c r="A7693" s="80"/>
      <c r="B7693" s="81"/>
      <c r="C7693" s="82"/>
    </row>
    <row r="7694" spans="1:3" x14ac:dyDescent="0.3">
      <c r="A7694" s="80"/>
      <c r="B7694" s="81"/>
      <c r="C7694" s="82"/>
    </row>
    <row r="7695" spans="1:3" x14ac:dyDescent="0.3">
      <c r="A7695" s="80"/>
      <c r="B7695" s="81"/>
      <c r="C7695" s="82"/>
    </row>
    <row r="7696" spans="1:3" x14ac:dyDescent="0.3">
      <c r="A7696" s="80"/>
      <c r="B7696" s="81"/>
      <c r="C7696" s="82"/>
    </row>
    <row r="7697" spans="1:3" x14ac:dyDescent="0.3">
      <c r="A7697" s="80"/>
      <c r="B7697" s="81"/>
      <c r="C7697" s="82"/>
    </row>
    <row r="7698" spans="1:3" x14ac:dyDescent="0.3">
      <c r="A7698" s="80"/>
      <c r="B7698" s="81"/>
      <c r="C7698" s="82"/>
    </row>
    <row r="7699" spans="1:3" x14ac:dyDescent="0.3">
      <c r="A7699" s="80"/>
      <c r="B7699" s="81"/>
      <c r="C7699" s="82"/>
    </row>
    <row r="7700" spans="1:3" x14ac:dyDescent="0.3">
      <c r="A7700" s="80"/>
      <c r="B7700" s="81"/>
      <c r="C7700" s="82"/>
    </row>
    <row r="7701" spans="1:3" x14ac:dyDescent="0.3">
      <c r="A7701" s="80"/>
      <c r="B7701" s="81"/>
      <c r="C7701" s="82"/>
    </row>
    <row r="7702" spans="1:3" x14ac:dyDescent="0.3">
      <c r="A7702" s="80"/>
      <c r="B7702" s="81"/>
      <c r="C7702" s="82"/>
    </row>
    <row r="7703" spans="1:3" x14ac:dyDescent="0.3">
      <c r="A7703" s="80"/>
      <c r="B7703" s="81"/>
      <c r="C7703" s="82"/>
    </row>
    <row r="7704" spans="1:3" x14ac:dyDescent="0.3">
      <c r="A7704" s="80"/>
      <c r="B7704" s="81"/>
      <c r="C7704" s="82"/>
    </row>
    <row r="7705" spans="1:3" x14ac:dyDescent="0.3">
      <c r="A7705" s="80"/>
      <c r="B7705" s="81"/>
      <c r="C7705" s="82"/>
    </row>
    <row r="7706" spans="1:3" x14ac:dyDescent="0.3">
      <c r="A7706" s="80"/>
      <c r="B7706" s="81"/>
      <c r="C7706" s="82"/>
    </row>
    <row r="7707" spans="1:3" x14ac:dyDescent="0.3">
      <c r="A7707" s="80"/>
      <c r="B7707" s="81"/>
      <c r="C7707" s="82"/>
    </row>
    <row r="7708" spans="1:3" x14ac:dyDescent="0.3">
      <c r="A7708" s="80"/>
      <c r="B7708" s="81"/>
      <c r="C7708" s="82"/>
    </row>
    <row r="7709" spans="1:3" x14ac:dyDescent="0.3">
      <c r="A7709" s="80"/>
      <c r="B7709" s="81"/>
      <c r="C7709" s="82"/>
    </row>
    <row r="7710" spans="1:3" x14ac:dyDescent="0.3">
      <c r="A7710" s="80"/>
      <c r="B7710" s="81"/>
      <c r="C7710" s="82"/>
    </row>
    <row r="7711" spans="1:3" x14ac:dyDescent="0.3">
      <c r="A7711" s="80"/>
      <c r="B7711" s="81"/>
      <c r="C7711" s="82"/>
    </row>
    <row r="7712" spans="1:3" x14ac:dyDescent="0.3">
      <c r="A7712" s="80"/>
      <c r="B7712" s="81"/>
      <c r="C7712" s="82"/>
    </row>
    <row r="7713" spans="1:3" x14ac:dyDescent="0.3">
      <c r="A7713" s="80"/>
      <c r="B7713" s="81"/>
      <c r="C7713" s="82"/>
    </row>
    <row r="7714" spans="1:3" x14ac:dyDescent="0.3">
      <c r="A7714" s="80"/>
      <c r="B7714" s="81"/>
      <c r="C7714" s="82"/>
    </row>
    <row r="7715" spans="1:3" x14ac:dyDescent="0.3">
      <c r="A7715" s="80"/>
      <c r="B7715" s="81"/>
      <c r="C7715" s="82"/>
    </row>
    <row r="7716" spans="1:3" x14ac:dyDescent="0.3">
      <c r="A7716" s="80"/>
      <c r="B7716" s="81"/>
      <c r="C7716" s="82"/>
    </row>
    <row r="7717" spans="1:3" x14ac:dyDescent="0.3">
      <c r="A7717" s="80"/>
      <c r="B7717" s="81"/>
      <c r="C7717" s="82"/>
    </row>
    <row r="7718" spans="1:3" x14ac:dyDescent="0.3">
      <c r="A7718" s="80"/>
      <c r="B7718" s="81"/>
      <c r="C7718" s="82"/>
    </row>
    <row r="7719" spans="1:3" x14ac:dyDescent="0.3">
      <c r="A7719" s="80"/>
      <c r="B7719" s="81"/>
      <c r="C7719" s="82"/>
    </row>
    <row r="7720" spans="1:3" x14ac:dyDescent="0.3">
      <c r="A7720" s="80"/>
      <c r="B7720" s="81"/>
      <c r="C7720" s="82"/>
    </row>
    <row r="7721" spans="1:3" x14ac:dyDescent="0.3">
      <c r="A7721" s="80"/>
      <c r="B7721" s="81"/>
      <c r="C7721" s="82"/>
    </row>
    <row r="7722" spans="1:3" x14ac:dyDescent="0.3">
      <c r="A7722" s="80"/>
      <c r="B7722" s="81"/>
      <c r="C7722" s="82"/>
    </row>
    <row r="7723" spans="1:3" x14ac:dyDescent="0.3">
      <c r="A7723" s="80"/>
      <c r="B7723" s="81"/>
      <c r="C7723" s="82"/>
    </row>
    <row r="7724" spans="1:3" x14ac:dyDescent="0.3">
      <c r="A7724" s="80"/>
      <c r="B7724" s="81"/>
      <c r="C7724" s="82"/>
    </row>
    <row r="7725" spans="1:3" x14ac:dyDescent="0.3">
      <c r="A7725" s="80"/>
      <c r="B7725" s="81"/>
      <c r="C7725" s="82"/>
    </row>
    <row r="7726" spans="1:3" x14ac:dyDescent="0.3">
      <c r="A7726" s="80"/>
      <c r="B7726" s="81"/>
      <c r="C7726" s="82"/>
    </row>
    <row r="7727" spans="1:3" x14ac:dyDescent="0.3">
      <c r="A7727" s="80"/>
      <c r="B7727" s="81"/>
      <c r="C7727" s="82"/>
    </row>
    <row r="7728" spans="1:3" x14ac:dyDescent="0.3">
      <c r="A7728" s="80"/>
      <c r="B7728" s="81"/>
      <c r="C7728" s="82"/>
    </row>
    <row r="7729" spans="1:3" x14ac:dyDescent="0.3">
      <c r="A7729" s="80"/>
      <c r="B7729" s="81"/>
      <c r="C7729" s="82"/>
    </row>
    <row r="7730" spans="1:3" x14ac:dyDescent="0.3">
      <c r="A7730" s="80"/>
      <c r="B7730" s="81"/>
      <c r="C7730" s="82"/>
    </row>
    <row r="7731" spans="1:3" x14ac:dyDescent="0.3">
      <c r="A7731" s="80"/>
      <c r="B7731" s="81"/>
      <c r="C7731" s="82"/>
    </row>
    <row r="7732" spans="1:3" x14ac:dyDescent="0.3">
      <c r="A7732" s="80"/>
      <c r="B7732" s="81"/>
      <c r="C7732" s="82"/>
    </row>
    <row r="7733" spans="1:3" x14ac:dyDescent="0.3">
      <c r="A7733" s="80"/>
      <c r="B7733" s="81"/>
      <c r="C7733" s="82"/>
    </row>
    <row r="7734" spans="1:3" x14ac:dyDescent="0.3">
      <c r="A7734" s="80"/>
      <c r="B7734" s="81"/>
      <c r="C7734" s="82"/>
    </row>
    <row r="7735" spans="1:3" x14ac:dyDescent="0.3">
      <c r="A7735" s="80"/>
      <c r="B7735" s="81"/>
      <c r="C7735" s="82"/>
    </row>
    <row r="7736" spans="1:3" x14ac:dyDescent="0.3">
      <c r="A7736" s="80"/>
      <c r="B7736" s="81"/>
      <c r="C7736" s="82"/>
    </row>
    <row r="7737" spans="1:3" x14ac:dyDescent="0.3">
      <c r="A7737" s="80"/>
      <c r="B7737" s="81"/>
      <c r="C7737" s="82"/>
    </row>
    <row r="7738" spans="1:3" x14ac:dyDescent="0.3">
      <c r="A7738" s="80"/>
      <c r="B7738" s="81"/>
      <c r="C7738" s="82"/>
    </row>
    <row r="7739" spans="1:3" x14ac:dyDescent="0.3">
      <c r="A7739" s="80"/>
      <c r="B7739" s="81"/>
      <c r="C7739" s="82"/>
    </row>
    <row r="7740" spans="1:3" x14ac:dyDescent="0.3">
      <c r="A7740" s="80"/>
      <c r="B7740" s="81"/>
      <c r="C7740" s="82"/>
    </row>
    <row r="7741" spans="1:3" x14ac:dyDescent="0.3">
      <c r="A7741" s="80"/>
      <c r="B7741" s="81"/>
      <c r="C7741" s="82"/>
    </row>
    <row r="7742" spans="1:3" x14ac:dyDescent="0.3">
      <c r="A7742" s="80"/>
      <c r="B7742" s="81"/>
      <c r="C7742" s="82"/>
    </row>
    <row r="7743" spans="1:3" x14ac:dyDescent="0.3">
      <c r="A7743" s="80"/>
      <c r="B7743" s="81"/>
      <c r="C7743" s="82"/>
    </row>
    <row r="7744" spans="1:3" x14ac:dyDescent="0.3">
      <c r="A7744" s="80"/>
      <c r="B7744" s="81"/>
      <c r="C7744" s="82"/>
    </row>
    <row r="7745" spans="1:3" x14ac:dyDescent="0.3">
      <c r="A7745" s="80"/>
      <c r="B7745" s="81"/>
      <c r="C7745" s="82"/>
    </row>
    <row r="7746" spans="1:3" x14ac:dyDescent="0.3">
      <c r="A7746" s="80"/>
      <c r="B7746" s="81"/>
      <c r="C7746" s="82"/>
    </row>
    <row r="7747" spans="1:3" x14ac:dyDescent="0.3">
      <c r="A7747" s="80"/>
      <c r="B7747" s="81"/>
      <c r="C7747" s="82"/>
    </row>
    <row r="7748" spans="1:3" x14ac:dyDescent="0.3">
      <c r="A7748" s="80"/>
      <c r="B7748" s="81"/>
      <c r="C7748" s="82"/>
    </row>
    <row r="7749" spans="1:3" x14ac:dyDescent="0.3">
      <c r="A7749" s="80"/>
      <c r="B7749" s="81"/>
      <c r="C7749" s="82"/>
    </row>
    <row r="7750" spans="1:3" x14ac:dyDescent="0.3">
      <c r="A7750" s="80"/>
      <c r="B7750" s="81"/>
      <c r="C7750" s="82"/>
    </row>
    <row r="7751" spans="1:3" x14ac:dyDescent="0.3">
      <c r="A7751" s="80"/>
      <c r="B7751" s="81"/>
      <c r="C7751" s="82"/>
    </row>
    <row r="7752" spans="1:3" x14ac:dyDescent="0.3">
      <c r="A7752" s="80"/>
      <c r="B7752" s="81"/>
      <c r="C7752" s="82"/>
    </row>
    <row r="7753" spans="1:3" x14ac:dyDescent="0.3">
      <c r="A7753" s="80"/>
      <c r="B7753" s="81"/>
      <c r="C7753" s="82"/>
    </row>
    <row r="7754" spans="1:3" x14ac:dyDescent="0.3">
      <c r="A7754" s="80"/>
      <c r="B7754" s="81"/>
      <c r="C7754" s="82"/>
    </row>
    <row r="7755" spans="1:3" x14ac:dyDescent="0.3">
      <c r="A7755" s="80"/>
      <c r="B7755" s="81"/>
      <c r="C7755" s="82"/>
    </row>
    <row r="7756" spans="1:3" x14ac:dyDescent="0.3">
      <c r="A7756" s="80"/>
      <c r="B7756" s="81"/>
      <c r="C7756" s="82"/>
    </row>
    <row r="7757" spans="1:3" x14ac:dyDescent="0.3">
      <c r="A7757" s="80"/>
      <c r="B7757" s="81"/>
      <c r="C7757" s="82"/>
    </row>
    <row r="7758" spans="1:3" x14ac:dyDescent="0.3">
      <c r="A7758" s="80"/>
      <c r="B7758" s="81"/>
      <c r="C7758" s="82"/>
    </row>
    <row r="7759" spans="1:3" x14ac:dyDescent="0.3">
      <c r="A7759" s="80"/>
      <c r="B7759" s="81"/>
      <c r="C7759" s="82"/>
    </row>
    <row r="7760" spans="1:3" x14ac:dyDescent="0.3">
      <c r="A7760" s="80"/>
      <c r="B7760" s="81"/>
      <c r="C7760" s="82"/>
    </row>
    <row r="7761" spans="1:3" x14ac:dyDescent="0.3">
      <c r="A7761" s="80"/>
      <c r="B7761" s="81"/>
      <c r="C7761" s="82"/>
    </row>
    <row r="7762" spans="1:3" x14ac:dyDescent="0.3">
      <c r="A7762" s="80"/>
      <c r="B7762" s="81"/>
      <c r="C7762" s="82"/>
    </row>
    <row r="7763" spans="1:3" x14ac:dyDescent="0.3">
      <c r="A7763" s="80"/>
      <c r="B7763" s="81"/>
      <c r="C7763" s="82"/>
    </row>
    <row r="7764" spans="1:3" x14ac:dyDescent="0.3">
      <c r="A7764" s="80"/>
      <c r="B7764" s="81"/>
      <c r="C7764" s="82"/>
    </row>
    <row r="7765" spans="1:3" x14ac:dyDescent="0.3">
      <c r="A7765" s="80"/>
      <c r="B7765" s="81"/>
      <c r="C7765" s="82"/>
    </row>
    <row r="7766" spans="1:3" x14ac:dyDescent="0.3">
      <c r="A7766" s="80"/>
      <c r="B7766" s="81"/>
      <c r="C7766" s="82"/>
    </row>
    <row r="7767" spans="1:3" x14ac:dyDescent="0.3">
      <c r="A7767" s="80"/>
      <c r="B7767" s="81"/>
      <c r="C7767" s="82"/>
    </row>
    <row r="7768" spans="1:3" x14ac:dyDescent="0.3">
      <c r="A7768" s="80"/>
      <c r="B7768" s="81"/>
      <c r="C7768" s="82"/>
    </row>
    <row r="7769" spans="1:3" x14ac:dyDescent="0.3">
      <c r="A7769" s="80"/>
      <c r="B7769" s="81"/>
      <c r="C7769" s="82"/>
    </row>
    <row r="7770" spans="1:3" x14ac:dyDescent="0.3">
      <c r="A7770" s="80"/>
      <c r="B7770" s="81"/>
      <c r="C7770" s="82"/>
    </row>
    <row r="7771" spans="1:3" x14ac:dyDescent="0.3">
      <c r="A7771" s="80"/>
      <c r="B7771" s="81"/>
      <c r="C7771" s="82"/>
    </row>
    <row r="7772" spans="1:3" x14ac:dyDescent="0.3">
      <c r="A7772" s="80"/>
      <c r="B7772" s="81"/>
      <c r="C7772" s="82"/>
    </row>
    <row r="7773" spans="1:3" x14ac:dyDescent="0.3">
      <c r="A7773" s="80"/>
      <c r="B7773" s="81"/>
      <c r="C7773" s="82"/>
    </row>
    <row r="7774" spans="1:3" x14ac:dyDescent="0.3">
      <c r="A7774" s="80"/>
      <c r="B7774" s="81"/>
      <c r="C7774" s="82"/>
    </row>
    <row r="7775" spans="1:3" x14ac:dyDescent="0.3">
      <c r="A7775" s="80"/>
      <c r="B7775" s="81"/>
      <c r="C7775" s="82"/>
    </row>
    <row r="7776" spans="1:3" x14ac:dyDescent="0.3">
      <c r="A7776" s="80"/>
      <c r="B7776" s="81"/>
      <c r="C7776" s="82"/>
    </row>
    <row r="7777" spans="1:3" x14ac:dyDescent="0.3">
      <c r="A7777" s="80"/>
      <c r="B7777" s="81"/>
      <c r="C7777" s="82"/>
    </row>
    <row r="7778" spans="1:3" x14ac:dyDescent="0.3">
      <c r="A7778" s="80"/>
      <c r="B7778" s="81"/>
      <c r="C7778" s="82"/>
    </row>
    <row r="7779" spans="1:3" x14ac:dyDescent="0.3">
      <c r="A7779" s="80"/>
      <c r="B7779" s="81"/>
      <c r="C7779" s="82"/>
    </row>
    <row r="7780" spans="1:3" x14ac:dyDescent="0.3">
      <c r="A7780" s="80"/>
      <c r="B7780" s="81"/>
      <c r="C7780" s="82"/>
    </row>
    <row r="7781" spans="1:3" x14ac:dyDescent="0.3">
      <c r="A7781" s="80"/>
      <c r="B7781" s="81"/>
      <c r="C7781" s="82"/>
    </row>
    <row r="7782" spans="1:3" x14ac:dyDescent="0.3">
      <c r="A7782" s="80"/>
      <c r="B7782" s="81"/>
      <c r="C7782" s="82"/>
    </row>
    <row r="7783" spans="1:3" x14ac:dyDescent="0.3">
      <c r="A7783" s="80"/>
      <c r="B7783" s="81"/>
      <c r="C7783" s="82"/>
    </row>
    <row r="7784" spans="1:3" x14ac:dyDescent="0.3">
      <c r="A7784" s="80"/>
      <c r="B7784" s="81"/>
      <c r="C7784" s="82"/>
    </row>
    <row r="7785" spans="1:3" x14ac:dyDescent="0.3">
      <c r="A7785" s="80"/>
      <c r="B7785" s="81"/>
      <c r="C7785" s="82"/>
    </row>
    <row r="7786" spans="1:3" x14ac:dyDescent="0.3">
      <c r="A7786" s="80"/>
      <c r="B7786" s="81"/>
      <c r="C7786" s="82"/>
    </row>
    <row r="7787" spans="1:3" x14ac:dyDescent="0.3">
      <c r="A7787" s="80"/>
      <c r="B7787" s="81"/>
      <c r="C7787" s="82"/>
    </row>
    <row r="7788" spans="1:3" x14ac:dyDescent="0.3">
      <c r="A7788" s="80"/>
      <c r="B7788" s="81"/>
      <c r="C7788" s="82"/>
    </row>
    <row r="7789" spans="1:3" x14ac:dyDescent="0.3">
      <c r="A7789" s="80"/>
      <c r="B7789" s="81"/>
      <c r="C7789" s="82"/>
    </row>
    <row r="7790" spans="1:3" x14ac:dyDescent="0.3">
      <c r="A7790" s="80"/>
      <c r="B7790" s="81"/>
      <c r="C7790" s="82"/>
    </row>
    <row r="7791" spans="1:3" x14ac:dyDescent="0.3">
      <c r="A7791" s="80"/>
      <c r="B7791" s="81"/>
      <c r="C7791" s="82"/>
    </row>
    <row r="7792" spans="1:3" x14ac:dyDescent="0.3">
      <c r="A7792" s="80"/>
      <c r="B7792" s="81"/>
      <c r="C7792" s="82"/>
    </row>
    <row r="7793" spans="1:3" x14ac:dyDescent="0.3">
      <c r="A7793" s="80"/>
      <c r="B7793" s="81"/>
      <c r="C7793" s="82"/>
    </row>
    <row r="7794" spans="1:3" x14ac:dyDescent="0.3">
      <c r="A7794" s="80"/>
      <c r="B7794" s="81"/>
      <c r="C7794" s="82"/>
    </row>
    <row r="7795" spans="1:3" x14ac:dyDescent="0.3">
      <c r="A7795" s="80"/>
      <c r="B7795" s="81"/>
      <c r="C7795" s="82"/>
    </row>
    <row r="7796" spans="1:3" x14ac:dyDescent="0.3">
      <c r="A7796" s="80"/>
      <c r="B7796" s="81"/>
      <c r="C7796" s="82"/>
    </row>
    <row r="7797" spans="1:3" x14ac:dyDescent="0.3">
      <c r="A7797" s="80"/>
      <c r="B7797" s="81"/>
      <c r="C7797" s="82"/>
    </row>
    <row r="7798" spans="1:3" x14ac:dyDescent="0.3">
      <c r="A7798" s="80"/>
      <c r="B7798" s="81"/>
      <c r="C7798" s="82"/>
    </row>
    <row r="7799" spans="1:3" x14ac:dyDescent="0.3">
      <c r="A7799" s="80"/>
      <c r="B7799" s="81"/>
      <c r="C7799" s="82"/>
    </row>
    <row r="7800" spans="1:3" x14ac:dyDescent="0.3">
      <c r="A7800" s="80"/>
      <c r="B7800" s="81"/>
      <c r="C7800" s="82"/>
    </row>
    <row r="7801" spans="1:3" x14ac:dyDescent="0.3">
      <c r="A7801" s="80"/>
      <c r="B7801" s="81"/>
      <c r="C7801" s="82"/>
    </row>
    <row r="7802" spans="1:3" x14ac:dyDescent="0.3">
      <c r="A7802" s="80"/>
      <c r="B7802" s="81"/>
      <c r="C7802" s="82"/>
    </row>
    <row r="7803" spans="1:3" x14ac:dyDescent="0.3">
      <c r="A7803" s="80"/>
      <c r="B7803" s="81"/>
      <c r="C7803" s="82"/>
    </row>
    <row r="7804" spans="1:3" x14ac:dyDescent="0.3">
      <c r="A7804" s="80"/>
      <c r="B7804" s="81"/>
      <c r="C7804" s="82"/>
    </row>
    <row r="7805" spans="1:3" x14ac:dyDescent="0.3">
      <c r="A7805" s="80"/>
      <c r="B7805" s="81"/>
      <c r="C7805" s="82"/>
    </row>
    <row r="7806" spans="1:3" x14ac:dyDescent="0.3">
      <c r="A7806" s="80"/>
      <c r="B7806" s="81"/>
      <c r="C7806" s="82"/>
    </row>
    <row r="7807" spans="1:3" x14ac:dyDescent="0.3">
      <c r="A7807" s="80"/>
      <c r="B7807" s="81"/>
      <c r="C7807" s="82"/>
    </row>
    <row r="7808" spans="1:3" x14ac:dyDescent="0.3">
      <c r="A7808" s="80"/>
      <c r="B7808" s="81"/>
      <c r="C7808" s="82"/>
    </row>
    <row r="7809" spans="1:3" x14ac:dyDescent="0.3">
      <c r="A7809" s="80"/>
      <c r="B7809" s="81"/>
      <c r="C7809" s="82"/>
    </row>
    <row r="7810" spans="1:3" x14ac:dyDescent="0.3">
      <c r="A7810" s="80"/>
      <c r="B7810" s="81"/>
      <c r="C7810" s="82"/>
    </row>
    <row r="7811" spans="1:3" x14ac:dyDescent="0.3">
      <c r="A7811" s="80"/>
      <c r="B7811" s="81"/>
      <c r="C7811" s="82"/>
    </row>
    <row r="7812" spans="1:3" x14ac:dyDescent="0.3">
      <c r="A7812" s="80"/>
      <c r="B7812" s="81"/>
      <c r="C7812" s="82"/>
    </row>
    <row r="7813" spans="1:3" x14ac:dyDescent="0.3">
      <c r="A7813" s="80"/>
      <c r="B7813" s="81"/>
      <c r="C7813" s="82"/>
    </row>
    <row r="7814" spans="1:3" x14ac:dyDescent="0.3">
      <c r="A7814" s="80"/>
      <c r="B7814" s="81"/>
      <c r="C7814" s="82"/>
    </row>
    <row r="7815" spans="1:3" x14ac:dyDescent="0.3">
      <c r="A7815" s="80"/>
      <c r="B7815" s="81"/>
      <c r="C7815" s="82"/>
    </row>
    <row r="7816" spans="1:3" x14ac:dyDescent="0.3">
      <c r="A7816" s="80"/>
      <c r="B7816" s="81"/>
      <c r="C7816" s="82"/>
    </row>
    <row r="7817" spans="1:3" x14ac:dyDescent="0.3">
      <c r="A7817" s="80"/>
      <c r="B7817" s="81"/>
      <c r="C7817" s="82"/>
    </row>
    <row r="7818" spans="1:3" x14ac:dyDescent="0.3">
      <c r="A7818" s="80"/>
      <c r="B7818" s="81"/>
      <c r="C7818" s="82"/>
    </row>
    <row r="7819" spans="1:3" x14ac:dyDescent="0.3">
      <c r="A7819" s="80"/>
      <c r="B7819" s="81"/>
      <c r="C7819" s="82"/>
    </row>
    <row r="7820" spans="1:3" x14ac:dyDescent="0.3">
      <c r="A7820" s="80"/>
      <c r="B7820" s="81"/>
      <c r="C7820" s="82"/>
    </row>
    <row r="7821" spans="1:3" x14ac:dyDescent="0.3">
      <c r="A7821" s="80"/>
      <c r="B7821" s="81"/>
      <c r="C7821" s="82"/>
    </row>
    <row r="7822" spans="1:3" x14ac:dyDescent="0.3">
      <c r="A7822" s="80"/>
      <c r="B7822" s="81"/>
      <c r="C7822" s="82"/>
    </row>
    <row r="7823" spans="1:3" x14ac:dyDescent="0.3">
      <c r="A7823" s="80"/>
      <c r="B7823" s="81"/>
      <c r="C7823" s="82"/>
    </row>
    <row r="7824" spans="1:3" x14ac:dyDescent="0.3">
      <c r="A7824" s="80"/>
      <c r="B7824" s="81"/>
      <c r="C7824" s="82"/>
    </row>
    <row r="7825" spans="1:3" x14ac:dyDescent="0.3">
      <c r="A7825" s="80"/>
      <c r="B7825" s="81"/>
      <c r="C7825" s="82"/>
    </row>
    <row r="7826" spans="1:3" x14ac:dyDescent="0.3">
      <c r="A7826" s="80"/>
      <c r="B7826" s="81"/>
      <c r="C7826" s="82"/>
    </row>
    <row r="7827" spans="1:3" x14ac:dyDescent="0.3">
      <c r="A7827" s="80"/>
      <c r="B7827" s="81"/>
      <c r="C7827" s="82"/>
    </row>
    <row r="7828" spans="1:3" x14ac:dyDescent="0.3">
      <c r="A7828" s="80"/>
      <c r="B7828" s="81"/>
      <c r="C7828" s="82"/>
    </row>
    <row r="7829" spans="1:3" x14ac:dyDescent="0.3">
      <c r="A7829" s="80"/>
      <c r="B7829" s="81"/>
      <c r="C7829" s="82"/>
    </row>
    <row r="7830" spans="1:3" x14ac:dyDescent="0.3">
      <c r="A7830" s="80"/>
      <c r="B7830" s="81"/>
      <c r="C7830" s="82"/>
    </row>
    <row r="7831" spans="1:3" x14ac:dyDescent="0.3">
      <c r="A7831" s="80"/>
      <c r="B7831" s="81"/>
      <c r="C7831" s="82"/>
    </row>
    <row r="7832" spans="1:3" x14ac:dyDescent="0.3">
      <c r="A7832" s="80"/>
      <c r="B7832" s="81"/>
      <c r="C7832" s="82"/>
    </row>
    <row r="7833" spans="1:3" x14ac:dyDescent="0.3">
      <c r="A7833" s="80"/>
      <c r="B7833" s="81"/>
      <c r="C7833" s="82"/>
    </row>
    <row r="7834" spans="1:3" x14ac:dyDescent="0.3">
      <c r="A7834" s="80"/>
      <c r="B7834" s="81"/>
      <c r="C7834" s="82"/>
    </row>
    <row r="7835" spans="1:3" x14ac:dyDescent="0.3">
      <c r="A7835" s="80"/>
      <c r="B7835" s="81"/>
      <c r="C7835" s="82"/>
    </row>
    <row r="7836" spans="1:3" x14ac:dyDescent="0.3">
      <c r="A7836" s="80"/>
      <c r="B7836" s="81"/>
      <c r="C7836" s="82"/>
    </row>
    <row r="7837" spans="1:3" x14ac:dyDescent="0.3">
      <c r="A7837" s="80"/>
      <c r="B7837" s="81"/>
      <c r="C7837" s="82"/>
    </row>
    <row r="7838" spans="1:3" x14ac:dyDescent="0.3">
      <c r="A7838" s="80"/>
      <c r="B7838" s="81"/>
      <c r="C7838" s="82"/>
    </row>
    <row r="7839" spans="1:3" x14ac:dyDescent="0.3">
      <c r="A7839" s="80"/>
      <c r="B7839" s="81"/>
      <c r="C7839" s="82"/>
    </row>
    <row r="7840" spans="1:3" x14ac:dyDescent="0.3">
      <c r="A7840" s="80"/>
      <c r="B7840" s="81"/>
      <c r="C7840" s="82"/>
    </row>
    <row r="7841" spans="1:3" x14ac:dyDescent="0.3">
      <c r="A7841" s="80"/>
      <c r="B7841" s="81"/>
      <c r="C7841" s="82"/>
    </row>
    <row r="7842" spans="1:3" x14ac:dyDescent="0.3">
      <c r="A7842" s="80"/>
      <c r="B7842" s="81"/>
      <c r="C7842" s="82"/>
    </row>
    <row r="7843" spans="1:3" x14ac:dyDescent="0.3">
      <c r="A7843" s="80"/>
      <c r="B7843" s="81"/>
      <c r="C7843" s="82"/>
    </row>
    <row r="7844" spans="1:3" x14ac:dyDescent="0.3">
      <c r="A7844" s="80"/>
      <c r="B7844" s="81"/>
      <c r="C7844" s="82"/>
    </row>
    <row r="7845" spans="1:3" x14ac:dyDescent="0.3">
      <c r="A7845" s="80"/>
      <c r="B7845" s="81"/>
      <c r="C7845" s="82"/>
    </row>
    <row r="7846" spans="1:3" x14ac:dyDescent="0.3">
      <c r="A7846" s="80"/>
      <c r="B7846" s="81"/>
      <c r="C7846" s="82"/>
    </row>
    <row r="7847" spans="1:3" x14ac:dyDescent="0.3">
      <c r="A7847" s="80"/>
      <c r="B7847" s="81"/>
      <c r="C7847" s="82"/>
    </row>
    <row r="7848" spans="1:3" x14ac:dyDescent="0.3">
      <c r="A7848" s="80"/>
      <c r="B7848" s="81"/>
      <c r="C7848" s="82"/>
    </row>
    <row r="7849" spans="1:3" x14ac:dyDescent="0.3">
      <c r="A7849" s="80"/>
      <c r="B7849" s="81"/>
      <c r="C7849" s="82"/>
    </row>
    <row r="7850" spans="1:3" x14ac:dyDescent="0.3">
      <c r="A7850" s="80"/>
      <c r="B7850" s="81"/>
      <c r="C7850" s="82"/>
    </row>
    <row r="7851" spans="1:3" x14ac:dyDescent="0.3">
      <c r="A7851" s="80"/>
      <c r="B7851" s="81"/>
      <c r="C7851" s="82"/>
    </row>
    <row r="7852" spans="1:3" x14ac:dyDescent="0.3">
      <c r="A7852" s="80"/>
      <c r="B7852" s="81"/>
      <c r="C7852" s="82"/>
    </row>
    <row r="7853" spans="1:3" x14ac:dyDescent="0.3">
      <c r="A7853" s="80"/>
      <c r="B7853" s="81"/>
      <c r="C7853" s="82"/>
    </row>
    <row r="7854" spans="1:3" x14ac:dyDescent="0.3">
      <c r="A7854" s="80"/>
      <c r="B7854" s="81"/>
      <c r="C7854" s="82"/>
    </row>
    <row r="7855" spans="1:3" x14ac:dyDescent="0.3">
      <c r="A7855" s="80"/>
      <c r="B7855" s="81"/>
      <c r="C7855" s="82"/>
    </row>
    <row r="7856" spans="1:3" x14ac:dyDescent="0.3">
      <c r="A7856" s="80"/>
      <c r="B7856" s="81"/>
      <c r="C7856" s="82"/>
    </row>
    <row r="7857" spans="1:3" x14ac:dyDescent="0.3">
      <c r="A7857" s="80"/>
      <c r="B7857" s="81"/>
      <c r="C7857" s="82"/>
    </row>
    <row r="7858" spans="1:3" x14ac:dyDescent="0.3">
      <c r="A7858" s="80"/>
      <c r="B7858" s="81"/>
      <c r="C7858" s="82"/>
    </row>
    <row r="7859" spans="1:3" x14ac:dyDescent="0.3">
      <c r="A7859" s="80"/>
      <c r="B7859" s="81"/>
      <c r="C7859" s="82"/>
    </row>
    <row r="7860" spans="1:3" x14ac:dyDescent="0.3">
      <c r="A7860" s="80"/>
      <c r="B7860" s="81"/>
      <c r="C7860" s="82"/>
    </row>
    <row r="7861" spans="1:3" x14ac:dyDescent="0.3">
      <c r="A7861" s="80"/>
      <c r="B7861" s="81"/>
      <c r="C7861" s="82"/>
    </row>
    <row r="7862" spans="1:3" x14ac:dyDescent="0.3">
      <c r="A7862" s="80"/>
      <c r="B7862" s="81"/>
      <c r="C7862" s="82"/>
    </row>
    <row r="7863" spans="1:3" x14ac:dyDescent="0.3">
      <c r="A7863" s="80"/>
      <c r="B7863" s="81"/>
      <c r="C7863" s="82"/>
    </row>
    <row r="7864" spans="1:3" x14ac:dyDescent="0.3">
      <c r="A7864" s="80"/>
      <c r="B7864" s="81"/>
      <c r="C7864" s="82"/>
    </row>
    <row r="7865" spans="1:3" x14ac:dyDescent="0.3">
      <c r="A7865" s="80"/>
      <c r="B7865" s="81"/>
      <c r="C7865" s="82"/>
    </row>
    <row r="7866" spans="1:3" x14ac:dyDescent="0.3">
      <c r="A7866" s="80"/>
      <c r="B7866" s="81"/>
      <c r="C7866" s="82"/>
    </row>
    <row r="7867" spans="1:3" x14ac:dyDescent="0.3">
      <c r="A7867" s="80"/>
      <c r="B7867" s="81"/>
      <c r="C7867" s="82"/>
    </row>
    <row r="7868" spans="1:3" x14ac:dyDescent="0.3">
      <c r="A7868" s="80"/>
      <c r="B7868" s="81"/>
      <c r="C7868" s="82"/>
    </row>
    <row r="7869" spans="1:3" x14ac:dyDescent="0.3">
      <c r="A7869" s="80"/>
      <c r="B7869" s="81"/>
      <c r="C7869" s="82"/>
    </row>
    <row r="7870" spans="1:3" x14ac:dyDescent="0.3">
      <c r="A7870" s="80"/>
      <c r="B7870" s="81"/>
      <c r="C7870" s="82"/>
    </row>
    <row r="7871" spans="1:3" x14ac:dyDescent="0.3">
      <c r="A7871" s="80"/>
      <c r="B7871" s="81"/>
      <c r="C7871" s="82"/>
    </row>
    <row r="7872" spans="1:3" x14ac:dyDescent="0.3">
      <c r="A7872" s="80"/>
      <c r="B7872" s="81"/>
      <c r="C7872" s="82"/>
    </row>
    <row r="7873" spans="1:3" x14ac:dyDescent="0.3">
      <c r="A7873" s="80"/>
      <c r="B7873" s="81"/>
      <c r="C7873" s="82"/>
    </row>
    <row r="7874" spans="1:3" x14ac:dyDescent="0.3">
      <c r="A7874" s="80"/>
      <c r="B7874" s="81"/>
      <c r="C7874" s="82"/>
    </row>
    <row r="7875" spans="1:3" x14ac:dyDescent="0.3">
      <c r="A7875" s="80"/>
      <c r="B7875" s="81"/>
      <c r="C7875" s="82"/>
    </row>
    <row r="7876" spans="1:3" x14ac:dyDescent="0.3">
      <c r="A7876" s="80"/>
      <c r="B7876" s="81"/>
      <c r="C7876" s="82"/>
    </row>
    <row r="7877" spans="1:3" x14ac:dyDescent="0.3">
      <c r="A7877" s="80"/>
      <c r="B7877" s="81"/>
      <c r="C7877" s="82"/>
    </row>
    <row r="7878" spans="1:3" x14ac:dyDescent="0.3">
      <c r="A7878" s="80"/>
      <c r="B7878" s="81"/>
      <c r="C7878" s="82"/>
    </row>
    <row r="7879" spans="1:3" x14ac:dyDescent="0.3">
      <c r="A7879" s="80"/>
      <c r="B7879" s="81"/>
      <c r="C7879" s="82"/>
    </row>
    <row r="7880" spans="1:3" x14ac:dyDescent="0.3">
      <c r="A7880" s="80"/>
      <c r="B7880" s="81"/>
      <c r="C7880" s="82"/>
    </row>
    <row r="7881" spans="1:3" x14ac:dyDescent="0.3">
      <c r="A7881" s="80"/>
      <c r="B7881" s="81"/>
      <c r="C7881" s="82"/>
    </row>
    <row r="7882" spans="1:3" x14ac:dyDescent="0.3">
      <c r="A7882" s="80"/>
      <c r="B7882" s="81"/>
      <c r="C7882" s="82"/>
    </row>
    <row r="7883" spans="1:3" x14ac:dyDescent="0.3">
      <c r="A7883" s="80"/>
      <c r="B7883" s="81"/>
      <c r="C7883" s="82"/>
    </row>
    <row r="7884" spans="1:3" x14ac:dyDescent="0.3">
      <c r="A7884" s="80"/>
      <c r="B7884" s="81"/>
      <c r="C7884" s="82"/>
    </row>
    <row r="7885" spans="1:3" x14ac:dyDescent="0.3">
      <c r="A7885" s="80"/>
      <c r="B7885" s="81"/>
      <c r="C7885" s="82"/>
    </row>
    <row r="7886" spans="1:3" x14ac:dyDescent="0.3">
      <c r="A7886" s="80"/>
      <c r="B7886" s="81"/>
      <c r="C7886" s="82"/>
    </row>
    <row r="7887" spans="1:3" x14ac:dyDescent="0.3">
      <c r="A7887" s="80"/>
      <c r="B7887" s="81"/>
      <c r="C7887" s="82"/>
    </row>
    <row r="7888" spans="1:3" x14ac:dyDescent="0.3">
      <c r="A7888" s="80"/>
      <c r="B7888" s="81"/>
      <c r="C7888" s="82"/>
    </row>
    <row r="7889" spans="1:3" x14ac:dyDescent="0.3">
      <c r="A7889" s="80"/>
      <c r="B7889" s="81"/>
      <c r="C7889" s="82"/>
    </row>
    <row r="7890" spans="1:3" x14ac:dyDescent="0.3">
      <c r="A7890" s="80"/>
      <c r="B7890" s="81"/>
      <c r="C7890" s="82"/>
    </row>
    <row r="7891" spans="1:3" x14ac:dyDescent="0.3">
      <c r="A7891" s="80"/>
      <c r="B7891" s="81"/>
      <c r="C7891" s="82"/>
    </row>
    <row r="7892" spans="1:3" x14ac:dyDescent="0.3">
      <c r="A7892" s="80"/>
      <c r="B7892" s="81"/>
      <c r="C7892" s="82"/>
    </row>
    <row r="7893" spans="1:3" x14ac:dyDescent="0.3">
      <c r="A7893" s="80"/>
      <c r="B7893" s="81"/>
      <c r="C7893" s="82"/>
    </row>
    <row r="7894" spans="1:3" x14ac:dyDescent="0.3">
      <c r="A7894" s="80"/>
      <c r="B7894" s="81"/>
      <c r="C7894" s="82"/>
    </row>
    <row r="7895" spans="1:3" x14ac:dyDescent="0.3">
      <c r="A7895" s="80"/>
      <c r="B7895" s="81"/>
      <c r="C7895" s="82"/>
    </row>
    <row r="7896" spans="1:3" x14ac:dyDescent="0.3">
      <c r="A7896" s="80"/>
      <c r="B7896" s="81"/>
      <c r="C7896" s="82"/>
    </row>
    <row r="7897" spans="1:3" x14ac:dyDescent="0.3">
      <c r="A7897" s="80"/>
      <c r="B7897" s="81"/>
      <c r="C7897" s="82"/>
    </row>
    <row r="7898" spans="1:3" x14ac:dyDescent="0.3">
      <c r="A7898" s="80"/>
      <c r="B7898" s="81"/>
      <c r="C7898" s="82"/>
    </row>
    <row r="7899" spans="1:3" x14ac:dyDescent="0.3">
      <c r="A7899" s="80"/>
      <c r="B7899" s="81"/>
      <c r="C7899" s="82"/>
    </row>
    <row r="7900" spans="1:3" x14ac:dyDescent="0.3">
      <c r="A7900" s="80"/>
      <c r="B7900" s="81"/>
      <c r="C7900" s="82"/>
    </row>
    <row r="7901" spans="1:3" x14ac:dyDescent="0.3">
      <c r="A7901" s="80"/>
      <c r="B7901" s="81"/>
      <c r="C7901" s="82"/>
    </row>
    <row r="7902" spans="1:3" x14ac:dyDescent="0.3">
      <c r="A7902" s="80"/>
      <c r="B7902" s="81"/>
      <c r="C7902" s="82"/>
    </row>
    <row r="7903" spans="1:3" x14ac:dyDescent="0.3">
      <c r="A7903" s="80"/>
      <c r="B7903" s="81"/>
      <c r="C7903" s="82"/>
    </row>
    <row r="7904" spans="1:3" x14ac:dyDescent="0.3">
      <c r="A7904" s="80"/>
      <c r="B7904" s="81"/>
      <c r="C7904" s="82"/>
    </row>
    <row r="7905" spans="1:3" x14ac:dyDescent="0.3">
      <c r="A7905" s="80"/>
      <c r="B7905" s="81"/>
      <c r="C7905" s="82"/>
    </row>
    <row r="7906" spans="1:3" x14ac:dyDescent="0.3">
      <c r="A7906" s="80"/>
      <c r="B7906" s="81"/>
      <c r="C7906" s="82"/>
    </row>
    <row r="7907" spans="1:3" x14ac:dyDescent="0.3">
      <c r="A7907" s="80"/>
      <c r="B7907" s="81"/>
      <c r="C7907" s="82"/>
    </row>
    <row r="7908" spans="1:3" x14ac:dyDescent="0.3">
      <c r="A7908" s="80"/>
      <c r="B7908" s="81"/>
      <c r="C7908" s="82"/>
    </row>
    <row r="7909" spans="1:3" x14ac:dyDescent="0.3">
      <c r="A7909" s="80"/>
      <c r="B7909" s="81"/>
      <c r="C7909" s="82"/>
    </row>
    <row r="7910" spans="1:3" x14ac:dyDescent="0.3">
      <c r="A7910" s="80"/>
      <c r="B7910" s="81"/>
      <c r="C7910" s="82"/>
    </row>
    <row r="7911" spans="1:3" x14ac:dyDescent="0.3">
      <c r="A7911" s="80"/>
      <c r="B7911" s="81"/>
      <c r="C7911" s="82"/>
    </row>
    <row r="7912" spans="1:3" x14ac:dyDescent="0.3">
      <c r="A7912" s="80"/>
      <c r="B7912" s="81"/>
      <c r="C7912" s="82"/>
    </row>
    <row r="7913" spans="1:3" x14ac:dyDescent="0.3">
      <c r="A7913" s="80"/>
      <c r="B7913" s="81"/>
      <c r="C7913" s="82"/>
    </row>
    <row r="7914" spans="1:3" x14ac:dyDescent="0.3">
      <c r="A7914" s="80"/>
      <c r="B7914" s="81"/>
      <c r="C7914" s="82"/>
    </row>
    <row r="7915" spans="1:3" x14ac:dyDescent="0.3">
      <c r="A7915" s="80"/>
      <c r="B7915" s="81"/>
      <c r="C7915" s="82"/>
    </row>
    <row r="7916" spans="1:3" x14ac:dyDescent="0.3">
      <c r="A7916" s="80"/>
      <c r="B7916" s="81"/>
      <c r="C7916" s="82"/>
    </row>
    <row r="7917" spans="1:3" x14ac:dyDescent="0.3">
      <c r="A7917" s="80"/>
      <c r="B7917" s="81"/>
      <c r="C7917" s="82"/>
    </row>
    <row r="7918" spans="1:3" x14ac:dyDescent="0.3">
      <c r="A7918" s="80"/>
      <c r="B7918" s="81"/>
      <c r="C7918" s="82"/>
    </row>
    <row r="7919" spans="1:3" x14ac:dyDescent="0.3">
      <c r="A7919" s="80"/>
      <c r="B7919" s="81"/>
      <c r="C7919" s="82"/>
    </row>
    <row r="7920" spans="1:3" x14ac:dyDescent="0.3">
      <c r="A7920" s="80"/>
      <c r="B7920" s="81"/>
      <c r="C7920" s="82"/>
    </row>
    <row r="7921" spans="1:3" x14ac:dyDescent="0.3">
      <c r="A7921" s="80"/>
      <c r="B7921" s="81"/>
      <c r="C7921" s="82"/>
    </row>
    <row r="7922" spans="1:3" x14ac:dyDescent="0.3">
      <c r="A7922" s="80"/>
      <c r="B7922" s="81"/>
      <c r="C7922" s="82"/>
    </row>
    <row r="7923" spans="1:3" x14ac:dyDescent="0.3">
      <c r="A7923" s="80"/>
      <c r="B7923" s="81"/>
      <c r="C7923" s="82"/>
    </row>
    <row r="7924" spans="1:3" x14ac:dyDescent="0.3">
      <c r="A7924" s="80"/>
      <c r="B7924" s="81"/>
      <c r="C7924" s="82"/>
    </row>
    <row r="7925" spans="1:3" x14ac:dyDescent="0.3">
      <c r="A7925" s="80"/>
      <c r="B7925" s="81"/>
      <c r="C7925" s="82"/>
    </row>
    <row r="7926" spans="1:3" x14ac:dyDescent="0.3">
      <c r="A7926" s="80"/>
      <c r="B7926" s="81"/>
      <c r="C7926" s="82"/>
    </row>
    <row r="7927" spans="1:3" x14ac:dyDescent="0.3">
      <c r="A7927" s="80"/>
      <c r="B7927" s="81"/>
      <c r="C7927" s="82"/>
    </row>
    <row r="7928" spans="1:3" x14ac:dyDescent="0.3">
      <c r="A7928" s="80"/>
      <c r="B7928" s="81"/>
      <c r="C7928" s="82"/>
    </row>
    <row r="7929" spans="1:3" x14ac:dyDescent="0.3">
      <c r="A7929" s="80"/>
      <c r="B7929" s="81"/>
      <c r="C7929" s="82"/>
    </row>
    <row r="7930" spans="1:3" x14ac:dyDescent="0.3">
      <c r="A7930" s="80"/>
      <c r="B7930" s="81"/>
      <c r="C7930" s="82"/>
    </row>
    <row r="7931" spans="1:3" x14ac:dyDescent="0.3">
      <c r="A7931" s="80"/>
      <c r="B7931" s="81"/>
      <c r="C7931" s="82"/>
    </row>
    <row r="7932" spans="1:3" x14ac:dyDescent="0.3">
      <c r="A7932" s="80"/>
      <c r="B7932" s="81"/>
      <c r="C7932" s="82"/>
    </row>
    <row r="7933" spans="1:3" x14ac:dyDescent="0.3">
      <c r="A7933" s="80"/>
      <c r="B7933" s="81"/>
      <c r="C7933" s="82"/>
    </row>
    <row r="7934" spans="1:3" x14ac:dyDescent="0.3">
      <c r="A7934" s="80"/>
      <c r="B7934" s="81"/>
      <c r="C7934" s="82"/>
    </row>
    <row r="7935" spans="1:3" x14ac:dyDescent="0.3">
      <c r="A7935" s="80"/>
      <c r="B7935" s="81"/>
      <c r="C7935" s="82"/>
    </row>
    <row r="7936" spans="1:3" x14ac:dyDescent="0.3">
      <c r="A7936" s="80"/>
      <c r="B7936" s="81"/>
      <c r="C7936" s="82"/>
    </row>
    <row r="7937" spans="1:3" x14ac:dyDescent="0.3">
      <c r="A7937" s="80"/>
      <c r="B7937" s="81"/>
      <c r="C7937" s="82"/>
    </row>
    <row r="7938" spans="1:3" x14ac:dyDescent="0.3">
      <c r="A7938" s="80"/>
      <c r="B7938" s="81"/>
      <c r="C7938" s="82"/>
    </row>
    <row r="7939" spans="1:3" x14ac:dyDescent="0.3">
      <c r="A7939" s="80"/>
      <c r="B7939" s="81"/>
      <c r="C7939" s="82"/>
    </row>
    <row r="7940" spans="1:3" x14ac:dyDescent="0.3">
      <c r="A7940" s="80"/>
      <c r="B7940" s="81"/>
      <c r="C7940" s="82"/>
    </row>
    <row r="7941" spans="1:3" x14ac:dyDescent="0.3">
      <c r="A7941" s="80"/>
      <c r="B7941" s="81"/>
      <c r="C7941" s="82"/>
    </row>
    <row r="7942" spans="1:3" x14ac:dyDescent="0.3">
      <c r="A7942" s="80"/>
      <c r="B7942" s="81"/>
      <c r="C7942" s="82"/>
    </row>
    <row r="7943" spans="1:3" x14ac:dyDescent="0.3">
      <c r="A7943" s="80"/>
      <c r="B7943" s="81"/>
      <c r="C7943" s="82"/>
    </row>
    <row r="7944" spans="1:3" x14ac:dyDescent="0.3">
      <c r="A7944" s="80"/>
      <c r="B7944" s="81"/>
      <c r="C7944" s="82"/>
    </row>
    <row r="7945" spans="1:3" x14ac:dyDescent="0.3">
      <c r="A7945" s="80"/>
      <c r="B7945" s="81"/>
      <c r="C7945" s="82"/>
    </row>
    <row r="7946" spans="1:3" x14ac:dyDescent="0.3">
      <c r="A7946" s="80"/>
      <c r="B7946" s="81"/>
      <c r="C7946" s="82"/>
    </row>
    <row r="7947" spans="1:3" x14ac:dyDescent="0.3">
      <c r="A7947" s="80"/>
      <c r="B7947" s="81"/>
      <c r="C7947" s="82"/>
    </row>
    <row r="7948" spans="1:3" x14ac:dyDescent="0.3">
      <c r="A7948" s="80"/>
      <c r="B7948" s="81"/>
      <c r="C7948" s="82"/>
    </row>
    <row r="7949" spans="1:3" x14ac:dyDescent="0.3">
      <c r="A7949" s="80"/>
      <c r="B7949" s="81"/>
      <c r="C7949" s="82"/>
    </row>
    <row r="7950" spans="1:3" x14ac:dyDescent="0.3">
      <c r="A7950" s="80"/>
      <c r="B7950" s="81"/>
      <c r="C7950" s="82"/>
    </row>
    <row r="7951" spans="1:3" x14ac:dyDescent="0.3">
      <c r="A7951" s="80"/>
      <c r="B7951" s="81"/>
      <c r="C7951" s="82"/>
    </row>
    <row r="7952" spans="1:3" x14ac:dyDescent="0.3">
      <c r="A7952" s="80"/>
      <c r="B7952" s="81"/>
      <c r="C7952" s="82"/>
    </row>
    <row r="7953" spans="1:3" x14ac:dyDescent="0.3">
      <c r="A7953" s="80"/>
      <c r="B7953" s="81"/>
      <c r="C7953" s="82"/>
    </row>
    <row r="7954" spans="1:3" x14ac:dyDescent="0.3">
      <c r="A7954" s="80"/>
      <c r="B7954" s="81"/>
      <c r="C7954" s="82"/>
    </row>
    <row r="7955" spans="1:3" x14ac:dyDescent="0.3">
      <c r="A7955" s="80"/>
      <c r="B7955" s="81"/>
      <c r="C7955" s="82"/>
    </row>
    <row r="7956" spans="1:3" x14ac:dyDescent="0.3">
      <c r="A7956" s="80"/>
      <c r="B7956" s="81"/>
      <c r="C7956" s="82"/>
    </row>
    <row r="7957" spans="1:3" x14ac:dyDescent="0.3">
      <c r="A7957" s="80"/>
      <c r="B7957" s="81"/>
      <c r="C7957" s="82"/>
    </row>
    <row r="7958" spans="1:3" x14ac:dyDescent="0.3">
      <c r="A7958" s="80"/>
      <c r="B7958" s="81"/>
      <c r="C7958" s="82"/>
    </row>
    <row r="7959" spans="1:3" x14ac:dyDescent="0.3">
      <c r="A7959" s="80"/>
      <c r="B7959" s="81"/>
      <c r="C7959" s="82"/>
    </row>
    <row r="7960" spans="1:3" x14ac:dyDescent="0.3">
      <c r="A7960" s="80"/>
      <c r="B7960" s="81"/>
      <c r="C7960" s="82"/>
    </row>
    <row r="7961" spans="1:3" x14ac:dyDescent="0.3">
      <c r="A7961" s="80"/>
      <c r="B7961" s="81"/>
      <c r="C7961" s="82"/>
    </row>
    <row r="7962" spans="1:3" x14ac:dyDescent="0.3">
      <c r="A7962" s="80"/>
      <c r="B7962" s="81"/>
      <c r="C7962" s="82"/>
    </row>
    <row r="7963" spans="1:3" x14ac:dyDescent="0.3">
      <c r="A7963" s="80"/>
      <c r="B7963" s="81"/>
      <c r="C7963" s="82"/>
    </row>
    <row r="7964" spans="1:3" x14ac:dyDescent="0.3">
      <c r="A7964" s="80"/>
      <c r="B7964" s="81"/>
      <c r="C7964" s="82"/>
    </row>
    <row r="7965" spans="1:3" x14ac:dyDescent="0.3">
      <c r="A7965" s="80"/>
      <c r="B7965" s="81"/>
      <c r="C7965" s="82"/>
    </row>
    <row r="7966" spans="1:3" x14ac:dyDescent="0.3">
      <c r="A7966" s="80"/>
      <c r="B7966" s="81"/>
      <c r="C7966" s="82"/>
    </row>
    <row r="7967" spans="1:3" x14ac:dyDescent="0.3">
      <c r="A7967" s="80"/>
      <c r="B7967" s="81"/>
      <c r="C7967" s="82"/>
    </row>
    <row r="7968" spans="1:3" x14ac:dyDescent="0.3">
      <c r="A7968" s="80"/>
      <c r="B7968" s="81"/>
      <c r="C7968" s="82"/>
    </row>
    <row r="7969" spans="1:3" x14ac:dyDescent="0.3">
      <c r="A7969" s="80"/>
      <c r="B7969" s="81"/>
      <c r="C7969" s="82"/>
    </row>
    <row r="7970" spans="1:3" x14ac:dyDescent="0.3">
      <c r="A7970" s="80"/>
      <c r="B7970" s="81"/>
      <c r="C7970" s="82"/>
    </row>
    <row r="7971" spans="1:3" x14ac:dyDescent="0.3">
      <c r="A7971" s="80"/>
      <c r="B7971" s="81"/>
      <c r="C7971" s="82"/>
    </row>
    <row r="7972" spans="1:3" x14ac:dyDescent="0.3">
      <c r="A7972" s="80"/>
      <c r="B7972" s="81"/>
      <c r="C7972" s="82"/>
    </row>
    <row r="7973" spans="1:3" x14ac:dyDescent="0.3">
      <c r="A7973" s="80"/>
      <c r="B7973" s="81"/>
      <c r="C7973" s="82"/>
    </row>
    <row r="7974" spans="1:3" x14ac:dyDescent="0.3">
      <c r="A7974" s="80"/>
      <c r="B7974" s="81"/>
      <c r="C7974" s="82"/>
    </row>
    <row r="7975" spans="1:3" x14ac:dyDescent="0.3">
      <c r="A7975" s="80"/>
      <c r="B7975" s="81"/>
      <c r="C7975" s="82"/>
    </row>
    <row r="7976" spans="1:3" x14ac:dyDescent="0.3">
      <c r="A7976" s="80"/>
      <c r="B7976" s="81"/>
      <c r="C7976" s="82"/>
    </row>
    <row r="7977" spans="1:3" x14ac:dyDescent="0.3">
      <c r="A7977" s="80"/>
      <c r="B7977" s="81"/>
      <c r="C7977" s="82"/>
    </row>
    <row r="7978" spans="1:3" x14ac:dyDescent="0.3">
      <c r="A7978" s="80"/>
      <c r="B7978" s="81"/>
      <c r="C7978" s="82"/>
    </row>
    <row r="7979" spans="1:3" x14ac:dyDescent="0.3">
      <c r="A7979" s="80"/>
      <c r="B7979" s="81"/>
      <c r="C7979" s="82"/>
    </row>
    <row r="7980" spans="1:3" x14ac:dyDescent="0.3">
      <c r="A7980" s="80"/>
      <c r="B7980" s="81"/>
      <c r="C7980" s="82"/>
    </row>
    <row r="7981" spans="1:3" x14ac:dyDescent="0.3">
      <c r="A7981" s="80"/>
      <c r="B7981" s="81"/>
      <c r="C7981" s="82"/>
    </row>
    <row r="7982" spans="1:3" x14ac:dyDescent="0.3">
      <c r="A7982" s="80"/>
      <c r="B7982" s="81"/>
      <c r="C7982" s="82"/>
    </row>
    <row r="7983" spans="1:3" x14ac:dyDescent="0.3">
      <c r="A7983" s="80"/>
      <c r="B7983" s="81"/>
      <c r="C7983" s="82"/>
    </row>
    <row r="7984" spans="1:3" x14ac:dyDescent="0.3">
      <c r="A7984" s="80"/>
      <c r="B7984" s="81"/>
      <c r="C7984" s="82"/>
    </row>
    <row r="7985" spans="1:3" x14ac:dyDescent="0.3">
      <c r="A7985" s="80"/>
      <c r="B7985" s="81"/>
      <c r="C7985" s="82"/>
    </row>
    <row r="7986" spans="1:3" x14ac:dyDescent="0.3">
      <c r="A7986" s="80"/>
      <c r="B7986" s="81"/>
      <c r="C7986" s="82"/>
    </row>
    <row r="7987" spans="1:3" x14ac:dyDescent="0.3">
      <c r="A7987" s="80"/>
      <c r="B7987" s="81"/>
      <c r="C7987" s="82"/>
    </row>
    <row r="7988" spans="1:3" x14ac:dyDescent="0.3">
      <c r="A7988" s="80"/>
      <c r="B7988" s="81"/>
      <c r="C7988" s="82"/>
    </row>
    <row r="7989" spans="1:3" x14ac:dyDescent="0.3">
      <c r="A7989" s="80"/>
      <c r="B7989" s="81"/>
      <c r="C7989" s="82"/>
    </row>
    <row r="7990" spans="1:3" x14ac:dyDescent="0.3">
      <c r="A7990" s="80"/>
      <c r="B7990" s="81"/>
      <c r="C7990" s="82"/>
    </row>
    <row r="7991" spans="1:3" x14ac:dyDescent="0.3">
      <c r="A7991" s="80"/>
      <c r="B7991" s="81"/>
      <c r="C7991" s="82"/>
    </row>
    <row r="7992" spans="1:3" x14ac:dyDescent="0.3">
      <c r="A7992" s="80"/>
      <c r="B7992" s="81"/>
      <c r="C7992" s="82"/>
    </row>
    <row r="7993" spans="1:3" x14ac:dyDescent="0.3">
      <c r="A7993" s="80"/>
      <c r="B7993" s="81"/>
      <c r="C7993" s="82"/>
    </row>
    <row r="7994" spans="1:3" x14ac:dyDescent="0.3">
      <c r="A7994" s="80"/>
      <c r="B7994" s="81"/>
      <c r="C7994" s="82"/>
    </row>
    <row r="7995" spans="1:3" x14ac:dyDescent="0.3">
      <c r="A7995" s="80"/>
      <c r="B7995" s="81"/>
      <c r="C7995" s="82"/>
    </row>
    <row r="7996" spans="1:3" x14ac:dyDescent="0.3">
      <c r="A7996" s="80"/>
      <c r="B7996" s="81"/>
      <c r="C7996" s="82"/>
    </row>
    <row r="7997" spans="1:3" x14ac:dyDescent="0.3">
      <c r="A7997" s="80"/>
      <c r="B7997" s="81"/>
      <c r="C7997" s="82"/>
    </row>
    <row r="7998" spans="1:3" x14ac:dyDescent="0.3">
      <c r="A7998" s="80"/>
      <c r="B7998" s="81"/>
      <c r="C7998" s="82"/>
    </row>
    <row r="7999" spans="1:3" x14ac:dyDescent="0.3">
      <c r="A7999" s="80"/>
      <c r="B7999" s="81"/>
      <c r="C7999" s="82"/>
    </row>
    <row r="8000" spans="1:3" x14ac:dyDescent="0.3">
      <c r="A8000" s="80"/>
      <c r="B8000" s="81"/>
      <c r="C8000" s="82"/>
    </row>
    <row r="8001" spans="1:3" x14ac:dyDescent="0.3">
      <c r="A8001" s="80"/>
      <c r="B8001" s="81"/>
      <c r="C8001" s="82"/>
    </row>
    <row r="8002" spans="1:3" x14ac:dyDescent="0.3">
      <c r="A8002" s="80"/>
      <c r="B8002" s="81"/>
      <c r="C8002" s="82"/>
    </row>
    <row r="8003" spans="1:3" x14ac:dyDescent="0.3">
      <c r="A8003" s="80"/>
      <c r="B8003" s="81"/>
      <c r="C8003" s="82"/>
    </row>
    <row r="8004" spans="1:3" x14ac:dyDescent="0.3">
      <c r="A8004" s="80"/>
      <c r="B8004" s="81"/>
      <c r="C8004" s="82"/>
    </row>
    <row r="8005" spans="1:3" x14ac:dyDescent="0.3">
      <c r="A8005" s="80"/>
      <c r="B8005" s="81"/>
      <c r="C8005" s="82"/>
    </row>
    <row r="8006" spans="1:3" x14ac:dyDescent="0.3">
      <c r="A8006" s="80"/>
      <c r="B8006" s="81"/>
      <c r="C8006" s="82"/>
    </row>
    <row r="8007" spans="1:3" x14ac:dyDescent="0.3">
      <c r="A8007" s="80"/>
      <c r="B8007" s="81"/>
      <c r="C8007" s="82"/>
    </row>
    <row r="8008" spans="1:3" x14ac:dyDescent="0.3">
      <c r="A8008" s="80"/>
      <c r="B8008" s="81"/>
      <c r="C8008" s="82"/>
    </row>
    <row r="8009" spans="1:3" x14ac:dyDescent="0.3">
      <c r="A8009" s="80"/>
      <c r="B8009" s="81"/>
      <c r="C8009" s="82"/>
    </row>
    <row r="8010" spans="1:3" x14ac:dyDescent="0.3">
      <c r="A8010" s="80"/>
      <c r="B8010" s="81"/>
      <c r="C8010" s="82"/>
    </row>
    <row r="8011" spans="1:3" x14ac:dyDescent="0.3">
      <c r="A8011" s="80"/>
      <c r="B8011" s="81"/>
      <c r="C8011" s="82"/>
    </row>
    <row r="8012" spans="1:3" x14ac:dyDescent="0.3">
      <c r="A8012" s="80"/>
      <c r="B8012" s="81"/>
      <c r="C8012" s="82"/>
    </row>
    <row r="8013" spans="1:3" x14ac:dyDescent="0.3">
      <c r="A8013" s="80"/>
      <c r="B8013" s="81"/>
      <c r="C8013" s="82"/>
    </row>
    <row r="8014" spans="1:3" x14ac:dyDescent="0.3">
      <c r="A8014" s="80"/>
      <c r="B8014" s="81"/>
      <c r="C8014" s="82"/>
    </row>
    <row r="8015" spans="1:3" x14ac:dyDescent="0.3">
      <c r="A8015" s="80"/>
      <c r="B8015" s="81"/>
      <c r="C8015" s="82"/>
    </row>
    <row r="8016" spans="1:3" x14ac:dyDescent="0.3">
      <c r="A8016" s="80"/>
      <c r="B8016" s="81"/>
      <c r="C8016" s="82"/>
    </row>
    <row r="8017" spans="1:3" x14ac:dyDescent="0.3">
      <c r="A8017" s="80"/>
      <c r="B8017" s="81"/>
      <c r="C8017" s="82"/>
    </row>
    <row r="8018" spans="1:3" x14ac:dyDescent="0.3">
      <c r="A8018" s="80"/>
      <c r="B8018" s="81"/>
      <c r="C8018" s="82"/>
    </row>
    <row r="8019" spans="1:3" x14ac:dyDescent="0.3">
      <c r="A8019" s="80"/>
      <c r="B8019" s="81"/>
      <c r="C8019" s="82"/>
    </row>
    <row r="8020" spans="1:3" x14ac:dyDescent="0.3">
      <c r="A8020" s="80"/>
      <c r="B8020" s="81"/>
      <c r="C8020" s="82"/>
    </row>
    <row r="8021" spans="1:3" x14ac:dyDescent="0.3">
      <c r="A8021" s="80"/>
      <c r="B8021" s="81"/>
      <c r="C8021" s="82"/>
    </row>
    <row r="8022" spans="1:3" x14ac:dyDescent="0.3">
      <c r="A8022" s="80"/>
      <c r="B8022" s="81"/>
      <c r="C8022" s="82"/>
    </row>
    <row r="8023" spans="1:3" x14ac:dyDescent="0.3">
      <c r="A8023" s="80"/>
      <c r="B8023" s="81"/>
      <c r="C8023" s="82"/>
    </row>
    <row r="8024" spans="1:3" x14ac:dyDescent="0.3">
      <c r="A8024" s="80"/>
      <c r="B8024" s="81"/>
      <c r="C8024" s="82"/>
    </row>
    <row r="8025" spans="1:3" x14ac:dyDescent="0.3">
      <c r="A8025" s="80"/>
      <c r="B8025" s="81"/>
      <c r="C8025" s="82"/>
    </row>
    <row r="8026" spans="1:3" x14ac:dyDescent="0.3">
      <c r="A8026" s="80"/>
      <c r="B8026" s="81"/>
      <c r="C8026" s="82"/>
    </row>
    <row r="8027" spans="1:3" x14ac:dyDescent="0.3">
      <c r="A8027" s="80"/>
      <c r="B8027" s="81"/>
      <c r="C8027" s="82"/>
    </row>
    <row r="8028" spans="1:3" x14ac:dyDescent="0.3">
      <c r="A8028" s="80"/>
      <c r="B8028" s="81"/>
      <c r="C8028" s="82"/>
    </row>
    <row r="8029" spans="1:3" x14ac:dyDescent="0.3">
      <c r="A8029" s="80"/>
      <c r="B8029" s="81"/>
      <c r="C8029" s="82"/>
    </row>
    <row r="8030" spans="1:3" x14ac:dyDescent="0.3">
      <c r="A8030" s="80"/>
      <c r="B8030" s="81"/>
      <c r="C8030" s="82"/>
    </row>
    <row r="8031" spans="1:3" x14ac:dyDescent="0.3">
      <c r="A8031" s="80"/>
      <c r="B8031" s="81"/>
      <c r="C8031" s="82"/>
    </row>
    <row r="8032" spans="1:3" x14ac:dyDescent="0.3">
      <c r="A8032" s="80"/>
      <c r="B8032" s="81"/>
      <c r="C8032" s="82"/>
    </row>
    <row r="8033" spans="1:3" x14ac:dyDescent="0.3">
      <c r="A8033" s="80"/>
      <c r="B8033" s="81"/>
      <c r="C8033" s="82"/>
    </row>
    <row r="8034" spans="1:3" x14ac:dyDescent="0.3">
      <c r="A8034" s="80"/>
      <c r="B8034" s="81"/>
      <c r="C8034" s="82"/>
    </row>
    <row r="8035" spans="1:3" x14ac:dyDescent="0.3">
      <c r="A8035" s="80"/>
      <c r="B8035" s="81"/>
      <c r="C8035" s="82"/>
    </row>
    <row r="8036" spans="1:3" x14ac:dyDescent="0.3">
      <c r="A8036" s="80"/>
      <c r="B8036" s="81"/>
      <c r="C8036" s="82"/>
    </row>
    <row r="8037" spans="1:3" x14ac:dyDescent="0.3">
      <c r="A8037" s="80"/>
      <c r="B8037" s="81"/>
      <c r="C8037" s="82"/>
    </row>
    <row r="8038" spans="1:3" x14ac:dyDescent="0.3">
      <c r="A8038" s="80"/>
      <c r="B8038" s="81"/>
      <c r="C8038" s="82"/>
    </row>
    <row r="8039" spans="1:3" x14ac:dyDescent="0.3">
      <c r="A8039" s="80"/>
      <c r="B8039" s="81"/>
      <c r="C8039" s="82"/>
    </row>
    <row r="8040" spans="1:3" x14ac:dyDescent="0.3">
      <c r="A8040" s="80"/>
      <c r="B8040" s="81"/>
      <c r="C8040" s="82"/>
    </row>
    <row r="8041" spans="1:3" x14ac:dyDescent="0.3">
      <c r="A8041" s="80"/>
      <c r="B8041" s="81"/>
      <c r="C8041" s="82"/>
    </row>
    <row r="8042" spans="1:3" x14ac:dyDescent="0.3">
      <c r="A8042" s="80"/>
      <c r="B8042" s="81"/>
      <c r="C8042" s="82"/>
    </row>
    <row r="8043" spans="1:3" x14ac:dyDescent="0.3">
      <c r="A8043" s="80"/>
      <c r="B8043" s="81"/>
      <c r="C8043" s="82"/>
    </row>
    <row r="8044" spans="1:3" x14ac:dyDescent="0.3">
      <c r="A8044" s="80"/>
      <c r="B8044" s="81"/>
      <c r="C8044" s="82"/>
    </row>
    <row r="8045" spans="1:3" x14ac:dyDescent="0.3">
      <c r="A8045" s="80"/>
      <c r="B8045" s="81"/>
      <c r="C8045" s="82"/>
    </row>
    <row r="8046" spans="1:3" x14ac:dyDescent="0.3">
      <c r="A8046" s="80"/>
      <c r="B8046" s="81"/>
      <c r="C8046" s="82"/>
    </row>
    <row r="8047" spans="1:3" x14ac:dyDescent="0.3">
      <c r="A8047" s="80"/>
      <c r="B8047" s="81"/>
      <c r="C8047" s="82"/>
    </row>
    <row r="8048" spans="1:3" x14ac:dyDescent="0.3">
      <c r="A8048" s="80"/>
      <c r="B8048" s="81"/>
      <c r="C8048" s="82"/>
    </row>
    <row r="8049" spans="1:3" x14ac:dyDescent="0.3">
      <c r="A8049" s="80"/>
      <c r="B8049" s="81"/>
      <c r="C8049" s="82"/>
    </row>
    <row r="8050" spans="1:3" x14ac:dyDescent="0.3">
      <c r="A8050" s="80"/>
      <c r="B8050" s="81"/>
      <c r="C8050" s="82"/>
    </row>
    <row r="8051" spans="1:3" x14ac:dyDescent="0.3">
      <c r="A8051" s="80"/>
      <c r="B8051" s="81"/>
      <c r="C8051" s="82"/>
    </row>
    <row r="8052" spans="1:3" x14ac:dyDescent="0.3">
      <c r="A8052" s="80"/>
      <c r="B8052" s="81"/>
      <c r="C8052" s="82"/>
    </row>
    <row r="8053" spans="1:3" x14ac:dyDescent="0.3">
      <c r="A8053" s="80"/>
      <c r="B8053" s="81"/>
      <c r="C8053" s="82"/>
    </row>
    <row r="8054" spans="1:3" x14ac:dyDescent="0.3">
      <c r="A8054" s="80"/>
      <c r="B8054" s="81"/>
      <c r="C8054" s="82"/>
    </row>
    <row r="8055" spans="1:3" x14ac:dyDescent="0.3">
      <c r="A8055" s="80"/>
      <c r="B8055" s="81"/>
      <c r="C8055" s="82"/>
    </row>
    <row r="8056" spans="1:3" x14ac:dyDescent="0.3">
      <c r="A8056" s="80"/>
      <c r="B8056" s="81"/>
      <c r="C8056" s="82"/>
    </row>
    <row r="8057" spans="1:3" x14ac:dyDescent="0.3">
      <c r="A8057" s="80"/>
      <c r="B8057" s="81"/>
      <c r="C8057" s="82"/>
    </row>
    <row r="8058" spans="1:3" x14ac:dyDescent="0.3">
      <c r="A8058" s="80"/>
      <c r="B8058" s="81"/>
      <c r="C8058" s="82"/>
    </row>
    <row r="8059" spans="1:3" x14ac:dyDescent="0.3">
      <c r="A8059" s="80"/>
      <c r="B8059" s="81"/>
      <c r="C8059" s="82"/>
    </row>
    <row r="8060" spans="1:3" x14ac:dyDescent="0.3">
      <c r="A8060" s="80"/>
      <c r="B8060" s="81"/>
      <c r="C8060" s="82"/>
    </row>
    <row r="8061" spans="1:3" x14ac:dyDescent="0.3">
      <c r="A8061" s="80"/>
      <c r="B8061" s="81"/>
      <c r="C8061" s="82"/>
    </row>
    <row r="8062" spans="1:3" x14ac:dyDescent="0.3">
      <c r="A8062" s="80"/>
      <c r="B8062" s="81"/>
      <c r="C8062" s="82"/>
    </row>
    <row r="8063" spans="1:3" x14ac:dyDescent="0.3">
      <c r="A8063" s="80"/>
      <c r="B8063" s="81"/>
      <c r="C8063" s="82"/>
    </row>
    <row r="8064" spans="1:3" x14ac:dyDescent="0.3">
      <c r="A8064" s="80"/>
      <c r="B8064" s="81"/>
      <c r="C8064" s="82"/>
    </row>
    <row r="8065" spans="1:3" x14ac:dyDescent="0.3">
      <c r="A8065" s="80"/>
      <c r="B8065" s="81"/>
      <c r="C8065" s="82"/>
    </row>
    <row r="8066" spans="1:3" x14ac:dyDescent="0.3">
      <c r="A8066" s="80"/>
      <c r="B8066" s="81"/>
      <c r="C8066" s="82"/>
    </row>
    <row r="8067" spans="1:3" x14ac:dyDescent="0.3">
      <c r="A8067" s="80"/>
      <c r="B8067" s="81"/>
      <c r="C8067" s="82"/>
    </row>
    <row r="8068" spans="1:3" x14ac:dyDescent="0.3">
      <c r="A8068" s="80"/>
      <c r="B8068" s="81"/>
      <c r="C8068" s="82"/>
    </row>
    <row r="8069" spans="1:3" x14ac:dyDescent="0.3">
      <c r="A8069" s="80"/>
      <c r="B8069" s="81"/>
      <c r="C8069" s="82"/>
    </row>
    <row r="8070" spans="1:3" x14ac:dyDescent="0.3">
      <c r="A8070" s="80"/>
      <c r="B8070" s="81"/>
      <c r="C8070" s="82"/>
    </row>
    <row r="8071" spans="1:3" x14ac:dyDescent="0.3">
      <c r="A8071" s="80"/>
      <c r="B8071" s="81"/>
      <c r="C8071" s="82"/>
    </row>
    <row r="8072" spans="1:3" x14ac:dyDescent="0.3">
      <c r="A8072" s="80"/>
      <c r="B8072" s="81"/>
      <c r="C8072" s="82"/>
    </row>
    <row r="8073" spans="1:3" x14ac:dyDescent="0.3">
      <c r="A8073" s="80"/>
      <c r="B8073" s="81"/>
      <c r="C8073" s="82"/>
    </row>
    <row r="8074" spans="1:3" x14ac:dyDescent="0.3">
      <c r="A8074" s="80"/>
      <c r="B8074" s="81"/>
      <c r="C8074" s="82"/>
    </row>
    <row r="8075" spans="1:3" x14ac:dyDescent="0.3">
      <c r="A8075" s="80"/>
      <c r="B8075" s="81"/>
      <c r="C8075" s="82"/>
    </row>
    <row r="8076" spans="1:3" x14ac:dyDescent="0.3">
      <c r="A8076" s="80"/>
      <c r="B8076" s="81"/>
      <c r="C8076" s="82"/>
    </row>
    <row r="8077" spans="1:3" x14ac:dyDescent="0.3">
      <c r="A8077" s="80"/>
      <c r="B8077" s="81"/>
      <c r="C8077" s="82"/>
    </row>
    <row r="8078" spans="1:3" x14ac:dyDescent="0.3">
      <c r="A8078" s="80"/>
      <c r="B8078" s="81"/>
      <c r="C8078" s="82"/>
    </row>
    <row r="8079" spans="1:3" x14ac:dyDescent="0.3">
      <c r="A8079" s="80"/>
      <c r="B8079" s="81"/>
      <c r="C8079" s="82"/>
    </row>
    <row r="8080" spans="1:3" x14ac:dyDescent="0.3">
      <c r="A8080" s="80"/>
      <c r="B8080" s="81"/>
      <c r="C8080" s="82"/>
    </row>
    <row r="8081" spans="1:3" x14ac:dyDescent="0.3">
      <c r="A8081" s="80"/>
      <c r="B8081" s="81"/>
      <c r="C8081" s="82"/>
    </row>
    <row r="8082" spans="1:3" x14ac:dyDescent="0.3">
      <c r="A8082" s="80"/>
      <c r="B8082" s="81"/>
      <c r="C8082" s="82"/>
    </row>
    <row r="8083" spans="1:3" x14ac:dyDescent="0.3">
      <c r="A8083" s="80"/>
      <c r="B8083" s="81"/>
      <c r="C8083" s="82"/>
    </row>
    <row r="8084" spans="1:3" x14ac:dyDescent="0.3">
      <c r="A8084" s="80"/>
      <c r="B8084" s="81"/>
      <c r="C8084" s="82"/>
    </row>
    <row r="8085" spans="1:3" x14ac:dyDescent="0.3">
      <c r="A8085" s="80"/>
      <c r="B8085" s="81"/>
      <c r="C8085" s="82"/>
    </row>
    <row r="8086" spans="1:3" x14ac:dyDescent="0.3">
      <c r="A8086" s="80"/>
      <c r="B8086" s="81"/>
      <c r="C8086" s="82"/>
    </row>
    <row r="8087" spans="1:3" x14ac:dyDescent="0.3">
      <c r="A8087" s="80"/>
      <c r="B8087" s="81"/>
      <c r="C8087" s="82"/>
    </row>
    <row r="8088" spans="1:3" x14ac:dyDescent="0.3">
      <c r="A8088" s="80"/>
      <c r="B8088" s="81"/>
      <c r="C8088" s="82"/>
    </row>
    <row r="8089" spans="1:3" x14ac:dyDescent="0.3">
      <c r="A8089" s="80"/>
      <c r="B8089" s="81"/>
      <c r="C8089" s="82"/>
    </row>
    <row r="8090" spans="1:3" x14ac:dyDescent="0.3">
      <c r="A8090" s="80"/>
      <c r="B8090" s="81"/>
      <c r="C8090" s="82"/>
    </row>
    <row r="8091" spans="1:3" x14ac:dyDescent="0.3">
      <c r="A8091" s="80"/>
      <c r="B8091" s="81"/>
      <c r="C8091" s="82"/>
    </row>
    <row r="8092" spans="1:3" x14ac:dyDescent="0.3">
      <c r="A8092" s="80"/>
      <c r="B8092" s="81"/>
      <c r="C8092" s="82"/>
    </row>
    <row r="8093" spans="1:3" x14ac:dyDescent="0.3">
      <c r="A8093" s="80"/>
      <c r="B8093" s="81"/>
      <c r="C8093" s="82"/>
    </row>
    <row r="8094" spans="1:3" x14ac:dyDescent="0.3">
      <c r="A8094" s="80"/>
      <c r="B8094" s="81"/>
      <c r="C8094" s="82"/>
    </row>
    <row r="8095" spans="1:3" x14ac:dyDescent="0.3">
      <c r="A8095" s="80"/>
      <c r="B8095" s="81"/>
      <c r="C8095" s="82"/>
    </row>
    <row r="8096" spans="1:3" x14ac:dyDescent="0.3">
      <c r="A8096" s="80"/>
      <c r="B8096" s="81"/>
      <c r="C8096" s="82"/>
    </row>
    <row r="8097" spans="1:3" x14ac:dyDescent="0.3">
      <c r="A8097" s="80"/>
      <c r="B8097" s="81"/>
      <c r="C8097" s="82"/>
    </row>
    <row r="8098" spans="1:3" x14ac:dyDescent="0.3">
      <c r="A8098" s="80"/>
      <c r="B8098" s="81"/>
      <c r="C8098" s="82"/>
    </row>
    <row r="8099" spans="1:3" x14ac:dyDescent="0.3">
      <c r="A8099" s="80"/>
      <c r="B8099" s="81"/>
      <c r="C8099" s="82"/>
    </row>
    <row r="8100" spans="1:3" x14ac:dyDescent="0.3">
      <c r="A8100" s="80"/>
      <c r="B8100" s="81"/>
      <c r="C8100" s="82"/>
    </row>
    <row r="8101" spans="1:3" x14ac:dyDescent="0.3">
      <c r="A8101" s="80"/>
      <c r="B8101" s="81"/>
      <c r="C8101" s="82"/>
    </row>
    <row r="8102" spans="1:3" x14ac:dyDescent="0.3">
      <c r="A8102" s="80"/>
      <c r="B8102" s="81"/>
      <c r="C8102" s="82"/>
    </row>
    <row r="8103" spans="1:3" x14ac:dyDescent="0.3">
      <c r="A8103" s="80"/>
      <c r="B8103" s="81"/>
      <c r="C8103" s="82"/>
    </row>
    <row r="8104" spans="1:3" x14ac:dyDescent="0.3">
      <c r="A8104" s="80"/>
      <c r="B8104" s="81"/>
      <c r="C8104" s="82"/>
    </row>
    <row r="8105" spans="1:3" x14ac:dyDescent="0.3">
      <c r="A8105" s="80"/>
      <c r="B8105" s="81"/>
      <c r="C8105" s="82"/>
    </row>
    <row r="8106" spans="1:3" x14ac:dyDescent="0.3">
      <c r="A8106" s="80"/>
      <c r="B8106" s="81"/>
      <c r="C8106" s="82"/>
    </row>
    <row r="8107" spans="1:3" x14ac:dyDescent="0.3">
      <c r="A8107" s="80"/>
      <c r="B8107" s="81"/>
      <c r="C8107" s="82"/>
    </row>
    <row r="8108" spans="1:3" x14ac:dyDescent="0.3">
      <c r="A8108" s="80"/>
      <c r="B8108" s="81"/>
      <c r="C8108" s="82"/>
    </row>
    <row r="8109" spans="1:3" x14ac:dyDescent="0.3">
      <c r="A8109" s="80"/>
      <c r="B8109" s="81"/>
      <c r="C8109" s="82"/>
    </row>
    <row r="8110" spans="1:3" x14ac:dyDescent="0.3">
      <c r="A8110" s="80"/>
      <c r="B8110" s="81"/>
      <c r="C8110" s="82"/>
    </row>
    <row r="8111" spans="1:3" x14ac:dyDescent="0.3">
      <c r="A8111" s="80"/>
      <c r="B8111" s="81"/>
      <c r="C8111" s="82"/>
    </row>
    <row r="8112" spans="1:3" x14ac:dyDescent="0.3">
      <c r="A8112" s="80"/>
      <c r="B8112" s="81"/>
      <c r="C8112" s="82"/>
    </row>
    <row r="8113" spans="1:3" x14ac:dyDescent="0.3">
      <c r="A8113" s="80"/>
      <c r="B8113" s="81"/>
      <c r="C8113" s="82"/>
    </row>
    <row r="8114" spans="1:3" x14ac:dyDescent="0.3">
      <c r="A8114" s="80"/>
      <c r="B8114" s="81"/>
      <c r="C8114" s="82"/>
    </row>
    <row r="8115" spans="1:3" x14ac:dyDescent="0.3">
      <c r="A8115" s="80"/>
      <c r="B8115" s="81"/>
      <c r="C8115" s="82"/>
    </row>
    <row r="8116" spans="1:3" x14ac:dyDescent="0.3">
      <c r="A8116" s="80"/>
      <c r="B8116" s="81"/>
      <c r="C8116" s="82"/>
    </row>
    <row r="8117" spans="1:3" x14ac:dyDescent="0.3">
      <c r="A8117" s="80"/>
      <c r="B8117" s="81"/>
      <c r="C8117" s="82"/>
    </row>
    <row r="8118" spans="1:3" x14ac:dyDescent="0.3">
      <c r="A8118" s="80"/>
      <c r="B8118" s="81"/>
      <c r="C8118" s="82"/>
    </row>
    <row r="8119" spans="1:3" x14ac:dyDescent="0.3">
      <c r="A8119" s="80"/>
      <c r="B8119" s="81"/>
      <c r="C8119" s="82"/>
    </row>
    <row r="8120" spans="1:3" x14ac:dyDescent="0.3">
      <c r="A8120" s="80"/>
      <c r="B8120" s="81"/>
      <c r="C8120" s="82"/>
    </row>
    <row r="8121" spans="1:3" x14ac:dyDescent="0.3">
      <c r="A8121" s="80"/>
      <c r="B8121" s="81"/>
      <c r="C8121" s="82"/>
    </row>
    <row r="8122" spans="1:3" x14ac:dyDescent="0.3">
      <c r="A8122" s="80"/>
      <c r="B8122" s="81"/>
      <c r="C8122" s="82"/>
    </row>
    <row r="8123" spans="1:3" x14ac:dyDescent="0.3">
      <c r="A8123" s="80"/>
      <c r="B8123" s="81"/>
      <c r="C8123" s="82"/>
    </row>
    <row r="8124" spans="1:3" x14ac:dyDescent="0.3">
      <c r="A8124" s="80"/>
      <c r="B8124" s="81"/>
      <c r="C8124" s="82"/>
    </row>
    <row r="8125" spans="1:3" x14ac:dyDescent="0.3">
      <c r="A8125" s="80"/>
      <c r="B8125" s="81"/>
      <c r="C8125" s="82"/>
    </row>
    <row r="8126" spans="1:3" x14ac:dyDescent="0.3">
      <c r="A8126" s="80"/>
      <c r="B8126" s="81"/>
      <c r="C8126" s="82"/>
    </row>
    <row r="8127" spans="1:3" x14ac:dyDescent="0.3">
      <c r="A8127" s="80"/>
      <c r="B8127" s="81"/>
      <c r="C8127" s="82"/>
    </row>
    <row r="8128" spans="1:3" x14ac:dyDescent="0.3">
      <c r="A8128" s="80"/>
      <c r="B8128" s="81"/>
      <c r="C8128" s="82"/>
    </row>
    <row r="8129" spans="1:3" x14ac:dyDescent="0.3">
      <c r="A8129" s="80"/>
      <c r="B8129" s="81"/>
      <c r="C8129" s="82"/>
    </row>
    <row r="8130" spans="1:3" x14ac:dyDescent="0.3">
      <c r="A8130" s="80"/>
      <c r="B8130" s="81"/>
      <c r="C8130" s="82"/>
    </row>
    <row r="8131" spans="1:3" x14ac:dyDescent="0.3">
      <c r="A8131" s="80"/>
      <c r="B8131" s="81"/>
      <c r="C8131" s="82"/>
    </row>
    <row r="8132" spans="1:3" x14ac:dyDescent="0.3">
      <c r="A8132" s="80"/>
      <c r="B8132" s="81"/>
      <c r="C8132" s="82"/>
    </row>
    <row r="8133" spans="1:3" x14ac:dyDescent="0.3">
      <c r="A8133" s="80"/>
      <c r="B8133" s="81"/>
      <c r="C8133" s="82"/>
    </row>
    <row r="8134" spans="1:3" x14ac:dyDescent="0.3">
      <c r="A8134" s="80"/>
      <c r="B8134" s="81"/>
      <c r="C8134" s="82"/>
    </row>
    <row r="8135" spans="1:3" x14ac:dyDescent="0.3">
      <c r="A8135" s="80"/>
      <c r="B8135" s="81"/>
      <c r="C8135" s="82"/>
    </row>
    <row r="8136" spans="1:3" x14ac:dyDescent="0.3">
      <c r="A8136" s="80"/>
      <c r="B8136" s="81"/>
      <c r="C8136" s="82"/>
    </row>
    <row r="8137" spans="1:3" x14ac:dyDescent="0.3">
      <c r="A8137" s="80"/>
      <c r="B8137" s="81"/>
      <c r="C8137" s="82"/>
    </row>
    <row r="8138" spans="1:3" x14ac:dyDescent="0.3">
      <c r="A8138" s="80"/>
      <c r="B8138" s="81"/>
      <c r="C8138" s="82"/>
    </row>
    <row r="8139" spans="1:3" x14ac:dyDescent="0.3">
      <c r="A8139" s="80"/>
      <c r="B8139" s="81"/>
      <c r="C8139" s="82"/>
    </row>
    <row r="8140" spans="1:3" x14ac:dyDescent="0.3">
      <c r="A8140" s="80"/>
      <c r="B8140" s="81"/>
      <c r="C8140" s="82"/>
    </row>
    <row r="8141" spans="1:3" x14ac:dyDescent="0.3">
      <c r="A8141" s="80"/>
      <c r="B8141" s="81"/>
      <c r="C8141" s="82"/>
    </row>
    <row r="8142" spans="1:3" x14ac:dyDescent="0.3">
      <c r="A8142" s="80"/>
      <c r="B8142" s="81"/>
      <c r="C8142" s="82"/>
    </row>
    <row r="8143" spans="1:3" x14ac:dyDescent="0.3">
      <c r="A8143" s="80"/>
      <c r="B8143" s="81"/>
      <c r="C8143" s="82"/>
    </row>
    <row r="8144" spans="1:3" x14ac:dyDescent="0.3">
      <c r="A8144" s="80"/>
      <c r="B8144" s="81"/>
      <c r="C8144" s="82"/>
    </row>
    <row r="8145" spans="1:3" x14ac:dyDescent="0.3">
      <c r="A8145" s="80"/>
      <c r="B8145" s="81"/>
      <c r="C8145" s="82"/>
    </row>
    <row r="8146" spans="1:3" x14ac:dyDescent="0.3">
      <c r="A8146" s="80"/>
      <c r="B8146" s="81"/>
      <c r="C8146" s="82"/>
    </row>
    <row r="8147" spans="1:3" x14ac:dyDescent="0.3">
      <c r="A8147" s="80"/>
      <c r="B8147" s="81"/>
      <c r="C8147" s="82"/>
    </row>
    <row r="8148" spans="1:3" x14ac:dyDescent="0.3">
      <c r="A8148" s="80"/>
      <c r="B8148" s="81"/>
      <c r="C8148" s="82"/>
    </row>
    <row r="8149" spans="1:3" x14ac:dyDescent="0.3">
      <c r="A8149" s="80"/>
      <c r="B8149" s="81"/>
      <c r="C8149" s="82"/>
    </row>
    <row r="8150" spans="1:3" x14ac:dyDescent="0.3">
      <c r="A8150" s="80"/>
      <c r="B8150" s="81"/>
      <c r="C8150" s="82"/>
    </row>
    <row r="8151" spans="1:3" x14ac:dyDescent="0.3">
      <c r="A8151" s="80"/>
      <c r="B8151" s="81"/>
      <c r="C8151" s="82"/>
    </row>
    <row r="8152" spans="1:3" x14ac:dyDescent="0.3">
      <c r="A8152" s="80"/>
      <c r="B8152" s="81"/>
      <c r="C8152" s="82"/>
    </row>
    <row r="8153" spans="1:3" x14ac:dyDescent="0.3">
      <c r="A8153" s="80"/>
      <c r="B8153" s="81"/>
      <c r="C8153" s="82"/>
    </row>
    <row r="8154" spans="1:3" x14ac:dyDescent="0.3">
      <c r="A8154" s="80"/>
      <c r="B8154" s="81"/>
      <c r="C8154" s="82"/>
    </row>
    <row r="8155" spans="1:3" x14ac:dyDescent="0.3">
      <c r="A8155" s="80"/>
      <c r="B8155" s="81"/>
      <c r="C8155" s="82"/>
    </row>
    <row r="8156" spans="1:3" x14ac:dyDescent="0.3">
      <c r="A8156" s="80"/>
      <c r="B8156" s="81"/>
      <c r="C8156" s="82"/>
    </row>
    <row r="8157" spans="1:3" x14ac:dyDescent="0.3">
      <c r="A8157" s="80"/>
      <c r="B8157" s="81"/>
      <c r="C8157" s="82"/>
    </row>
    <row r="8158" spans="1:3" x14ac:dyDescent="0.3">
      <c r="A8158" s="80"/>
      <c r="B8158" s="81"/>
      <c r="C8158" s="82"/>
    </row>
    <row r="8159" spans="1:3" x14ac:dyDescent="0.3">
      <c r="A8159" s="80"/>
      <c r="B8159" s="81"/>
      <c r="C8159" s="82"/>
    </row>
    <row r="8160" spans="1:3" x14ac:dyDescent="0.3">
      <c r="A8160" s="80"/>
      <c r="B8160" s="81"/>
      <c r="C8160" s="82"/>
    </row>
    <row r="8161" spans="1:3" x14ac:dyDescent="0.3">
      <c r="A8161" s="80"/>
      <c r="B8161" s="81"/>
      <c r="C8161" s="82"/>
    </row>
    <row r="8162" spans="1:3" x14ac:dyDescent="0.3">
      <c r="A8162" s="80"/>
      <c r="B8162" s="81"/>
      <c r="C8162" s="82"/>
    </row>
    <row r="8163" spans="1:3" x14ac:dyDescent="0.3">
      <c r="A8163" s="80"/>
      <c r="B8163" s="81"/>
      <c r="C8163" s="82"/>
    </row>
    <row r="8164" spans="1:3" x14ac:dyDescent="0.3">
      <c r="A8164" s="80"/>
      <c r="B8164" s="81"/>
      <c r="C8164" s="82"/>
    </row>
    <row r="8165" spans="1:3" x14ac:dyDescent="0.3">
      <c r="A8165" s="80"/>
      <c r="B8165" s="81"/>
      <c r="C8165" s="82"/>
    </row>
    <row r="8166" spans="1:3" x14ac:dyDescent="0.3">
      <c r="A8166" s="80"/>
      <c r="B8166" s="81"/>
      <c r="C8166" s="82"/>
    </row>
    <row r="8167" spans="1:3" x14ac:dyDescent="0.3">
      <c r="A8167" s="80"/>
      <c r="B8167" s="81"/>
      <c r="C8167" s="82"/>
    </row>
    <row r="8168" spans="1:3" x14ac:dyDescent="0.3">
      <c r="A8168" s="80"/>
      <c r="B8168" s="81"/>
      <c r="C8168" s="82"/>
    </row>
    <row r="8169" spans="1:3" x14ac:dyDescent="0.3">
      <c r="A8169" s="80"/>
      <c r="B8169" s="81"/>
      <c r="C8169" s="82"/>
    </row>
    <row r="8170" spans="1:3" x14ac:dyDescent="0.3">
      <c r="A8170" s="80"/>
      <c r="B8170" s="81"/>
      <c r="C8170" s="82"/>
    </row>
    <row r="8171" spans="1:3" x14ac:dyDescent="0.3">
      <c r="A8171" s="80"/>
      <c r="B8171" s="81"/>
      <c r="C8171" s="82"/>
    </row>
    <row r="8172" spans="1:3" x14ac:dyDescent="0.3">
      <c r="A8172" s="80"/>
      <c r="B8172" s="81"/>
      <c r="C8172" s="82"/>
    </row>
    <row r="8173" spans="1:3" x14ac:dyDescent="0.3">
      <c r="A8173" s="80"/>
      <c r="B8173" s="81"/>
      <c r="C8173" s="82"/>
    </row>
    <row r="8174" spans="1:3" x14ac:dyDescent="0.3">
      <c r="A8174" s="80"/>
      <c r="B8174" s="81"/>
      <c r="C8174" s="82"/>
    </row>
    <row r="8175" spans="1:3" x14ac:dyDescent="0.3">
      <c r="A8175" s="80"/>
      <c r="B8175" s="81"/>
      <c r="C8175" s="82"/>
    </row>
    <row r="8176" spans="1:3" x14ac:dyDescent="0.3">
      <c r="A8176" s="80"/>
      <c r="B8176" s="81"/>
      <c r="C8176" s="82"/>
    </row>
    <row r="8177" spans="1:3" x14ac:dyDescent="0.3">
      <c r="A8177" s="80"/>
      <c r="B8177" s="81"/>
      <c r="C8177" s="82"/>
    </row>
    <row r="8178" spans="1:3" x14ac:dyDescent="0.3">
      <c r="A8178" s="80"/>
      <c r="B8178" s="81"/>
      <c r="C8178" s="82"/>
    </row>
    <row r="8179" spans="1:3" x14ac:dyDescent="0.3">
      <c r="A8179" s="80"/>
      <c r="B8179" s="81"/>
      <c r="C8179" s="82"/>
    </row>
    <row r="8180" spans="1:3" x14ac:dyDescent="0.3">
      <c r="A8180" s="80"/>
      <c r="B8180" s="81"/>
      <c r="C8180" s="82"/>
    </row>
    <row r="8181" spans="1:3" x14ac:dyDescent="0.3">
      <c r="A8181" s="80"/>
      <c r="B8181" s="81"/>
      <c r="C8181" s="82"/>
    </row>
    <row r="8182" spans="1:3" x14ac:dyDescent="0.3">
      <c r="A8182" s="80"/>
      <c r="B8182" s="81"/>
      <c r="C8182" s="82"/>
    </row>
    <row r="8183" spans="1:3" x14ac:dyDescent="0.3">
      <c r="A8183" s="80"/>
      <c r="B8183" s="81"/>
      <c r="C8183" s="82"/>
    </row>
    <row r="8184" spans="1:3" x14ac:dyDescent="0.3">
      <c r="A8184" s="80"/>
      <c r="B8184" s="81"/>
      <c r="C8184" s="82"/>
    </row>
    <row r="8185" spans="1:3" x14ac:dyDescent="0.3">
      <c r="A8185" s="80"/>
      <c r="B8185" s="81"/>
      <c r="C8185" s="82"/>
    </row>
    <row r="8186" spans="1:3" x14ac:dyDescent="0.3">
      <c r="A8186" s="80"/>
      <c r="B8186" s="81"/>
      <c r="C8186" s="82"/>
    </row>
    <row r="8187" spans="1:3" x14ac:dyDescent="0.3">
      <c r="A8187" s="80"/>
      <c r="B8187" s="81"/>
      <c r="C8187" s="82"/>
    </row>
    <row r="8188" spans="1:3" x14ac:dyDescent="0.3">
      <c r="A8188" s="80"/>
      <c r="B8188" s="81"/>
      <c r="C8188" s="82"/>
    </row>
    <row r="8189" spans="1:3" x14ac:dyDescent="0.3">
      <c r="A8189" s="80"/>
      <c r="B8189" s="81"/>
      <c r="C8189" s="82"/>
    </row>
    <row r="8190" spans="1:3" x14ac:dyDescent="0.3">
      <c r="A8190" s="80"/>
      <c r="B8190" s="81"/>
      <c r="C8190" s="82"/>
    </row>
    <row r="8191" spans="1:3" x14ac:dyDescent="0.3">
      <c r="A8191" s="80"/>
      <c r="B8191" s="81"/>
      <c r="C8191" s="82"/>
    </row>
    <row r="8192" spans="1:3" x14ac:dyDescent="0.3">
      <c r="A8192" s="80"/>
      <c r="B8192" s="81"/>
      <c r="C8192" s="82"/>
    </row>
    <row r="8193" spans="1:3" x14ac:dyDescent="0.3">
      <c r="A8193" s="80"/>
      <c r="B8193" s="81"/>
      <c r="C8193" s="82"/>
    </row>
    <row r="8194" spans="1:3" x14ac:dyDescent="0.3">
      <c r="A8194" s="80"/>
      <c r="B8194" s="81"/>
      <c r="C8194" s="82"/>
    </row>
    <row r="8195" spans="1:3" x14ac:dyDescent="0.3">
      <c r="A8195" s="80"/>
      <c r="B8195" s="81"/>
      <c r="C8195" s="82"/>
    </row>
    <row r="8196" spans="1:3" x14ac:dyDescent="0.3">
      <c r="A8196" s="80"/>
      <c r="B8196" s="81"/>
      <c r="C8196" s="82"/>
    </row>
    <row r="8197" spans="1:3" x14ac:dyDescent="0.3">
      <c r="A8197" s="80"/>
      <c r="B8197" s="81"/>
      <c r="C8197" s="82"/>
    </row>
    <row r="8198" spans="1:3" x14ac:dyDescent="0.3">
      <c r="A8198" s="80"/>
      <c r="B8198" s="81"/>
      <c r="C8198" s="82"/>
    </row>
    <row r="8199" spans="1:3" x14ac:dyDescent="0.3">
      <c r="A8199" s="80"/>
      <c r="B8199" s="81"/>
      <c r="C8199" s="82"/>
    </row>
    <row r="8200" spans="1:3" x14ac:dyDescent="0.3">
      <c r="A8200" s="80"/>
      <c r="B8200" s="81"/>
      <c r="C8200" s="82"/>
    </row>
    <row r="8201" spans="1:3" x14ac:dyDescent="0.3">
      <c r="A8201" s="80"/>
      <c r="B8201" s="81"/>
      <c r="C8201" s="82"/>
    </row>
    <row r="8202" spans="1:3" x14ac:dyDescent="0.3">
      <c r="A8202" s="80"/>
      <c r="B8202" s="81"/>
      <c r="C8202" s="82"/>
    </row>
    <row r="8203" spans="1:3" x14ac:dyDescent="0.3">
      <c r="A8203" s="80"/>
      <c r="B8203" s="81"/>
      <c r="C8203" s="82"/>
    </row>
    <row r="8204" spans="1:3" x14ac:dyDescent="0.3">
      <c r="A8204" s="80"/>
      <c r="B8204" s="81"/>
      <c r="C8204" s="82"/>
    </row>
    <row r="8205" spans="1:3" x14ac:dyDescent="0.3">
      <c r="A8205" s="80"/>
      <c r="B8205" s="81"/>
      <c r="C8205" s="82"/>
    </row>
    <row r="8206" spans="1:3" x14ac:dyDescent="0.3">
      <c r="A8206" s="80"/>
      <c r="B8206" s="81"/>
      <c r="C8206" s="82"/>
    </row>
    <row r="8207" spans="1:3" x14ac:dyDescent="0.3">
      <c r="A8207" s="80"/>
      <c r="B8207" s="81"/>
      <c r="C8207" s="82"/>
    </row>
    <row r="8208" spans="1:3" x14ac:dyDescent="0.3">
      <c r="A8208" s="80"/>
      <c r="B8208" s="81"/>
      <c r="C8208" s="82"/>
    </row>
    <row r="8209" spans="1:3" x14ac:dyDescent="0.3">
      <c r="A8209" s="80"/>
      <c r="B8209" s="81"/>
      <c r="C8209" s="82"/>
    </row>
    <row r="8210" spans="1:3" x14ac:dyDescent="0.3">
      <c r="A8210" s="80"/>
      <c r="B8210" s="81"/>
      <c r="C8210" s="82"/>
    </row>
    <row r="8211" spans="1:3" x14ac:dyDescent="0.3">
      <c r="A8211" s="80"/>
      <c r="B8211" s="81"/>
      <c r="C8211" s="82"/>
    </row>
    <row r="8212" spans="1:3" x14ac:dyDescent="0.3">
      <c r="A8212" s="80"/>
      <c r="B8212" s="81"/>
      <c r="C8212" s="82"/>
    </row>
    <row r="8213" spans="1:3" x14ac:dyDescent="0.3">
      <c r="A8213" s="80"/>
      <c r="B8213" s="81"/>
      <c r="C8213" s="82"/>
    </row>
    <row r="8214" spans="1:3" x14ac:dyDescent="0.3">
      <c r="A8214" s="80"/>
      <c r="B8214" s="81"/>
      <c r="C8214" s="82"/>
    </row>
    <row r="8215" spans="1:3" x14ac:dyDescent="0.3">
      <c r="A8215" s="80"/>
      <c r="B8215" s="81"/>
      <c r="C8215" s="82"/>
    </row>
    <row r="8216" spans="1:3" x14ac:dyDescent="0.3">
      <c r="A8216" s="80"/>
      <c r="B8216" s="81"/>
      <c r="C8216" s="82"/>
    </row>
    <row r="8217" spans="1:3" x14ac:dyDescent="0.3">
      <c r="A8217" s="80"/>
      <c r="B8217" s="81"/>
      <c r="C8217" s="82"/>
    </row>
    <row r="8218" spans="1:3" x14ac:dyDescent="0.3">
      <c r="A8218" s="80"/>
      <c r="B8218" s="81"/>
      <c r="C8218" s="82"/>
    </row>
    <row r="8219" spans="1:3" x14ac:dyDescent="0.3">
      <c r="A8219" s="80"/>
      <c r="B8219" s="81"/>
      <c r="C8219" s="82"/>
    </row>
    <row r="8220" spans="1:3" x14ac:dyDescent="0.3">
      <c r="A8220" s="80"/>
      <c r="B8220" s="81"/>
      <c r="C8220" s="82"/>
    </row>
    <row r="8221" spans="1:3" x14ac:dyDescent="0.3">
      <c r="A8221" s="80"/>
      <c r="B8221" s="81"/>
      <c r="C8221" s="82"/>
    </row>
    <row r="8222" spans="1:3" x14ac:dyDescent="0.3">
      <c r="A8222" s="80"/>
      <c r="B8222" s="81"/>
      <c r="C8222" s="82"/>
    </row>
    <row r="8223" spans="1:3" x14ac:dyDescent="0.3">
      <c r="A8223" s="80"/>
      <c r="B8223" s="81"/>
      <c r="C8223" s="82"/>
    </row>
    <row r="8224" spans="1:3" x14ac:dyDescent="0.3">
      <c r="A8224" s="80"/>
      <c r="B8224" s="81"/>
      <c r="C8224" s="82"/>
    </row>
    <row r="8225" spans="1:3" x14ac:dyDescent="0.3">
      <c r="A8225" s="80"/>
      <c r="B8225" s="81"/>
      <c r="C8225" s="82"/>
    </row>
    <row r="8226" spans="1:3" x14ac:dyDescent="0.3">
      <c r="A8226" s="80"/>
      <c r="B8226" s="81"/>
      <c r="C8226" s="82"/>
    </row>
    <row r="8227" spans="1:3" x14ac:dyDescent="0.3">
      <c r="A8227" s="80"/>
      <c r="B8227" s="81"/>
      <c r="C8227" s="82"/>
    </row>
    <row r="8228" spans="1:3" x14ac:dyDescent="0.3">
      <c r="A8228" s="80"/>
      <c r="B8228" s="81"/>
      <c r="C8228" s="82"/>
    </row>
    <row r="8229" spans="1:3" x14ac:dyDescent="0.3">
      <c r="A8229" s="80"/>
      <c r="B8229" s="81"/>
      <c r="C8229" s="82"/>
    </row>
    <row r="8230" spans="1:3" x14ac:dyDescent="0.3">
      <c r="A8230" s="80"/>
      <c r="B8230" s="81"/>
      <c r="C8230" s="82"/>
    </row>
    <row r="8231" spans="1:3" x14ac:dyDescent="0.3">
      <c r="A8231" s="80"/>
      <c r="B8231" s="81"/>
      <c r="C8231" s="82"/>
    </row>
    <row r="8232" spans="1:3" x14ac:dyDescent="0.3">
      <c r="A8232" s="80"/>
      <c r="B8232" s="81"/>
      <c r="C8232" s="82"/>
    </row>
    <row r="8233" spans="1:3" x14ac:dyDescent="0.3">
      <c r="A8233" s="80"/>
      <c r="B8233" s="81"/>
      <c r="C8233" s="82"/>
    </row>
    <row r="8234" spans="1:3" x14ac:dyDescent="0.3">
      <c r="A8234" s="80"/>
      <c r="B8234" s="81"/>
      <c r="C8234" s="82"/>
    </row>
    <row r="8235" spans="1:3" x14ac:dyDescent="0.3">
      <c r="A8235" s="80"/>
      <c r="B8235" s="81"/>
      <c r="C8235" s="82"/>
    </row>
    <row r="8236" spans="1:3" x14ac:dyDescent="0.3">
      <c r="A8236" s="80"/>
      <c r="B8236" s="81"/>
      <c r="C8236" s="82"/>
    </row>
    <row r="8237" spans="1:3" x14ac:dyDescent="0.3">
      <c r="A8237" s="80"/>
      <c r="B8237" s="81"/>
      <c r="C8237" s="82"/>
    </row>
    <row r="8238" spans="1:3" x14ac:dyDescent="0.3">
      <c r="A8238" s="80"/>
      <c r="B8238" s="81"/>
      <c r="C8238" s="82"/>
    </row>
    <row r="8239" spans="1:3" x14ac:dyDescent="0.3">
      <c r="A8239" s="80"/>
      <c r="B8239" s="81"/>
      <c r="C8239" s="82"/>
    </row>
    <row r="8240" spans="1:3" x14ac:dyDescent="0.3">
      <c r="A8240" s="80"/>
      <c r="B8240" s="81"/>
      <c r="C8240" s="82"/>
    </row>
    <row r="8241" spans="1:3" x14ac:dyDescent="0.3">
      <c r="A8241" s="80"/>
      <c r="B8241" s="81"/>
      <c r="C8241" s="82"/>
    </row>
    <row r="8242" spans="1:3" x14ac:dyDescent="0.3">
      <c r="A8242" s="80"/>
      <c r="B8242" s="81"/>
      <c r="C8242" s="82"/>
    </row>
    <row r="8243" spans="1:3" x14ac:dyDescent="0.3">
      <c r="A8243" s="80"/>
      <c r="B8243" s="81"/>
      <c r="C8243" s="82"/>
    </row>
    <row r="8244" spans="1:3" x14ac:dyDescent="0.3">
      <c r="A8244" s="80"/>
      <c r="B8244" s="81"/>
      <c r="C8244" s="82"/>
    </row>
    <row r="8245" spans="1:3" x14ac:dyDescent="0.3">
      <c r="A8245" s="80"/>
      <c r="B8245" s="81"/>
      <c r="C8245" s="82"/>
    </row>
    <row r="8246" spans="1:3" x14ac:dyDescent="0.3">
      <c r="A8246" s="80"/>
      <c r="B8246" s="81"/>
      <c r="C8246" s="82"/>
    </row>
    <row r="8247" spans="1:3" x14ac:dyDescent="0.3">
      <c r="A8247" s="80"/>
      <c r="B8247" s="81"/>
      <c r="C8247" s="82"/>
    </row>
    <row r="8248" spans="1:3" x14ac:dyDescent="0.3">
      <c r="A8248" s="80"/>
      <c r="B8248" s="81"/>
      <c r="C8248" s="82"/>
    </row>
    <row r="8249" spans="1:3" x14ac:dyDescent="0.3">
      <c r="A8249" s="80"/>
      <c r="B8249" s="81"/>
      <c r="C8249" s="82"/>
    </row>
    <row r="8250" spans="1:3" x14ac:dyDescent="0.3">
      <c r="A8250" s="80"/>
      <c r="B8250" s="81"/>
      <c r="C8250" s="82"/>
    </row>
    <row r="8251" spans="1:3" x14ac:dyDescent="0.3">
      <c r="A8251" s="80"/>
      <c r="B8251" s="81"/>
      <c r="C8251" s="82"/>
    </row>
    <row r="8252" spans="1:3" x14ac:dyDescent="0.3">
      <c r="A8252" s="80"/>
      <c r="B8252" s="81"/>
      <c r="C8252" s="82"/>
    </row>
    <row r="8253" spans="1:3" x14ac:dyDescent="0.3">
      <c r="A8253" s="80"/>
      <c r="B8253" s="81"/>
      <c r="C8253" s="82"/>
    </row>
    <row r="8254" spans="1:3" x14ac:dyDescent="0.3">
      <c r="A8254" s="80"/>
      <c r="B8254" s="81"/>
      <c r="C8254" s="82"/>
    </row>
    <row r="8255" spans="1:3" x14ac:dyDescent="0.3">
      <c r="A8255" s="80"/>
      <c r="B8255" s="81"/>
      <c r="C8255" s="82"/>
    </row>
    <row r="8256" spans="1:3" x14ac:dyDescent="0.3">
      <c r="A8256" s="80"/>
      <c r="B8256" s="81"/>
      <c r="C8256" s="82"/>
    </row>
    <row r="8257" spans="1:3" x14ac:dyDescent="0.3">
      <c r="A8257" s="80"/>
      <c r="B8257" s="81"/>
      <c r="C8257" s="82"/>
    </row>
    <row r="8258" spans="1:3" x14ac:dyDescent="0.3">
      <c r="A8258" s="80"/>
      <c r="B8258" s="81"/>
      <c r="C8258" s="82"/>
    </row>
    <row r="8259" spans="1:3" x14ac:dyDescent="0.3">
      <c r="A8259" s="80"/>
      <c r="B8259" s="81"/>
      <c r="C8259" s="82"/>
    </row>
    <row r="8260" spans="1:3" x14ac:dyDescent="0.3">
      <c r="A8260" s="80"/>
      <c r="B8260" s="81"/>
      <c r="C8260" s="82"/>
    </row>
    <row r="8261" spans="1:3" x14ac:dyDescent="0.3">
      <c r="A8261" s="80"/>
      <c r="B8261" s="81"/>
      <c r="C8261" s="82"/>
    </row>
    <row r="8262" spans="1:3" x14ac:dyDescent="0.3">
      <c r="A8262" s="80"/>
      <c r="B8262" s="81"/>
      <c r="C8262" s="82"/>
    </row>
    <row r="8263" spans="1:3" x14ac:dyDescent="0.3">
      <c r="A8263" s="80"/>
      <c r="B8263" s="81"/>
      <c r="C8263" s="82"/>
    </row>
    <row r="8264" spans="1:3" x14ac:dyDescent="0.3">
      <c r="A8264" s="80"/>
      <c r="B8264" s="81"/>
      <c r="C8264" s="82"/>
    </row>
    <row r="8265" spans="1:3" x14ac:dyDescent="0.3">
      <c r="A8265" s="80"/>
      <c r="B8265" s="81"/>
      <c r="C8265" s="82"/>
    </row>
    <row r="8266" spans="1:3" x14ac:dyDescent="0.3">
      <c r="A8266" s="80"/>
      <c r="B8266" s="81"/>
      <c r="C8266" s="82"/>
    </row>
    <row r="8267" spans="1:3" x14ac:dyDescent="0.3">
      <c r="A8267" s="80"/>
      <c r="B8267" s="81"/>
      <c r="C8267" s="82"/>
    </row>
    <row r="8268" spans="1:3" x14ac:dyDescent="0.3">
      <c r="A8268" s="80"/>
      <c r="B8268" s="81"/>
      <c r="C8268" s="82"/>
    </row>
    <row r="8269" spans="1:3" x14ac:dyDescent="0.3">
      <c r="A8269" s="80"/>
      <c r="B8269" s="81"/>
      <c r="C8269" s="82"/>
    </row>
    <row r="8270" spans="1:3" x14ac:dyDescent="0.3">
      <c r="A8270" s="80"/>
      <c r="B8270" s="81"/>
      <c r="C8270" s="82"/>
    </row>
    <row r="8271" spans="1:3" x14ac:dyDescent="0.3">
      <c r="A8271" s="80"/>
      <c r="B8271" s="81"/>
      <c r="C8271" s="82"/>
    </row>
    <row r="8272" spans="1:3" x14ac:dyDescent="0.3">
      <c r="A8272" s="80"/>
      <c r="B8272" s="81"/>
      <c r="C8272" s="82"/>
    </row>
    <row r="8273" spans="1:3" x14ac:dyDescent="0.3">
      <c r="A8273" s="80"/>
      <c r="B8273" s="81"/>
      <c r="C8273" s="82"/>
    </row>
    <row r="8274" spans="1:3" x14ac:dyDescent="0.3">
      <c r="A8274" s="80"/>
      <c r="B8274" s="81"/>
      <c r="C8274" s="82"/>
    </row>
    <row r="8275" spans="1:3" x14ac:dyDescent="0.3">
      <c r="A8275" s="80"/>
      <c r="B8275" s="81"/>
      <c r="C8275" s="82"/>
    </row>
    <row r="8276" spans="1:3" x14ac:dyDescent="0.3">
      <c r="A8276" s="80"/>
      <c r="B8276" s="81"/>
      <c r="C8276" s="82"/>
    </row>
    <row r="8277" spans="1:3" x14ac:dyDescent="0.3">
      <c r="A8277" s="80"/>
      <c r="B8277" s="81"/>
      <c r="C8277" s="82"/>
    </row>
    <row r="8278" spans="1:3" x14ac:dyDescent="0.3">
      <c r="A8278" s="80"/>
      <c r="B8278" s="81"/>
      <c r="C8278" s="82"/>
    </row>
    <row r="8279" spans="1:3" x14ac:dyDescent="0.3">
      <c r="A8279" s="80"/>
      <c r="B8279" s="81"/>
      <c r="C8279" s="82"/>
    </row>
    <row r="8280" spans="1:3" x14ac:dyDescent="0.3">
      <c r="A8280" s="80"/>
      <c r="B8280" s="81"/>
      <c r="C8280" s="82"/>
    </row>
    <row r="8281" spans="1:3" x14ac:dyDescent="0.3">
      <c r="A8281" s="80"/>
      <c r="B8281" s="81"/>
      <c r="C8281" s="82"/>
    </row>
    <row r="8282" spans="1:3" x14ac:dyDescent="0.3">
      <c r="A8282" s="80"/>
      <c r="B8282" s="81"/>
      <c r="C8282" s="82"/>
    </row>
    <row r="8283" spans="1:3" x14ac:dyDescent="0.3">
      <c r="A8283" s="80"/>
      <c r="B8283" s="81"/>
      <c r="C8283" s="82"/>
    </row>
    <row r="8284" spans="1:3" x14ac:dyDescent="0.3">
      <c r="A8284" s="80"/>
      <c r="B8284" s="81"/>
      <c r="C8284" s="82"/>
    </row>
    <row r="8285" spans="1:3" x14ac:dyDescent="0.3">
      <c r="A8285" s="80"/>
      <c r="B8285" s="81"/>
      <c r="C8285" s="82"/>
    </row>
    <row r="8286" spans="1:3" x14ac:dyDescent="0.3">
      <c r="A8286" s="80"/>
      <c r="B8286" s="81"/>
      <c r="C8286" s="82"/>
    </row>
    <row r="8287" spans="1:3" x14ac:dyDescent="0.3">
      <c r="A8287" s="80"/>
      <c r="B8287" s="81"/>
      <c r="C8287" s="82"/>
    </row>
    <row r="8288" spans="1:3" x14ac:dyDescent="0.3">
      <c r="A8288" s="80"/>
      <c r="B8288" s="81"/>
      <c r="C8288" s="82"/>
    </row>
    <row r="8289" spans="1:3" x14ac:dyDescent="0.3">
      <c r="A8289" s="80"/>
      <c r="B8289" s="81"/>
      <c r="C8289" s="82"/>
    </row>
    <row r="8290" spans="1:3" x14ac:dyDescent="0.3">
      <c r="A8290" s="80"/>
      <c r="B8290" s="81"/>
      <c r="C8290" s="82"/>
    </row>
    <row r="8291" spans="1:3" x14ac:dyDescent="0.3">
      <c r="A8291" s="80"/>
      <c r="B8291" s="81"/>
      <c r="C8291" s="82"/>
    </row>
    <row r="8292" spans="1:3" x14ac:dyDescent="0.3">
      <c r="A8292" s="80"/>
      <c r="B8292" s="81"/>
      <c r="C8292" s="82"/>
    </row>
    <row r="8293" spans="1:3" x14ac:dyDescent="0.3">
      <c r="A8293" s="80"/>
      <c r="B8293" s="81"/>
      <c r="C8293" s="82"/>
    </row>
    <row r="8294" spans="1:3" x14ac:dyDescent="0.3">
      <c r="A8294" s="80"/>
      <c r="B8294" s="81"/>
      <c r="C8294" s="82"/>
    </row>
    <row r="8295" spans="1:3" x14ac:dyDescent="0.3">
      <c r="A8295" s="80"/>
      <c r="B8295" s="81"/>
      <c r="C8295" s="82"/>
    </row>
    <row r="8296" spans="1:3" x14ac:dyDescent="0.3">
      <c r="A8296" s="80"/>
      <c r="B8296" s="81"/>
      <c r="C8296" s="82"/>
    </row>
    <row r="8297" spans="1:3" x14ac:dyDescent="0.3">
      <c r="A8297" s="80"/>
      <c r="B8297" s="81"/>
      <c r="C8297" s="82"/>
    </row>
    <row r="8298" spans="1:3" x14ac:dyDescent="0.3">
      <c r="A8298" s="80"/>
      <c r="B8298" s="81"/>
      <c r="C8298" s="82"/>
    </row>
    <row r="8299" spans="1:3" x14ac:dyDescent="0.3">
      <c r="A8299" s="80"/>
      <c r="B8299" s="81"/>
      <c r="C8299" s="82"/>
    </row>
    <row r="8300" spans="1:3" x14ac:dyDescent="0.3">
      <c r="A8300" s="80"/>
      <c r="B8300" s="81"/>
      <c r="C8300" s="82"/>
    </row>
    <row r="8301" spans="1:3" x14ac:dyDescent="0.3">
      <c r="A8301" s="80"/>
      <c r="B8301" s="81"/>
      <c r="C8301" s="82"/>
    </row>
    <row r="8302" spans="1:3" x14ac:dyDescent="0.3">
      <c r="A8302" s="80"/>
      <c r="B8302" s="81"/>
      <c r="C8302" s="82"/>
    </row>
    <row r="8303" spans="1:3" x14ac:dyDescent="0.3">
      <c r="A8303" s="80"/>
      <c r="B8303" s="81"/>
      <c r="C8303" s="82"/>
    </row>
    <row r="8304" spans="1:3" x14ac:dyDescent="0.3">
      <c r="A8304" s="80"/>
      <c r="B8304" s="81"/>
      <c r="C8304" s="82"/>
    </row>
    <row r="8305" spans="1:3" x14ac:dyDescent="0.3">
      <c r="A8305" s="80"/>
      <c r="B8305" s="81"/>
      <c r="C8305" s="82"/>
    </row>
    <row r="8306" spans="1:3" x14ac:dyDescent="0.3">
      <c r="A8306" s="80"/>
      <c r="B8306" s="81"/>
      <c r="C8306" s="82"/>
    </row>
    <row r="8307" spans="1:3" x14ac:dyDescent="0.3">
      <c r="A8307" s="80"/>
      <c r="B8307" s="81"/>
      <c r="C8307" s="82"/>
    </row>
    <row r="8308" spans="1:3" x14ac:dyDescent="0.3">
      <c r="A8308" s="80"/>
      <c r="B8308" s="81"/>
      <c r="C8308" s="82"/>
    </row>
    <row r="8309" spans="1:3" x14ac:dyDescent="0.3">
      <c r="A8309" s="80"/>
      <c r="B8309" s="81"/>
      <c r="C8309" s="82"/>
    </row>
    <row r="8310" spans="1:3" x14ac:dyDescent="0.3">
      <c r="A8310" s="80"/>
      <c r="B8310" s="81"/>
      <c r="C8310" s="82"/>
    </row>
    <row r="8311" spans="1:3" x14ac:dyDescent="0.3">
      <c r="A8311" s="80"/>
      <c r="B8311" s="81"/>
      <c r="C8311" s="82"/>
    </row>
    <row r="8312" spans="1:3" x14ac:dyDescent="0.3">
      <c r="A8312" s="80"/>
      <c r="B8312" s="81"/>
      <c r="C8312" s="82"/>
    </row>
    <row r="8313" spans="1:3" x14ac:dyDescent="0.3">
      <c r="A8313" s="80"/>
      <c r="B8313" s="81"/>
      <c r="C8313" s="82"/>
    </row>
    <row r="8314" spans="1:3" x14ac:dyDescent="0.3">
      <c r="A8314" s="80"/>
      <c r="B8314" s="81"/>
      <c r="C8314" s="82"/>
    </row>
    <row r="8315" spans="1:3" x14ac:dyDescent="0.3">
      <c r="A8315" s="80"/>
      <c r="B8315" s="81"/>
      <c r="C8315" s="82"/>
    </row>
    <row r="8316" spans="1:3" x14ac:dyDescent="0.3">
      <c r="A8316" s="80"/>
      <c r="B8316" s="81"/>
      <c r="C8316" s="82"/>
    </row>
    <row r="8317" spans="1:3" x14ac:dyDescent="0.3">
      <c r="A8317" s="80"/>
      <c r="B8317" s="81"/>
      <c r="C8317" s="82"/>
    </row>
    <row r="8318" spans="1:3" x14ac:dyDescent="0.3">
      <c r="A8318" s="80"/>
      <c r="B8318" s="81"/>
      <c r="C8318" s="82"/>
    </row>
    <row r="8319" spans="1:3" x14ac:dyDescent="0.3">
      <c r="A8319" s="80"/>
      <c r="B8319" s="81"/>
      <c r="C8319" s="82"/>
    </row>
    <row r="8320" spans="1:3" x14ac:dyDescent="0.3">
      <c r="A8320" s="80"/>
      <c r="B8320" s="81"/>
      <c r="C8320" s="82"/>
    </row>
    <row r="8321" spans="1:3" x14ac:dyDescent="0.3">
      <c r="A8321" s="80"/>
      <c r="B8321" s="81"/>
      <c r="C8321" s="82"/>
    </row>
    <row r="8322" spans="1:3" x14ac:dyDescent="0.3">
      <c r="A8322" s="80"/>
      <c r="B8322" s="81"/>
      <c r="C8322" s="82"/>
    </row>
    <row r="8323" spans="1:3" x14ac:dyDescent="0.3">
      <c r="A8323" s="80"/>
      <c r="B8323" s="81"/>
      <c r="C8323" s="82"/>
    </row>
    <row r="8324" spans="1:3" x14ac:dyDescent="0.3">
      <c r="A8324" s="80"/>
      <c r="B8324" s="81"/>
      <c r="C8324" s="82"/>
    </row>
    <row r="8325" spans="1:3" x14ac:dyDescent="0.3">
      <c r="A8325" s="80"/>
      <c r="B8325" s="81"/>
      <c r="C8325" s="82"/>
    </row>
    <row r="8326" spans="1:3" x14ac:dyDescent="0.3">
      <c r="A8326" s="80"/>
      <c r="B8326" s="81"/>
      <c r="C8326" s="82"/>
    </row>
    <row r="8327" spans="1:3" x14ac:dyDescent="0.3">
      <c r="A8327" s="80"/>
      <c r="B8327" s="81"/>
      <c r="C8327" s="82"/>
    </row>
    <row r="8328" spans="1:3" x14ac:dyDescent="0.3">
      <c r="A8328" s="80"/>
      <c r="B8328" s="81"/>
      <c r="C8328" s="82"/>
    </row>
    <row r="8329" spans="1:3" x14ac:dyDescent="0.3">
      <c r="A8329" s="80"/>
      <c r="B8329" s="81"/>
      <c r="C8329" s="82"/>
    </row>
    <row r="8330" spans="1:3" x14ac:dyDescent="0.3">
      <c r="A8330" s="80"/>
      <c r="B8330" s="81"/>
      <c r="C8330" s="82"/>
    </row>
    <row r="8331" spans="1:3" x14ac:dyDescent="0.3">
      <c r="A8331" s="80"/>
      <c r="B8331" s="81"/>
      <c r="C8331" s="82"/>
    </row>
    <row r="8332" spans="1:3" x14ac:dyDescent="0.3">
      <c r="A8332" s="80"/>
      <c r="B8332" s="81"/>
      <c r="C8332" s="82"/>
    </row>
    <row r="8333" spans="1:3" x14ac:dyDescent="0.3">
      <c r="A8333" s="80"/>
      <c r="B8333" s="81"/>
      <c r="C8333" s="82"/>
    </row>
    <row r="8334" spans="1:3" x14ac:dyDescent="0.3">
      <c r="A8334" s="80"/>
      <c r="B8334" s="81"/>
      <c r="C8334" s="82"/>
    </row>
    <row r="8335" spans="1:3" x14ac:dyDescent="0.3">
      <c r="A8335" s="80"/>
      <c r="B8335" s="81"/>
      <c r="C8335" s="82"/>
    </row>
    <row r="8336" spans="1:3" x14ac:dyDescent="0.3">
      <c r="A8336" s="80"/>
      <c r="B8336" s="81"/>
      <c r="C8336" s="82"/>
    </row>
    <row r="8337" spans="1:3" x14ac:dyDescent="0.3">
      <c r="A8337" s="80"/>
      <c r="B8337" s="81"/>
      <c r="C8337" s="82"/>
    </row>
    <row r="8338" spans="1:3" x14ac:dyDescent="0.3">
      <c r="A8338" s="80"/>
      <c r="B8338" s="81"/>
      <c r="C8338" s="82"/>
    </row>
    <row r="8339" spans="1:3" x14ac:dyDescent="0.3">
      <c r="A8339" s="80"/>
      <c r="B8339" s="81"/>
      <c r="C8339" s="82"/>
    </row>
    <row r="8340" spans="1:3" x14ac:dyDescent="0.3">
      <c r="A8340" s="80"/>
      <c r="B8340" s="81"/>
      <c r="C8340" s="82"/>
    </row>
    <row r="8341" spans="1:3" x14ac:dyDescent="0.3">
      <c r="A8341" s="80"/>
      <c r="B8341" s="81"/>
      <c r="C8341" s="82"/>
    </row>
    <row r="8342" spans="1:3" x14ac:dyDescent="0.3">
      <c r="A8342" s="80"/>
      <c r="B8342" s="81"/>
      <c r="C8342" s="82"/>
    </row>
    <row r="8343" spans="1:3" x14ac:dyDescent="0.3">
      <c r="A8343" s="80"/>
      <c r="B8343" s="81"/>
      <c r="C8343" s="82"/>
    </row>
    <row r="8344" spans="1:3" x14ac:dyDescent="0.3">
      <c r="A8344" s="80"/>
      <c r="B8344" s="81"/>
      <c r="C8344" s="82"/>
    </row>
    <row r="8345" spans="1:3" x14ac:dyDescent="0.3">
      <c r="A8345" s="80"/>
      <c r="B8345" s="81"/>
      <c r="C8345" s="82"/>
    </row>
    <row r="8346" spans="1:3" x14ac:dyDescent="0.3">
      <c r="A8346" s="80"/>
      <c r="B8346" s="81"/>
      <c r="C8346" s="82"/>
    </row>
    <row r="8347" spans="1:3" x14ac:dyDescent="0.3">
      <c r="A8347" s="80"/>
      <c r="B8347" s="81"/>
      <c r="C8347" s="82"/>
    </row>
    <row r="8348" spans="1:3" x14ac:dyDescent="0.3">
      <c r="A8348" s="80"/>
      <c r="B8348" s="81"/>
      <c r="C8348" s="82"/>
    </row>
    <row r="8349" spans="1:3" x14ac:dyDescent="0.3">
      <c r="A8349" s="80"/>
      <c r="B8349" s="81"/>
      <c r="C8349" s="82"/>
    </row>
    <row r="8350" spans="1:3" x14ac:dyDescent="0.3">
      <c r="A8350" s="80"/>
      <c r="B8350" s="81"/>
      <c r="C8350" s="82"/>
    </row>
    <row r="8351" spans="1:3" x14ac:dyDescent="0.3">
      <c r="A8351" s="80"/>
      <c r="B8351" s="81"/>
      <c r="C8351" s="82"/>
    </row>
    <row r="8352" spans="1:3" x14ac:dyDescent="0.3">
      <c r="A8352" s="80"/>
      <c r="B8352" s="81"/>
      <c r="C8352" s="82"/>
    </row>
    <row r="8353" spans="1:3" x14ac:dyDescent="0.3">
      <c r="A8353" s="80"/>
      <c r="B8353" s="81"/>
      <c r="C8353" s="82"/>
    </row>
    <row r="8354" spans="1:3" x14ac:dyDescent="0.3">
      <c r="A8354" s="80"/>
      <c r="B8354" s="81"/>
      <c r="C8354" s="82"/>
    </row>
    <row r="8355" spans="1:3" x14ac:dyDescent="0.3">
      <c r="A8355" s="80"/>
      <c r="B8355" s="81"/>
      <c r="C8355" s="82"/>
    </row>
    <row r="8356" spans="1:3" x14ac:dyDescent="0.3">
      <c r="A8356" s="80"/>
      <c r="B8356" s="81"/>
      <c r="C8356" s="82"/>
    </row>
    <row r="8357" spans="1:3" x14ac:dyDescent="0.3">
      <c r="A8357" s="80"/>
      <c r="B8357" s="81"/>
      <c r="C8357" s="82"/>
    </row>
    <row r="8358" spans="1:3" x14ac:dyDescent="0.3">
      <c r="A8358" s="80"/>
      <c r="B8358" s="81"/>
      <c r="C8358" s="82"/>
    </row>
    <row r="8359" spans="1:3" x14ac:dyDescent="0.3">
      <c r="A8359" s="80"/>
      <c r="B8359" s="81"/>
      <c r="C8359" s="82"/>
    </row>
    <row r="8360" spans="1:3" x14ac:dyDescent="0.3">
      <c r="A8360" s="80"/>
      <c r="B8360" s="81"/>
      <c r="C8360" s="82"/>
    </row>
    <row r="8361" spans="1:3" x14ac:dyDescent="0.3">
      <c r="A8361" s="80"/>
      <c r="B8361" s="81"/>
      <c r="C8361" s="82"/>
    </row>
    <row r="8362" spans="1:3" x14ac:dyDescent="0.3">
      <c r="A8362" s="80"/>
      <c r="B8362" s="81"/>
      <c r="C8362" s="82"/>
    </row>
    <row r="8363" spans="1:3" x14ac:dyDescent="0.3">
      <c r="A8363" s="80"/>
      <c r="B8363" s="81"/>
      <c r="C8363" s="82"/>
    </row>
    <row r="8364" spans="1:3" x14ac:dyDescent="0.3">
      <c r="A8364" s="80"/>
      <c r="B8364" s="81"/>
      <c r="C8364" s="82"/>
    </row>
    <row r="8365" spans="1:3" x14ac:dyDescent="0.3">
      <c r="A8365" s="80"/>
      <c r="B8365" s="81"/>
      <c r="C8365" s="82"/>
    </row>
    <row r="8366" spans="1:3" x14ac:dyDescent="0.3">
      <c r="A8366" s="80"/>
      <c r="B8366" s="81"/>
      <c r="C8366" s="82"/>
    </row>
    <row r="8367" spans="1:3" x14ac:dyDescent="0.3">
      <c r="A8367" s="80"/>
      <c r="B8367" s="81"/>
      <c r="C8367" s="82"/>
    </row>
    <row r="8368" spans="1:3" x14ac:dyDescent="0.3">
      <c r="A8368" s="80"/>
      <c r="B8368" s="81"/>
      <c r="C8368" s="82"/>
    </row>
    <row r="8369" spans="1:3" x14ac:dyDescent="0.3">
      <c r="A8369" s="80"/>
      <c r="B8369" s="81"/>
      <c r="C8369" s="82"/>
    </row>
    <row r="8370" spans="1:3" x14ac:dyDescent="0.3">
      <c r="A8370" s="80"/>
      <c r="B8370" s="81"/>
      <c r="C8370" s="82"/>
    </row>
    <row r="8371" spans="1:3" x14ac:dyDescent="0.3">
      <c r="A8371" s="80"/>
      <c r="B8371" s="81"/>
      <c r="C8371" s="82"/>
    </row>
    <row r="8372" spans="1:3" x14ac:dyDescent="0.3">
      <c r="A8372" s="80"/>
      <c r="B8372" s="81"/>
      <c r="C8372" s="82"/>
    </row>
    <row r="8373" spans="1:3" x14ac:dyDescent="0.3">
      <c r="A8373" s="80"/>
      <c r="B8373" s="81"/>
      <c r="C8373" s="82"/>
    </row>
    <row r="8374" spans="1:3" x14ac:dyDescent="0.3">
      <c r="A8374" s="80"/>
      <c r="B8374" s="81"/>
      <c r="C8374" s="82"/>
    </row>
    <row r="8375" spans="1:3" x14ac:dyDescent="0.3">
      <c r="A8375" s="80"/>
      <c r="B8375" s="81"/>
      <c r="C8375" s="82"/>
    </row>
    <row r="8376" spans="1:3" x14ac:dyDescent="0.3">
      <c r="A8376" s="80"/>
      <c r="B8376" s="81"/>
      <c r="C8376" s="82"/>
    </row>
    <row r="8377" spans="1:3" x14ac:dyDescent="0.3">
      <c r="A8377" s="80"/>
      <c r="B8377" s="81"/>
      <c r="C8377" s="82"/>
    </row>
    <row r="8378" spans="1:3" x14ac:dyDescent="0.3">
      <c r="A8378" s="80"/>
      <c r="B8378" s="81"/>
      <c r="C8378" s="82"/>
    </row>
    <row r="8379" spans="1:3" x14ac:dyDescent="0.3">
      <c r="A8379" s="80"/>
      <c r="B8379" s="81"/>
      <c r="C8379" s="82"/>
    </row>
    <row r="8380" spans="1:3" x14ac:dyDescent="0.3">
      <c r="A8380" s="80"/>
      <c r="B8380" s="81"/>
      <c r="C8380" s="82"/>
    </row>
    <row r="8381" spans="1:3" x14ac:dyDescent="0.3">
      <c r="A8381" s="80"/>
      <c r="B8381" s="81"/>
      <c r="C8381" s="82"/>
    </row>
    <row r="8382" spans="1:3" x14ac:dyDescent="0.3">
      <c r="A8382" s="80"/>
      <c r="B8382" s="81"/>
      <c r="C8382" s="82"/>
    </row>
    <row r="8383" spans="1:3" x14ac:dyDescent="0.3">
      <c r="A8383" s="80"/>
      <c r="B8383" s="81"/>
      <c r="C8383" s="82"/>
    </row>
    <row r="8384" spans="1:3" x14ac:dyDescent="0.3">
      <c r="A8384" s="80"/>
      <c r="B8384" s="81"/>
      <c r="C8384" s="82"/>
    </row>
    <row r="8385" spans="1:3" x14ac:dyDescent="0.3">
      <c r="A8385" s="80"/>
      <c r="B8385" s="81"/>
      <c r="C8385" s="82"/>
    </row>
    <row r="8386" spans="1:3" x14ac:dyDescent="0.3">
      <c r="A8386" s="80"/>
      <c r="B8386" s="81"/>
      <c r="C8386" s="82"/>
    </row>
    <row r="8387" spans="1:3" x14ac:dyDescent="0.3">
      <c r="A8387" s="80"/>
      <c r="B8387" s="81"/>
      <c r="C8387" s="82"/>
    </row>
    <row r="8388" spans="1:3" x14ac:dyDescent="0.3">
      <c r="A8388" s="80"/>
      <c r="B8388" s="81"/>
      <c r="C8388" s="82"/>
    </row>
    <row r="8389" spans="1:3" x14ac:dyDescent="0.3">
      <c r="A8389" s="80"/>
      <c r="B8389" s="81"/>
      <c r="C8389" s="82"/>
    </row>
    <row r="8390" spans="1:3" x14ac:dyDescent="0.3">
      <c r="A8390" s="80"/>
      <c r="B8390" s="81"/>
      <c r="C8390" s="82"/>
    </row>
    <row r="8391" spans="1:3" x14ac:dyDescent="0.3">
      <c r="A8391" s="80"/>
      <c r="B8391" s="81"/>
      <c r="C8391" s="82"/>
    </row>
    <row r="8392" spans="1:3" x14ac:dyDescent="0.3">
      <c r="A8392" s="80"/>
      <c r="B8392" s="81"/>
      <c r="C8392" s="82"/>
    </row>
    <row r="8393" spans="1:3" x14ac:dyDescent="0.3">
      <c r="A8393" s="80"/>
      <c r="B8393" s="81"/>
      <c r="C8393" s="82"/>
    </row>
    <row r="8394" spans="1:3" x14ac:dyDescent="0.3">
      <c r="A8394" s="80"/>
      <c r="B8394" s="81"/>
      <c r="C8394" s="82"/>
    </row>
    <row r="8395" spans="1:3" x14ac:dyDescent="0.3">
      <c r="A8395" s="80"/>
      <c r="B8395" s="81"/>
      <c r="C8395" s="82"/>
    </row>
    <row r="8396" spans="1:3" x14ac:dyDescent="0.3">
      <c r="A8396" s="80"/>
      <c r="B8396" s="81"/>
      <c r="C8396" s="82"/>
    </row>
    <row r="8397" spans="1:3" x14ac:dyDescent="0.3">
      <c r="A8397" s="80"/>
      <c r="B8397" s="81"/>
      <c r="C8397" s="82"/>
    </row>
    <row r="8398" spans="1:3" x14ac:dyDescent="0.3">
      <c r="A8398" s="80"/>
      <c r="B8398" s="81"/>
      <c r="C8398" s="82"/>
    </row>
    <row r="8399" spans="1:3" x14ac:dyDescent="0.3">
      <c r="A8399" s="80"/>
      <c r="B8399" s="81"/>
      <c r="C8399" s="82"/>
    </row>
    <row r="8400" spans="1:3" x14ac:dyDescent="0.3">
      <c r="A8400" s="80"/>
      <c r="B8400" s="81"/>
      <c r="C8400" s="82"/>
    </row>
    <row r="8401" spans="1:3" x14ac:dyDescent="0.3">
      <c r="A8401" s="80"/>
      <c r="B8401" s="81"/>
      <c r="C8401" s="82"/>
    </row>
    <row r="8402" spans="1:3" x14ac:dyDescent="0.3">
      <c r="A8402" s="80"/>
      <c r="B8402" s="81"/>
      <c r="C8402" s="82"/>
    </row>
    <row r="8403" spans="1:3" x14ac:dyDescent="0.3">
      <c r="A8403" s="80"/>
      <c r="B8403" s="81"/>
      <c r="C8403" s="82"/>
    </row>
    <row r="8404" spans="1:3" x14ac:dyDescent="0.3">
      <c r="A8404" s="80"/>
      <c r="B8404" s="81"/>
      <c r="C8404" s="82"/>
    </row>
    <row r="8405" spans="1:3" x14ac:dyDescent="0.3">
      <c r="A8405" s="80"/>
      <c r="B8405" s="81"/>
      <c r="C8405" s="82"/>
    </row>
    <row r="8406" spans="1:3" x14ac:dyDescent="0.3">
      <c r="A8406" s="80"/>
      <c r="B8406" s="81"/>
      <c r="C8406" s="82"/>
    </row>
    <row r="8407" spans="1:3" x14ac:dyDescent="0.3">
      <c r="A8407" s="80"/>
      <c r="B8407" s="81"/>
      <c r="C8407" s="82"/>
    </row>
    <row r="8408" spans="1:3" x14ac:dyDescent="0.3">
      <c r="A8408" s="80"/>
      <c r="B8408" s="81"/>
      <c r="C8408" s="82"/>
    </row>
    <row r="8409" spans="1:3" x14ac:dyDescent="0.3">
      <c r="A8409" s="80"/>
      <c r="B8409" s="81"/>
      <c r="C8409" s="82"/>
    </row>
    <row r="8410" spans="1:3" x14ac:dyDescent="0.3">
      <c r="A8410" s="80"/>
      <c r="B8410" s="81"/>
      <c r="C8410" s="82"/>
    </row>
    <row r="8411" spans="1:3" x14ac:dyDescent="0.3">
      <c r="A8411" s="80"/>
      <c r="B8411" s="81"/>
      <c r="C8411" s="82"/>
    </row>
    <row r="8412" spans="1:3" x14ac:dyDescent="0.3">
      <c r="A8412" s="80"/>
      <c r="B8412" s="81"/>
      <c r="C8412" s="82"/>
    </row>
    <row r="8413" spans="1:3" x14ac:dyDescent="0.3">
      <c r="A8413" s="80"/>
      <c r="B8413" s="81"/>
      <c r="C8413" s="82"/>
    </row>
    <row r="8414" spans="1:3" x14ac:dyDescent="0.3">
      <c r="A8414" s="80"/>
      <c r="B8414" s="81"/>
      <c r="C8414" s="82"/>
    </row>
    <row r="8415" spans="1:3" x14ac:dyDescent="0.3">
      <c r="A8415" s="80"/>
      <c r="B8415" s="81"/>
      <c r="C8415" s="82"/>
    </row>
    <row r="8416" spans="1:3" x14ac:dyDescent="0.3">
      <c r="A8416" s="80"/>
      <c r="B8416" s="81"/>
      <c r="C8416" s="82"/>
    </row>
    <row r="8417" spans="1:3" x14ac:dyDescent="0.3">
      <c r="A8417" s="80"/>
      <c r="B8417" s="81"/>
      <c r="C8417" s="82"/>
    </row>
    <row r="8418" spans="1:3" x14ac:dyDescent="0.3">
      <c r="A8418" s="80"/>
      <c r="B8418" s="81"/>
      <c r="C8418" s="82"/>
    </row>
    <row r="8419" spans="1:3" x14ac:dyDescent="0.3">
      <c r="A8419" s="80"/>
      <c r="B8419" s="81"/>
      <c r="C8419" s="82"/>
    </row>
    <row r="8420" spans="1:3" x14ac:dyDescent="0.3">
      <c r="A8420" s="80"/>
      <c r="B8420" s="81"/>
      <c r="C8420" s="82"/>
    </row>
    <row r="8421" spans="1:3" x14ac:dyDescent="0.3">
      <c r="A8421" s="80"/>
      <c r="B8421" s="81"/>
      <c r="C8421" s="82"/>
    </row>
    <row r="8422" spans="1:3" x14ac:dyDescent="0.3">
      <c r="A8422" s="80"/>
      <c r="B8422" s="81"/>
      <c r="C8422" s="82"/>
    </row>
    <row r="8423" spans="1:3" x14ac:dyDescent="0.3">
      <c r="A8423" s="80"/>
      <c r="B8423" s="81"/>
      <c r="C8423" s="82"/>
    </row>
    <row r="8424" spans="1:3" x14ac:dyDescent="0.3">
      <c r="A8424" s="80"/>
      <c r="B8424" s="81"/>
      <c r="C8424" s="82"/>
    </row>
    <row r="8425" spans="1:3" x14ac:dyDescent="0.3">
      <c r="A8425" s="80"/>
      <c r="B8425" s="81"/>
      <c r="C8425" s="82"/>
    </row>
    <row r="8426" spans="1:3" x14ac:dyDescent="0.3">
      <c r="A8426" s="80"/>
      <c r="B8426" s="81"/>
      <c r="C8426" s="82"/>
    </row>
    <row r="8427" spans="1:3" x14ac:dyDescent="0.3">
      <c r="A8427" s="80"/>
      <c r="B8427" s="81"/>
      <c r="C8427" s="82"/>
    </row>
    <row r="8428" spans="1:3" x14ac:dyDescent="0.3">
      <c r="A8428" s="80"/>
      <c r="B8428" s="81"/>
      <c r="C8428" s="82"/>
    </row>
    <row r="8429" spans="1:3" x14ac:dyDescent="0.3">
      <c r="A8429" s="80"/>
      <c r="B8429" s="81"/>
      <c r="C8429" s="82"/>
    </row>
    <row r="8430" spans="1:3" x14ac:dyDescent="0.3">
      <c r="A8430" s="80"/>
      <c r="B8430" s="81"/>
      <c r="C8430" s="82"/>
    </row>
    <row r="8431" spans="1:3" x14ac:dyDescent="0.3">
      <c r="A8431" s="80"/>
      <c r="B8431" s="81"/>
      <c r="C8431" s="82"/>
    </row>
    <row r="8432" spans="1:3" x14ac:dyDescent="0.3">
      <c r="A8432" s="80"/>
      <c r="B8432" s="81"/>
      <c r="C8432" s="82"/>
    </row>
    <row r="8433" spans="1:3" x14ac:dyDescent="0.3">
      <c r="A8433" s="80"/>
      <c r="B8433" s="81"/>
      <c r="C8433" s="82"/>
    </row>
    <row r="8434" spans="1:3" x14ac:dyDescent="0.3">
      <c r="A8434" s="80"/>
      <c r="B8434" s="81"/>
      <c r="C8434" s="82"/>
    </row>
    <row r="8435" spans="1:3" x14ac:dyDescent="0.3">
      <c r="A8435" s="80"/>
      <c r="B8435" s="81"/>
      <c r="C8435" s="82"/>
    </row>
    <row r="8436" spans="1:3" x14ac:dyDescent="0.3">
      <c r="A8436" s="80"/>
      <c r="B8436" s="81"/>
      <c r="C8436" s="82"/>
    </row>
    <row r="8437" spans="1:3" x14ac:dyDescent="0.3">
      <c r="A8437" s="80"/>
      <c r="B8437" s="81"/>
      <c r="C8437" s="82"/>
    </row>
    <row r="8438" spans="1:3" x14ac:dyDescent="0.3">
      <c r="A8438" s="80"/>
      <c r="B8438" s="81"/>
      <c r="C8438" s="82"/>
    </row>
    <row r="8439" spans="1:3" x14ac:dyDescent="0.3">
      <c r="A8439" s="80"/>
      <c r="B8439" s="81"/>
      <c r="C8439" s="82"/>
    </row>
    <row r="8440" spans="1:3" x14ac:dyDescent="0.3">
      <c r="A8440" s="80"/>
      <c r="B8440" s="81"/>
      <c r="C8440" s="82"/>
    </row>
    <row r="8441" spans="1:3" x14ac:dyDescent="0.3">
      <c r="A8441" s="80"/>
      <c r="B8441" s="81"/>
      <c r="C8441" s="82"/>
    </row>
    <row r="8442" spans="1:3" x14ac:dyDescent="0.3">
      <c r="A8442" s="80"/>
      <c r="B8442" s="81"/>
      <c r="C8442" s="82"/>
    </row>
    <row r="8443" spans="1:3" x14ac:dyDescent="0.3">
      <c r="A8443" s="80"/>
      <c r="B8443" s="81"/>
      <c r="C8443" s="82"/>
    </row>
    <row r="8444" spans="1:3" x14ac:dyDescent="0.3">
      <c r="A8444" s="80"/>
      <c r="B8444" s="81"/>
      <c r="C8444" s="82"/>
    </row>
    <row r="8445" spans="1:3" x14ac:dyDescent="0.3">
      <c r="A8445" s="80"/>
      <c r="B8445" s="81"/>
      <c r="C8445" s="82"/>
    </row>
    <row r="8446" spans="1:3" x14ac:dyDescent="0.3">
      <c r="A8446" s="80"/>
      <c r="B8446" s="81"/>
      <c r="C8446" s="82"/>
    </row>
    <row r="8447" spans="1:3" x14ac:dyDescent="0.3">
      <c r="A8447" s="80"/>
      <c r="B8447" s="81"/>
      <c r="C8447" s="82"/>
    </row>
    <row r="8448" spans="1:3" x14ac:dyDescent="0.3">
      <c r="A8448" s="80"/>
      <c r="B8448" s="81"/>
      <c r="C8448" s="82"/>
    </row>
    <row r="8449" spans="1:3" x14ac:dyDescent="0.3">
      <c r="A8449" s="80"/>
      <c r="B8449" s="81"/>
      <c r="C8449" s="82"/>
    </row>
    <row r="8450" spans="1:3" x14ac:dyDescent="0.3">
      <c r="A8450" s="80"/>
      <c r="B8450" s="81"/>
      <c r="C8450" s="82"/>
    </row>
    <row r="8451" spans="1:3" x14ac:dyDescent="0.3">
      <c r="A8451" s="80"/>
      <c r="B8451" s="81"/>
      <c r="C8451" s="82"/>
    </row>
    <row r="8452" spans="1:3" x14ac:dyDescent="0.3">
      <c r="A8452" s="80"/>
      <c r="B8452" s="81"/>
      <c r="C8452" s="82"/>
    </row>
    <row r="8453" spans="1:3" x14ac:dyDescent="0.3">
      <c r="A8453" s="80"/>
      <c r="B8453" s="81"/>
      <c r="C8453" s="82"/>
    </row>
    <row r="8454" spans="1:3" x14ac:dyDescent="0.3">
      <c r="A8454" s="80"/>
      <c r="B8454" s="81"/>
      <c r="C8454" s="82"/>
    </row>
    <row r="8455" spans="1:3" x14ac:dyDescent="0.3">
      <c r="A8455" s="80"/>
      <c r="B8455" s="81"/>
      <c r="C8455" s="82"/>
    </row>
    <row r="8456" spans="1:3" x14ac:dyDescent="0.3">
      <c r="A8456" s="80"/>
      <c r="B8456" s="81"/>
      <c r="C8456" s="82"/>
    </row>
    <row r="8457" spans="1:3" x14ac:dyDescent="0.3">
      <c r="A8457" s="80"/>
      <c r="B8457" s="81"/>
      <c r="C8457" s="82"/>
    </row>
    <row r="8458" spans="1:3" x14ac:dyDescent="0.3">
      <c r="A8458" s="80"/>
      <c r="B8458" s="81"/>
      <c r="C8458" s="82"/>
    </row>
    <row r="8459" spans="1:3" x14ac:dyDescent="0.3">
      <c r="A8459" s="80"/>
      <c r="B8459" s="81"/>
      <c r="C8459" s="82"/>
    </row>
    <row r="8460" spans="1:3" x14ac:dyDescent="0.3">
      <c r="A8460" s="80"/>
      <c r="B8460" s="81"/>
      <c r="C8460" s="82"/>
    </row>
    <row r="8461" spans="1:3" x14ac:dyDescent="0.3">
      <c r="A8461" s="80"/>
      <c r="B8461" s="81"/>
      <c r="C8461" s="82"/>
    </row>
    <row r="8462" spans="1:3" x14ac:dyDescent="0.3">
      <c r="A8462" s="80"/>
      <c r="B8462" s="81"/>
      <c r="C8462" s="82"/>
    </row>
    <row r="8463" spans="1:3" x14ac:dyDescent="0.3">
      <c r="A8463" s="80"/>
      <c r="B8463" s="81"/>
      <c r="C8463" s="82"/>
    </row>
    <row r="8464" spans="1:3" x14ac:dyDescent="0.3">
      <c r="A8464" s="80"/>
      <c r="B8464" s="81"/>
      <c r="C8464" s="82"/>
    </row>
    <row r="8465" spans="1:3" x14ac:dyDescent="0.3">
      <c r="A8465" s="80"/>
      <c r="B8465" s="81"/>
      <c r="C8465" s="82"/>
    </row>
    <row r="8466" spans="1:3" x14ac:dyDescent="0.3">
      <c r="A8466" s="80"/>
      <c r="B8466" s="81"/>
      <c r="C8466" s="82"/>
    </row>
    <row r="8467" spans="1:3" x14ac:dyDescent="0.3">
      <c r="A8467" s="80"/>
      <c r="B8467" s="81"/>
      <c r="C8467" s="82"/>
    </row>
    <row r="8468" spans="1:3" x14ac:dyDescent="0.3">
      <c r="A8468" s="80"/>
      <c r="B8468" s="81"/>
      <c r="C8468" s="82"/>
    </row>
    <row r="8469" spans="1:3" x14ac:dyDescent="0.3">
      <c r="A8469" s="80"/>
      <c r="B8469" s="81"/>
      <c r="C8469" s="82"/>
    </row>
    <row r="8470" spans="1:3" x14ac:dyDescent="0.3">
      <c r="A8470" s="80"/>
      <c r="B8470" s="81"/>
      <c r="C8470" s="82"/>
    </row>
    <row r="8471" spans="1:3" x14ac:dyDescent="0.3">
      <c r="A8471" s="80"/>
      <c r="B8471" s="81"/>
      <c r="C8471" s="82"/>
    </row>
    <row r="8472" spans="1:3" x14ac:dyDescent="0.3">
      <c r="A8472" s="80"/>
      <c r="B8472" s="81"/>
      <c r="C8472" s="82"/>
    </row>
    <row r="8473" spans="1:3" x14ac:dyDescent="0.3">
      <c r="A8473" s="80"/>
      <c r="B8473" s="81"/>
      <c r="C8473" s="82"/>
    </row>
    <row r="8474" spans="1:3" x14ac:dyDescent="0.3">
      <c r="A8474" s="80"/>
      <c r="B8474" s="81"/>
      <c r="C8474" s="82"/>
    </row>
    <row r="8475" spans="1:3" x14ac:dyDescent="0.3">
      <c r="A8475" s="80"/>
      <c r="B8475" s="81"/>
      <c r="C8475" s="82"/>
    </row>
    <row r="8476" spans="1:3" x14ac:dyDescent="0.3">
      <c r="A8476" s="80"/>
      <c r="B8476" s="81"/>
      <c r="C8476" s="82"/>
    </row>
    <row r="8477" spans="1:3" x14ac:dyDescent="0.3">
      <c r="A8477" s="80"/>
      <c r="B8477" s="81"/>
      <c r="C8477" s="82"/>
    </row>
    <row r="8478" spans="1:3" x14ac:dyDescent="0.3">
      <c r="A8478" s="80"/>
      <c r="B8478" s="81"/>
      <c r="C8478" s="82"/>
    </row>
    <row r="8479" spans="1:3" x14ac:dyDescent="0.3">
      <c r="A8479" s="80"/>
      <c r="B8479" s="81"/>
      <c r="C8479" s="82"/>
    </row>
    <row r="8480" spans="1:3" x14ac:dyDescent="0.3">
      <c r="A8480" s="80"/>
      <c r="B8480" s="81"/>
      <c r="C8480" s="82"/>
    </row>
    <row r="8481" spans="1:3" x14ac:dyDescent="0.3">
      <c r="A8481" s="80"/>
      <c r="B8481" s="81"/>
      <c r="C8481" s="82"/>
    </row>
    <row r="8482" spans="1:3" x14ac:dyDescent="0.3">
      <c r="A8482" s="80"/>
      <c r="B8482" s="81"/>
      <c r="C8482" s="82"/>
    </row>
    <row r="8483" spans="1:3" x14ac:dyDescent="0.3">
      <c r="A8483" s="80"/>
      <c r="B8483" s="81"/>
      <c r="C8483" s="82"/>
    </row>
    <row r="8484" spans="1:3" x14ac:dyDescent="0.3">
      <c r="A8484" s="80"/>
      <c r="B8484" s="81"/>
      <c r="C8484" s="82"/>
    </row>
    <row r="8485" spans="1:3" x14ac:dyDescent="0.3">
      <c r="A8485" s="80"/>
      <c r="B8485" s="81"/>
      <c r="C8485" s="82"/>
    </row>
    <row r="8486" spans="1:3" x14ac:dyDescent="0.3">
      <c r="A8486" s="80"/>
      <c r="B8486" s="81"/>
      <c r="C8486" s="82"/>
    </row>
    <row r="8487" spans="1:3" x14ac:dyDescent="0.3">
      <c r="A8487" s="80"/>
      <c r="B8487" s="81"/>
      <c r="C8487" s="82"/>
    </row>
    <row r="8488" spans="1:3" x14ac:dyDescent="0.3">
      <c r="A8488" s="80"/>
      <c r="B8488" s="81"/>
      <c r="C8488" s="82"/>
    </row>
    <row r="8489" spans="1:3" x14ac:dyDescent="0.3">
      <c r="A8489" s="80"/>
      <c r="B8489" s="81"/>
      <c r="C8489" s="82"/>
    </row>
    <row r="8490" spans="1:3" x14ac:dyDescent="0.3">
      <c r="A8490" s="80"/>
      <c r="B8490" s="81"/>
      <c r="C8490" s="82"/>
    </row>
    <row r="8491" spans="1:3" x14ac:dyDescent="0.3">
      <c r="A8491" s="80"/>
      <c r="B8491" s="81"/>
      <c r="C8491" s="82"/>
    </row>
    <row r="8492" spans="1:3" x14ac:dyDescent="0.3">
      <c r="A8492" s="80"/>
      <c r="B8492" s="81"/>
      <c r="C8492" s="82"/>
    </row>
    <row r="8493" spans="1:3" x14ac:dyDescent="0.3">
      <c r="A8493" s="80"/>
      <c r="B8493" s="81"/>
      <c r="C8493" s="82"/>
    </row>
    <row r="8494" spans="1:3" x14ac:dyDescent="0.3">
      <c r="A8494" s="80"/>
      <c r="B8494" s="81"/>
      <c r="C8494" s="82"/>
    </row>
    <row r="8495" spans="1:3" x14ac:dyDescent="0.3">
      <c r="A8495" s="80"/>
      <c r="B8495" s="81"/>
      <c r="C8495" s="82"/>
    </row>
    <row r="8496" spans="1:3" x14ac:dyDescent="0.3">
      <c r="A8496" s="80"/>
      <c r="B8496" s="81"/>
      <c r="C8496" s="82"/>
    </row>
    <row r="8497" spans="1:3" x14ac:dyDescent="0.3">
      <c r="A8497" s="80"/>
      <c r="B8497" s="81"/>
      <c r="C8497" s="82"/>
    </row>
    <row r="8498" spans="1:3" x14ac:dyDescent="0.3">
      <c r="A8498" s="80"/>
      <c r="B8498" s="81"/>
      <c r="C8498" s="82"/>
    </row>
    <row r="8499" spans="1:3" x14ac:dyDescent="0.3">
      <c r="A8499" s="80"/>
      <c r="B8499" s="81"/>
      <c r="C8499" s="82"/>
    </row>
    <row r="8500" spans="1:3" x14ac:dyDescent="0.3">
      <c r="A8500" s="80"/>
      <c r="B8500" s="81"/>
      <c r="C8500" s="82"/>
    </row>
    <row r="8501" spans="1:3" x14ac:dyDescent="0.3">
      <c r="A8501" s="80"/>
      <c r="B8501" s="81"/>
      <c r="C8501" s="82"/>
    </row>
    <row r="8502" spans="1:3" x14ac:dyDescent="0.3">
      <c r="A8502" s="80"/>
      <c r="B8502" s="81"/>
      <c r="C8502" s="82"/>
    </row>
    <row r="8503" spans="1:3" x14ac:dyDescent="0.3">
      <c r="A8503" s="80"/>
      <c r="B8503" s="81"/>
      <c r="C8503" s="82"/>
    </row>
    <row r="8504" spans="1:3" x14ac:dyDescent="0.3">
      <c r="A8504" s="80"/>
      <c r="B8504" s="81"/>
      <c r="C8504" s="82"/>
    </row>
    <row r="8505" spans="1:3" x14ac:dyDescent="0.3">
      <c r="A8505" s="80"/>
      <c r="B8505" s="81"/>
      <c r="C8505" s="82"/>
    </row>
    <row r="8506" spans="1:3" x14ac:dyDescent="0.3">
      <c r="A8506" s="80"/>
      <c r="B8506" s="81"/>
      <c r="C8506" s="82"/>
    </row>
    <row r="8507" spans="1:3" x14ac:dyDescent="0.3">
      <c r="A8507" s="80"/>
      <c r="B8507" s="81"/>
      <c r="C8507" s="82"/>
    </row>
    <row r="8508" spans="1:3" x14ac:dyDescent="0.3">
      <c r="A8508" s="80"/>
      <c r="B8508" s="81"/>
      <c r="C8508" s="82"/>
    </row>
    <row r="8509" spans="1:3" x14ac:dyDescent="0.3">
      <c r="A8509" s="80"/>
      <c r="B8509" s="81"/>
      <c r="C8509" s="82"/>
    </row>
    <row r="8510" spans="1:3" x14ac:dyDescent="0.3">
      <c r="A8510" s="80"/>
      <c r="B8510" s="81"/>
      <c r="C8510" s="82"/>
    </row>
    <row r="8511" spans="1:3" x14ac:dyDescent="0.3">
      <c r="A8511" s="80"/>
      <c r="B8511" s="81"/>
      <c r="C8511" s="82"/>
    </row>
    <row r="8512" spans="1:3" x14ac:dyDescent="0.3">
      <c r="A8512" s="80"/>
      <c r="B8512" s="81"/>
      <c r="C8512" s="82"/>
    </row>
    <row r="8513" spans="1:3" x14ac:dyDescent="0.3">
      <c r="A8513" s="80"/>
      <c r="B8513" s="81"/>
      <c r="C8513" s="82"/>
    </row>
    <row r="8514" spans="1:3" x14ac:dyDescent="0.3">
      <c r="A8514" s="80"/>
      <c r="B8514" s="81"/>
      <c r="C8514" s="82"/>
    </row>
    <row r="8515" spans="1:3" x14ac:dyDescent="0.3">
      <c r="A8515" s="80"/>
      <c r="B8515" s="81"/>
      <c r="C8515" s="82"/>
    </row>
    <row r="8516" spans="1:3" x14ac:dyDescent="0.3">
      <c r="A8516" s="80"/>
      <c r="B8516" s="81"/>
      <c r="C8516" s="82"/>
    </row>
    <row r="8517" spans="1:3" x14ac:dyDescent="0.3">
      <c r="A8517" s="80"/>
      <c r="B8517" s="81"/>
      <c r="C8517" s="82"/>
    </row>
    <row r="8518" spans="1:3" x14ac:dyDescent="0.3">
      <c r="A8518" s="80"/>
      <c r="B8518" s="81"/>
      <c r="C8518" s="82"/>
    </row>
    <row r="8519" spans="1:3" x14ac:dyDescent="0.3">
      <c r="A8519" s="80"/>
      <c r="B8519" s="81"/>
      <c r="C8519" s="82"/>
    </row>
    <row r="8520" spans="1:3" x14ac:dyDescent="0.3">
      <c r="A8520" s="80"/>
      <c r="B8520" s="81"/>
      <c r="C8520" s="82"/>
    </row>
    <row r="8521" spans="1:3" x14ac:dyDescent="0.3">
      <c r="A8521" s="80"/>
      <c r="B8521" s="81"/>
      <c r="C8521" s="82"/>
    </row>
    <row r="8522" spans="1:3" x14ac:dyDescent="0.3">
      <c r="A8522" s="80"/>
      <c r="B8522" s="81"/>
      <c r="C8522" s="82"/>
    </row>
    <row r="8523" spans="1:3" x14ac:dyDescent="0.3">
      <c r="A8523" s="80"/>
      <c r="B8523" s="81"/>
      <c r="C8523" s="82"/>
    </row>
    <row r="8524" spans="1:3" x14ac:dyDescent="0.3">
      <c r="A8524" s="80"/>
      <c r="B8524" s="81"/>
      <c r="C8524" s="82"/>
    </row>
    <row r="8525" spans="1:3" x14ac:dyDescent="0.3">
      <c r="A8525" s="80"/>
      <c r="B8525" s="81"/>
      <c r="C8525" s="82"/>
    </row>
    <row r="8526" spans="1:3" x14ac:dyDescent="0.3">
      <c r="A8526" s="80"/>
      <c r="B8526" s="81"/>
      <c r="C8526" s="82"/>
    </row>
    <row r="8527" spans="1:3" x14ac:dyDescent="0.3">
      <c r="A8527" s="80"/>
      <c r="B8527" s="81"/>
      <c r="C8527" s="82"/>
    </row>
    <row r="8528" spans="1:3" x14ac:dyDescent="0.3">
      <c r="A8528" s="80"/>
      <c r="B8528" s="81"/>
      <c r="C8528" s="82"/>
    </row>
    <row r="8529" spans="1:3" x14ac:dyDescent="0.3">
      <c r="A8529" s="80"/>
      <c r="B8529" s="81"/>
      <c r="C8529" s="82"/>
    </row>
    <row r="8530" spans="1:3" x14ac:dyDescent="0.3">
      <c r="A8530" s="80"/>
      <c r="B8530" s="81"/>
      <c r="C8530" s="82"/>
    </row>
    <row r="8531" spans="1:3" x14ac:dyDescent="0.3">
      <c r="A8531" s="80"/>
      <c r="B8531" s="81"/>
      <c r="C8531" s="82"/>
    </row>
    <row r="8532" spans="1:3" x14ac:dyDescent="0.3">
      <c r="A8532" s="80"/>
      <c r="B8532" s="81"/>
      <c r="C8532" s="82"/>
    </row>
    <row r="8533" spans="1:3" x14ac:dyDescent="0.3">
      <c r="A8533" s="80"/>
      <c r="B8533" s="81"/>
      <c r="C8533" s="82"/>
    </row>
    <row r="8534" spans="1:3" x14ac:dyDescent="0.3">
      <c r="A8534" s="80"/>
      <c r="B8534" s="81"/>
      <c r="C8534" s="82"/>
    </row>
    <row r="8535" spans="1:3" x14ac:dyDescent="0.3">
      <c r="A8535" s="80"/>
      <c r="B8535" s="81"/>
      <c r="C8535" s="82"/>
    </row>
    <row r="8536" spans="1:3" x14ac:dyDescent="0.3">
      <c r="A8536" s="80"/>
      <c r="B8536" s="81"/>
      <c r="C8536" s="82"/>
    </row>
    <row r="8537" spans="1:3" x14ac:dyDescent="0.3">
      <c r="A8537" s="80"/>
      <c r="B8537" s="81"/>
      <c r="C8537" s="82"/>
    </row>
    <row r="8538" spans="1:3" x14ac:dyDescent="0.3">
      <c r="A8538" s="80"/>
      <c r="B8538" s="81"/>
      <c r="C8538" s="82"/>
    </row>
    <row r="8539" spans="1:3" x14ac:dyDescent="0.3">
      <c r="A8539" s="80"/>
      <c r="B8539" s="81"/>
      <c r="C8539" s="82"/>
    </row>
    <row r="8540" spans="1:3" x14ac:dyDescent="0.3">
      <c r="A8540" s="80"/>
      <c r="B8540" s="81"/>
      <c r="C8540" s="82"/>
    </row>
    <row r="8541" spans="1:3" x14ac:dyDescent="0.3">
      <c r="A8541" s="80"/>
      <c r="B8541" s="81"/>
      <c r="C8541" s="82"/>
    </row>
    <row r="8542" spans="1:3" x14ac:dyDescent="0.3">
      <c r="A8542" s="80"/>
      <c r="B8542" s="81"/>
      <c r="C8542" s="82"/>
    </row>
    <row r="8543" spans="1:3" x14ac:dyDescent="0.3">
      <c r="A8543" s="80"/>
      <c r="B8543" s="81"/>
      <c r="C8543" s="82"/>
    </row>
    <row r="8544" spans="1:3" x14ac:dyDescent="0.3">
      <c r="A8544" s="80"/>
      <c r="B8544" s="81"/>
      <c r="C8544" s="82"/>
    </row>
    <row r="8545" spans="1:3" x14ac:dyDescent="0.3">
      <c r="A8545" s="80"/>
      <c r="B8545" s="81"/>
      <c r="C8545" s="82"/>
    </row>
    <row r="8546" spans="1:3" x14ac:dyDescent="0.3">
      <c r="A8546" s="80"/>
      <c r="B8546" s="81"/>
      <c r="C8546" s="82"/>
    </row>
    <row r="8547" spans="1:3" x14ac:dyDescent="0.3">
      <c r="A8547" s="80"/>
      <c r="B8547" s="81"/>
      <c r="C8547" s="82"/>
    </row>
    <row r="8548" spans="1:3" x14ac:dyDescent="0.3">
      <c r="A8548" s="80"/>
      <c r="B8548" s="81"/>
      <c r="C8548" s="82"/>
    </row>
    <row r="8549" spans="1:3" x14ac:dyDescent="0.3">
      <c r="A8549" s="80"/>
      <c r="B8549" s="81"/>
      <c r="C8549" s="82"/>
    </row>
    <row r="8550" spans="1:3" x14ac:dyDescent="0.3">
      <c r="A8550" s="80"/>
      <c r="B8550" s="81"/>
      <c r="C8550" s="82"/>
    </row>
    <row r="8551" spans="1:3" x14ac:dyDescent="0.3">
      <c r="A8551" s="80"/>
      <c r="B8551" s="81"/>
      <c r="C8551" s="82"/>
    </row>
    <row r="8552" spans="1:3" x14ac:dyDescent="0.3">
      <c r="A8552" s="80"/>
      <c r="B8552" s="81"/>
      <c r="C8552" s="82"/>
    </row>
    <row r="8553" spans="1:3" x14ac:dyDescent="0.3">
      <c r="A8553" s="80"/>
      <c r="B8553" s="81"/>
      <c r="C8553" s="82"/>
    </row>
    <row r="8554" spans="1:3" x14ac:dyDescent="0.3">
      <c r="A8554" s="80"/>
      <c r="B8554" s="81"/>
      <c r="C8554" s="82"/>
    </row>
    <row r="8555" spans="1:3" x14ac:dyDescent="0.3">
      <c r="A8555" s="80"/>
      <c r="B8555" s="81"/>
      <c r="C8555" s="82"/>
    </row>
    <row r="8556" spans="1:3" x14ac:dyDescent="0.3">
      <c r="A8556" s="80"/>
      <c r="B8556" s="81"/>
      <c r="C8556" s="82"/>
    </row>
    <row r="8557" spans="1:3" x14ac:dyDescent="0.3">
      <c r="A8557" s="80"/>
      <c r="B8557" s="81"/>
      <c r="C8557" s="82"/>
    </row>
    <row r="8558" spans="1:3" x14ac:dyDescent="0.3">
      <c r="A8558" s="80"/>
      <c r="B8558" s="81"/>
      <c r="C8558" s="82"/>
    </row>
    <row r="8559" spans="1:3" x14ac:dyDescent="0.3">
      <c r="A8559" s="80"/>
      <c r="B8559" s="81"/>
      <c r="C8559" s="82"/>
    </row>
    <row r="8560" spans="1:3" x14ac:dyDescent="0.3">
      <c r="A8560" s="80"/>
      <c r="B8560" s="81"/>
      <c r="C8560" s="82"/>
    </row>
    <row r="8561" spans="1:3" x14ac:dyDescent="0.3">
      <c r="A8561" s="80"/>
      <c r="B8561" s="81"/>
      <c r="C8561" s="82"/>
    </row>
    <row r="8562" spans="1:3" x14ac:dyDescent="0.3">
      <c r="A8562" s="80"/>
      <c r="B8562" s="81"/>
      <c r="C8562" s="82"/>
    </row>
    <row r="8563" spans="1:3" x14ac:dyDescent="0.3">
      <c r="A8563" s="80"/>
      <c r="B8563" s="81"/>
      <c r="C8563" s="82"/>
    </row>
    <row r="8564" spans="1:3" x14ac:dyDescent="0.3">
      <c r="A8564" s="80"/>
      <c r="B8564" s="81"/>
      <c r="C8564" s="82"/>
    </row>
    <row r="8565" spans="1:3" x14ac:dyDescent="0.3">
      <c r="A8565" s="80"/>
      <c r="B8565" s="81"/>
      <c r="C8565" s="82"/>
    </row>
    <row r="8566" spans="1:3" x14ac:dyDescent="0.3">
      <c r="A8566" s="80"/>
      <c r="B8566" s="81"/>
      <c r="C8566" s="82"/>
    </row>
    <row r="8567" spans="1:3" x14ac:dyDescent="0.3">
      <c r="A8567" s="80"/>
      <c r="B8567" s="81"/>
      <c r="C8567" s="82"/>
    </row>
    <row r="8568" spans="1:3" x14ac:dyDescent="0.3">
      <c r="A8568" s="80"/>
      <c r="B8568" s="81"/>
      <c r="C8568" s="82"/>
    </row>
    <row r="8569" spans="1:3" x14ac:dyDescent="0.3">
      <c r="A8569" s="80"/>
      <c r="B8569" s="81"/>
      <c r="C8569" s="82"/>
    </row>
    <row r="8570" spans="1:3" x14ac:dyDescent="0.3">
      <c r="A8570" s="80"/>
      <c r="B8570" s="81"/>
      <c r="C8570" s="82"/>
    </row>
    <row r="8571" spans="1:3" x14ac:dyDescent="0.3">
      <c r="A8571" s="80"/>
      <c r="B8571" s="81"/>
      <c r="C8571" s="82"/>
    </row>
    <row r="8572" spans="1:3" x14ac:dyDescent="0.3">
      <c r="A8572" s="80"/>
      <c r="B8572" s="81"/>
      <c r="C8572" s="82"/>
    </row>
    <row r="8573" spans="1:3" x14ac:dyDescent="0.3">
      <c r="A8573" s="80"/>
      <c r="B8573" s="81"/>
      <c r="C8573" s="82"/>
    </row>
    <row r="8574" spans="1:3" x14ac:dyDescent="0.3">
      <c r="A8574" s="80"/>
      <c r="B8574" s="81"/>
      <c r="C8574" s="82"/>
    </row>
    <row r="8575" spans="1:3" x14ac:dyDescent="0.3">
      <c r="A8575" s="80"/>
      <c r="B8575" s="81"/>
      <c r="C8575" s="82"/>
    </row>
    <row r="8576" spans="1:3" x14ac:dyDescent="0.3">
      <c r="A8576" s="80"/>
      <c r="B8576" s="81"/>
      <c r="C8576" s="82"/>
    </row>
    <row r="8577" spans="1:3" x14ac:dyDescent="0.3">
      <c r="A8577" s="80"/>
      <c r="B8577" s="81"/>
      <c r="C8577" s="82"/>
    </row>
    <row r="8578" spans="1:3" x14ac:dyDescent="0.3">
      <c r="A8578" s="80"/>
      <c r="B8578" s="81"/>
      <c r="C8578" s="82"/>
    </row>
    <row r="8579" spans="1:3" x14ac:dyDescent="0.3">
      <c r="A8579" s="80"/>
      <c r="B8579" s="81"/>
      <c r="C8579" s="82"/>
    </row>
    <row r="8580" spans="1:3" x14ac:dyDescent="0.3">
      <c r="A8580" s="80"/>
      <c r="B8580" s="81"/>
      <c r="C8580" s="82"/>
    </row>
    <row r="8581" spans="1:3" x14ac:dyDescent="0.3">
      <c r="A8581" s="80"/>
      <c r="B8581" s="81"/>
      <c r="C8581" s="82"/>
    </row>
    <row r="8582" spans="1:3" x14ac:dyDescent="0.3">
      <c r="A8582" s="80"/>
      <c r="B8582" s="81"/>
      <c r="C8582" s="82"/>
    </row>
    <row r="8583" spans="1:3" x14ac:dyDescent="0.3">
      <c r="A8583" s="80"/>
      <c r="B8583" s="81"/>
      <c r="C8583" s="82"/>
    </row>
    <row r="8584" spans="1:3" x14ac:dyDescent="0.3">
      <c r="A8584" s="80"/>
      <c r="B8584" s="81"/>
      <c r="C8584" s="82"/>
    </row>
    <row r="8585" spans="1:3" x14ac:dyDescent="0.3">
      <c r="A8585" s="80"/>
      <c r="B8585" s="81"/>
      <c r="C8585" s="82"/>
    </row>
    <row r="8586" spans="1:3" x14ac:dyDescent="0.3">
      <c r="A8586" s="80"/>
      <c r="B8586" s="81"/>
      <c r="C8586" s="82"/>
    </row>
    <row r="8587" spans="1:3" x14ac:dyDescent="0.3">
      <c r="A8587" s="80"/>
      <c r="B8587" s="81"/>
      <c r="C8587" s="82"/>
    </row>
    <row r="8588" spans="1:3" x14ac:dyDescent="0.3">
      <c r="A8588" s="80"/>
      <c r="B8588" s="81"/>
      <c r="C8588" s="82"/>
    </row>
    <row r="8589" spans="1:3" x14ac:dyDescent="0.3">
      <c r="A8589" s="80"/>
      <c r="B8589" s="81"/>
      <c r="C8589" s="82"/>
    </row>
    <row r="8590" spans="1:3" x14ac:dyDescent="0.3">
      <c r="A8590" s="80"/>
      <c r="B8590" s="81"/>
      <c r="C8590" s="82"/>
    </row>
    <row r="8591" spans="1:3" x14ac:dyDescent="0.3">
      <c r="A8591" s="80"/>
      <c r="B8591" s="81"/>
      <c r="C8591" s="82"/>
    </row>
    <row r="8592" spans="1:3" x14ac:dyDescent="0.3">
      <c r="A8592" s="80"/>
      <c r="B8592" s="81"/>
      <c r="C8592" s="82"/>
    </row>
    <row r="8593" spans="1:3" x14ac:dyDescent="0.3">
      <c r="A8593" s="80"/>
      <c r="B8593" s="81"/>
      <c r="C8593" s="82"/>
    </row>
    <row r="8594" spans="1:3" x14ac:dyDescent="0.3">
      <c r="A8594" s="80"/>
      <c r="B8594" s="81"/>
      <c r="C8594" s="82"/>
    </row>
    <row r="8595" spans="1:3" x14ac:dyDescent="0.3">
      <c r="A8595" s="80"/>
      <c r="B8595" s="81"/>
      <c r="C8595" s="82"/>
    </row>
    <row r="8596" spans="1:3" x14ac:dyDescent="0.3">
      <c r="A8596" s="80"/>
      <c r="B8596" s="81"/>
      <c r="C8596" s="82"/>
    </row>
    <row r="8597" spans="1:3" x14ac:dyDescent="0.3">
      <c r="A8597" s="80"/>
      <c r="B8597" s="81"/>
      <c r="C8597" s="82"/>
    </row>
    <row r="8598" spans="1:3" x14ac:dyDescent="0.3">
      <c r="A8598" s="80"/>
      <c r="B8598" s="81"/>
      <c r="C8598" s="82"/>
    </row>
    <row r="8599" spans="1:3" x14ac:dyDescent="0.3">
      <c r="A8599" s="80"/>
      <c r="B8599" s="81"/>
      <c r="C8599" s="82"/>
    </row>
    <row r="8600" spans="1:3" x14ac:dyDescent="0.3">
      <c r="A8600" s="80"/>
      <c r="B8600" s="81"/>
      <c r="C8600" s="82"/>
    </row>
    <row r="8601" spans="1:3" x14ac:dyDescent="0.3">
      <c r="A8601" s="80"/>
      <c r="B8601" s="81"/>
      <c r="C8601" s="82"/>
    </row>
    <row r="8602" spans="1:3" x14ac:dyDescent="0.3">
      <c r="A8602" s="80"/>
      <c r="B8602" s="81"/>
      <c r="C8602" s="82"/>
    </row>
    <row r="8603" spans="1:3" x14ac:dyDescent="0.3">
      <c r="A8603" s="80"/>
      <c r="B8603" s="81"/>
      <c r="C8603" s="82"/>
    </row>
    <row r="8604" spans="1:3" x14ac:dyDescent="0.3">
      <c r="A8604" s="80"/>
      <c r="B8604" s="81"/>
      <c r="C8604" s="82"/>
    </row>
    <row r="8605" spans="1:3" x14ac:dyDescent="0.3">
      <c r="A8605" s="80"/>
      <c r="B8605" s="81"/>
      <c r="C8605" s="82"/>
    </row>
    <row r="8606" spans="1:3" x14ac:dyDescent="0.3">
      <c r="A8606" s="80"/>
      <c r="B8606" s="81"/>
      <c r="C8606" s="82"/>
    </row>
    <row r="8607" spans="1:3" x14ac:dyDescent="0.3">
      <c r="A8607" s="80"/>
      <c r="B8607" s="81"/>
      <c r="C8607" s="82"/>
    </row>
    <row r="8608" spans="1:3" x14ac:dyDescent="0.3">
      <c r="A8608" s="80"/>
      <c r="B8608" s="81"/>
      <c r="C8608" s="82"/>
    </row>
    <row r="8609" spans="1:3" x14ac:dyDescent="0.3">
      <c r="A8609" s="80"/>
      <c r="B8609" s="81"/>
      <c r="C8609" s="82"/>
    </row>
    <row r="8610" spans="1:3" x14ac:dyDescent="0.3">
      <c r="A8610" s="80"/>
      <c r="B8610" s="81"/>
      <c r="C8610" s="82"/>
    </row>
    <row r="8611" spans="1:3" x14ac:dyDescent="0.3">
      <c r="A8611" s="80"/>
      <c r="B8611" s="81"/>
      <c r="C8611" s="82"/>
    </row>
    <row r="8612" spans="1:3" x14ac:dyDescent="0.3">
      <c r="A8612" s="80"/>
      <c r="B8612" s="81"/>
      <c r="C8612" s="82"/>
    </row>
    <row r="8613" spans="1:3" x14ac:dyDescent="0.3">
      <c r="A8613" s="80"/>
      <c r="B8613" s="81"/>
      <c r="C8613" s="82"/>
    </row>
    <row r="8614" spans="1:3" x14ac:dyDescent="0.3">
      <c r="A8614" s="80"/>
      <c r="B8614" s="81"/>
      <c r="C8614" s="82"/>
    </row>
    <row r="8615" spans="1:3" x14ac:dyDescent="0.3">
      <c r="A8615" s="80"/>
      <c r="B8615" s="81"/>
      <c r="C8615" s="82"/>
    </row>
    <row r="8616" spans="1:3" x14ac:dyDescent="0.3">
      <c r="A8616" s="80"/>
      <c r="B8616" s="81"/>
      <c r="C8616" s="82"/>
    </row>
    <row r="8617" spans="1:3" x14ac:dyDescent="0.3">
      <c r="A8617" s="80"/>
      <c r="B8617" s="81"/>
      <c r="C8617" s="82"/>
    </row>
    <row r="8618" spans="1:3" x14ac:dyDescent="0.3">
      <c r="A8618" s="80"/>
      <c r="B8618" s="81"/>
      <c r="C8618" s="82"/>
    </row>
    <row r="8619" spans="1:3" x14ac:dyDescent="0.3">
      <c r="A8619" s="80"/>
      <c r="B8619" s="81"/>
      <c r="C8619" s="82"/>
    </row>
    <row r="8620" spans="1:3" x14ac:dyDescent="0.3">
      <c r="A8620" s="80"/>
      <c r="B8620" s="81"/>
      <c r="C8620" s="82"/>
    </row>
    <row r="8621" spans="1:3" x14ac:dyDescent="0.3">
      <c r="A8621" s="80"/>
      <c r="B8621" s="81"/>
      <c r="C8621" s="82"/>
    </row>
    <row r="8622" spans="1:3" x14ac:dyDescent="0.3">
      <c r="A8622" s="80"/>
      <c r="B8622" s="81"/>
      <c r="C8622" s="82"/>
    </row>
    <row r="8623" spans="1:3" x14ac:dyDescent="0.3">
      <c r="A8623" s="80"/>
      <c r="B8623" s="81"/>
      <c r="C8623" s="82"/>
    </row>
    <row r="8624" spans="1:3" x14ac:dyDescent="0.3">
      <c r="A8624" s="80"/>
      <c r="B8624" s="81"/>
      <c r="C8624" s="82"/>
    </row>
    <row r="8625" spans="1:3" x14ac:dyDescent="0.3">
      <c r="A8625" s="80"/>
      <c r="B8625" s="81"/>
      <c r="C8625" s="82"/>
    </row>
    <row r="8626" spans="1:3" x14ac:dyDescent="0.3">
      <c r="A8626" s="80"/>
      <c r="B8626" s="81"/>
      <c r="C8626" s="82"/>
    </row>
    <row r="8627" spans="1:3" x14ac:dyDescent="0.3">
      <c r="A8627" s="80"/>
      <c r="B8627" s="81"/>
      <c r="C8627" s="82"/>
    </row>
    <row r="8628" spans="1:3" x14ac:dyDescent="0.3">
      <c r="A8628" s="80"/>
      <c r="B8628" s="81"/>
      <c r="C8628" s="82"/>
    </row>
    <row r="8629" spans="1:3" x14ac:dyDescent="0.3">
      <c r="A8629" s="80"/>
      <c r="B8629" s="81"/>
      <c r="C8629" s="82"/>
    </row>
    <row r="8630" spans="1:3" x14ac:dyDescent="0.3">
      <c r="A8630" s="80"/>
      <c r="B8630" s="81"/>
      <c r="C8630" s="82"/>
    </row>
    <row r="8631" spans="1:3" x14ac:dyDescent="0.3">
      <c r="A8631" s="80"/>
      <c r="B8631" s="81"/>
      <c r="C8631" s="82"/>
    </row>
    <row r="8632" spans="1:3" x14ac:dyDescent="0.3">
      <c r="A8632" s="80"/>
      <c r="B8632" s="81"/>
      <c r="C8632" s="82"/>
    </row>
    <row r="8633" spans="1:3" x14ac:dyDescent="0.3">
      <c r="A8633" s="80"/>
      <c r="B8633" s="81"/>
      <c r="C8633" s="82"/>
    </row>
    <row r="8634" spans="1:3" x14ac:dyDescent="0.3">
      <c r="A8634" s="80"/>
      <c r="B8634" s="81"/>
      <c r="C8634" s="82"/>
    </row>
    <row r="8635" spans="1:3" x14ac:dyDescent="0.3">
      <c r="A8635" s="80"/>
      <c r="B8635" s="81"/>
      <c r="C8635" s="82"/>
    </row>
    <row r="8636" spans="1:3" x14ac:dyDescent="0.3">
      <c r="A8636" s="80"/>
      <c r="B8636" s="81"/>
      <c r="C8636" s="82"/>
    </row>
    <row r="8637" spans="1:3" x14ac:dyDescent="0.3">
      <c r="A8637" s="80"/>
      <c r="B8637" s="81"/>
      <c r="C8637" s="82"/>
    </row>
    <row r="8638" spans="1:3" x14ac:dyDescent="0.3">
      <c r="A8638" s="80"/>
      <c r="B8638" s="81"/>
      <c r="C8638" s="82"/>
    </row>
    <row r="8639" spans="1:3" x14ac:dyDescent="0.3">
      <c r="A8639" s="80"/>
      <c r="B8639" s="81"/>
      <c r="C8639" s="82"/>
    </row>
    <row r="8640" spans="1:3" x14ac:dyDescent="0.3">
      <c r="A8640" s="80"/>
      <c r="B8640" s="81"/>
      <c r="C8640" s="82"/>
    </row>
    <row r="8641" spans="1:3" x14ac:dyDescent="0.3">
      <c r="A8641" s="80"/>
      <c r="B8641" s="81"/>
      <c r="C8641" s="82"/>
    </row>
    <row r="8642" spans="1:3" x14ac:dyDescent="0.3">
      <c r="A8642" s="80"/>
      <c r="B8642" s="81"/>
      <c r="C8642" s="82"/>
    </row>
    <row r="8643" spans="1:3" x14ac:dyDescent="0.3">
      <c r="A8643" s="80"/>
      <c r="B8643" s="81"/>
      <c r="C8643" s="82"/>
    </row>
    <row r="8644" spans="1:3" x14ac:dyDescent="0.3">
      <c r="A8644" s="80"/>
      <c r="B8644" s="81"/>
      <c r="C8644" s="82"/>
    </row>
    <row r="8645" spans="1:3" x14ac:dyDescent="0.3">
      <c r="A8645" s="80"/>
      <c r="B8645" s="81"/>
      <c r="C8645" s="82"/>
    </row>
    <row r="8646" spans="1:3" x14ac:dyDescent="0.3">
      <c r="A8646" s="80"/>
      <c r="B8646" s="81"/>
      <c r="C8646" s="82"/>
    </row>
    <row r="8647" spans="1:3" x14ac:dyDescent="0.3">
      <c r="A8647" s="80"/>
      <c r="B8647" s="81"/>
      <c r="C8647" s="82"/>
    </row>
    <row r="8648" spans="1:3" x14ac:dyDescent="0.3">
      <c r="A8648" s="80"/>
      <c r="B8648" s="81"/>
      <c r="C8648" s="82"/>
    </row>
    <row r="8649" spans="1:3" x14ac:dyDescent="0.3">
      <c r="A8649" s="80"/>
      <c r="B8649" s="81"/>
      <c r="C8649" s="82"/>
    </row>
    <row r="8650" spans="1:3" x14ac:dyDescent="0.3">
      <c r="A8650" s="80"/>
      <c r="B8650" s="81"/>
      <c r="C8650" s="82"/>
    </row>
    <row r="8651" spans="1:3" x14ac:dyDescent="0.3">
      <c r="A8651" s="80"/>
      <c r="B8651" s="81"/>
      <c r="C8651" s="82"/>
    </row>
    <row r="8652" spans="1:3" x14ac:dyDescent="0.3">
      <c r="A8652" s="80"/>
      <c r="B8652" s="81"/>
      <c r="C8652" s="82"/>
    </row>
    <row r="8653" spans="1:3" x14ac:dyDescent="0.3">
      <c r="A8653" s="80"/>
      <c r="B8653" s="81"/>
      <c r="C8653" s="82"/>
    </row>
    <row r="8654" spans="1:3" x14ac:dyDescent="0.3">
      <c r="A8654" s="80"/>
      <c r="B8654" s="81"/>
      <c r="C8654" s="82"/>
    </row>
    <row r="8655" spans="1:3" x14ac:dyDescent="0.3">
      <c r="A8655" s="80"/>
      <c r="B8655" s="81"/>
      <c r="C8655" s="82"/>
    </row>
    <row r="8656" spans="1:3" x14ac:dyDescent="0.3">
      <c r="A8656" s="80"/>
      <c r="B8656" s="81"/>
      <c r="C8656" s="82"/>
    </row>
    <row r="8657" spans="1:3" x14ac:dyDescent="0.3">
      <c r="A8657" s="80"/>
      <c r="B8657" s="81"/>
      <c r="C8657" s="82"/>
    </row>
    <row r="8658" spans="1:3" x14ac:dyDescent="0.3">
      <c r="A8658" s="80"/>
      <c r="B8658" s="81"/>
      <c r="C8658" s="82"/>
    </row>
    <row r="8659" spans="1:3" x14ac:dyDescent="0.3">
      <c r="A8659" s="80"/>
      <c r="B8659" s="81"/>
      <c r="C8659" s="82"/>
    </row>
    <row r="8660" spans="1:3" x14ac:dyDescent="0.3">
      <c r="A8660" s="80"/>
      <c r="B8660" s="81"/>
      <c r="C8660" s="82"/>
    </row>
    <row r="8661" spans="1:3" x14ac:dyDescent="0.3">
      <c r="A8661" s="80"/>
      <c r="B8661" s="81"/>
      <c r="C8661" s="82"/>
    </row>
    <row r="8662" spans="1:3" x14ac:dyDescent="0.3">
      <c r="A8662" s="80"/>
      <c r="B8662" s="81"/>
      <c r="C8662" s="82"/>
    </row>
    <row r="8663" spans="1:3" x14ac:dyDescent="0.3">
      <c r="A8663" s="80"/>
      <c r="B8663" s="81"/>
      <c r="C8663" s="82"/>
    </row>
    <row r="8664" spans="1:3" x14ac:dyDescent="0.3">
      <c r="A8664" s="80"/>
      <c r="B8664" s="81"/>
      <c r="C8664" s="82"/>
    </row>
    <row r="8665" spans="1:3" x14ac:dyDescent="0.3">
      <c r="A8665" s="80"/>
      <c r="B8665" s="81"/>
      <c r="C8665" s="82"/>
    </row>
    <row r="8666" spans="1:3" x14ac:dyDescent="0.3">
      <c r="A8666" s="80"/>
      <c r="B8666" s="81"/>
      <c r="C8666" s="82"/>
    </row>
    <row r="8667" spans="1:3" x14ac:dyDescent="0.3">
      <c r="A8667" s="80"/>
      <c r="B8667" s="81"/>
      <c r="C8667" s="82"/>
    </row>
    <row r="8668" spans="1:3" x14ac:dyDescent="0.3">
      <c r="A8668" s="80"/>
      <c r="B8668" s="81"/>
      <c r="C8668" s="82"/>
    </row>
    <row r="8669" spans="1:3" x14ac:dyDescent="0.3">
      <c r="A8669" s="80"/>
      <c r="B8669" s="81"/>
      <c r="C8669" s="82"/>
    </row>
    <row r="8670" spans="1:3" x14ac:dyDescent="0.3">
      <c r="A8670" s="80"/>
      <c r="B8670" s="81"/>
      <c r="C8670" s="82"/>
    </row>
    <row r="8671" spans="1:3" x14ac:dyDescent="0.3">
      <c r="A8671" s="80"/>
      <c r="B8671" s="81"/>
      <c r="C8671" s="82"/>
    </row>
    <row r="8672" spans="1:3" x14ac:dyDescent="0.3">
      <c r="A8672" s="80"/>
      <c r="B8672" s="81"/>
      <c r="C8672" s="82"/>
    </row>
    <row r="8673" spans="1:3" x14ac:dyDescent="0.3">
      <c r="A8673" s="80"/>
      <c r="B8673" s="81"/>
      <c r="C8673" s="82"/>
    </row>
    <row r="8674" spans="1:3" x14ac:dyDescent="0.3">
      <c r="A8674" s="80"/>
      <c r="B8674" s="81"/>
      <c r="C8674" s="82"/>
    </row>
    <row r="8675" spans="1:3" x14ac:dyDescent="0.3">
      <c r="A8675" s="80"/>
      <c r="B8675" s="81"/>
      <c r="C8675" s="82"/>
    </row>
    <row r="8676" spans="1:3" x14ac:dyDescent="0.3">
      <c r="A8676" s="80"/>
      <c r="B8676" s="81"/>
      <c r="C8676" s="82"/>
    </row>
    <row r="8677" spans="1:3" x14ac:dyDescent="0.3">
      <c r="A8677" s="80"/>
      <c r="B8677" s="81"/>
      <c r="C8677" s="82"/>
    </row>
    <row r="8678" spans="1:3" x14ac:dyDescent="0.3">
      <c r="A8678" s="80"/>
      <c r="B8678" s="81"/>
      <c r="C8678" s="82"/>
    </row>
    <row r="8679" spans="1:3" x14ac:dyDescent="0.3">
      <c r="A8679" s="80"/>
      <c r="B8679" s="81"/>
      <c r="C8679" s="82"/>
    </row>
    <row r="8680" spans="1:3" x14ac:dyDescent="0.3">
      <c r="A8680" s="80"/>
      <c r="B8680" s="81"/>
      <c r="C8680" s="82"/>
    </row>
    <row r="8681" spans="1:3" x14ac:dyDescent="0.3">
      <c r="A8681" s="80"/>
      <c r="B8681" s="81"/>
      <c r="C8681" s="82"/>
    </row>
    <row r="8682" spans="1:3" x14ac:dyDescent="0.3">
      <c r="A8682" s="80"/>
      <c r="B8682" s="81"/>
      <c r="C8682" s="82"/>
    </row>
    <row r="8683" spans="1:3" x14ac:dyDescent="0.3">
      <c r="A8683" s="80"/>
      <c r="B8683" s="81"/>
      <c r="C8683" s="82"/>
    </row>
    <row r="8684" spans="1:3" x14ac:dyDescent="0.3">
      <c r="A8684" s="80"/>
      <c r="B8684" s="81"/>
      <c r="C8684" s="82"/>
    </row>
    <row r="8685" spans="1:3" x14ac:dyDescent="0.3">
      <c r="A8685" s="80"/>
      <c r="B8685" s="81"/>
      <c r="C8685" s="82"/>
    </row>
    <row r="8686" spans="1:3" x14ac:dyDescent="0.3">
      <c r="A8686" s="80"/>
      <c r="B8686" s="81"/>
      <c r="C8686" s="82"/>
    </row>
    <row r="8687" spans="1:3" x14ac:dyDescent="0.3">
      <c r="A8687" s="80"/>
      <c r="B8687" s="81"/>
      <c r="C8687" s="82"/>
    </row>
    <row r="8688" spans="1:3" x14ac:dyDescent="0.3">
      <c r="A8688" s="80"/>
      <c r="B8688" s="81"/>
      <c r="C8688" s="82"/>
    </row>
    <row r="8689" spans="1:3" x14ac:dyDescent="0.3">
      <c r="A8689" s="80"/>
      <c r="B8689" s="81"/>
      <c r="C8689" s="82"/>
    </row>
    <row r="8690" spans="1:3" x14ac:dyDescent="0.3">
      <c r="A8690" s="80"/>
      <c r="B8690" s="81"/>
      <c r="C8690" s="82"/>
    </row>
    <row r="8691" spans="1:3" x14ac:dyDescent="0.3">
      <c r="A8691" s="80"/>
      <c r="B8691" s="81"/>
      <c r="C8691" s="82"/>
    </row>
    <row r="8692" spans="1:3" x14ac:dyDescent="0.3">
      <c r="A8692" s="80"/>
      <c r="B8692" s="81"/>
      <c r="C8692" s="82"/>
    </row>
    <row r="8693" spans="1:3" x14ac:dyDescent="0.3">
      <c r="A8693" s="80"/>
      <c r="B8693" s="81"/>
      <c r="C8693" s="82"/>
    </row>
    <row r="8694" spans="1:3" x14ac:dyDescent="0.3">
      <c r="A8694" s="80"/>
      <c r="B8694" s="81"/>
      <c r="C8694" s="82"/>
    </row>
    <row r="8695" spans="1:3" x14ac:dyDescent="0.3">
      <c r="A8695" s="80"/>
      <c r="B8695" s="81"/>
      <c r="C8695" s="82"/>
    </row>
    <row r="8696" spans="1:3" x14ac:dyDescent="0.3">
      <c r="A8696" s="80"/>
      <c r="B8696" s="81"/>
      <c r="C8696" s="82"/>
    </row>
    <row r="8697" spans="1:3" x14ac:dyDescent="0.3">
      <c r="A8697" s="80"/>
      <c r="B8697" s="81"/>
      <c r="C8697" s="82"/>
    </row>
    <row r="8698" spans="1:3" x14ac:dyDescent="0.3">
      <c r="A8698" s="80"/>
      <c r="B8698" s="81"/>
      <c r="C8698" s="82"/>
    </row>
    <row r="8699" spans="1:3" x14ac:dyDescent="0.3">
      <c r="A8699" s="80"/>
      <c r="B8699" s="81"/>
      <c r="C8699" s="82"/>
    </row>
    <row r="8700" spans="1:3" x14ac:dyDescent="0.3">
      <c r="A8700" s="80"/>
      <c r="B8700" s="81"/>
      <c r="C8700" s="82"/>
    </row>
    <row r="8701" spans="1:3" x14ac:dyDescent="0.3">
      <c r="A8701" s="80"/>
      <c r="B8701" s="81"/>
      <c r="C8701" s="82"/>
    </row>
    <row r="8702" spans="1:3" x14ac:dyDescent="0.3">
      <c r="A8702" s="80"/>
      <c r="B8702" s="81"/>
      <c r="C8702" s="82"/>
    </row>
    <row r="8703" spans="1:3" x14ac:dyDescent="0.3">
      <c r="A8703" s="80"/>
      <c r="B8703" s="81"/>
      <c r="C8703" s="82"/>
    </row>
    <row r="8704" spans="1:3" x14ac:dyDescent="0.3">
      <c r="A8704" s="80"/>
      <c r="B8704" s="81"/>
      <c r="C8704" s="82"/>
    </row>
    <row r="8705" spans="1:3" x14ac:dyDescent="0.3">
      <c r="A8705" s="80"/>
      <c r="B8705" s="81"/>
      <c r="C8705" s="82"/>
    </row>
    <row r="8706" spans="1:3" x14ac:dyDescent="0.3">
      <c r="A8706" s="80"/>
      <c r="B8706" s="81"/>
      <c r="C8706" s="82"/>
    </row>
    <row r="8707" spans="1:3" x14ac:dyDescent="0.3">
      <c r="A8707" s="80"/>
      <c r="B8707" s="81"/>
      <c r="C8707" s="82"/>
    </row>
    <row r="8708" spans="1:3" x14ac:dyDescent="0.3">
      <c r="A8708" s="80"/>
      <c r="B8708" s="81"/>
      <c r="C8708" s="82"/>
    </row>
    <row r="8709" spans="1:3" x14ac:dyDescent="0.3">
      <c r="A8709" s="80"/>
      <c r="B8709" s="81"/>
      <c r="C8709" s="82"/>
    </row>
    <row r="8710" spans="1:3" x14ac:dyDescent="0.3">
      <c r="A8710" s="80"/>
      <c r="B8710" s="81"/>
      <c r="C8710" s="82"/>
    </row>
    <row r="8711" spans="1:3" x14ac:dyDescent="0.3">
      <c r="A8711" s="80"/>
      <c r="B8711" s="81"/>
      <c r="C8711" s="82"/>
    </row>
    <row r="8712" spans="1:3" x14ac:dyDescent="0.3">
      <c r="A8712" s="80"/>
      <c r="B8712" s="81"/>
      <c r="C8712" s="82"/>
    </row>
    <row r="8713" spans="1:3" x14ac:dyDescent="0.3">
      <c r="A8713" s="80"/>
      <c r="B8713" s="81"/>
      <c r="C8713" s="82"/>
    </row>
    <row r="8714" spans="1:3" x14ac:dyDescent="0.3">
      <c r="A8714" s="80"/>
      <c r="B8714" s="81"/>
      <c r="C8714" s="82"/>
    </row>
    <row r="8715" spans="1:3" x14ac:dyDescent="0.3">
      <c r="A8715" s="80"/>
      <c r="B8715" s="81"/>
      <c r="C8715" s="82"/>
    </row>
    <row r="8716" spans="1:3" x14ac:dyDescent="0.3">
      <c r="A8716" s="80"/>
      <c r="B8716" s="81"/>
      <c r="C8716" s="82"/>
    </row>
    <row r="8717" spans="1:3" x14ac:dyDescent="0.3">
      <c r="A8717" s="80"/>
      <c r="B8717" s="81"/>
      <c r="C8717" s="82"/>
    </row>
    <row r="8718" spans="1:3" x14ac:dyDescent="0.3">
      <c r="A8718" s="80"/>
      <c r="B8718" s="81"/>
      <c r="C8718" s="82"/>
    </row>
    <row r="8719" spans="1:3" x14ac:dyDescent="0.3">
      <c r="A8719" s="80"/>
      <c r="B8719" s="81"/>
      <c r="C8719" s="82"/>
    </row>
    <row r="8720" spans="1:3" x14ac:dyDescent="0.3">
      <c r="A8720" s="80"/>
      <c r="B8720" s="81"/>
      <c r="C8720" s="82"/>
    </row>
    <row r="8721" spans="1:3" x14ac:dyDescent="0.3">
      <c r="A8721" s="80"/>
      <c r="B8721" s="81"/>
      <c r="C8721" s="82"/>
    </row>
    <row r="8722" spans="1:3" x14ac:dyDescent="0.3">
      <c r="A8722" s="80"/>
      <c r="B8722" s="81"/>
      <c r="C8722" s="82"/>
    </row>
    <row r="8723" spans="1:3" x14ac:dyDescent="0.3">
      <c r="A8723" s="80"/>
      <c r="B8723" s="81"/>
      <c r="C8723" s="82"/>
    </row>
    <row r="8724" spans="1:3" x14ac:dyDescent="0.3">
      <c r="A8724" s="80"/>
      <c r="B8724" s="81"/>
      <c r="C8724" s="82"/>
    </row>
    <row r="8725" spans="1:3" x14ac:dyDescent="0.3">
      <c r="A8725" s="80"/>
      <c r="B8725" s="81"/>
      <c r="C8725" s="82"/>
    </row>
    <row r="8726" spans="1:3" x14ac:dyDescent="0.3">
      <c r="A8726" s="80"/>
      <c r="B8726" s="81"/>
      <c r="C8726" s="82"/>
    </row>
    <row r="8727" spans="1:3" x14ac:dyDescent="0.3">
      <c r="A8727" s="80"/>
      <c r="B8727" s="81"/>
      <c r="C8727" s="82"/>
    </row>
    <row r="8728" spans="1:3" x14ac:dyDescent="0.3">
      <c r="A8728" s="80"/>
      <c r="B8728" s="81"/>
      <c r="C8728" s="82"/>
    </row>
    <row r="8729" spans="1:3" x14ac:dyDescent="0.3">
      <c r="A8729" s="80"/>
      <c r="B8729" s="81"/>
      <c r="C8729" s="82"/>
    </row>
    <row r="8730" spans="1:3" x14ac:dyDescent="0.3">
      <c r="A8730" s="80"/>
      <c r="B8730" s="81"/>
      <c r="C8730" s="82"/>
    </row>
    <row r="8731" spans="1:3" x14ac:dyDescent="0.3">
      <c r="A8731" s="80"/>
      <c r="B8731" s="81"/>
      <c r="C8731" s="82"/>
    </row>
    <row r="8732" spans="1:3" x14ac:dyDescent="0.3">
      <c r="A8732" s="80"/>
      <c r="B8732" s="81"/>
      <c r="C8732" s="82"/>
    </row>
    <row r="8733" spans="1:3" x14ac:dyDescent="0.3">
      <c r="A8733" s="80"/>
      <c r="B8733" s="81"/>
      <c r="C8733" s="82"/>
    </row>
    <row r="8734" spans="1:3" x14ac:dyDescent="0.3">
      <c r="A8734" s="80"/>
      <c r="B8734" s="81"/>
      <c r="C8734" s="82"/>
    </row>
    <row r="8735" spans="1:3" x14ac:dyDescent="0.3">
      <c r="A8735" s="80"/>
      <c r="B8735" s="81"/>
      <c r="C8735" s="82"/>
    </row>
    <row r="8736" spans="1:3" x14ac:dyDescent="0.3">
      <c r="A8736" s="80"/>
      <c r="B8736" s="81"/>
      <c r="C8736" s="82"/>
    </row>
    <row r="8737" spans="1:3" x14ac:dyDescent="0.3">
      <c r="A8737" s="80"/>
      <c r="B8737" s="81"/>
      <c r="C8737" s="82"/>
    </row>
    <row r="8738" spans="1:3" x14ac:dyDescent="0.3">
      <c r="A8738" s="80"/>
      <c r="B8738" s="81"/>
      <c r="C8738" s="82"/>
    </row>
    <row r="8739" spans="1:3" x14ac:dyDescent="0.3">
      <c r="A8739" s="80"/>
      <c r="B8739" s="81"/>
      <c r="C8739" s="82"/>
    </row>
    <row r="8740" spans="1:3" x14ac:dyDescent="0.3">
      <c r="A8740" s="80"/>
      <c r="B8740" s="81"/>
      <c r="C8740" s="82"/>
    </row>
    <row r="8741" spans="1:3" x14ac:dyDescent="0.3">
      <c r="A8741" s="80"/>
      <c r="B8741" s="81"/>
      <c r="C8741" s="82"/>
    </row>
    <row r="8742" spans="1:3" x14ac:dyDescent="0.3">
      <c r="A8742" s="80"/>
      <c r="B8742" s="81"/>
      <c r="C8742" s="82"/>
    </row>
    <row r="8743" spans="1:3" x14ac:dyDescent="0.3">
      <c r="A8743" s="80"/>
      <c r="B8743" s="81"/>
      <c r="C8743" s="82"/>
    </row>
    <row r="8744" spans="1:3" x14ac:dyDescent="0.3">
      <c r="A8744" s="80"/>
      <c r="B8744" s="81"/>
      <c r="C8744" s="82"/>
    </row>
    <row r="8745" spans="1:3" x14ac:dyDescent="0.3">
      <c r="A8745" s="80"/>
      <c r="B8745" s="81"/>
      <c r="C8745" s="82"/>
    </row>
    <row r="8746" spans="1:3" x14ac:dyDescent="0.3">
      <c r="A8746" s="80"/>
      <c r="B8746" s="81"/>
      <c r="C8746" s="82"/>
    </row>
    <row r="8747" spans="1:3" x14ac:dyDescent="0.3">
      <c r="A8747" s="80"/>
      <c r="B8747" s="81"/>
      <c r="C8747" s="82"/>
    </row>
    <row r="8748" spans="1:3" x14ac:dyDescent="0.3">
      <c r="A8748" s="80"/>
      <c r="B8748" s="81"/>
      <c r="C8748" s="82"/>
    </row>
    <row r="8749" spans="1:3" x14ac:dyDescent="0.3">
      <c r="A8749" s="80"/>
      <c r="B8749" s="81"/>
      <c r="C8749" s="82"/>
    </row>
    <row r="8750" spans="1:3" x14ac:dyDescent="0.3">
      <c r="A8750" s="80"/>
      <c r="B8750" s="81"/>
      <c r="C8750" s="82"/>
    </row>
    <row r="8751" spans="1:3" x14ac:dyDescent="0.3">
      <c r="A8751" s="80"/>
      <c r="B8751" s="81"/>
      <c r="C8751" s="82"/>
    </row>
    <row r="8752" spans="1:3" x14ac:dyDescent="0.3">
      <c r="A8752" s="80"/>
      <c r="B8752" s="81"/>
      <c r="C8752" s="82"/>
    </row>
    <row r="8753" spans="1:3" x14ac:dyDescent="0.3">
      <c r="A8753" s="80"/>
      <c r="B8753" s="81"/>
      <c r="C8753" s="82"/>
    </row>
    <row r="8754" spans="1:3" x14ac:dyDescent="0.3">
      <c r="A8754" s="80"/>
      <c r="B8754" s="81"/>
      <c r="C8754" s="82"/>
    </row>
    <row r="8755" spans="1:3" x14ac:dyDescent="0.3">
      <c r="A8755" s="80"/>
      <c r="B8755" s="81"/>
      <c r="C8755" s="82"/>
    </row>
    <row r="8756" spans="1:3" x14ac:dyDescent="0.3">
      <c r="A8756" s="80"/>
      <c r="B8756" s="81"/>
      <c r="C8756" s="82"/>
    </row>
    <row r="8757" spans="1:3" x14ac:dyDescent="0.3">
      <c r="A8757" s="80"/>
      <c r="B8757" s="81"/>
      <c r="C8757" s="82"/>
    </row>
    <row r="8758" spans="1:3" x14ac:dyDescent="0.3">
      <c r="A8758" s="80"/>
      <c r="B8758" s="81"/>
      <c r="C8758" s="82"/>
    </row>
    <row r="8759" spans="1:3" x14ac:dyDescent="0.3">
      <c r="A8759" s="80"/>
      <c r="B8759" s="81"/>
      <c r="C8759" s="82"/>
    </row>
    <row r="8760" spans="1:3" x14ac:dyDescent="0.3">
      <c r="A8760" s="80"/>
      <c r="B8760" s="81"/>
      <c r="C8760" s="82"/>
    </row>
    <row r="8761" spans="1:3" x14ac:dyDescent="0.3">
      <c r="A8761" s="80"/>
      <c r="B8761" s="81"/>
      <c r="C8761" s="82"/>
    </row>
    <row r="8762" spans="1:3" x14ac:dyDescent="0.3">
      <c r="A8762" s="80"/>
      <c r="B8762" s="81"/>
      <c r="C8762" s="82"/>
    </row>
    <row r="8763" spans="1:3" x14ac:dyDescent="0.3">
      <c r="A8763" s="80"/>
      <c r="B8763" s="81"/>
      <c r="C8763" s="82"/>
    </row>
    <row r="8764" spans="1:3" x14ac:dyDescent="0.3">
      <c r="A8764" s="80"/>
      <c r="B8764" s="81"/>
      <c r="C8764" s="82"/>
    </row>
    <row r="8765" spans="1:3" x14ac:dyDescent="0.3">
      <c r="A8765" s="80"/>
      <c r="B8765" s="81"/>
      <c r="C8765" s="82"/>
    </row>
    <row r="8766" spans="1:3" x14ac:dyDescent="0.3">
      <c r="A8766" s="80"/>
      <c r="B8766" s="81"/>
      <c r="C8766" s="82"/>
    </row>
    <row r="8767" spans="1:3" x14ac:dyDescent="0.3">
      <c r="A8767" s="80"/>
      <c r="B8767" s="81"/>
      <c r="C8767" s="82"/>
    </row>
    <row r="8768" spans="1:3" x14ac:dyDescent="0.3">
      <c r="A8768" s="80"/>
      <c r="B8768" s="81"/>
      <c r="C8768" s="82"/>
    </row>
    <row r="8769" spans="1:3" x14ac:dyDescent="0.3">
      <c r="A8769" s="80"/>
      <c r="B8769" s="81"/>
      <c r="C8769" s="82"/>
    </row>
    <row r="8770" spans="1:3" x14ac:dyDescent="0.3">
      <c r="A8770" s="80"/>
      <c r="B8770" s="81"/>
      <c r="C8770" s="82"/>
    </row>
    <row r="8771" spans="1:3" x14ac:dyDescent="0.3">
      <c r="A8771" s="80"/>
      <c r="B8771" s="81"/>
      <c r="C8771" s="82"/>
    </row>
    <row r="8772" spans="1:3" x14ac:dyDescent="0.3">
      <c r="A8772" s="80"/>
      <c r="B8772" s="81"/>
      <c r="C8772" s="82"/>
    </row>
    <row r="8773" spans="1:3" x14ac:dyDescent="0.3">
      <c r="A8773" s="80"/>
      <c r="B8773" s="81"/>
      <c r="C8773" s="82"/>
    </row>
    <row r="8774" spans="1:3" x14ac:dyDescent="0.3">
      <c r="A8774" s="80"/>
      <c r="B8774" s="81"/>
      <c r="C8774" s="82"/>
    </row>
    <row r="8775" spans="1:3" x14ac:dyDescent="0.3">
      <c r="A8775" s="80"/>
      <c r="B8775" s="81"/>
      <c r="C8775" s="82"/>
    </row>
    <row r="8776" spans="1:3" x14ac:dyDescent="0.3">
      <c r="A8776" s="80"/>
      <c r="B8776" s="81"/>
      <c r="C8776" s="82"/>
    </row>
    <row r="8777" spans="1:3" x14ac:dyDescent="0.3">
      <c r="A8777" s="80"/>
      <c r="B8777" s="81"/>
      <c r="C8777" s="82"/>
    </row>
    <row r="8778" spans="1:3" x14ac:dyDescent="0.3">
      <c r="A8778" s="80"/>
      <c r="B8778" s="81"/>
      <c r="C8778" s="82"/>
    </row>
    <row r="8779" spans="1:3" x14ac:dyDescent="0.3">
      <c r="A8779" s="80"/>
      <c r="B8779" s="81"/>
      <c r="C8779" s="82"/>
    </row>
    <row r="8780" spans="1:3" x14ac:dyDescent="0.3">
      <c r="A8780" s="80"/>
      <c r="B8780" s="81"/>
      <c r="C8780" s="82"/>
    </row>
    <row r="8781" spans="1:3" x14ac:dyDescent="0.3">
      <c r="A8781" s="80"/>
      <c r="B8781" s="81"/>
      <c r="C8781" s="82"/>
    </row>
    <row r="8782" spans="1:3" x14ac:dyDescent="0.3">
      <c r="A8782" s="80"/>
      <c r="B8782" s="81"/>
      <c r="C8782" s="82"/>
    </row>
    <row r="8783" spans="1:3" x14ac:dyDescent="0.3">
      <c r="A8783" s="80"/>
      <c r="B8783" s="81"/>
      <c r="C8783" s="82"/>
    </row>
    <row r="8784" spans="1:3" x14ac:dyDescent="0.3">
      <c r="A8784" s="80"/>
      <c r="B8784" s="81"/>
      <c r="C8784" s="82"/>
    </row>
    <row r="8785" spans="1:3" x14ac:dyDescent="0.3">
      <c r="A8785" s="80"/>
      <c r="B8785" s="81"/>
      <c r="C8785" s="82"/>
    </row>
    <row r="8786" spans="1:3" x14ac:dyDescent="0.3">
      <c r="A8786" s="80"/>
      <c r="B8786" s="81"/>
      <c r="C8786" s="82"/>
    </row>
    <row r="8787" spans="1:3" x14ac:dyDescent="0.3">
      <c r="A8787" s="80"/>
      <c r="B8787" s="81"/>
      <c r="C8787" s="82"/>
    </row>
    <row r="8788" spans="1:3" x14ac:dyDescent="0.3">
      <c r="A8788" s="80"/>
      <c r="B8788" s="81"/>
      <c r="C8788" s="82"/>
    </row>
    <row r="8789" spans="1:3" x14ac:dyDescent="0.3">
      <c r="A8789" s="80"/>
      <c r="B8789" s="81"/>
      <c r="C8789" s="82"/>
    </row>
    <row r="8790" spans="1:3" x14ac:dyDescent="0.3">
      <c r="A8790" s="80"/>
      <c r="B8790" s="81"/>
      <c r="C8790" s="82"/>
    </row>
    <row r="8791" spans="1:3" x14ac:dyDescent="0.3">
      <c r="A8791" s="80"/>
      <c r="B8791" s="81"/>
      <c r="C8791" s="82"/>
    </row>
    <row r="8792" spans="1:3" x14ac:dyDescent="0.3">
      <c r="A8792" s="80"/>
      <c r="B8792" s="81"/>
      <c r="C8792" s="82"/>
    </row>
    <row r="8793" spans="1:3" x14ac:dyDescent="0.3">
      <c r="A8793" s="80"/>
      <c r="B8793" s="81"/>
      <c r="C8793" s="82"/>
    </row>
    <row r="8794" spans="1:3" x14ac:dyDescent="0.3">
      <c r="A8794" s="80"/>
      <c r="B8794" s="81"/>
      <c r="C8794" s="82"/>
    </row>
    <row r="8795" spans="1:3" x14ac:dyDescent="0.3">
      <c r="A8795" s="80"/>
      <c r="B8795" s="81"/>
      <c r="C8795" s="82"/>
    </row>
    <row r="8796" spans="1:3" x14ac:dyDescent="0.3">
      <c r="A8796" s="80"/>
      <c r="B8796" s="81"/>
      <c r="C8796" s="82"/>
    </row>
    <row r="8797" spans="1:3" x14ac:dyDescent="0.3">
      <c r="A8797" s="80"/>
      <c r="B8797" s="81"/>
      <c r="C8797" s="82"/>
    </row>
    <row r="8798" spans="1:3" x14ac:dyDescent="0.3">
      <c r="A8798" s="80"/>
      <c r="B8798" s="81"/>
      <c r="C8798" s="82"/>
    </row>
    <row r="8799" spans="1:3" x14ac:dyDescent="0.3">
      <c r="A8799" s="80"/>
      <c r="B8799" s="81"/>
      <c r="C8799" s="82"/>
    </row>
    <row r="8800" spans="1:3" x14ac:dyDescent="0.3">
      <c r="A8800" s="80"/>
      <c r="B8800" s="81"/>
      <c r="C8800" s="82"/>
    </row>
    <row r="8801" spans="1:3" x14ac:dyDescent="0.3">
      <c r="A8801" s="80"/>
      <c r="B8801" s="81"/>
      <c r="C8801" s="82"/>
    </row>
    <row r="8802" spans="1:3" x14ac:dyDescent="0.3">
      <c r="A8802" s="80"/>
      <c r="B8802" s="81"/>
      <c r="C8802" s="82"/>
    </row>
    <row r="8803" spans="1:3" x14ac:dyDescent="0.3">
      <c r="A8803" s="80"/>
      <c r="B8803" s="81"/>
      <c r="C8803" s="82"/>
    </row>
    <row r="8804" spans="1:3" x14ac:dyDescent="0.3">
      <c r="A8804" s="80"/>
      <c r="B8804" s="81"/>
      <c r="C8804" s="82"/>
    </row>
    <row r="8805" spans="1:3" x14ac:dyDescent="0.3">
      <c r="A8805" s="80"/>
      <c r="B8805" s="81"/>
      <c r="C8805" s="82"/>
    </row>
    <row r="8806" spans="1:3" x14ac:dyDescent="0.3">
      <c r="A8806" s="80"/>
      <c r="B8806" s="81"/>
      <c r="C8806" s="82"/>
    </row>
    <row r="8807" spans="1:3" x14ac:dyDescent="0.3">
      <c r="A8807" s="80"/>
      <c r="B8807" s="81"/>
      <c r="C8807" s="82"/>
    </row>
    <row r="8808" spans="1:3" x14ac:dyDescent="0.3">
      <c r="A8808" s="80"/>
      <c r="B8808" s="81"/>
      <c r="C8808" s="82"/>
    </row>
    <row r="8809" spans="1:3" x14ac:dyDescent="0.3">
      <c r="A8809" s="80"/>
      <c r="B8809" s="81"/>
      <c r="C8809" s="82"/>
    </row>
    <row r="8810" spans="1:3" x14ac:dyDescent="0.3">
      <c r="A8810" s="80"/>
      <c r="B8810" s="81"/>
      <c r="C8810" s="82"/>
    </row>
    <row r="8811" spans="1:3" x14ac:dyDescent="0.3">
      <c r="A8811" s="80"/>
      <c r="B8811" s="81"/>
      <c r="C8811" s="82"/>
    </row>
    <row r="8812" spans="1:3" x14ac:dyDescent="0.3">
      <c r="A8812" s="80"/>
      <c r="B8812" s="81"/>
      <c r="C8812" s="82"/>
    </row>
    <row r="8813" spans="1:3" x14ac:dyDescent="0.3">
      <c r="A8813" s="80"/>
      <c r="B8813" s="81"/>
      <c r="C8813" s="82"/>
    </row>
    <row r="8814" spans="1:3" x14ac:dyDescent="0.3">
      <c r="A8814" s="80"/>
      <c r="B8814" s="81"/>
      <c r="C8814" s="82"/>
    </row>
    <row r="8815" spans="1:3" x14ac:dyDescent="0.3">
      <c r="A8815" s="80"/>
      <c r="B8815" s="81"/>
      <c r="C8815" s="82"/>
    </row>
    <row r="8816" spans="1:3" x14ac:dyDescent="0.3">
      <c r="A8816" s="80"/>
      <c r="B8816" s="81"/>
      <c r="C8816" s="82"/>
    </row>
    <row r="8817" spans="1:3" x14ac:dyDescent="0.3">
      <c r="A8817" s="80"/>
      <c r="B8817" s="81"/>
      <c r="C8817" s="82"/>
    </row>
    <row r="8818" spans="1:3" x14ac:dyDescent="0.3">
      <c r="A8818" s="80"/>
      <c r="B8818" s="81"/>
      <c r="C8818" s="82"/>
    </row>
    <row r="8819" spans="1:3" x14ac:dyDescent="0.3">
      <c r="A8819" s="80"/>
      <c r="B8819" s="81"/>
      <c r="C8819" s="82"/>
    </row>
    <row r="8820" spans="1:3" x14ac:dyDescent="0.3">
      <c r="A8820" s="80"/>
      <c r="B8820" s="81"/>
      <c r="C8820" s="82"/>
    </row>
    <row r="8821" spans="1:3" x14ac:dyDescent="0.3">
      <c r="A8821" s="80"/>
      <c r="B8821" s="81"/>
      <c r="C8821" s="82"/>
    </row>
    <row r="8822" spans="1:3" x14ac:dyDescent="0.3">
      <c r="A8822" s="80"/>
      <c r="B8822" s="81"/>
      <c r="C8822" s="82"/>
    </row>
    <row r="8823" spans="1:3" x14ac:dyDescent="0.3">
      <c r="A8823" s="80"/>
      <c r="B8823" s="81"/>
      <c r="C8823" s="82"/>
    </row>
    <row r="8824" spans="1:3" x14ac:dyDescent="0.3">
      <c r="A8824" s="80"/>
      <c r="B8824" s="81"/>
      <c r="C8824" s="82"/>
    </row>
    <row r="8825" spans="1:3" x14ac:dyDescent="0.3">
      <c r="A8825" s="80"/>
      <c r="B8825" s="81"/>
      <c r="C8825" s="82"/>
    </row>
    <row r="8826" spans="1:3" x14ac:dyDescent="0.3">
      <c r="A8826" s="80"/>
      <c r="B8826" s="81"/>
      <c r="C8826" s="82"/>
    </row>
    <row r="8827" spans="1:3" x14ac:dyDescent="0.3">
      <c r="A8827" s="80"/>
      <c r="B8827" s="81"/>
      <c r="C8827" s="82"/>
    </row>
    <row r="8828" spans="1:3" x14ac:dyDescent="0.3">
      <c r="A8828" s="80"/>
      <c r="B8828" s="81"/>
      <c r="C8828" s="82"/>
    </row>
    <row r="8829" spans="1:3" x14ac:dyDescent="0.3">
      <c r="A8829" s="80"/>
      <c r="B8829" s="81"/>
      <c r="C8829" s="82"/>
    </row>
    <row r="8830" spans="1:3" x14ac:dyDescent="0.3">
      <c r="A8830" s="80"/>
      <c r="B8830" s="81"/>
      <c r="C8830" s="82"/>
    </row>
    <row r="8831" spans="1:3" x14ac:dyDescent="0.3">
      <c r="A8831" s="80"/>
      <c r="B8831" s="81"/>
      <c r="C8831" s="82"/>
    </row>
    <row r="8832" spans="1:3" x14ac:dyDescent="0.3">
      <c r="A8832" s="80"/>
      <c r="B8832" s="81"/>
      <c r="C8832" s="82"/>
    </row>
    <row r="8833" spans="1:3" x14ac:dyDescent="0.3">
      <c r="A8833" s="80"/>
      <c r="B8833" s="81"/>
      <c r="C8833" s="82"/>
    </row>
    <row r="8834" spans="1:3" x14ac:dyDescent="0.3">
      <c r="A8834" s="80"/>
      <c r="B8834" s="81"/>
      <c r="C8834" s="82"/>
    </row>
    <row r="8835" spans="1:3" x14ac:dyDescent="0.3">
      <c r="A8835" s="80"/>
      <c r="B8835" s="81"/>
      <c r="C8835" s="82"/>
    </row>
    <row r="8836" spans="1:3" x14ac:dyDescent="0.3">
      <c r="A8836" s="80"/>
      <c r="B8836" s="81"/>
      <c r="C8836" s="82"/>
    </row>
    <row r="8837" spans="1:3" x14ac:dyDescent="0.3">
      <c r="A8837" s="80"/>
      <c r="B8837" s="81"/>
      <c r="C8837" s="82"/>
    </row>
    <row r="8838" spans="1:3" x14ac:dyDescent="0.3">
      <c r="A8838" s="80"/>
      <c r="B8838" s="81"/>
      <c r="C8838" s="82"/>
    </row>
    <row r="8839" spans="1:3" x14ac:dyDescent="0.3">
      <c r="A8839" s="80"/>
      <c r="B8839" s="81"/>
      <c r="C8839" s="82"/>
    </row>
    <row r="8840" spans="1:3" x14ac:dyDescent="0.3">
      <c r="A8840" s="80"/>
      <c r="B8840" s="81"/>
      <c r="C8840" s="82"/>
    </row>
    <row r="8841" spans="1:3" x14ac:dyDescent="0.3">
      <c r="A8841" s="80"/>
      <c r="B8841" s="81"/>
      <c r="C8841" s="82"/>
    </row>
    <row r="8842" spans="1:3" x14ac:dyDescent="0.3">
      <c r="A8842" s="80"/>
      <c r="B8842" s="81"/>
      <c r="C8842" s="82"/>
    </row>
    <row r="8843" spans="1:3" x14ac:dyDescent="0.3">
      <c r="A8843" s="80"/>
      <c r="B8843" s="81"/>
      <c r="C8843" s="82"/>
    </row>
    <row r="8844" spans="1:3" x14ac:dyDescent="0.3">
      <c r="A8844" s="80"/>
      <c r="B8844" s="81"/>
      <c r="C8844" s="82"/>
    </row>
    <row r="8845" spans="1:3" x14ac:dyDescent="0.3">
      <c r="A8845" s="80"/>
      <c r="B8845" s="81"/>
      <c r="C8845" s="82"/>
    </row>
    <row r="8846" spans="1:3" x14ac:dyDescent="0.3">
      <c r="A8846" s="80"/>
      <c r="B8846" s="81"/>
      <c r="C8846" s="82"/>
    </row>
    <row r="8847" spans="1:3" x14ac:dyDescent="0.3">
      <c r="A8847" s="80"/>
      <c r="B8847" s="81"/>
      <c r="C8847" s="82"/>
    </row>
    <row r="8848" spans="1:3" x14ac:dyDescent="0.3">
      <c r="A8848" s="80"/>
      <c r="B8848" s="81"/>
      <c r="C8848" s="82"/>
    </row>
    <row r="8849" spans="1:3" x14ac:dyDescent="0.3">
      <c r="A8849" s="80"/>
      <c r="B8849" s="81"/>
      <c r="C8849" s="82"/>
    </row>
    <row r="8850" spans="1:3" x14ac:dyDescent="0.3">
      <c r="A8850" s="80"/>
      <c r="B8850" s="81"/>
      <c r="C8850" s="82"/>
    </row>
    <row r="8851" spans="1:3" x14ac:dyDescent="0.3">
      <c r="A8851" s="80"/>
      <c r="B8851" s="81"/>
      <c r="C8851" s="82"/>
    </row>
    <row r="8852" spans="1:3" x14ac:dyDescent="0.3">
      <c r="A8852" s="80"/>
      <c r="B8852" s="81"/>
      <c r="C8852" s="82"/>
    </row>
    <row r="8853" spans="1:3" x14ac:dyDescent="0.3">
      <c r="A8853" s="80"/>
      <c r="B8853" s="81"/>
      <c r="C8853" s="82"/>
    </row>
    <row r="8854" spans="1:3" x14ac:dyDescent="0.3">
      <c r="A8854" s="80"/>
      <c r="B8854" s="81"/>
      <c r="C8854" s="82"/>
    </row>
    <row r="8855" spans="1:3" x14ac:dyDescent="0.3">
      <c r="A8855" s="80"/>
      <c r="B8855" s="81"/>
      <c r="C8855" s="82"/>
    </row>
    <row r="8856" spans="1:3" x14ac:dyDescent="0.3">
      <c r="A8856" s="80"/>
      <c r="B8856" s="81"/>
      <c r="C8856" s="82"/>
    </row>
    <row r="8857" spans="1:3" x14ac:dyDescent="0.3">
      <c r="A8857" s="80"/>
      <c r="B8857" s="81"/>
      <c r="C8857" s="82"/>
    </row>
    <row r="8858" spans="1:3" x14ac:dyDescent="0.3">
      <c r="A8858" s="80"/>
      <c r="B8858" s="81"/>
      <c r="C8858" s="82"/>
    </row>
    <row r="8859" spans="1:3" x14ac:dyDescent="0.3">
      <c r="A8859" s="80"/>
      <c r="B8859" s="81"/>
      <c r="C8859" s="82"/>
    </row>
    <row r="8860" spans="1:3" x14ac:dyDescent="0.3">
      <c r="A8860" s="80"/>
      <c r="B8860" s="81"/>
      <c r="C8860" s="82"/>
    </row>
    <row r="8861" spans="1:3" x14ac:dyDescent="0.3">
      <c r="A8861" s="80"/>
      <c r="B8861" s="81"/>
      <c r="C8861" s="82"/>
    </row>
    <row r="8862" spans="1:3" x14ac:dyDescent="0.3">
      <c r="A8862" s="80"/>
      <c r="B8862" s="81"/>
      <c r="C8862" s="82"/>
    </row>
    <row r="8863" spans="1:3" x14ac:dyDescent="0.3">
      <c r="A8863" s="80"/>
      <c r="B8863" s="81"/>
      <c r="C8863" s="82"/>
    </row>
    <row r="8864" spans="1:3" x14ac:dyDescent="0.3">
      <c r="A8864" s="80"/>
      <c r="B8864" s="81"/>
      <c r="C8864" s="82"/>
    </row>
    <row r="8865" spans="1:3" x14ac:dyDescent="0.3">
      <c r="A8865" s="80"/>
      <c r="B8865" s="81"/>
      <c r="C8865" s="82"/>
    </row>
    <row r="8866" spans="1:3" x14ac:dyDescent="0.3">
      <c r="A8866" s="80"/>
      <c r="B8866" s="81"/>
      <c r="C8866" s="82"/>
    </row>
    <row r="8867" spans="1:3" x14ac:dyDescent="0.3">
      <c r="A8867" s="80"/>
      <c r="B8867" s="81"/>
      <c r="C8867" s="82"/>
    </row>
    <row r="8868" spans="1:3" x14ac:dyDescent="0.3">
      <c r="A8868" s="80"/>
      <c r="B8868" s="81"/>
      <c r="C8868" s="82"/>
    </row>
    <row r="8869" spans="1:3" x14ac:dyDescent="0.3">
      <c r="A8869" s="80"/>
      <c r="B8869" s="81"/>
      <c r="C8869" s="82"/>
    </row>
    <row r="8870" spans="1:3" x14ac:dyDescent="0.3">
      <c r="A8870" s="80"/>
      <c r="B8870" s="81"/>
      <c r="C8870" s="82"/>
    </row>
    <row r="8871" spans="1:3" x14ac:dyDescent="0.3">
      <c r="A8871" s="80"/>
      <c r="B8871" s="81"/>
      <c r="C8871" s="82"/>
    </row>
    <row r="8872" spans="1:3" x14ac:dyDescent="0.3">
      <c r="A8872" s="80"/>
      <c r="B8872" s="81"/>
      <c r="C8872" s="82"/>
    </row>
    <row r="8873" spans="1:3" x14ac:dyDescent="0.3">
      <c r="A8873" s="80"/>
      <c r="B8873" s="81"/>
      <c r="C8873" s="82"/>
    </row>
    <row r="8874" spans="1:3" x14ac:dyDescent="0.3">
      <c r="A8874" s="80"/>
      <c r="B8874" s="81"/>
      <c r="C8874" s="82"/>
    </row>
    <row r="8875" spans="1:3" x14ac:dyDescent="0.3">
      <c r="A8875" s="80"/>
      <c r="B8875" s="81"/>
      <c r="C8875" s="82"/>
    </row>
    <row r="8876" spans="1:3" x14ac:dyDescent="0.3">
      <c r="A8876" s="80"/>
      <c r="B8876" s="81"/>
      <c r="C8876" s="82"/>
    </row>
    <row r="8877" spans="1:3" x14ac:dyDescent="0.3">
      <c r="A8877" s="80"/>
      <c r="B8877" s="81"/>
      <c r="C8877" s="82"/>
    </row>
    <row r="8878" spans="1:3" x14ac:dyDescent="0.3">
      <c r="A8878" s="80"/>
      <c r="B8878" s="81"/>
      <c r="C8878" s="82"/>
    </row>
    <row r="8879" spans="1:3" x14ac:dyDescent="0.3">
      <c r="A8879" s="80"/>
      <c r="B8879" s="81"/>
      <c r="C8879" s="82"/>
    </row>
    <row r="8880" spans="1:3" x14ac:dyDescent="0.3">
      <c r="A8880" s="80"/>
      <c r="B8880" s="81"/>
      <c r="C8880" s="82"/>
    </row>
    <row r="8881" spans="1:3" x14ac:dyDescent="0.3">
      <c r="A8881" s="80"/>
      <c r="B8881" s="81"/>
      <c r="C8881" s="82"/>
    </row>
    <row r="8882" spans="1:3" x14ac:dyDescent="0.3">
      <c r="A8882" s="80"/>
      <c r="B8882" s="81"/>
      <c r="C8882" s="82"/>
    </row>
    <row r="8883" spans="1:3" x14ac:dyDescent="0.3">
      <c r="A8883" s="80"/>
      <c r="B8883" s="81"/>
      <c r="C8883" s="82"/>
    </row>
    <row r="8884" spans="1:3" x14ac:dyDescent="0.3">
      <c r="A8884" s="80"/>
      <c r="B8884" s="81"/>
      <c r="C8884" s="82"/>
    </row>
    <row r="8885" spans="1:3" x14ac:dyDescent="0.3">
      <c r="A8885" s="80"/>
      <c r="B8885" s="81"/>
      <c r="C8885" s="82"/>
    </row>
    <row r="8886" spans="1:3" x14ac:dyDescent="0.3">
      <c r="A8886" s="80"/>
      <c r="B8886" s="81"/>
      <c r="C8886" s="82"/>
    </row>
    <row r="8887" spans="1:3" x14ac:dyDescent="0.3">
      <c r="A8887" s="80"/>
      <c r="B8887" s="81"/>
      <c r="C8887" s="82"/>
    </row>
    <row r="8888" spans="1:3" x14ac:dyDescent="0.3">
      <c r="A8888" s="80"/>
      <c r="B8888" s="81"/>
      <c r="C8888" s="82"/>
    </row>
    <row r="8889" spans="1:3" x14ac:dyDescent="0.3">
      <c r="A8889" s="80"/>
      <c r="B8889" s="81"/>
      <c r="C8889" s="82"/>
    </row>
    <row r="8890" spans="1:3" x14ac:dyDescent="0.3">
      <c r="A8890" s="80"/>
      <c r="B8890" s="81"/>
      <c r="C8890" s="82"/>
    </row>
    <row r="8891" spans="1:3" x14ac:dyDescent="0.3">
      <c r="A8891" s="80"/>
      <c r="B8891" s="81"/>
      <c r="C8891" s="82"/>
    </row>
    <row r="8892" spans="1:3" x14ac:dyDescent="0.3">
      <c r="A8892" s="80"/>
      <c r="B8892" s="81"/>
      <c r="C8892" s="82"/>
    </row>
    <row r="8893" spans="1:3" x14ac:dyDescent="0.3">
      <c r="A8893" s="80"/>
      <c r="B8893" s="81"/>
      <c r="C8893" s="82"/>
    </row>
    <row r="8894" spans="1:3" x14ac:dyDescent="0.3">
      <c r="A8894" s="80"/>
      <c r="B8894" s="81"/>
      <c r="C8894" s="82"/>
    </row>
    <row r="8895" spans="1:3" x14ac:dyDescent="0.3">
      <c r="A8895" s="80"/>
      <c r="B8895" s="81"/>
      <c r="C8895" s="82"/>
    </row>
    <row r="8896" spans="1:3" x14ac:dyDescent="0.3">
      <c r="A8896" s="80"/>
      <c r="B8896" s="81"/>
      <c r="C8896" s="82"/>
    </row>
    <row r="8897" spans="1:3" x14ac:dyDescent="0.3">
      <c r="A8897" s="80"/>
      <c r="B8897" s="81"/>
      <c r="C8897" s="82"/>
    </row>
    <row r="8898" spans="1:3" x14ac:dyDescent="0.3">
      <c r="A8898" s="80"/>
      <c r="B8898" s="81"/>
      <c r="C8898" s="82"/>
    </row>
    <row r="8899" spans="1:3" x14ac:dyDescent="0.3">
      <c r="A8899" s="80"/>
      <c r="B8899" s="81"/>
      <c r="C8899" s="82"/>
    </row>
    <row r="8900" spans="1:3" x14ac:dyDescent="0.3">
      <c r="A8900" s="80"/>
      <c r="B8900" s="81"/>
      <c r="C8900" s="82"/>
    </row>
    <row r="8901" spans="1:3" x14ac:dyDescent="0.3">
      <c r="A8901" s="80"/>
      <c r="B8901" s="81"/>
      <c r="C8901" s="82"/>
    </row>
    <row r="8902" spans="1:3" x14ac:dyDescent="0.3">
      <c r="A8902" s="80"/>
      <c r="B8902" s="81"/>
      <c r="C8902" s="82"/>
    </row>
    <row r="8903" spans="1:3" x14ac:dyDescent="0.3">
      <c r="A8903" s="80"/>
      <c r="B8903" s="81"/>
      <c r="C8903" s="82"/>
    </row>
    <row r="8904" spans="1:3" x14ac:dyDescent="0.3">
      <c r="A8904" s="80"/>
      <c r="B8904" s="81"/>
      <c r="C8904" s="82"/>
    </row>
    <row r="8905" spans="1:3" x14ac:dyDescent="0.3">
      <c r="A8905" s="80"/>
      <c r="B8905" s="81"/>
      <c r="C8905" s="82"/>
    </row>
    <row r="8906" spans="1:3" x14ac:dyDescent="0.3">
      <c r="A8906" s="80"/>
      <c r="B8906" s="81"/>
      <c r="C8906" s="82"/>
    </row>
    <row r="8907" spans="1:3" x14ac:dyDescent="0.3">
      <c r="A8907" s="80"/>
      <c r="B8907" s="81"/>
      <c r="C8907" s="82"/>
    </row>
    <row r="8908" spans="1:3" x14ac:dyDescent="0.3">
      <c r="A8908" s="80"/>
      <c r="B8908" s="81"/>
      <c r="C8908" s="82"/>
    </row>
    <row r="8909" spans="1:3" x14ac:dyDescent="0.3">
      <c r="A8909" s="80"/>
      <c r="B8909" s="81"/>
      <c r="C8909" s="82"/>
    </row>
    <row r="8910" spans="1:3" x14ac:dyDescent="0.3">
      <c r="A8910" s="80"/>
      <c r="B8910" s="81"/>
      <c r="C8910" s="82"/>
    </row>
    <row r="8911" spans="1:3" x14ac:dyDescent="0.3">
      <c r="A8911" s="80"/>
      <c r="B8911" s="81"/>
      <c r="C8911" s="82"/>
    </row>
    <row r="8912" spans="1:3" x14ac:dyDescent="0.3">
      <c r="A8912" s="80"/>
      <c r="B8912" s="81"/>
      <c r="C8912" s="82"/>
    </row>
    <row r="8913" spans="1:3" x14ac:dyDescent="0.3">
      <c r="A8913" s="80"/>
      <c r="B8913" s="81"/>
      <c r="C8913" s="82"/>
    </row>
    <row r="8914" spans="1:3" x14ac:dyDescent="0.3">
      <c r="A8914" s="80"/>
      <c r="B8914" s="81"/>
      <c r="C8914" s="82"/>
    </row>
    <row r="8915" spans="1:3" x14ac:dyDescent="0.3">
      <c r="A8915" s="80"/>
      <c r="B8915" s="81"/>
      <c r="C8915" s="82"/>
    </row>
    <row r="8916" spans="1:3" x14ac:dyDescent="0.3">
      <c r="A8916" s="80"/>
      <c r="B8916" s="81"/>
      <c r="C8916" s="82"/>
    </row>
    <row r="8917" spans="1:3" x14ac:dyDescent="0.3">
      <c r="A8917" s="80"/>
      <c r="B8917" s="81"/>
      <c r="C8917" s="82"/>
    </row>
    <row r="8918" spans="1:3" x14ac:dyDescent="0.3">
      <c r="A8918" s="80"/>
      <c r="B8918" s="81"/>
      <c r="C8918" s="82"/>
    </row>
    <row r="8919" spans="1:3" x14ac:dyDescent="0.3">
      <c r="A8919" s="80"/>
      <c r="B8919" s="81"/>
      <c r="C8919" s="82"/>
    </row>
    <row r="8920" spans="1:3" x14ac:dyDescent="0.3">
      <c r="A8920" s="80"/>
      <c r="B8920" s="81"/>
      <c r="C8920" s="82"/>
    </row>
    <row r="8921" spans="1:3" x14ac:dyDescent="0.3">
      <c r="A8921" s="80"/>
      <c r="B8921" s="81"/>
      <c r="C8921" s="82"/>
    </row>
    <row r="8922" spans="1:3" x14ac:dyDescent="0.3">
      <c r="A8922" s="80"/>
      <c r="B8922" s="81"/>
      <c r="C8922" s="82"/>
    </row>
    <row r="8923" spans="1:3" x14ac:dyDescent="0.3">
      <c r="A8923" s="80"/>
      <c r="B8923" s="81"/>
      <c r="C8923" s="82"/>
    </row>
    <row r="8924" spans="1:3" x14ac:dyDescent="0.3">
      <c r="A8924" s="80"/>
      <c r="B8924" s="81"/>
      <c r="C8924" s="82"/>
    </row>
    <row r="8925" spans="1:3" x14ac:dyDescent="0.3">
      <c r="A8925" s="80"/>
      <c r="B8925" s="81"/>
      <c r="C8925" s="82"/>
    </row>
    <row r="8926" spans="1:3" x14ac:dyDescent="0.3">
      <c r="A8926" s="80"/>
      <c r="B8926" s="81"/>
      <c r="C8926" s="82"/>
    </row>
    <row r="8927" spans="1:3" x14ac:dyDescent="0.3">
      <c r="A8927" s="80"/>
      <c r="B8927" s="81"/>
      <c r="C8927" s="82"/>
    </row>
    <row r="8928" spans="1:3" x14ac:dyDescent="0.3">
      <c r="A8928" s="80"/>
      <c r="B8928" s="81"/>
      <c r="C8928" s="82"/>
    </row>
    <row r="8929" spans="1:3" x14ac:dyDescent="0.3">
      <c r="A8929" s="80"/>
      <c r="B8929" s="81"/>
      <c r="C8929" s="82"/>
    </row>
    <row r="8930" spans="1:3" x14ac:dyDescent="0.3">
      <c r="A8930" s="80"/>
      <c r="B8930" s="81"/>
      <c r="C8930" s="82"/>
    </row>
    <row r="8931" spans="1:3" x14ac:dyDescent="0.3">
      <c r="A8931" s="80"/>
      <c r="B8931" s="81"/>
      <c r="C8931" s="82"/>
    </row>
    <row r="8932" spans="1:3" x14ac:dyDescent="0.3">
      <c r="A8932" s="80"/>
      <c r="B8932" s="81"/>
      <c r="C8932" s="82"/>
    </row>
    <row r="8933" spans="1:3" x14ac:dyDescent="0.3">
      <c r="A8933" s="80"/>
      <c r="B8933" s="81"/>
      <c r="C8933" s="82"/>
    </row>
    <row r="8934" spans="1:3" x14ac:dyDescent="0.3">
      <c r="A8934" s="80"/>
      <c r="B8934" s="81"/>
      <c r="C8934" s="82"/>
    </row>
    <row r="8935" spans="1:3" x14ac:dyDescent="0.3">
      <c r="A8935" s="80"/>
      <c r="B8935" s="81"/>
      <c r="C8935" s="82"/>
    </row>
    <row r="8936" spans="1:3" x14ac:dyDescent="0.3">
      <c r="A8936" s="80"/>
      <c r="B8936" s="81"/>
      <c r="C8936" s="82"/>
    </row>
    <row r="8937" spans="1:3" x14ac:dyDescent="0.3">
      <c r="A8937" s="80"/>
      <c r="B8937" s="81"/>
      <c r="C8937" s="82"/>
    </row>
    <row r="8938" spans="1:3" x14ac:dyDescent="0.3">
      <c r="A8938" s="80"/>
      <c r="B8938" s="81"/>
      <c r="C8938" s="82"/>
    </row>
    <row r="8939" spans="1:3" x14ac:dyDescent="0.3">
      <c r="A8939" s="80"/>
      <c r="B8939" s="81"/>
      <c r="C8939" s="82"/>
    </row>
    <row r="8940" spans="1:3" x14ac:dyDescent="0.3">
      <c r="A8940" s="80"/>
      <c r="B8940" s="81"/>
      <c r="C8940" s="82"/>
    </row>
    <row r="8941" spans="1:3" x14ac:dyDescent="0.3">
      <c r="A8941" s="80"/>
      <c r="B8941" s="81"/>
      <c r="C8941" s="82"/>
    </row>
    <row r="8942" spans="1:3" x14ac:dyDescent="0.3">
      <c r="A8942" s="80"/>
      <c r="B8942" s="81"/>
      <c r="C8942" s="82"/>
    </row>
    <row r="8943" spans="1:3" x14ac:dyDescent="0.3">
      <c r="A8943" s="80"/>
      <c r="B8943" s="81"/>
      <c r="C8943" s="82"/>
    </row>
    <row r="8944" spans="1:3" x14ac:dyDescent="0.3">
      <c r="A8944" s="80"/>
      <c r="B8944" s="81"/>
      <c r="C8944" s="82"/>
    </row>
    <row r="8945" spans="1:3" x14ac:dyDescent="0.3">
      <c r="A8945" s="80"/>
      <c r="B8945" s="81"/>
      <c r="C8945" s="82"/>
    </row>
    <row r="8946" spans="1:3" x14ac:dyDescent="0.3">
      <c r="A8946" s="80"/>
      <c r="B8946" s="81"/>
      <c r="C8946" s="82"/>
    </row>
    <row r="8947" spans="1:3" x14ac:dyDescent="0.3">
      <c r="A8947" s="80"/>
      <c r="B8947" s="81"/>
      <c r="C8947" s="82"/>
    </row>
    <row r="8948" spans="1:3" x14ac:dyDescent="0.3">
      <c r="A8948" s="80"/>
      <c r="B8948" s="81"/>
      <c r="C8948" s="82"/>
    </row>
    <row r="8949" spans="1:3" x14ac:dyDescent="0.3">
      <c r="A8949" s="80"/>
      <c r="B8949" s="81"/>
      <c r="C8949" s="82"/>
    </row>
    <row r="8950" spans="1:3" x14ac:dyDescent="0.3">
      <c r="A8950" s="80"/>
      <c r="B8950" s="81"/>
      <c r="C8950" s="82"/>
    </row>
    <row r="8951" spans="1:3" x14ac:dyDescent="0.3">
      <c r="A8951" s="80"/>
      <c r="B8951" s="81"/>
      <c r="C8951" s="82"/>
    </row>
    <row r="8952" spans="1:3" x14ac:dyDescent="0.3">
      <c r="A8952" s="80"/>
      <c r="B8952" s="81"/>
      <c r="C8952" s="82"/>
    </row>
    <row r="8953" spans="1:3" x14ac:dyDescent="0.3">
      <c r="A8953" s="80"/>
      <c r="B8953" s="81"/>
      <c r="C8953" s="82"/>
    </row>
    <row r="8954" spans="1:3" x14ac:dyDescent="0.3">
      <c r="A8954" s="80"/>
      <c r="B8954" s="81"/>
      <c r="C8954" s="82"/>
    </row>
    <row r="8955" spans="1:3" x14ac:dyDescent="0.3">
      <c r="A8955" s="80"/>
      <c r="B8955" s="81"/>
      <c r="C8955" s="82"/>
    </row>
    <row r="8956" spans="1:3" x14ac:dyDescent="0.3">
      <c r="A8956" s="80"/>
      <c r="B8956" s="81"/>
      <c r="C8956" s="82"/>
    </row>
    <row r="8957" spans="1:3" x14ac:dyDescent="0.3">
      <c r="A8957" s="80"/>
      <c r="B8957" s="81"/>
      <c r="C8957" s="82"/>
    </row>
    <row r="8958" spans="1:3" x14ac:dyDescent="0.3">
      <c r="A8958" s="80"/>
      <c r="B8958" s="81"/>
      <c r="C8958" s="82"/>
    </row>
    <row r="8959" spans="1:3" x14ac:dyDescent="0.3">
      <c r="A8959" s="80"/>
      <c r="B8959" s="81"/>
      <c r="C8959" s="82"/>
    </row>
    <row r="8960" spans="1:3" x14ac:dyDescent="0.3">
      <c r="A8960" s="80"/>
      <c r="B8960" s="81"/>
      <c r="C8960" s="82"/>
    </row>
    <row r="8961" spans="1:3" x14ac:dyDescent="0.3">
      <c r="A8961" s="80"/>
      <c r="B8961" s="81"/>
      <c r="C8961" s="82"/>
    </row>
    <row r="8962" spans="1:3" x14ac:dyDescent="0.3">
      <c r="A8962" s="80"/>
      <c r="B8962" s="81"/>
      <c r="C8962" s="82"/>
    </row>
    <row r="8963" spans="1:3" x14ac:dyDescent="0.3">
      <c r="A8963" s="80"/>
      <c r="B8963" s="81"/>
      <c r="C8963" s="82"/>
    </row>
    <row r="8964" spans="1:3" x14ac:dyDescent="0.3">
      <c r="A8964" s="80"/>
      <c r="B8964" s="81"/>
      <c r="C8964" s="82"/>
    </row>
    <row r="8965" spans="1:3" x14ac:dyDescent="0.3">
      <c r="A8965" s="80"/>
      <c r="B8965" s="81"/>
      <c r="C8965" s="82"/>
    </row>
    <row r="8966" spans="1:3" x14ac:dyDescent="0.3">
      <c r="A8966" s="80"/>
      <c r="B8966" s="81"/>
      <c r="C8966" s="82"/>
    </row>
    <row r="8967" spans="1:3" x14ac:dyDescent="0.3">
      <c r="A8967" s="80"/>
      <c r="B8967" s="81"/>
      <c r="C8967" s="82"/>
    </row>
    <row r="8968" spans="1:3" x14ac:dyDescent="0.3">
      <c r="A8968" s="80"/>
      <c r="B8968" s="81"/>
      <c r="C8968" s="82"/>
    </row>
    <row r="8969" spans="1:3" x14ac:dyDescent="0.3">
      <c r="A8969" s="80"/>
      <c r="B8969" s="81"/>
      <c r="C8969" s="82"/>
    </row>
    <row r="8970" spans="1:3" x14ac:dyDescent="0.3">
      <c r="A8970" s="80"/>
      <c r="B8970" s="81"/>
      <c r="C8970" s="82"/>
    </row>
    <row r="8971" spans="1:3" x14ac:dyDescent="0.3">
      <c r="A8971" s="80"/>
      <c r="B8971" s="81"/>
      <c r="C8971" s="82"/>
    </row>
    <row r="8972" spans="1:3" x14ac:dyDescent="0.3">
      <c r="A8972" s="80"/>
      <c r="B8972" s="81"/>
      <c r="C8972" s="82"/>
    </row>
    <row r="8973" spans="1:3" x14ac:dyDescent="0.3">
      <c r="A8973" s="80"/>
      <c r="B8973" s="81"/>
      <c r="C8973" s="82"/>
    </row>
    <row r="8974" spans="1:3" x14ac:dyDescent="0.3">
      <c r="A8974" s="80"/>
      <c r="B8974" s="81"/>
      <c r="C8974" s="82"/>
    </row>
    <row r="8975" spans="1:3" x14ac:dyDescent="0.3">
      <c r="A8975" s="80"/>
      <c r="B8975" s="81"/>
      <c r="C8975" s="82"/>
    </row>
    <row r="8976" spans="1:3" x14ac:dyDescent="0.3">
      <c r="A8976" s="80"/>
      <c r="B8976" s="81"/>
      <c r="C8976" s="82"/>
    </row>
    <row r="8977" spans="1:3" x14ac:dyDescent="0.3">
      <c r="A8977" s="80"/>
      <c r="B8977" s="81"/>
      <c r="C8977" s="82"/>
    </row>
    <row r="8978" spans="1:3" x14ac:dyDescent="0.3">
      <c r="A8978" s="80"/>
      <c r="B8978" s="81"/>
      <c r="C8978" s="82"/>
    </row>
    <row r="8979" spans="1:3" x14ac:dyDescent="0.3">
      <c r="A8979" s="80"/>
      <c r="B8979" s="81"/>
      <c r="C8979" s="82"/>
    </row>
    <row r="8980" spans="1:3" x14ac:dyDescent="0.3">
      <c r="A8980" s="80"/>
      <c r="B8980" s="81"/>
      <c r="C8980" s="82"/>
    </row>
    <row r="8981" spans="1:3" x14ac:dyDescent="0.3">
      <c r="A8981" s="80"/>
      <c r="B8981" s="81"/>
      <c r="C8981" s="82"/>
    </row>
    <row r="8982" spans="1:3" x14ac:dyDescent="0.3">
      <c r="A8982" s="80"/>
      <c r="B8982" s="81"/>
      <c r="C8982" s="82"/>
    </row>
    <row r="8983" spans="1:3" x14ac:dyDescent="0.3">
      <c r="A8983" s="80"/>
      <c r="B8983" s="81"/>
      <c r="C8983" s="82"/>
    </row>
    <row r="8984" spans="1:3" x14ac:dyDescent="0.3">
      <c r="A8984" s="80"/>
      <c r="B8984" s="81"/>
      <c r="C8984" s="82"/>
    </row>
    <row r="8985" spans="1:3" x14ac:dyDescent="0.3">
      <c r="A8985" s="80"/>
      <c r="B8985" s="81"/>
      <c r="C8985" s="82"/>
    </row>
    <row r="8986" spans="1:3" x14ac:dyDescent="0.3">
      <c r="A8986" s="80"/>
      <c r="B8986" s="81"/>
      <c r="C8986" s="82"/>
    </row>
    <row r="8987" spans="1:3" x14ac:dyDescent="0.3">
      <c r="A8987" s="80"/>
      <c r="B8987" s="81"/>
      <c r="C8987" s="82"/>
    </row>
    <row r="8988" spans="1:3" x14ac:dyDescent="0.3">
      <c r="A8988" s="80"/>
      <c r="B8988" s="81"/>
      <c r="C8988" s="82"/>
    </row>
    <row r="8989" spans="1:3" x14ac:dyDescent="0.3">
      <c r="A8989" s="80"/>
      <c r="B8989" s="81"/>
      <c r="C8989" s="82"/>
    </row>
    <row r="8990" spans="1:3" x14ac:dyDescent="0.3">
      <c r="A8990" s="80"/>
      <c r="B8990" s="81"/>
      <c r="C8990" s="82"/>
    </row>
    <row r="8991" spans="1:3" x14ac:dyDescent="0.3">
      <c r="A8991" s="80"/>
      <c r="B8991" s="81"/>
      <c r="C8991" s="82"/>
    </row>
    <row r="8992" spans="1:3" x14ac:dyDescent="0.3">
      <c r="A8992" s="80"/>
      <c r="B8992" s="81"/>
      <c r="C8992" s="82"/>
    </row>
    <row r="8993" spans="1:3" x14ac:dyDescent="0.3">
      <c r="A8993" s="80"/>
      <c r="B8993" s="81"/>
      <c r="C8993" s="82"/>
    </row>
    <row r="8994" spans="1:3" x14ac:dyDescent="0.3">
      <c r="A8994" s="80"/>
      <c r="B8994" s="81"/>
      <c r="C8994" s="82"/>
    </row>
    <row r="8995" spans="1:3" x14ac:dyDescent="0.3">
      <c r="A8995" s="80"/>
      <c r="B8995" s="81"/>
      <c r="C8995" s="82"/>
    </row>
    <row r="8996" spans="1:3" x14ac:dyDescent="0.3">
      <c r="A8996" s="80"/>
      <c r="B8996" s="81"/>
      <c r="C8996" s="82"/>
    </row>
    <row r="8997" spans="1:3" x14ac:dyDescent="0.3">
      <c r="A8997" s="80"/>
      <c r="B8997" s="81"/>
      <c r="C8997" s="82"/>
    </row>
    <row r="8998" spans="1:3" x14ac:dyDescent="0.3">
      <c r="A8998" s="80"/>
      <c r="B8998" s="81"/>
      <c r="C8998" s="82"/>
    </row>
    <row r="8999" spans="1:3" x14ac:dyDescent="0.3">
      <c r="A8999" s="80"/>
      <c r="B8999" s="81"/>
      <c r="C8999" s="82"/>
    </row>
    <row r="9000" spans="1:3" x14ac:dyDescent="0.3">
      <c r="A9000" s="80"/>
      <c r="B9000" s="81"/>
      <c r="C9000" s="82"/>
    </row>
    <row r="9001" spans="1:3" x14ac:dyDescent="0.3">
      <c r="A9001" s="80"/>
      <c r="B9001" s="81"/>
      <c r="C9001" s="82"/>
    </row>
    <row r="9002" spans="1:3" x14ac:dyDescent="0.3">
      <c r="A9002" s="80"/>
      <c r="B9002" s="81"/>
      <c r="C9002" s="82"/>
    </row>
    <row r="9003" spans="1:3" x14ac:dyDescent="0.3">
      <c r="A9003" s="80"/>
      <c r="B9003" s="81"/>
      <c r="C9003" s="82"/>
    </row>
    <row r="9004" spans="1:3" x14ac:dyDescent="0.3">
      <c r="A9004" s="80"/>
      <c r="B9004" s="81"/>
      <c r="C9004" s="82"/>
    </row>
    <row r="9005" spans="1:3" x14ac:dyDescent="0.3">
      <c r="A9005" s="80"/>
      <c r="B9005" s="81"/>
      <c r="C9005" s="82"/>
    </row>
    <row r="9006" spans="1:3" x14ac:dyDescent="0.3">
      <c r="A9006" s="80"/>
      <c r="B9006" s="81"/>
      <c r="C9006" s="82"/>
    </row>
    <row r="9007" spans="1:3" x14ac:dyDescent="0.3">
      <c r="A9007" s="80"/>
      <c r="B9007" s="81"/>
      <c r="C9007" s="82"/>
    </row>
    <row r="9008" spans="1:3" x14ac:dyDescent="0.3">
      <c r="A9008" s="80"/>
      <c r="B9008" s="81"/>
      <c r="C9008" s="82"/>
    </row>
    <row r="9009" spans="1:3" x14ac:dyDescent="0.3">
      <c r="A9009" s="80"/>
      <c r="B9009" s="81"/>
      <c r="C9009" s="82"/>
    </row>
    <row r="9010" spans="1:3" x14ac:dyDescent="0.3">
      <c r="A9010" s="80"/>
      <c r="B9010" s="81"/>
      <c r="C9010" s="82"/>
    </row>
    <row r="9011" spans="1:3" x14ac:dyDescent="0.3">
      <c r="A9011" s="80"/>
      <c r="B9011" s="81"/>
      <c r="C9011" s="82"/>
    </row>
    <row r="9012" spans="1:3" x14ac:dyDescent="0.3">
      <c r="A9012" s="80"/>
      <c r="B9012" s="81"/>
      <c r="C9012" s="82"/>
    </row>
    <row r="9013" spans="1:3" x14ac:dyDescent="0.3">
      <c r="A9013" s="80"/>
      <c r="B9013" s="81"/>
      <c r="C9013" s="82"/>
    </row>
    <row r="9014" spans="1:3" x14ac:dyDescent="0.3">
      <c r="A9014" s="80"/>
      <c r="B9014" s="81"/>
      <c r="C9014" s="82"/>
    </row>
    <row r="9015" spans="1:3" x14ac:dyDescent="0.3">
      <c r="A9015" s="80"/>
      <c r="B9015" s="81"/>
      <c r="C9015" s="82"/>
    </row>
    <row r="9016" spans="1:3" x14ac:dyDescent="0.3">
      <c r="A9016" s="80"/>
      <c r="B9016" s="81"/>
      <c r="C9016" s="82"/>
    </row>
    <row r="9017" spans="1:3" x14ac:dyDescent="0.3">
      <c r="A9017" s="80"/>
      <c r="B9017" s="81"/>
      <c r="C9017" s="82"/>
    </row>
    <row r="9018" spans="1:3" x14ac:dyDescent="0.3">
      <c r="A9018" s="80"/>
      <c r="B9018" s="81"/>
      <c r="C9018" s="82"/>
    </row>
    <row r="9019" spans="1:3" x14ac:dyDescent="0.3">
      <c r="A9019" s="80"/>
      <c r="B9019" s="81"/>
      <c r="C9019" s="82"/>
    </row>
    <row r="9020" spans="1:3" x14ac:dyDescent="0.3">
      <c r="A9020" s="80"/>
      <c r="B9020" s="81"/>
      <c r="C9020" s="82"/>
    </row>
    <row r="9021" spans="1:3" x14ac:dyDescent="0.3">
      <c r="A9021" s="80"/>
      <c r="B9021" s="81"/>
      <c r="C9021" s="82"/>
    </row>
    <row r="9022" spans="1:3" x14ac:dyDescent="0.3">
      <c r="A9022" s="80"/>
      <c r="B9022" s="81"/>
      <c r="C9022" s="82"/>
    </row>
    <row r="9023" spans="1:3" x14ac:dyDescent="0.3">
      <c r="A9023" s="80"/>
      <c r="B9023" s="81"/>
      <c r="C9023" s="82"/>
    </row>
    <row r="9024" spans="1:3" x14ac:dyDescent="0.3">
      <c r="A9024" s="80"/>
      <c r="B9024" s="81"/>
      <c r="C9024" s="82"/>
    </row>
    <row r="9025" spans="1:3" x14ac:dyDescent="0.3">
      <c r="A9025" s="80"/>
      <c r="B9025" s="81"/>
      <c r="C9025" s="82"/>
    </row>
    <row r="9026" spans="1:3" x14ac:dyDescent="0.3">
      <c r="A9026" s="80"/>
      <c r="B9026" s="81"/>
      <c r="C9026" s="82"/>
    </row>
    <row r="9027" spans="1:3" x14ac:dyDescent="0.3">
      <c r="A9027" s="80"/>
      <c r="B9027" s="81"/>
      <c r="C9027" s="82"/>
    </row>
    <row r="9028" spans="1:3" x14ac:dyDescent="0.3">
      <c r="A9028" s="80"/>
      <c r="B9028" s="81"/>
      <c r="C9028" s="82"/>
    </row>
    <row r="9029" spans="1:3" x14ac:dyDescent="0.3">
      <c r="A9029" s="80"/>
      <c r="B9029" s="81"/>
      <c r="C9029" s="82"/>
    </row>
    <row r="9030" spans="1:3" x14ac:dyDescent="0.3">
      <c r="A9030" s="80"/>
      <c r="B9030" s="81"/>
      <c r="C9030" s="82"/>
    </row>
    <row r="9031" spans="1:3" x14ac:dyDescent="0.3">
      <c r="A9031" s="80"/>
      <c r="B9031" s="81"/>
      <c r="C9031" s="82"/>
    </row>
    <row r="9032" spans="1:3" x14ac:dyDescent="0.3">
      <c r="A9032" s="80"/>
      <c r="B9032" s="81"/>
      <c r="C9032" s="82"/>
    </row>
    <row r="9033" spans="1:3" x14ac:dyDescent="0.3">
      <c r="A9033" s="80"/>
      <c r="B9033" s="81"/>
      <c r="C9033" s="82"/>
    </row>
    <row r="9034" spans="1:3" x14ac:dyDescent="0.3">
      <c r="A9034" s="80"/>
      <c r="B9034" s="81"/>
      <c r="C9034" s="82"/>
    </row>
    <row r="9035" spans="1:3" x14ac:dyDescent="0.3">
      <c r="A9035" s="80"/>
      <c r="B9035" s="81"/>
      <c r="C9035" s="82"/>
    </row>
    <row r="9036" spans="1:3" x14ac:dyDescent="0.3">
      <c r="A9036" s="80"/>
      <c r="B9036" s="81"/>
      <c r="C9036" s="82"/>
    </row>
    <row r="9037" spans="1:3" x14ac:dyDescent="0.3">
      <c r="A9037" s="80"/>
      <c r="B9037" s="81"/>
      <c r="C9037" s="82"/>
    </row>
    <row r="9038" spans="1:3" x14ac:dyDescent="0.3">
      <c r="A9038" s="80"/>
      <c r="B9038" s="81"/>
      <c r="C9038" s="82"/>
    </row>
    <row r="9039" spans="1:3" x14ac:dyDescent="0.3">
      <c r="A9039" s="80"/>
      <c r="B9039" s="81"/>
      <c r="C9039" s="82"/>
    </row>
    <row r="9040" spans="1:3" x14ac:dyDescent="0.3">
      <c r="A9040" s="80"/>
      <c r="B9040" s="81"/>
      <c r="C9040" s="82"/>
    </row>
    <row r="9041" spans="1:3" x14ac:dyDescent="0.3">
      <c r="A9041" s="80"/>
      <c r="B9041" s="81"/>
      <c r="C9041" s="82"/>
    </row>
    <row r="9042" spans="1:3" x14ac:dyDescent="0.3">
      <c r="A9042" s="80"/>
      <c r="B9042" s="81"/>
      <c r="C9042" s="82"/>
    </row>
    <row r="9043" spans="1:3" x14ac:dyDescent="0.3">
      <c r="A9043" s="80"/>
      <c r="B9043" s="81"/>
      <c r="C9043" s="82"/>
    </row>
    <row r="9044" spans="1:3" x14ac:dyDescent="0.3">
      <c r="A9044" s="80"/>
      <c r="B9044" s="81"/>
      <c r="C9044" s="82"/>
    </row>
    <row r="9045" spans="1:3" x14ac:dyDescent="0.3">
      <c r="A9045" s="80"/>
      <c r="B9045" s="81"/>
      <c r="C9045" s="82"/>
    </row>
    <row r="9046" spans="1:3" x14ac:dyDescent="0.3">
      <c r="A9046" s="80"/>
      <c r="B9046" s="81"/>
      <c r="C9046" s="82"/>
    </row>
    <row r="9047" spans="1:3" x14ac:dyDescent="0.3">
      <c r="A9047" s="80"/>
      <c r="B9047" s="81"/>
      <c r="C9047" s="82"/>
    </row>
    <row r="9048" spans="1:3" x14ac:dyDescent="0.3">
      <c r="A9048" s="80"/>
      <c r="B9048" s="81"/>
      <c r="C9048" s="82"/>
    </row>
    <row r="9049" spans="1:3" x14ac:dyDescent="0.3">
      <c r="A9049" s="80"/>
      <c r="B9049" s="81"/>
      <c r="C9049" s="82"/>
    </row>
    <row r="9050" spans="1:3" x14ac:dyDescent="0.3">
      <c r="A9050" s="80"/>
      <c r="B9050" s="81"/>
      <c r="C9050" s="82"/>
    </row>
    <row r="9051" spans="1:3" x14ac:dyDescent="0.3">
      <c r="A9051" s="80"/>
      <c r="B9051" s="81"/>
      <c r="C9051" s="82"/>
    </row>
    <row r="9052" spans="1:3" x14ac:dyDescent="0.3">
      <c r="A9052" s="80"/>
      <c r="B9052" s="81"/>
      <c r="C9052" s="82"/>
    </row>
    <row r="9053" spans="1:3" x14ac:dyDescent="0.3">
      <c r="A9053" s="80"/>
      <c r="B9053" s="81"/>
      <c r="C9053" s="82"/>
    </row>
    <row r="9054" spans="1:3" x14ac:dyDescent="0.3">
      <c r="A9054" s="80"/>
      <c r="B9054" s="81"/>
      <c r="C9054" s="82"/>
    </row>
    <row r="9055" spans="1:3" x14ac:dyDescent="0.3">
      <c r="A9055" s="80"/>
      <c r="B9055" s="81"/>
      <c r="C9055" s="82"/>
    </row>
    <row r="9056" spans="1:3" x14ac:dyDescent="0.3">
      <c r="A9056" s="80"/>
      <c r="B9056" s="81"/>
      <c r="C9056" s="82"/>
    </row>
    <row r="9057" spans="1:3" x14ac:dyDescent="0.3">
      <c r="A9057" s="80"/>
      <c r="B9057" s="81"/>
      <c r="C9057" s="82"/>
    </row>
    <row r="9058" spans="1:3" x14ac:dyDescent="0.3">
      <c r="A9058" s="80"/>
      <c r="B9058" s="81"/>
      <c r="C9058" s="82"/>
    </row>
    <row r="9059" spans="1:3" x14ac:dyDescent="0.3">
      <c r="A9059" s="80"/>
      <c r="B9059" s="81"/>
      <c r="C9059" s="82"/>
    </row>
    <row r="9060" spans="1:3" x14ac:dyDescent="0.3">
      <c r="A9060" s="80"/>
      <c r="B9060" s="81"/>
      <c r="C9060" s="82"/>
    </row>
    <row r="9061" spans="1:3" x14ac:dyDescent="0.3">
      <c r="A9061" s="80"/>
      <c r="B9061" s="81"/>
      <c r="C9061" s="82"/>
    </row>
    <row r="9062" spans="1:3" x14ac:dyDescent="0.3">
      <c r="A9062" s="80"/>
      <c r="B9062" s="81"/>
      <c r="C9062" s="82"/>
    </row>
    <row r="9063" spans="1:3" x14ac:dyDescent="0.3">
      <c r="A9063" s="80"/>
      <c r="B9063" s="81"/>
      <c r="C9063" s="82"/>
    </row>
    <row r="9064" spans="1:3" x14ac:dyDescent="0.3">
      <c r="A9064" s="80"/>
      <c r="B9064" s="81"/>
      <c r="C9064" s="82"/>
    </row>
    <row r="9065" spans="1:3" x14ac:dyDescent="0.3">
      <c r="A9065" s="80"/>
      <c r="B9065" s="81"/>
      <c r="C9065" s="82"/>
    </row>
    <row r="9066" spans="1:3" x14ac:dyDescent="0.3">
      <c r="A9066" s="80"/>
      <c r="B9066" s="81"/>
      <c r="C9066" s="82"/>
    </row>
    <row r="9067" spans="1:3" x14ac:dyDescent="0.3">
      <c r="A9067" s="80"/>
      <c r="B9067" s="81"/>
      <c r="C9067" s="82"/>
    </row>
    <row r="9068" spans="1:3" x14ac:dyDescent="0.3">
      <c r="A9068" s="80"/>
      <c r="B9068" s="81"/>
      <c r="C9068" s="82"/>
    </row>
    <row r="9069" spans="1:3" x14ac:dyDescent="0.3">
      <c r="A9069" s="80"/>
      <c r="B9069" s="81"/>
      <c r="C9069" s="82"/>
    </row>
    <row r="9070" spans="1:3" x14ac:dyDescent="0.3">
      <c r="A9070" s="80"/>
      <c r="B9070" s="81"/>
      <c r="C9070" s="82"/>
    </row>
    <row r="9071" spans="1:3" x14ac:dyDescent="0.3">
      <c r="A9071" s="80"/>
      <c r="B9071" s="81"/>
      <c r="C9071" s="82"/>
    </row>
    <row r="9072" spans="1:3" x14ac:dyDescent="0.3">
      <c r="A9072" s="80"/>
      <c r="B9072" s="81"/>
      <c r="C9072" s="82"/>
    </row>
    <row r="9073" spans="1:3" x14ac:dyDescent="0.3">
      <c r="A9073" s="80"/>
      <c r="B9073" s="81"/>
      <c r="C9073" s="82"/>
    </row>
    <row r="9074" spans="1:3" x14ac:dyDescent="0.3">
      <c r="A9074" s="80"/>
      <c r="B9074" s="81"/>
      <c r="C9074" s="82"/>
    </row>
    <row r="9075" spans="1:3" x14ac:dyDescent="0.3">
      <c r="A9075" s="80"/>
      <c r="B9075" s="81"/>
      <c r="C9075" s="82"/>
    </row>
    <row r="9076" spans="1:3" x14ac:dyDescent="0.3">
      <c r="A9076" s="80"/>
      <c r="B9076" s="81"/>
      <c r="C9076" s="82"/>
    </row>
    <row r="9077" spans="1:3" x14ac:dyDescent="0.3">
      <c r="A9077" s="80"/>
      <c r="B9077" s="81"/>
      <c r="C9077" s="82"/>
    </row>
    <row r="9078" spans="1:3" x14ac:dyDescent="0.3">
      <c r="A9078" s="80"/>
      <c r="B9078" s="81"/>
      <c r="C9078" s="82"/>
    </row>
    <row r="9079" spans="1:3" x14ac:dyDescent="0.3">
      <c r="A9079" s="80"/>
      <c r="B9079" s="81"/>
      <c r="C9079" s="82"/>
    </row>
    <row r="9080" spans="1:3" x14ac:dyDescent="0.3">
      <c r="A9080" s="80"/>
      <c r="B9080" s="81"/>
      <c r="C9080" s="82"/>
    </row>
    <row r="9081" spans="1:3" x14ac:dyDescent="0.3">
      <c r="A9081" s="80"/>
      <c r="B9081" s="81"/>
      <c r="C9081" s="82"/>
    </row>
    <row r="9082" spans="1:3" x14ac:dyDescent="0.3">
      <c r="A9082" s="80"/>
      <c r="B9082" s="81"/>
      <c r="C9082" s="82"/>
    </row>
    <row r="9083" spans="1:3" x14ac:dyDescent="0.3">
      <c r="A9083" s="80"/>
      <c r="B9083" s="81"/>
      <c r="C9083" s="82"/>
    </row>
    <row r="9084" spans="1:3" x14ac:dyDescent="0.3">
      <c r="A9084" s="80"/>
      <c r="B9084" s="81"/>
      <c r="C9084" s="82"/>
    </row>
    <row r="9085" spans="1:3" x14ac:dyDescent="0.3">
      <c r="A9085" s="80"/>
      <c r="B9085" s="81"/>
      <c r="C9085" s="82"/>
    </row>
    <row r="9086" spans="1:3" x14ac:dyDescent="0.3">
      <c r="A9086" s="80"/>
      <c r="B9086" s="81"/>
      <c r="C9086" s="82"/>
    </row>
    <row r="9087" spans="1:3" x14ac:dyDescent="0.3">
      <c r="A9087" s="80"/>
      <c r="B9087" s="81"/>
      <c r="C9087" s="82"/>
    </row>
    <row r="9088" spans="1:3" x14ac:dyDescent="0.3">
      <c r="A9088" s="80"/>
      <c r="B9088" s="81"/>
      <c r="C9088" s="82"/>
    </row>
    <row r="9089" spans="1:3" x14ac:dyDescent="0.3">
      <c r="A9089" s="80"/>
      <c r="B9089" s="81"/>
      <c r="C9089" s="82"/>
    </row>
    <row r="9090" spans="1:3" x14ac:dyDescent="0.3">
      <c r="A9090" s="80"/>
      <c r="B9090" s="81"/>
      <c r="C9090" s="82"/>
    </row>
    <row r="9091" spans="1:3" x14ac:dyDescent="0.3">
      <c r="A9091" s="80"/>
      <c r="B9091" s="81"/>
      <c r="C9091" s="82"/>
    </row>
    <row r="9092" spans="1:3" x14ac:dyDescent="0.3">
      <c r="A9092" s="80"/>
      <c r="B9092" s="81"/>
      <c r="C9092" s="82"/>
    </row>
    <row r="9093" spans="1:3" x14ac:dyDescent="0.3">
      <c r="A9093" s="80"/>
      <c r="B9093" s="81"/>
      <c r="C9093" s="82"/>
    </row>
    <row r="9094" spans="1:3" x14ac:dyDescent="0.3">
      <c r="A9094" s="80"/>
      <c r="B9094" s="81"/>
      <c r="C9094" s="82"/>
    </row>
    <row r="9095" spans="1:3" x14ac:dyDescent="0.3">
      <c r="A9095" s="80"/>
      <c r="B9095" s="81"/>
      <c r="C9095" s="82"/>
    </row>
    <row r="9096" spans="1:3" x14ac:dyDescent="0.3">
      <c r="A9096" s="80"/>
      <c r="B9096" s="81"/>
      <c r="C9096" s="82"/>
    </row>
    <row r="9097" spans="1:3" x14ac:dyDescent="0.3">
      <c r="A9097" s="80"/>
      <c r="B9097" s="81"/>
      <c r="C9097" s="82"/>
    </row>
    <row r="9098" spans="1:3" x14ac:dyDescent="0.3">
      <c r="A9098" s="80"/>
      <c r="B9098" s="81"/>
      <c r="C9098" s="82"/>
    </row>
    <row r="9099" spans="1:3" x14ac:dyDescent="0.3">
      <c r="A9099" s="80"/>
      <c r="B9099" s="81"/>
      <c r="C9099" s="82"/>
    </row>
    <row r="9100" spans="1:3" x14ac:dyDescent="0.3">
      <c r="A9100" s="80"/>
      <c r="B9100" s="81"/>
      <c r="C9100" s="82"/>
    </row>
    <row r="9101" spans="1:3" x14ac:dyDescent="0.3">
      <c r="A9101" s="80"/>
      <c r="B9101" s="81"/>
      <c r="C9101" s="82"/>
    </row>
    <row r="9102" spans="1:3" x14ac:dyDescent="0.3">
      <c r="A9102" s="80"/>
      <c r="B9102" s="81"/>
      <c r="C9102" s="82"/>
    </row>
    <row r="9103" spans="1:3" x14ac:dyDescent="0.3">
      <c r="A9103" s="80"/>
      <c r="B9103" s="81"/>
      <c r="C9103" s="82"/>
    </row>
    <row r="9104" spans="1:3" x14ac:dyDescent="0.3">
      <c r="A9104" s="80"/>
      <c r="B9104" s="81"/>
      <c r="C9104" s="82"/>
    </row>
    <row r="9105" spans="1:3" x14ac:dyDescent="0.3">
      <c r="A9105" s="80"/>
      <c r="B9105" s="81"/>
      <c r="C9105" s="82"/>
    </row>
    <row r="9106" spans="1:3" x14ac:dyDescent="0.3">
      <c r="A9106" s="80"/>
      <c r="B9106" s="81"/>
      <c r="C9106" s="82"/>
    </row>
    <row r="9107" spans="1:3" x14ac:dyDescent="0.3">
      <c r="A9107" s="80"/>
      <c r="B9107" s="81"/>
      <c r="C9107" s="82"/>
    </row>
    <row r="9108" spans="1:3" x14ac:dyDescent="0.3">
      <c r="A9108" s="80"/>
      <c r="B9108" s="81"/>
      <c r="C9108" s="82"/>
    </row>
    <row r="9109" spans="1:3" x14ac:dyDescent="0.3">
      <c r="A9109" s="80"/>
      <c r="B9109" s="81"/>
      <c r="C9109" s="82"/>
    </row>
    <row r="9110" spans="1:3" x14ac:dyDescent="0.3">
      <c r="A9110" s="80"/>
      <c r="B9110" s="81"/>
      <c r="C9110" s="82"/>
    </row>
    <row r="9111" spans="1:3" x14ac:dyDescent="0.3">
      <c r="A9111" s="80"/>
      <c r="B9111" s="81"/>
      <c r="C9111" s="82"/>
    </row>
    <row r="9112" spans="1:3" x14ac:dyDescent="0.3">
      <c r="A9112" s="80"/>
      <c r="B9112" s="81"/>
      <c r="C9112" s="82"/>
    </row>
    <row r="9113" spans="1:3" x14ac:dyDescent="0.3">
      <c r="A9113" s="80"/>
      <c r="B9113" s="81"/>
      <c r="C9113" s="82"/>
    </row>
    <row r="9114" spans="1:3" x14ac:dyDescent="0.3">
      <c r="A9114" s="80"/>
      <c r="B9114" s="81"/>
      <c r="C9114" s="82"/>
    </row>
    <row r="9115" spans="1:3" x14ac:dyDescent="0.3">
      <c r="A9115" s="80"/>
      <c r="B9115" s="81"/>
      <c r="C9115" s="82"/>
    </row>
    <row r="9116" spans="1:3" x14ac:dyDescent="0.3">
      <c r="A9116" s="80"/>
      <c r="B9116" s="81"/>
      <c r="C9116" s="82"/>
    </row>
    <row r="9117" spans="1:3" x14ac:dyDescent="0.3">
      <c r="A9117" s="80"/>
      <c r="B9117" s="81"/>
      <c r="C9117" s="82"/>
    </row>
    <row r="9118" spans="1:3" x14ac:dyDescent="0.3">
      <c r="A9118" s="80"/>
      <c r="B9118" s="81"/>
      <c r="C9118" s="82"/>
    </row>
    <row r="9119" spans="1:3" x14ac:dyDescent="0.3">
      <c r="A9119" s="80"/>
      <c r="B9119" s="81"/>
      <c r="C9119" s="82"/>
    </row>
    <row r="9120" spans="1:3" x14ac:dyDescent="0.3">
      <c r="A9120" s="80"/>
      <c r="B9120" s="81"/>
      <c r="C9120" s="82"/>
    </row>
    <row r="9121" spans="1:3" x14ac:dyDescent="0.3">
      <c r="A9121" s="80"/>
      <c r="B9121" s="81"/>
      <c r="C9121" s="82"/>
    </row>
    <row r="9122" spans="1:3" x14ac:dyDescent="0.3">
      <c r="A9122" s="80"/>
      <c r="B9122" s="81"/>
      <c r="C9122" s="82"/>
    </row>
    <row r="9123" spans="1:3" x14ac:dyDescent="0.3">
      <c r="A9123" s="80"/>
      <c r="B9123" s="81"/>
      <c r="C9123" s="82"/>
    </row>
    <row r="9124" spans="1:3" x14ac:dyDescent="0.3">
      <c r="A9124" s="80"/>
      <c r="B9124" s="81"/>
      <c r="C9124" s="82"/>
    </row>
    <row r="9125" spans="1:3" x14ac:dyDescent="0.3">
      <c r="A9125" s="80"/>
      <c r="B9125" s="81"/>
      <c r="C9125" s="82"/>
    </row>
    <row r="9126" spans="1:3" x14ac:dyDescent="0.3">
      <c r="A9126" s="80"/>
      <c r="B9126" s="81"/>
      <c r="C9126" s="82"/>
    </row>
    <row r="9127" spans="1:3" x14ac:dyDescent="0.3">
      <c r="A9127" s="80"/>
      <c r="B9127" s="81"/>
      <c r="C9127" s="82"/>
    </row>
    <row r="9128" spans="1:3" x14ac:dyDescent="0.3">
      <c r="A9128" s="80"/>
      <c r="B9128" s="81"/>
      <c r="C9128" s="82"/>
    </row>
    <row r="9129" spans="1:3" x14ac:dyDescent="0.3">
      <c r="A9129" s="80"/>
      <c r="B9129" s="81"/>
      <c r="C9129" s="82"/>
    </row>
    <row r="9130" spans="1:3" x14ac:dyDescent="0.3">
      <c r="A9130" s="80"/>
      <c r="B9130" s="81"/>
      <c r="C9130" s="82"/>
    </row>
    <row r="9131" spans="1:3" x14ac:dyDescent="0.3">
      <c r="A9131" s="80"/>
      <c r="B9131" s="81"/>
      <c r="C9131" s="82"/>
    </row>
    <row r="9132" spans="1:3" x14ac:dyDescent="0.3">
      <c r="A9132" s="80"/>
      <c r="B9132" s="81"/>
      <c r="C9132" s="82"/>
    </row>
    <row r="9133" spans="1:3" x14ac:dyDescent="0.3">
      <c r="A9133" s="80"/>
      <c r="B9133" s="81"/>
      <c r="C9133" s="82"/>
    </row>
    <row r="9134" spans="1:3" x14ac:dyDescent="0.3">
      <c r="A9134" s="80"/>
      <c r="B9134" s="81"/>
      <c r="C9134" s="82"/>
    </row>
    <row r="9135" spans="1:3" x14ac:dyDescent="0.3">
      <c r="A9135" s="80"/>
      <c r="B9135" s="81"/>
      <c r="C9135" s="82"/>
    </row>
    <row r="9136" spans="1:3" x14ac:dyDescent="0.3">
      <c r="A9136" s="80"/>
      <c r="B9136" s="81"/>
      <c r="C9136" s="82"/>
    </row>
    <row r="9137" spans="1:3" x14ac:dyDescent="0.3">
      <c r="A9137" s="80"/>
      <c r="B9137" s="81"/>
      <c r="C9137" s="82"/>
    </row>
    <row r="9138" spans="1:3" x14ac:dyDescent="0.3">
      <c r="A9138" s="80"/>
      <c r="B9138" s="81"/>
      <c r="C9138" s="82"/>
    </row>
    <row r="9139" spans="1:3" x14ac:dyDescent="0.3">
      <c r="A9139" s="80"/>
      <c r="B9139" s="81"/>
      <c r="C9139" s="82"/>
    </row>
    <row r="9140" spans="1:3" x14ac:dyDescent="0.3">
      <c r="A9140" s="80"/>
      <c r="B9140" s="81"/>
      <c r="C9140" s="82"/>
    </row>
    <row r="9141" spans="1:3" x14ac:dyDescent="0.3">
      <c r="A9141" s="80"/>
      <c r="B9141" s="81"/>
      <c r="C9141" s="82"/>
    </row>
    <row r="9142" spans="1:3" x14ac:dyDescent="0.3">
      <c r="A9142" s="80"/>
      <c r="B9142" s="81"/>
      <c r="C9142" s="82"/>
    </row>
    <row r="9143" spans="1:3" x14ac:dyDescent="0.3">
      <c r="A9143" s="80"/>
      <c r="B9143" s="81"/>
      <c r="C9143" s="82"/>
    </row>
    <row r="9144" spans="1:3" x14ac:dyDescent="0.3">
      <c r="A9144" s="80"/>
      <c r="B9144" s="81"/>
      <c r="C9144" s="82"/>
    </row>
    <row r="9145" spans="1:3" x14ac:dyDescent="0.3">
      <c r="A9145" s="80"/>
      <c r="B9145" s="81"/>
      <c r="C9145" s="82"/>
    </row>
    <row r="9146" spans="1:3" x14ac:dyDescent="0.3">
      <c r="A9146" s="80"/>
      <c r="B9146" s="81"/>
      <c r="C9146" s="82"/>
    </row>
    <row r="9147" spans="1:3" x14ac:dyDescent="0.3">
      <c r="A9147" s="80"/>
      <c r="B9147" s="81"/>
      <c r="C9147" s="82"/>
    </row>
    <row r="9148" spans="1:3" x14ac:dyDescent="0.3">
      <c r="A9148" s="80"/>
      <c r="B9148" s="81"/>
      <c r="C9148" s="82"/>
    </row>
    <row r="9149" spans="1:3" x14ac:dyDescent="0.3">
      <c r="A9149" s="80"/>
      <c r="B9149" s="81"/>
      <c r="C9149" s="82"/>
    </row>
    <row r="9150" spans="1:3" x14ac:dyDescent="0.3">
      <c r="A9150" s="80"/>
      <c r="B9150" s="81"/>
      <c r="C9150" s="82"/>
    </row>
    <row r="9151" spans="1:3" x14ac:dyDescent="0.3">
      <c r="A9151" s="80"/>
      <c r="B9151" s="81"/>
      <c r="C9151" s="82"/>
    </row>
    <row r="9152" spans="1:3" x14ac:dyDescent="0.3">
      <c r="A9152" s="80"/>
      <c r="B9152" s="81"/>
      <c r="C9152" s="82"/>
    </row>
    <row r="9153" spans="1:3" x14ac:dyDescent="0.3">
      <c r="A9153" s="80"/>
      <c r="B9153" s="81"/>
      <c r="C9153" s="82"/>
    </row>
    <row r="9154" spans="1:3" x14ac:dyDescent="0.3">
      <c r="A9154" s="80"/>
      <c r="B9154" s="81"/>
      <c r="C9154" s="82"/>
    </row>
    <row r="9155" spans="1:3" x14ac:dyDescent="0.3">
      <c r="A9155" s="80"/>
      <c r="B9155" s="81"/>
      <c r="C9155" s="82"/>
    </row>
    <row r="9156" spans="1:3" x14ac:dyDescent="0.3">
      <c r="A9156" s="80"/>
      <c r="B9156" s="81"/>
      <c r="C9156" s="82"/>
    </row>
    <row r="9157" spans="1:3" x14ac:dyDescent="0.3">
      <c r="A9157" s="80"/>
      <c r="B9157" s="81"/>
      <c r="C9157" s="82"/>
    </row>
    <row r="9158" spans="1:3" x14ac:dyDescent="0.3">
      <c r="A9158" s="80"/>
      <c r="B9158" s="81"/>
      <c r="C9158" s="82"/>
    </row>
    <row r="9159" spans="1:3" x14ac:dyDescent="0.3">
      <c r="A9159" s="80"/>
      <c r="B9159" s="81"/>
      <c r="C9159" s="82"/>
    </row>
    <row r="9160" spans="1:3" x14ac:dyDescent="0.3">
      <c r="A9160" s="80"/>
      <c r="B9160" s="81"/>
      <c r="C9160" s="82"/>
    </row>
    <row r="9161" spans="1:3" x14ac:dyDescent="0.3">
      <c r="A9161" s="80"/>
      <c r="B9161" s="81"/>
      <c r="C9161" s="82"/>
    </row>
    <row r="9162" spans="1:3" x14ac:dyDescent="0.3">
      <c r="A9162" s="80"/>
      <c r="B9162" s="81"/>
      <c r="C9162" s="82"/>
    </row>
    <row r="9163" spans="1:3" x14ac:dyDescent="0.3">
      <c r="A9163" s="80"/>
      <c r="B9163" s="81"/>
      <c r="C9163" s="82"/>
    </row>
    <row r="9164" spans="1:3" x14ac:dyDescent="0.3">
      <c r="A9164" s="80"/>
      <c r="B9164" s="81"/>
      <c r="C9164" s="82"/>
    </row>
    <row r="9165" spans="1:3" x14ac:dyDescent="0.3">
      <c r="A9165" s="80"/>
      <c r="B9165" s="81"/>
      <c r="C9165" s="82"/>
    </row>
    <row r="9166" spans="1:3" x14ac:dyDescent="0.3">
      <c r="A9166" s="80"/>
      <c r="B9166" s="81"/>
      <c r="C9166" s="82"/>
    </row>
    <row r="9167" spans="1:3" x14ac:dyDescent="0.3">
      <c r="A9167" s="80"/>
      <c r="B9167" s="81"/>
      <c r="C9167" s="82"/>
    </row>
    <row r="9168" spans="1:3" x14ac:dyDescent="0.3">
      <c r="A9168" s="80"/>
      <c r="B9168" s="81"/>
      <c r="C9168" s="82"/>
    </row>
    <row r="9169" spans="1:3" x14ac:dyDescent="0.3">
      <c r="A9169" s="80"/>
      <c r="B9169" s="81"/>
      <c r="C9169" s="82"/>
    </row>
    <row r="9170" spans="1:3" x14ac:dyDescent="0.3">
      <c r="A9170" s="80"/>
      <c r="B9170" s="81"/>
      <c r="C9170" s="82"/>
    </row>
    <row r="9171" spans="1:3" x14ac:dyDescent="0.3">
      <c r="A9171" s="80"/>
      <c r="B9171" s="81"/>
      <c r="C9171" s="82"/>
    </row>
    <row r="9172" spans="1:3" x14ac:dyDescent="0.3">
      <c r="A9172" s="80"/>
      <c r="B9172" s="81"/>
      <c r="C9172" s="82"/>
    </row>
    <row r="9173" spans="1:3" x14ac:dyDescent="0.3">
      <c r="A9173" s="80"/>
      <c r="B9173" s="81"/>
      <c r="C9173" s="82"/>
    </row>
    <row r="9174" spans="1:3" x14ac:dyDescent="0.3">
      <c r="A9174" s="80"/>
      <c r="B9174" s="81"/>
      <c r="C9174" s="82"/>
    </row>
    <row r="9175" spans="1:3" x14ac:dyDescent="0.3">
      <c r="A9175" s="80"/>
      <c r="B9175" s="81"/>
      <c r="C9175" s="82"/>
    </row>
    <row r="9176" spans="1:3" x14ac:dyDescent="0.3">
      <c r="A9176" s="80"/>
      <c r="B9176" s="81"/>
      <c r="C9176" s="82"/>
    </row>
    <row r="9177" spans="1:3" x14ac:dyDescent="0.3">
      <c r="A9177" s="80"/>
      <c r="B9177" s="81"/>
      <c r="C9177" s="82"/>
    </row>
    <row r="9178" spans="1:3" x14ac:dyDescent="0.3">
      <c r="A9178" s="80"/>
      <c r="B9178" s="81"/>
      <c r="C9178" s="82"/>
    </row>
    <row r="9179" spans="1:3" x14ac:dyDescent="0.3">
      <c r="A9179" s="80"/>
      <c r="B9179" s="81"/>
      <c r="C9179" s="82"/>
    </row>
    <row r="9180" spans="1:3" x14ac:dyDescent="0.3">
      <c r="A9180" s="80"/>
      <c r="B9180" s="81"/>
      <c r="C9180" s="82"/>
    </row>
    <row r="9181" spans="1:3" x14ac:dyDescent="0.3">
      <c r="A9181" s="80"/>
      <c r="B9181" s="81"/>
      <c r="C9181" s="82"/>
    </row>
    <row r="9182" spans="1:3" x14ac:dyDescent="0.3">
      <c r="A9182" s="80"/>
      <c r="B9182" s="81"/>
      <c r="C9182" s="82"/>
    </row>
    <row r="9183" spans="1:3" x14ac:dyDescent="0.3">
      <c r="A9183" s="80"/>
      <c r="B9183" s="81"/>
      <c r="C9183" s="82"/>
    </row>
    <row r="9184" spans="1:3" x14ac:dyDescent="0.3">
      <c r="A9184" s="80"/>
      <c r="B9184" s="81"/>
      <c r="C9184" s="82"/>
    </row>
    <row r="9185" spans="1:3" x14ac:dyDescent="0.3">
      <c r="A9185" s="80"/>
      <c r="B9185" s="81"/>
      <c r="C9185" s="82"/>
    </row>
    <row r="9186" spans="1:3" x14ac:dyDescent="0.3">
      <c r="A9186" s="80"/>
      <c r="B9186" s="81"/>
      <c r="C9186" s="82"/>
    </row>
    <row r="9187" spans="1:3" x14ac:dyDescent="0.3">
      <c r="A9187" s="80"/>
      <c r="B9187" s="81"/>
      <c r="C9187" s="82"/>
    </row>
    <row r="9188" spans="1:3" x14ac:dyDescent="0.3">
      <c r="A9188" s="80"/>
      <c r="B9188" s="81"/>
      <c r="C9188" s="82"/>
    </row>
    <row r="9189" spans="1:3" x14ac:dyDescent="0.3">
      <c r="A9189" s="80"/>
      <c r="B9189" s="81"/>
      <c r="C9189" s="82"/>
    </row>
    <row r="9190" spans="1:3" x14ac:dyDescent="0.3">
      <c r="A9190" s="80"/>
      <c r="B9190" s="81"/>
      <c r="C9190" s="82"/>
    </row>
    <row r="9191" spans="1:3" x14ac:dyDescent="0.3">
      <c r="A9191" s="80"/>
      <c r="B9191" s="81"/>
      <c r="C9191" s="82"/>
    </row>
    <row r="9192" spans="1:3" x14ac:dyDescent="0.3">
      <c r="A9192" s="80"/>
      <c r="B9192" s="81"/>
      <c r="C9192" s="82"/>
    </row>
    <row r="9193" spans="1:3" x14ac:dyDescent="0.3">
      <c r="A9193" s="80"/>
      <c r="B9193" s="81"/>
      <c r="C9193" s="82"/>
    </row>
    <row r="9194" spans="1:3" x14ac:dyDescent="0.3">
      <c r="A9194" s="80"/>
      <c r="B9194" s="81"/>
      <c r="C9194" s="82"/>
    </row>
    <row r="9195" spans="1:3" x14ac:dyDescent="0.3">
      <c r="A9195" s="80"/>
      <c r="B9195" s="81"/>
      <c r="C9195" s="82"/>
    </row>
    <row r="9196" spans="1:3" x14ac:dyDescent="0.3">
      <c r="A9196" s="80"/>
      <c r="B9196" s="81"/>
      <c r="C9196" s="82"/>
    </row>
    <row r="9197" spans="1:3" x14ac:dyDescent="0.3">
      <c r="A9197" s="80"/>
      <c r="B9197" s="81"/>
      <c r="C9197" s="82"/>
    </row>
    <row r="9198" spans="1:3" x14ac:dyDescent="0.3">
      <c r="A9198" s="80"/>
      <c r="B9198" s="81"/>
      <c r="C9198" s="82"/>
    </row>
    <row r="9199" spans="1:3" x14ac:dyDescent="0.3">
      <c r="A9199" s="80"/>
      <c r="B9199" s="81"/>
      <c r="C9199" s="82"/>
    </row>
    <row r="9200" spans="1:3" x14ac:dyDescent="0.3">
      <c r="A9200" s="80"/>
      <c r="B9200" s="81"/>
      <c r="C9200" s="82"/>
    </row>
    <row r="9201" spans="1:3" x14ac:dyDescent="0.3">
      <c r="A9201" s="80"/>
      <c r="B9201" s="81"/>
      <c r="C9201" s="82"/>
    </row>
    <row r="9202" spans="1:3" x14ac:dyDescent="0.3">
      <c r="A9202" s="80"/>
      <c r="B9202" s="81"/>
      <c r="C9202" s="82"/>
    </row>
    <row r="9203" spans="1:3" x14ac:dyDescent="0.3">
      <c r="A9203" s="80"/>
      <c r="B9203" s="81"/>
      <c r="C9203" s="82"/>
    </row>
    <row r="9204" spans="1:3" x14ac:dyDescent="0.3">
      <c r="A9204" s="80"/>
      <c r="B9204" s="81"/>
      <c r="C9204" s="82"/>
    </row>
    <row r="9205" spans="1:3" x14ac:dyDescent="0.3">
      <c r="A9205" s="80"/>
      <c r="B9205" s="81"/>
      <c r="C9205" s="82"/>
    </row>
    <row r="9206" spans="1:3" x14ac:dyDescent="0.3">
      <c r="A9206" s="80"/>
      <c r="B9206" s="81"/>
      <c r="C9206" s="82"/>
    </row>
    <row r="9207" spans="1:3" x14ac:dyDescent="0.3">
      <c r="A9207" s="80"/>
      <c r="B9207" s="81"/>
      <c r="C9207" s="82"/>
    </row>
    <row r="9208" spans="1:3" x14ac:dyDescent="0.3">
      <c r="A9208" s="80"/>
      <c r="B9208" s="81"/>
      <c r="C9208" s="82"/>
    </row>
    <row r="9209" spans="1:3" x14ac:dyDescent="0.3">
      <c r="A9209" s="80"/>
      <c r="B9209" s="81"/>
      <c r="C9209" s="82"/>
    </row>
    <row r="9210" spans="1:3" x14ac:dyDescent="0.3">
      <c r="A9210" s="80"/>
      <c r="B9210" s="81"/>
      <c r="C9210" s="82"/>
    </row>
    <row r="9211" spans="1:3" x14ac:dyDescent="0.3">
      <c r="A9211" s="80"/>
      <c r="B9211" s="81"/>
      <c r="C9211" s="82"/>
    </row>
    <row r="9212" spans="1:3" x14ac:dyDescent="0.3">
      <c r="A9212" s="80"/>
      <c r="B9212" s="81"/>
      <c r="C9212" s="82"/>
    </row>
    <row r="9213" spans="1:3" x14ac:dyDescent="0.3">
      <c r="A9213" s="80"/>
      <c r="B9213" s="81"/>
      <c r="C9213" s="82"/>
    </row>
    <row r="9214" spans="1:3" x14ac:dyDescent="0.3">
      <c r="A9214" s="80"/>
      <c r="B9214" s="81"/>
      <c r="C9214" s="82"/>
    </row>
    <row r="9215" spans="1:3" x14ac:dyDescent="0.3">
      <c r="A9215" s="80"/>
      <c r="B9215" s="81"/>
      <c r="C9215" s="82"/>
    </row>
    <row r="9216" spans="1:3" x14ac:dyDescent="0.3">
      <c r="A9216" s="80"/>
      <c r="B9216" s="81"/>
      <c r="C9216" s="82"/>
    </row>
    <row r="9217" spans="1:3" x14ac:dyDescent="0.3">
      <c r="A9217" s="80"/>
      <c r="B9217" s="81"/>
      <c r="C9217" s="82"/>
    </row>
    <row r="9218" spans="1:3" x14ac:dyDescent="0.3">
      <c r="A9218" s="80"/>
      <c r="B9218" s="81"/>
      <c r="C9218" s="82"/>
    </row>
    <row r="9219" spans="1:3" x14ac:dyDescent="0.3">
      <c r="A9219" s="80"/>
      <c r="B9219" s="81"/>
      <c r="C9219" s="82"/>
    </row>
    <row r="9220" spans="1:3" x14ac:dyDescent="0.3">
      <c r="A9220" s="80"/>
      <c r="B9220" s="81"/>
      <c r="C9220" s="82"/>
    </row>
    <row r="9221" spans="1:3" x14ac:dyDescent="0.3">
      <c r="A9221" s="80"/>
      <c r="B9221" s="81"/>
      <c r="C9221" s="82"/>
    </row>
    <row r="9222" spans="1:3" x14ac:dyDescent="0.3">
      <c r="A9222" s="80"/>
      <c r="B9222" s="81"/>
      <c r="C9222" s="82"/>
    </row>
    <row r="9223" spans="1:3" x14ac:dyDescent="0.3">
      <c r="A9223" s="80"/>
      <c r="B9223" s="81"/>
      <c r="C9223" s="82"/>
    </row>
    <row r="9224" spans="1:3" x14ac:dyDescent="0.3">
      <c r="A9224" s="80"/>
      <c r="B9224" s="81"/>
      <c r="C9224" s="82"/>
    </row>
    <row r="9225" spans="1:3" x14ac:dyDescent="0.3">
      <c r="A9225" s="80"/>
      <c r="B9225" s="81"/>
      <c r="C9225" s="82"/>
    </row>
    <row r="9226" spans="1:3" x14ac:dyDescent="0.3">
      <c r="A9226" s="80"/>
      <c r="B9226" s="81"/>
      <c r="C9226" s="82"/>
    </row>
    <row r="9227" spans="1:3" x14ac:dyDescent="0.3">
      <c r="A9227" s="80"/>
      <c r="B9227" s="81"/>
      <c r="C9227" s="82"/>
    </row>
    <row r="9228" spans="1:3" x14ac:dyDescent="0.3">
      <c r="A9228" s="80"/>
      <c r="B9228" s="81"/>
      <c r="C9228" s="82"/>
    </row>
    <row r="9229" spans="1:3" x14ac:dyDescent="0.3">
      <c r="A9229" s="80"/>
      <c r="B9229" s="81"/>
      <c r="C9229" s="82"/>
    </row>
    <row r="9230" spans="1:3" x14ac:dyDescent="0.3">
      <c r="A9230" s="80"/>
      <c r="B9230" s="81"/>
      <c r="C9230" s="82"/>
    </row>
    <row r="9231" spans="1:3" x14ac:dyDescent="0.3">
      <c r="A9231" s="80"/>
      <c r="B9231" s="81"/>
      <c r="C9231" s="82"/>
    </row>
    <row r="9232" spans="1:3" x14ac:dyDescent="0.3">
      <c r="A9232" s="80"/>
      <c r="B9232" s="81"/>
      <c r="C9232" s="82"/>
    </row>
    <row r="9233" spans="1:3" x14ac:dyDescent="0.3">
      <c r="A9233" s="80"/>
      <c r="B9233" s="81"/>
      <c r="C9233" s="82"/>
    </row>
    <row r="9234" spans="1:3" x14ac:dyDescent="0.3">
      <c r="A9234" s="80"/>
      <c r="B9234" s="81"/>
      <c r="C9234" s="82"/>
    </row>
    <row r="9235" spans="1:3" x14ac:dyDescent="0.3">
      <c r="A9235" s="80"/>
      <c r="B9235" s="81"/>
      <c r="C9235" s="82"/>
    </row>
    <row r="9236" spans="1:3" x14ac:dyDescent="0.3">
      <c r="A9236" s="80"/>
      <c r="B9236" s="81"/>
      <c r="C9236" s="82"/>
    </row>
    <row r="9237" spans="1:3" x14ac:dyDescent="0.3">
      <c r="A9237" s="80"/>
      <c r="B9237" s="81"/>
      <c r="C9237" s="82"/>
    </row>
    <row r="9238" spans="1:3" x14ac:dyDescent="0.3">
      <c r="A9238" s="80"/>
      <c r="B9238" s="81"/>
      <c r="C9238" s="82"/>
    </row>
    <row r="9239" spans="1:3" x14ac:dyDescent="0.3">
      <c r="A9239" s="80"/>
      <c r="B9239" s="81"/>
      <c r="C9239" s="82"/>
    </row>
    <row r="9240" spans="1:3" x14ac:dyDescent="0.3">
      <c r="A9240" s="80"/>
      <c r="B9240" s="81"/>
      <c r="C9240" s="82"/>
    </row>
    <row r="9241" spans="1:3" x14ac:dyDescent="0.3">
      <c r="A9241" s="80"/>
      <c r="B9241" s="81"/>
      <c r="C9241" s="82"/>
    </row>
    <row r="9242" spans="1:3" x14ac:dyDescent="0.3">
      <c r="A9242" s="80"/>
      <c r="B9242" s="81"/>
      <c r="C9242" s="82"/>
    </row>
    <row r="9243" spans="1:3" x14ac:dyDescent="0.3">
      <c r="A9243" s="80"/>
      <c r="B9243" s="81"/>
      <c r="C9243" s="82"/>
    </row>
    <row r="9244" spans="1:3" x14ac:dyDescent="0.3">
      <c r="A9244" s="80"/>
      <c r="B9244" s="81"/>
      <c r="C9244" s="82"/>
    </row>
    <row r="9245" spans="1:3" x14ac:dyDescent="0.3">
      <c r="A9245" s="80"/>
      <c r="B9245" s="81"/>
      <c r="C9245" s="82"/>
    </row>
    <row r="9246" spans="1:3" x14ac:dyDescent="0.3">
      <c r="A9246" s="80"/>
      <c r="B9246" s="81"/>
      <c r="C9246" s="82"/>
    </row>
    <row r="9247" spans="1:3" x14ac:dyDescent="0.3">
      <c r="A9247" s="80"/>
      <c r="B9247" s="81"/>
      <c r="C9247" s="82"/>
    </row>
    <row r="9248" spans="1:3" x14ac:dyDescent="0.3">
      <c r="A9248" s="80"/>
      <c r="B9248" s="81"/>
      <c r="C9248" s="82"/>
    </row>
    <row r="9249" spans="1:3" x14ac:dyDescent="0.3">
      <c r="A9249" s="80"/>
      <c r="B9249" s="81"/>
      <c r="C9249" s="82"/>
    </row>
    <row r="9250" spans="1:3" x14ac:dyDescent="0.3">
      <c r="A9250" s="80"/>
      <c r="B9250" s="81"/>
      <c r="C9250" s="82"/>
    </row>
    <row r="9251" spans="1:3" x14ac:dyDescent="0.3">
      <c r="A9251" s="80"/>
      <c r="B9251" s="81"/>
      <c r="C9251" s="82"/>
    </row>
    <row r="9252" spans="1:3" x14ac:dyDescent="0.3">
      <c r="A9252" s="80"/>
      <c r="B9252" s="81"/>
      <c r="C9252" s="82"/>
    </row>
    <row r="9253" spans="1:3" x14ac:dyDescent="0.3">
      <c r="A9253" s="80"/>
      <c r="B9253" s="81"/>
      <c r="C9253" s="82"/>
    </row>
    <row r="9254" spans="1:3" x14ac:dyDescent="0.3">
      <c r="A9254" s="80"/>
      <c r="B9254" s="81"/>
      <c r="C9254" s="82"/>
    </row>
    <row r="9255" spans="1:3" x14ac:dyDescent="0.3">
      <c r="A9255" s="80"/>
      <c r="B9255" s="81"/>
      <c r="C9255" s="82"/>
    </row>
    <row r="9256" spans="1:3" x14ac:dyDescent="0.3">
      <c r="A9256" s="80"/>
      <c r="B9256" s="81"/>
      <c r="C9256" s="82"/>
    </row>
    <row r="9257" spans="1:3" x14ac:dyDescent="0.3">
      <c r="A9257" s="80"/>
      <c r="B9257" s="81"/>
      <c r="C9257" s="82"/>
    </row>
    <row r="9258" spans="1:3" x14ac:dyDescent="0.3">
      <c r="A9258" s="80"/>
      <c r="B9258" s="81"/>
      <c r="C9258" s="82"/>
    </row>
    <row r="9259" spans="1:3" x14ac:dyDescent="0.3">
      <c r="A9259" s="80"/>
      <c r="B9259" s="81"/>
      <c r="C9259" s="82"/>
    </row>
    <row r="9260" spans="1:3" x14ac:dyDescent="0.3">
      <c r="A9260" s="80"/>
      <c r="B9260" s="81"/>
      <c r="C9260" s="82"/>
    </row>
    <row r="9261" spans="1:3" x14ac:dyDescent="0.3">
      <c r="A9261" s="80"/>
      <c r="B9261" s="81"/>
      <c r="C9261" s="82"/>
    </row>
    <row r="9262" spans="1:3" x14ac:dyDescent="0.3">
      <c r="A9262" s="80"/>
      <c r="B9262" s="81"/>
      <c r="C9262" s="82"/>
    </row>
    <row r="9263" spans="1:3" x14ac:dyDescent="0.3">
      <c r="A9263" s="80"/>
      <c r="B9263" s="81"/>
      <c r="C9263" s="82"/>
    </row>
    <row r="9264" spans="1:3" x14ac:dyDescent="0.3">
      <c r="A9264" s="80"/>
      <c r="B9264" s="81"/>
      <c r="C9264" s="82"/>
    </row>
    <row r="9265" spans="1:3" x14ac:dyDescent="0.3">
      <c r="A9265" s="80"/>
      <c r="B9265" s="81"/>
      <c r="C9265" s="82"/>
    </row>
    <row r="9266" spans="1:3" x14ac:dyDescent="0.3">
      <c r="A9266" s="80"/>
      <c r="B9266" s="81"/>
      <c r="C9266" s="82"/>
    </row>
    <row r="9267" spans="1:3" x14ac:dyDescent="0.3">
      <c r="A9267" s="80"/>
      <c r="B9267" s="81"/>
      <c r="C9267" s="82"/>
    </row>
    <row r="9268" spans="1:3" x14ac:dyDescent="0.3">
      <c r="A9268" s="80"/>
      <c r="B9268" s="81"/>
      <c r="C9268" s="82"/>
    </row>
    <row r="9269" spans="1:3" x14ac:dyDescent="0.3">
      <c r="A9269" s="80"/>
      <c r="B9269" s="81"/>
      <c r="C9269" s="82"/>
    </row>
    <row r="9270" spans="1:3" x14ac:dyDescent="0.3">
      <c r="A9270" s="80"/>
      <c r="B9270" s="81"/>
      <c r="C9270" s="82"/>
    </row>
    <row r="9271" spans="1:3" x14ac:dyDescent="0.3">
      <c r="A9271" s="80"/>
      <c r="B9271" s="81"/>
      <c r="C9271" s="82"/>
    </row>
    <row r="9272" spans="1:3" x14ac:dyDescent="0.3">
      <c r="A9272" s="80"/>
      <c r="B9272" s="81"/>
      <c r="C9272" s="82"/>
    </row>
    <row r="9273" spans="1:3" x14ac:dyDescent="0.3">
      <c r="A9273" s="80"/>
      <c r="B9273" s="81"/>
      <c r="C9273" s="82"/>
    </row>
    <row r="9274" spans="1:3" x14ac:dyDescent="0.3">
      <c r="A9274" s="80"/>
      <c r="B9274" s="81"/>
      <c r="C9274" s="82"/>
    </row>
    <row r="9275" spans="1:3" x14ac:dyDescent="0.3">
      <c r="A9275" s="80"/>
      <c r="B9275" s="81"/>
      <c r="C9275" s="82"/>
    </row>
    <row r="9276" spans="1:3" x14ac:dyDescent="0.3">
      <c r="A9276" s="80"/>
      <c r="B9276" s="81"/>
      <c r="C9276" s="82"/>
    </row>
    <row r="9277" spans="1:3" x14ac:dyDescent="0.3">
      <c r="A9277" s="80"/>
      <c r="B9277" s="81"/>
      <c r="C9277" s="82"/>
    </row>
    <row r="9278" spans="1:3" x14ac:dyDescent="0.3">
      <c r="A9278" s="80"/>
      <c r="B9278" s="81"/>
      <c r="C9278" s="82"/>
    </row>
    <row r="9279" spans="1:3" x14ac:dyDescent="0.3">
      <c r="A9279" s="80"/>
      <c r="B9279" s="81"/>
      <c r="C9279" s="82"/>
    </row>
    <row r="9280" spans="1:3" x14ac:dyDescent="0.3">
      <c r="A9280" s="80"/>
      <c r="B9280" s="81"/>
      <c r="C9280" s="82"/>
    </row>
    <row r="9281" spans="1:3" x14ac:dyDescent="0.3">
      <c r="A9281" s="80"/>
      <c r="B9281" s="81"/>
      <c r="C9281" s="82"/>
    </row>
    <row r="9282" spans="1:3" x14ac:dyDescent="0.3">
      <c r="A9282" s="80"/>
      <c r="B9282" s="81"/>
      <c r="C9282" s="82"/>
    </row>
    <row r="9283" spans="1:3" x14ac:dyDescent="0.3">
      <c r="A9283" s="80"/>
      <c r="B9283" s="81"/>
      <c r="C9283" s="82"/>
    </row>
    <row r="9284" spans="1:3" x14ac:dyDescent="0.3">
      <c r="A9284" s="80"/>
      <c r="B9284" s="81"/>
      <c r="C9284" s="82"/>
    </row>
    <row r="9285" spans="1:3" x14ac:dyDescent="0.3">
      <c r="A9285" s="80"/>
      <c r="B9285" s="81"/>
      <c r="C9285" s="82"/>
    </row>
    <row r="9286" spans="1:3" x14ac:dyDescent="0.3">
      <c r="A9286" s="80"/>
      <c r="B9286" s="81"/>
      <c r="C9286" s="82"/>
    </row>
    <row r="9287" spans="1:3" x14ac:dyDescent="0.3">
      <c r="A9287" s="80"/>
      <c r="B9287" s="81"/>
      <c r="C9287" s="82"/>
    </row>
    <row r="9288" spans="1:3" x14ac:dyDescent="0.3">
      <c r="A9288" s="80"/>
      <c r="B9288" s="81"/>
      <c r="C9288" s="82"/>
    </row>
    <row r="9289" spans="1:3" x14ac:dyDescent="0.3">
      <c r="A9289" s="80"/>
      <c r="B9289" s="81"/>
      <c r="C9289" s="82"/>
    </row>
    <row r="9290" spans="1:3" x14ac:dyDescent="0.3">
      <c r="A9290" s="80"/>
      <c r="B9290" s="81"/>
      <c r="C9290" s="82"/>
    </row>
    <row r="9291" spans="1:3" x14ac:dyDescent="0.3">
      <c r="A9291" s="80"/>
      <c r="B9291" s="81"/>
      <c r="C9291" s="82"/>
    </row>
    <row r="9292" spans="1:3" x14ac:dyDescent="0.3">
      <c r="A9292" s="80"/>
      <c r="B9292" s="81"/>
      <c r="C9292" s="82"/>
    </row>
    <row r="9293" spans="1:3" x14ac:dyDescent="0.3">
      <c r="A9293" s="80"/>
      <c r="B9293" s="81"/>
      <c r="C9293" s="82"/>
    </row>
    <row r="9294" spans="1:3" x14ac:dyDescent="0.3">
      <c r="A9294" s="80"/>
      <c r="B9294" s="81"/>
      <c r="C9294" s="82"/>
    </row>
    <row r="9295" spans="1:3" x14ac:dyDescent="0.3">
      <c r="A9295" s="80"/>
      <c r="B9295" s="81"/>
      <c r="C9295" s="82"/>
    </row>
    <row r="9296" spans="1:3" x14ac:dyDescent="0.3">
      <c r="A9296" s="80"/>
      <c r="B9296" s="81"/>
      <c r="C9296" s="82"/>
    </row>
    <row r="9297" spans="1:3" x14ac:dyDescent="0.3">
      <c r="A9297" s="80"/>
      <c r="B9297" s="81"/>
      <c r="C9297" s="82"/>
    </row>
    <row r="9298" spans="1:3" x14ac:dyDescent="0.3">
      <c r="A9298" s="80"/>
      <c r="B9298" s="81"/>
      <c r="C9298" s="82"/>
    </row>
    <row r="9299" spans="1:3" x14ac:dyDescent="0.3">
      <c r="A9299" s="80"/>
      <c r="B9299" s="81"/>
      <c r="C9299" s="82"/>
    </row>
    <row r="9300" spans="1:3" x14ac:dyDescent="0.3">
      <c r="A9300" s="80"/>
      <c r="B9300" s="81"/>
      <c r="C9300" s="82"/>
    </row>
    <row r="9301" spans="1:3" x14ac:dyDescent="0.3">
      <c r="A9301" s="80"/>
      <c r="B9301" s="81"/>
      <c r="C9301" s="82"/>
    </row>
    <row r="9302" spans="1:3" x14ac:dyDescent="0.3">
      <c r="A9302" s="80"/>
      <c r="B9302" s="81"/>
      <c r="C9302" s="82"/>
    </row>
    <row r="9303" spans="1:3" x14ac:dyDescent="0.3">
      <c r="A9303" s="80"/>
      <c r="B9303" s="81"/>
      <c r="C9303" s="82"/>
    </row>
    <row r="9304" spans="1:3" x14ac:dyDescent="0.3">
      <c r="A9304" s="80"/>
      <c r="B9304" s="81"/>
      <c r="C9304" s="82"/>
    </row>
    <row r="9305" spans="1:3" x14ac:dyDescent="0.3">
      <c r="A9305" s="80"/>
      <c r="B9305" s="81"/>
      <c r="C9305" s="82"/>
    </row>
    <row r="9306" spans="1:3" x14ac:dyDescent="0.3">
      <c r="A9306" s="80"/>
      <c r="B9306" s="81"/>
      <c r="C9306" s="82"/>
    </row>
    <row r="9307" spans="1:3" x14ac:dyDescent="0.3">
      <c r="A9307" s="80"/>
      <c r="B9307" s="81"/>
      <c r="C9307" s="82"/>
    </row>
    <row r="9308" spans="1:3" x14ac:dyDescent="0.3">
      <c r="A9308" s="80"/>
      <c r="B9308" s="81"/>
      <c r="C9308" s="82"/>
    </row>
    <row r="9309" spans="1:3" x14ac:dyDescent="0.3">
      <c r="A9309" s="80"/>
      <c r="B9309" s="81"/>
      <c r="C9309" s="82"/>
    </row>
    <row r="9310" spans="1:3" x14ac:dyDescent="0.3">
      <c r="A9310" s="80"/>
      <c r="B9310" s="81"/>
      <c r="C9310" s="82"/>
    </row>
    <row r="9311" spans="1:3" x14ac:dyDescent="0.3">
      <c r="A9311" s="80"/>
      <c r="B9311" s="81"/>
      <c r="C9311" s="82"/>
    </row>
    <row r="9312" spans="1:3" x14ac:dyDescent="0.3">
      <c r="A9312" s="80"/>
      <c r="B9312" s="81"/>
      <c r="C9312" s="82"/>
    </row>
    <row r="9313" spans="1:3" x14ac:dyDescent="0.3">
      <c r="A9313" s="80"/>
      <c r="B9313" s="81"/>
      <c r="C9313" s="82"/>
    </row>
    <row r="9314" spans="1:3" x14ac:dyDescent="0.3">
      <c r="A9314" s="80"/>
      <c r="B9314" s="81"/>
      <c r="C9314" s="82"/>
    </row>
    <row r="9315" spans="1:3" x14ac:dyDescent="0.3">
      <c r="A9315" s="80"/>
      <c r="B9315" s="81"/>
      <c r="C9315" s="82"/>
    </row>
    <row r="9316" spans="1:3" x14ac:dyDescent="0.3">
      <c r="A9316" s="80"/>
      <c r="B9316" s="81"/>
      <c r="C9316" s="82"/>
    </row>
    <row r="9317" spans="1:3" x14ac:dyDescent="0.3">
      <c r="A9317" s="80"/>
      <c r="B9317" s="81"/>
      <c r="C9317" s="82"/>
    </row>
    <row r="9318" spans="1:3" x14ac:dyDescent="0.3">
      <c r="A9318" s="80"/>
      <c r="B9318" s="81"/>
      <c r="C9318" s="82"/>
    </row>
    <row r="9319" spans="1:3" x14ac:dyDescent="0.3">
      <c r="A9319" s="80"/>
      <c r="B9319" s="81"/>
      <c r="C9319" s="82"/>
    </row>
    <row r="9320" spans="1:3" x14ac:dyDescent="0.3">
      <c r="A9320" s="80"/>
      <c r="B9320" s="81"/>
      <c r="C9320" s="82"/>
    </row>
    <row r="9321" spans="1:3" x14ac:dyDescent="0.3">
      <c r="A9321" s="80"/>
      <c r="B9321" s="81"/>
      <c r="C9321" s="82"/>
    </row>
    <row r="9322" spans="1:3" x14ac:dyDescent="0.3">
      <c r="A9322" s="80"/>
      <c r="B9322" s="81"/>
      <c r="C9322" s="82"/>
    </row>
    <row r="9323" spans="1:3" x14ac:dyDescent="0.3">
      <c r="A9323" s="80"/>
      <c r="B9323" s="81"/>
      <c r="C9323" s="82"/>
    </row>
    <row r="9324" spans="1:3" x14ac:dyDescent="0.3">
      <c r="A9324" s="80"/>
      <c r="B9324" s="81"/>
      <c r="C9324" s="82"/>
    </row>
    <row r="9325" spans="1:3" x14ac:dyDescent="0.3">
      <c r="A9325" s="80"/>
      <c r="B9325" s="81"/>
      <c r="C9325" s="82"/>
    </row>
    <row r="9326" spans="1:3" x14ac:dyDescent="0.3">
      <c r="A9326" s="80"/>
      <c r="B9326" s="81"/>
      <c r="C9326" s="82"/>
    </row>
    <row r="9327" spans="1:3" x14ac:dyDescent="0.3">
      <c r="A9327" s="80"/>
      <c r="B9327" s="81"/>
      <c r="C9327" s="82"/>
    </row>
    <row r="9328" spans="1:3" x14ac:dyDescent="0.3">
      <c r="A9328" s="80"/>
      <c r="B9328" s="81"/>
      <c r="C9328" s="82"/>
    </row>
    <row r="9329" spans="1:3" x14ac:dyDescent="0.3">
      <c r="A9329" s="80"/>
      <c r="B9329" s="81"/>
      <c r="C9329" s="82"/>
    </row>
    <row r="9330" spans="1:3" x14ac:dyDescent="0.3">
      <c r="A9330" s="80"/>
      <c r="B9330" s="81"/>
      <c r="C9330" s="82"/>
    </row>
    <row r="9331" spans="1:3" x14ac:dyDescent="0.3">
      <c r="A9331" s="80"/>
      <c r="B9331" s="81"/>
      <c r="C9331" s="82"/>
    </row>
    <row r="9332" spans="1:3" x14ac:dyDescent="0.3">
      <c r="A9332" s="80"/>
      <c r="B9332" s="81"/>
      <c r="C9332" s="82"/>
    </row>
    <row r="9333" spans="1:3" x14ac:dyDescent="0.3">
      <c r="A9333" s="80"/>
      <c r="B9333" s="81"/>
      <c r="C9333" s="82"/>
    </row>
    <row r="9334" spans="1:3" x14ac:dyDescent="0.3">
      <c r="A9334" s="80"/>
      <c r="B9334" s="81"/>
      <c r="C9334" s="82"/>
    </row>
    <row r="9335" spans="1:3" x14ac:dyDescent="0.3">
      <c r="A9335" s="80"/>
      <c r="B9335" s="81"/>
      <c r="C9335" s="82"/>
    </row>
    <row r="9336" spans="1:3" x14ac:dyDescent="0.3">
      <c r="A9336" s="80"/>
      <c r="B9336" s="81"/>
      <c r="C9336" s="82"/>
    </row>
    <row r="9337" spans="1:3" x14ac:dyDescent="0.3">
      <c r="A9337" s="80"/>
      <c r="B9337" s="81"/>
      <c r="C9337" s="82"/>
    </row>
    <row r="9338" spans="1:3" x14ac:dyDescent="0.3">
      <c r="A9338" s="80"/>
      <c r="B9338" s="81"/>
      <c r="C9338" s="82"/>
    </row>
    <row r="9339" spans="1:3" x14ac:dyDescent="0.3">
      <c r="A9339" s="80"/>
      <c r="B9339" s="81"/>
      <c r="C9339" s="82"/>
    </row>
    <row r="9340" spans="1:3" x14ac:dyDescent="0.3">
      <c r="A9340" s="80"/>
      <c r="B9340" s="81"/>
      <c r="C9340" s="82"/>
    </row>
    <row r="9341" spans="1:3" x14ac:dyDescent="0.3">
      <c r="A9341" s="80"/>
      <c r="B9341" s="81"/>
      <c r="C9341" s="82"/>
    </row>
    <row r="9342" spans="1:3" x14ac:dyDescent="0.3">
      <c r="A9342" s="80"/>
      <c r="B9342" s="81"/>
      <c r="C9342" s="82"/>
    </row>
    <row r="9343" spans="1:3" x14ac:dyDescent="0.3">
      <c r="A9343" s="80"/>
      <c r="B9343" s="81"/>
      <c r="C9343" s="82"/>
    </row>
    <row r="9344" spans="1:3" x14ac:dyDescent="0.3">
      <c r="A9344" s="80"/>
      <c r="B9344" s="81"/>
      <c r="C9344" s="82"/>
    </row>
    <row r="9345" spans="1:3" x14ac:dyDescent="0.3">
      <c r="A9345" s="80"/>
      <c r="B9345" s="81"/>
      <c r="C9345" s="82"/>
    </row>
    <row r="9346" spans="1:3" x14ac:dyDescent="0.3">
      <c r="A9346" s="80"/>
      <c r="B9346" s="81"/>
      <c r="C9346" s="82"/>
    </row>
    <row r="9347" spans="1:3" x14ac:dyDescent="0.3">
      <c r="A9347" s="80"/>
      <c r="B9347" s="81"/>
      <c r="C9347" s="82"/>
    </row>
    <row r="9348" spans="1:3" x14ac:dyDescent="0.3">
      <c r="A9348" s="80"/>
      <c r="B9348" s="81"/>
      <c r="C9348" s="82"/>
    </row>
    <row r="9349" spans="1:3" x14ac:dyDescent="0.3">
      <c r="A9349" s="80"/>
      <c r="B9349" s="81"/>
      <c r="C9349" s="82"/>
    </row>
    <row r="9350" spans="1:3" x14ac:dyDescent="0.3">
      <c r="A9350" s="80"/>
      <c r="B9350" s="81"/>
      <c r="C9350" s="82"/>
    </row>
    <row r="9351" spans="1:3" x14ac:dyDescent="0.3">
      <c r="A9351" s="80"/>
      <c r="B9351" s="81"/>
      <c r="C9351" s="82"/>
    </row>
    <row r="9352" spans="1:3" x14ac:dyDescent="0.3">
      <c r="A9352" s="80"/>
      <c r="B9352" s="81"/>
      <c r="C9352" s="82"/>
    </row>
    <row r="9353" spans="1:3" x14ac:dyDescent="0.3">
      <c r="A9353" s="80"/>
      <c r="B9353" s="81"/>
      <c r="C9353" s="82"/>
    </row>
    <row r="9354" spans="1:3" x14ac:dyDescent="0.3">
      <c r="A9354" s="80"/>
      <c r="B9354" s="81"/>
      <c r="C9354" s="82"/>
    </row>
    <row r="9355" spans="1:3" x14ac:dyDescent="0.3">
      <c r="A9355" s="80"/>
      <c r="B9355" s="81"/>
      <c r="C9355" s="82"/>
    </row>
    <row r="9356" spans="1:3" x14ac:dyDescent="0.3">
      <c r="A9356" s="80"/>
      <c r="B9356" s="81"/>
      <c r="C9356" s="82"/>
    </row>
    <row r="9357" spans="1:3" x14ac:dyDescent="0.3">
      <c r="A9357" s="80"/>
      <c r="B9357" s="81"/>
      <c r="C9357" s="82"/>
    </row>
    <row r="9358" spans="1:3" x14ac:dyDescent="0.3">
      <c r="A9358" s="80"/>
      <c r="B9358" s="81"/>
      <c r="C9358" s="82"/>
    </row>
    <row r="9359" spans="1:3" x14ac:dyDescent="0.3">
      <c r="A9359" s="80"/>
      <c r="B9359" s="81"/>
      <c r="C9359" s="82"/>
    </row>
    <row r="9360" spans="1:3" x14ac:dyDescent="0.3">
      <c r="A9360" s="80"/>
      <c r="B9360" s="81"/>
      <c r="C9360" s="82"/>
    </row>
    <row r="9361" spans="1:3" x14ac:dyDescent="0.3">
      <c r="A9361" s="80"/>
      <c r="B9361" s="81"/>
      <c r="C9361" s="82"/>
    </row>
    <row r="9362" spans="1:3" x14ac:dyDescent="0.3">
      <c r="A9362" s="80"/>
      <c r="B9362" s="81"/>
      <c r="C9362" s="82"/>
    </row>
    <row r="9363" spans="1:3" x14ac:dyDescent="0.3">
      <c r="A9363" s="80"/>
      <c r="B9363" s="81"/>
      <c r="C9363" s="82"/>
    </row>
    <row r="9364" spans="1:3" x14ac:dyDescent="0.3">
      <c r="A9364" s="80"/>
      <c r="B9364" s="81"/>
      <c r="C9364" s="82"/>
    </row>
    <row r="9365" spans="1:3" x14ac:dyDescent="0.3">
      <c r="A9365" s="80"/>
      <c r="B9365" s="81"/>
      <c r="C9365" s="82"/>
    </row>
    <row r="9366" spans="1:3" x14ac:dyDescent="0.3">
      <c r="A9366" s="80"/>
      <c r="B9366" s="81"/>
      <c r="C9366" s="82"/>
    </row>
    <row r="9367" spans="1:3" x14ac:dyDescent="0.3">
      <c r="A9367" s="80"/>
      <c r="B9367" s="81"/>
      <c r="C9367" s="82"/>
    </row>
    <row r="9368" spans="1:3" x14ac:dyDescent="0.3">
      <c r="A9368" s="80"/>
      <c r="B9368" s="81"/>
      <c r="C9368" s="82"/>
    </row>
    <row r="9369" spans="1:3" x14ac:dyDescent="0.3">
      <c r="A9369" s="80"/>
      <c r="B9369" s="81"/>
      <c r="C9369" s="82"/>
    </row>
    <row r="9370" spans="1:3" x14ac:dyDescent="0.3">
      <c r="A9370" s="80"/>
      <c r="B9370" s="81"/>
      <c r="C9370" s="82"/>
    </row>
    <row r="9371" spans="1:3" x14ac:dyDescent="0.3">
      <c r="A9371" s="80"/>
      <c r="B9371" s="81"/>
      <c r="C9371" s="82"/>
    </row>
    <row r="9372" spans="1:3" x14ac:dyDescent="0.3">
      <c r="A9372" s="80"/>
      <c r="B9372" s="81"/>
      <c r="C9372" s="82"/>
    </row>
    <row r="9373" spans="1:3" x14ac:dyDescent="0.3">
      <c r="A9373" s="80"/>
      <c r="B9373" s="81"/>
      <c r="C9373" s="82"/>
    </row>
    <row r="9374" spans="1:3" x14ac:dyDescent="0.3">
      <c r="A9374" s="80"/>
      <c r="B9374" s="81"/>
      <c r="C9374" s="82"/>
    </row>
    <row r="9375" spans="1:3" x14ac:dyDescent="0.3">
      <c r="A9375" s="80"/>
      <c r="B9375" s="81"/>
      <c r="C9375" s="82"/>
    </row>
    <row r="9376" spans="1:3" x14ac:dyDescent="0.3">
      <c r="A9376" s="80"/>
      <c r="B9376" s="81"/>
      <c r="C9376" s="82"/>
    </row>
    <row r="9377" spans="1:3" x14ac:dyDescent="0.3">
      <c r="A9377" s="80"/>
      <c r="B9377" s="81"/>
      <c r="C9377" s="82"/>
    </row>
    <row r="9378" spans="1:3" x14ac:dyDescent="0.3">
      <c r="A9378" s="80"/>
      <c r="B9378" s="81"/>
      <c r="C9378" s="82"/>
    </row>
    <row r="9379" spans="1:3" x14ac:dyDescent="0.3">
      <c r="A9379" s="80"/>
      <c r="B9379" s="81"/>
      <c r="C9379" s="82"/>
    </row>
    <row r="9380" spans="1:3" x14ac:dyDescent="0.3">
      <c r="A9380" s="80"/>
      <c r="B9380" s="81"/>
      <c r="C9380" s="82"/>
    </row>
    <row r="9381" spans="1:3" x14ac:dyDescent="0.3">
      <c r="A9381" s="80"/>
      <c r="B9381" s="81"/>
      <c r="C9381" s="82"/>
    </row>
    <row r="9382" spans="1:3" x14ac:dyDescent="0.3">
      <c r="A9382" s="80"/>
      <c r="B9382" s="81"/>
      <c r="C9382" s="82"/>
    </row>
    <row r="9383" spans="1:3" x14ac:dyDescent="0.3">
      <c r="A9383" s="80"/>
      <c r="B9383" s="81"/>
      <c r="C9383" s="82"/>
    </row>
    <row r="9384" spans="1:3" x14ac:dyDescent="0.3">
      <c r="A9384" s="80"/>
      <c r="B9384" s="81"/>
      <c r="C9384" s="82"/>
    </row>
    <row r="9385" spans="1:3" x14ac:dyDescent="0.3">
      <c r="A9385" s="80"/>
      <c r="B9385" s="81"/>
      <c r="C9385" s="82"/>
    </row>
    <row r="9386" spans="1:3" x14ac:dyDescent="0.3">
      <c r="A9386" s="80"/>
      <c r="B9386" s="81"/>
      <c r="C9386" s="82"/>
    </row>
    <row r="9387" spans="1:3" x14ac:dyDescent="0.3">
      <c r="A9387" s="80"/>
      <c r="B9387" s="81"/>
      <c r="C9387" s="82"/>
    </row>
    <row r="9388" spans="1:3" x14ac:dyDescent="0.3">
      <c r="A9388" s="80"/>
      <c r="B9388" s="81"/>
      <c r="C9388" s="82"/>
    </row>
    <row r="9389" spans="1:3" x14ac:dyDescent="0.3">
      <c r="A9389" s="80"/>
      <c r="B9389" s="81"/>
      <c r="C9389" s="82"/>
    </row>
    <row r="9390" spans="1:3" x14ac:dyDescent="0.3">
      <c r="A9390" s="80"/>
      <c r="B9390" s="81"/>
      <c r="C9390" s="82"/>
    </row>
    <row r="9391" spans="1:3" x14ac:dyDescent="0.3">
      <c r="A9391" s="80"/>
      <c r="B9391" s="81"/>
      <c r="C9391" s="82"/>
    </row>
    <row r="9392" spans="1:3" x14ac:dyDescent="0.3">
      <c r="A9392" s="80"/>
      <c r="B9392" s="81"/>
      <c r="C9392" s="82"/>
    </row>
    <row r="9393" spans="1:3" x14ac:dyDescent="0.3">
      <c r="A9393" s="80"/>
      <c r="B9393" s="81"/>
      <c r="C9393" s="82"/>
    </row>
    <row r="9394" spans="1:3" x14ac:dyDescent="0.3">
      <c r="A9394" s="80"/>
      <c r="B9394" s="81"/>
      <c r="C9394" s="82"/>
    </row>
    <row r="9395" spans="1:3" x14ac:dyDescent="0.3">
      <c r="A9395" s="80"/>
      <c r="B9395" s="81"/>
      <c r="C9395" s="82"/>
    </row>
    <row r="9396" spans="1:3" x14ac:dyDescent="0.3">
      <c r="A9396" s="80"/>
      <c r="B9396" s="81"/>
      <c r="C9396" s="82"/>
    </row>
    <row r="9397" spans="1:3" x14ac:dyDescent="0.3">
      <c r="A9397" s="80"/>
      <c r="B9397" s="81"/>
      <c r="C9397" s="82"/>
    </row>
    <row r="9398" spans="1:3" x14ac:dyDescent="0.3">
      <c r="A9398" s="80"/>
      <c r="B9398" s="81"/>
      <c r="C9398" s="82"/>
    </row>
    <row r="9399" spans="1:3" x14ac:dyDescent="0.3">
      <c r="A9399" s="80"/>
      <c r="B9399" s="81"/>
      <c r="C9399" s="82"/>
    </row>
    <row r="9400" spans="1:3" x14ac:dyDescent="0.3">
      <c r="A9400" s="80"/>
      <c r="B9400" s="81"/>
      <c r="C9400" s="82"/>
    </row>
    <row r="9401" spans="1:3" x14ac:dyDescent="0.3">
      <c r="A9401" s="80"/>
      <c r="B9401" s="81"/>
      <c r="C9401" s="82"/>
    </row>
    <row r="9402" spans="1:3" x14ac:dyDescent="0.3">
      <c r="A9402" s="80"/>
      <c r="B9402" s="81"/>
      <c r="C9402" s="82"/>
    </row>
    <row r="9403" spans="1:3" x14ac:dyDescent="0.3">
      <c r="A9403" s="80"/>
      <c r="B9403" s="81"/>
      <c r="C9403" s="82"/>
    </row>
    <row r="9404" spans="1:3" x14ac:dyDescent="0.3">
      <c r="A9404" s="80"/>
      <c r="B9404" s="81"/>
      <c r="C9404" s="82"/>
    </row>
    <row r="9405" spans="1:3" x14ac:dyDescent="0.3">
      <c r="A9405" s="80"/>
      <c r="B9405" s="81"/>
      <c r="C9405" s="82"/>
    </row>
    <row r="9406" spans="1:3" x14ac:dyDescent="0.3">
      <c r="A9406" s="80"/>
      <c r="B9406" s="81"/>
      <c r="C9406" s="82"/>
    </row>
    <row r="9407" spans="1:3" x14ac:dyDescent="0.3">
      <c r="A9407" s="80"/>
      <c r="B9407" s="81"/>
      <c r="C9407" s="82"/>
    </row>
    <row r="9408" spans="1:3" x14ac:dyDescent="0.3">
      <c r="A9408" s="80"/>
      <c r="B9408" s="81"/>
      <c r="C9408" s="82"/>
    </row>
    <row r="9409" spans="1:3" x14ac:dyDescent="0.3">
      <c r="A9409" s="80"/>
      <c r="B9409" s="81"/>
      <c r="C9409" s="82"/>
    </row>
    <row r="9410" spans="1:3" x14ac:dyDescent="0.3">
      <c r="A9410" s="80"/>
      <c r="B9410" s="81"/>
      <c r="C9410" s="82"/>
    </row>
    <row r="9411" spans="1:3" x14ac:dyDescent="0.3">
      <c r="A9411" s="80"/>
      <c r="B9411" s="81"/>
      <c r="C9411" s="82"/>
    </row>
    <row r="9412" spans="1:3" x14ac:dyDescent="0.3">
      <c r="A9412" s="80"/>
      <c r="B9412" s="81"/>
      <c r="C9412" s="82"/>
    </row>
    <row r="9413" spans="1:3" x14ac:dyDescent="0.3">
      <c r="A9413" s="80"/>
      <c r="B9413" s="81"/>
      <c r="C9413" s="82"/>
    </row>
    <row r="9414" spans="1:3" x14ac:dyDescent="0.3">
      <c r="A9414" s="80"/>
      <c r="B9414" s="81"/>
      <c r="C9414" s="82"/>
    </row>
    <row r="9415" spans="1:3" x14ac:dyDescent="0.3">
      <c r="A9415" s="80"/>
      <c r="B9415" s="81"/>
      <c r="C9415" s="82"/>
    </row>
    <row r="9416" spans="1:3" x14ac:dyDescent="0.3">
      <c r="A9416" s="80"/>
      <c r="B9416" s="81"/>
      <c r="C9416" s="82"/>
    </row>
    <row r="9417" spans="1:3" x14ac:dyDescent="0.3">
      <c r="A9417" s="80"/>
      <c r="B9417" s="81"/>
      <c r="C9417" s="82"/>
    </row>
    <row r="9418" spans="1:3" x14ac:dyDescent="0.3">
      <c r="A9418" s="80"/>
      <c r="B9418" s="81"/>
      <c r="C9418" s="82"/>
    </row>
    <row r="9419" spans="1:3" x14ac:dyDescent="0.3">
      <c r="A9419" s="80"/>
      <c r="B9419" s="81"/>
      <c r="C9419" s="82"/>
    </row>
    <row r="9420" spans="1:3" x14ac:dyDescent="0.3">
      <c r="A9420" s="80"/>
      <c r="B9420" s="81"/>
      <c r="C9420" s="82"/>
    </row>
    <row r="9421" spans="1:3" x14ac:dyDescent="0.3">
      <c r="A9421" s="80"/>
      <c r="B9421" s="81"/>
      <c r="C9421" s="82"/>
    </row>
    <row r="9422" spans="1:3" x14ac:dyDescent="0.3">
      <c r="A9422" s="80"/>
      <c r="B9422" s="81"/>
      <c r="C9422" s="82"/>
    </row>
    <row r="9423" spans="1:3" x14ac:dyDescent="0.3">
      <c r="A9423" s="80"/>
      <c r="B9423" s="81"/>
      <c r="C9423" s="82"/>
    </row>
    <row r="9424" spans="1:3" x14ac:dyDescent="0.3">
      <c r="A9424" s="80"/>
      <c r="B9424" s="81"/>
      <c r="C9424" s="82"/>
    </row>
    <row r="9425" spans="1:3" x14ac:dyDescent="0.3">
      <c r="A9425" s="80"/>
      <c r="B9425" s="81"/>
      <c r="C9425" s="82"/>
    </row>
    <row r="9426" spans="1:3" x14ac:dyDescent="0.3">
      <c r="A9426" s="80"/>
      <c r="B9426" s="81"/>
      <c r="C9426" s="82"/>
    </row>
    <row r="9427" spans="1:3" x14ac:dyDescent="0.3">
      <c r="A9427" s="80"/>
      <c r="B9427" s="81"/>
      <c r="C9427" s="82"/>
    </row>
    <row r="9428" spans="1:3" x14ac:dyDescent="0.3">
      <c r="A9428" s="80"/>
      <c r="B9428" s="81"/>
      <c r="C9428" s="82"/>
    </row>
    <row r="9429" spans="1:3" x14ac:dyDescent="0.3">
      <c r="A9429" s="80"/>
      <c r="B9429" s="81"/>
      <c r="C9429" s="82"/>
    </row>
    <row r="9430" spans="1:3" x14ac:dyDescent="0.3">
      <c r="A9430" s="80"/>
      <c r="B9430" s="81"/>
      <c r="C9430" s="82"/>
    </row>
    <row r="9431" spans="1:3" x14ac:dyDescent="0.3">
      <c r="A9431" s="80"/>
      <c r="B9431" s="81"/>
      <c r="C9431" s="82"/>
    </row>
    <row r="9432" spans="1:3" x14ac:dyDescent="0.3">
      <c r="A9432" s="80"/>
      <c r="B9432" s="81"/>
      <c r="C9432" s="82"/>
    </row>
    <row r="9433" spans="1:3" x14ac:dyDescent="0.3">
      <c r="A9433" s="80"/>
      <c r="B9433" s="81"/>
      <c r="C9433" s="82"/>
    </row>
    <row r="9434" spans="1:3" x14ac:dyDescent="0.3">
      <c r="A9434" s="80"/>
      <c r="B9434" s="81"/>
      <c r="C9434" s="82"/>
    </row>
    <row r="9435" spans="1:3" x14ac:dyDescent="0.3">
      <c r="A9435" s="80"/>
      <c r="B9435" s="81"/>
      <c r="C9435" s="82"/>
    </row>
    <row r="9436" spans="1:3" x14ac:dyDescent="0.3">
      <c r="A9436" s="80"/>
      <c r="B9436" s="81"/>
      <c r="C9436" s="82"/>
    </row>
    <row r="9437" spans="1:3" x14ac:dyDescent="0.3">
      <c r="A9437" s="80"/>
      <c r="B9437" s="81"/>
      <c r="C9437" s="82"/>
    </row>
    <row r="9438" spans="1:3" x14ac:dyDescent="0.3">
      <c r="A9438" s="80"/>
      <c r="B9438" s="81"/>
      <c r="C9438" s="82"/>
    </row>
    <row r="9439" spans="1:3" x14ac:dyDescent="0.3">
      <c r="A9439" s="80"/>
      <c r="B9439" s="81"/>
      <c r="C9439" s="82"/>
    </row>
    <row r="9440" spans="1:3" x14ac:dyDescent="0.3">
      <c r="A9440" s="80"/>
      <c r="B9440" s="81"/>
      <c r="C9440" s="82"/>
    </row>
    <row r="9441" spans="1:3" x14ac:dyDescent="0.3">
      <c r="A9441" s="80"/>
      <c r="B9441" s="81"/>
      <c r="C9441" s="82"/>
    </row>
    <row r="9442" spans="1:3" x14ac:dyDescent="0.3">
      <c r="A9442" s="80"/>
      <c r="B9442" s="81"/>
      <c r="C9442" s="82"/>
    </row>
    <row r="9443" spans="1:3" x14ac:dyDescent="0.3">
      <c r="A9443" s="80"/>
      <c r="B9443" s="81"/>
      <c r="C9443" s="82"/>
    </row>
    <row r="9444" spans="1:3" x14ac:dyDescent="0.3">
      <c r="A9444" s="80"/>
      <c r="B9444" s="81"/>
      <c r="C9444" s="82"/>
    </row>
    <row r="9445" spans="1:3" x14ac:dyDescent="0.3">
      <c r="A9445" s="80"/>
      <c r="B9445" s="81"/>
      <c r="C9445" s="82"/>
    </row>
    <row r="9446" spans="1:3" x14ac:dyDescent="0.3">
      <c r="A9446" s="80"/>
      <c r="B9446" s="81"/>
      <c r="C9446" s="82"/>
    </row>
    <row r="9447" spans="1:3" x14ac:dyDescent="0.3">
      <c r="A9447" s="80"/>
      <c r="B9447" s="81"/>
      <c r="C9447" s="82"/>
    </row>
    <row r="9448" spans="1:3" x14ac:dyDescent="0.3">
      <c r="A9448" s="80"/>
      <c r="B9448" s="81"/>
      <c r="C9448" s="82"/>
    </row>
    <row r="9449" spans="1:3" x14ac:dyDescent="0.3">
      <c r="A9449" s="80"/>
      <c r="B9449" s="81"/>
      <c r="C9449" s="82"/>
    </row>
    <row r="9450" spans="1:3" x14ac:dyDescent="0.3">
      <c r="A9450" s="80"/>
      <c r="B9450" s="81"/>
      <c r="C9450" s="82"/>
    </row>
    <row r="9451" spans="1:3" x14ac:dyDescent="0.3">
      <c r="A9451" s="80"/>
      <c r="B9451" s="81"/>
      <c r="C9451" s="82"/>
    </row>
    <row r="9452" spans="1:3" x14ac:dyDescent="0.3">
      <c r="A9452" s="80"/>
      <c r="B9452" s="81"/>
      <c r="C9452" s="82"/>
    </row>
    <row r="9453" spans="1:3" x14ac:dyDescent="0.3">
      <c r="A9453" s="80"/>
      <c r="B9453" s="81"/>
      <c r="C9453" s="82"/>
    </row>
    <row r="9454" spans="1:3" x14ac:dyDescent="0.3">
      <c r="A9454" s="80"/>
      <c r="B9454" s="81"/>
      <c r="C9454" s="82"/>
    </row>
    <row r="9455" spans="1:3" x14ac:dyDescent="0.3">
      <c r="A9455" s="80"/>
      <c r="B9455" s="81"/>
      <c r="C9455" s="82"/>
    </row>
    <row r="9456" spans="1:3" x14ac:dyDescent="0.3">
      <c r="A9456" s="80"/>
      <c r="B9456" s="81"/>
      <c r="C9456" s="82"/>
    </row>
    <row r="9457" spans="1:3" x14ac:dyDescent="0.3">
      <c r="A9457" s="80"/>
      <c r="B9457" s="81"/>
      <c r="C9457" s="82"/>
    </row>
    <row r="9458" spans="1:3" x14ac:dyDescent="0.3">
      <c r="A9458" s="80"/>
      <c r="B9458" s="81"/>
      <c r="C9458" s="82"/>
    </row>
    <row r="9459" spans="1:3" x14ac:dyDescent="0.3">
      <c r="A9459" s="80"/>
      <c r="B9459" s="81"/>
      <c r="C9459" s="82"/>
    </row>
    <row r="9460" spans="1:3" x14ac:dyDescent="0.3">
      <c r="A9460" s="80"/>
      <c r="B9460" s="81"/>
      <c r="C9460" s="82"/>
    </row>
    <row r="9461" spans="1:3" x14ac:dyDescent="0.3">
      <c r="A9461" s="80"/>
      <c r="B9461" s="81"/>
      <c r="C9461" s="82"/>
    </row>
    <row r="9462" spans="1:3" x14ac:dyDescent="0.3">
      <c r="A9462" s="80"/>
      <c r="B9462" s="81"/>
      <c r="C9462" s="82"/>
    </row>
    <row r="9463" spans="1:3" x14ac:dyDescent="0.3">
      <c r="A9463" s="80"/>
      <c r="B9463" s="81"/>
      <c r="C9463" s="82"/>
    </row>
    <row r="9464" spans="1:3" x14ac:dyDescent="0.3">
      <c r="A9464" s="80"/>
      <c r="B9464" s="81"/>
      <c r="C9464" s="82"/>
    </row>
    <row r="9465" spans="1:3" x14ac:dyDescent="0.3">
      <c r="A9465" s="80"/>
      <c r="B9465" s="81"/>
      <c r="C9465" s="82"/>
    </row>
    <row r="9466" spans="1:3" x14ac:dyDescent="0.3">
      <c r="A9466" s="80"/>
      <c r="B9466" s="81"/>
      <c r="C9466" s="82"/>
    </row>
    <row r="9467" spans="1:3" x14ac:dyDescent="0.3">
      <c r="A9467" s="80"/>
      <c r="B9467" s="81"/>
      <c r="C9467" s="82"/>
    </row>
    <row r="9468" spans="1:3" x14ac:dyDescent="0.3">
      <c r="A9468" s="80"/>
      <c r="B9468" s="81"/>
      <c r="C9468" s="82"/>
    </row>
    <row r="9469" spans="1:3" x14ac:dyDescent="0.3">
      <c r="A9469" s="80"/>
      <c r="B9469" s="81"/>
      <c r="C9469" s="82"/>
    </row>
    <row r="9470" spans="1:3" x14ac:dyDescent="0.3">
      <c r="A9470" s="80"/>
      <c r="B9470" s="81"/>
      <c r="C9470" s="82"/>
    </row>
    <row r="9471" spans="1:3" x14ac:dyDescent="0.3">
      <c r="A9471" s="80"/>
      <c r="B9471" s="81"/>
      <c r="C9471" s="82"/>
    </row>
    <row r="9472" spans="1:3" x14ac:dyDescent="0.3">
      <c r="A9472" s="80"/>
      <c r="B9472" s="81"/>
      <c r="C9472" s="82"/>
    </row>
    <row r="9473" spans="1:3" x14ac:dyDescent="0.3">
      <c r="A9473" s="80"/>
      <c r="B9473" s="81"/>
      <c r="C9473" s="82"/>
    </row>
    <row r="9474" spans="1:3" x14ac:dyDescent="0.3">
      <c r="A9474" s="80"/>
      <c r="B9474" s="81"/>
      <c r="C9474" s="82"/>
    </row>
    <row r="9475" spans="1:3" x14ac:dyDescent="0.3">
      <c r="A9475" s="80"/>
      <c r="B9475" s="81"/>
      <c r="C9475" s="82"/>
    </row>
    <row r="9476" spans="1:3" x14ac:dyDescent="0.3">
      <c r="A9476" s="80"/>
      <c r="B9476" s="81"/>
      <c r="C9476" s="82"/>
    </row>
    <row r="9477" spans="1:3" x14ac:dyDescent="0.3">
      <c r="A9477" s="80"/>
      <c r="B9477" s="81"/>
      <c r="C9477" s="82"/>
    </row>
    <row r="9478" spans="1:3" x14ac:dyDescent="0.3">
      <c r="A9478" s="80"/>
      <c r="B9478" s="81"/>
      <c r="C9478" s="82"/>
    </row>
    <row r="9479" spans="1:3" x14ac:dyDescent="0.3">
      <c r="A9479" s="80"/>
      <c r="B9479" s="81"/>
      <c r="C9479" s="82"/>
    </row>
    <row r="9480" spans="1:3" x14ac:dyDescent="0.3">
      <c r="A9480" s="80"/>
      <c r="B9480" s="81"/>
      <c r="C9480" s="82"/>
    </row>
    <row r="9481" spans="1:3" x14ac:dyDescent="0.3">
      <c r="A9481" s="80"/>
      <c r="B9481" s="81"/>
      <c r="C9481" s="82"/>
    </row>
    <row r="9482" spans="1:3" x14ac:dyDescent="0.3">
      <c r="A9482" s="80"/>
      <c r="B9482" s="81"/>
      <c r="C9482" s="82"/>
    </row>
    <row r="9483" spans="1:3" x14ac:dyDescent="0.3">
      <c r="A9483" s="80"/>
      <c r="B9483" s="81"/>
      <c r="C9483" s="82"/>
    </row>
    <row r="9484" spans="1:3" x14ac:dyDescent="0.3">
      <c r="A9484" s="80"/>
      <c r="B9484" s="81"/>
      <c r="C9484" s="82"/>
    </row>
    <row r="9485" spans="1:3" x14ac:dyDescent="0.3">
      <c r="A9485" s="80"/>
      <c r="B9485" s="81"/>
      <c r="C9485" s="82"/>
    </row>
    <row r="9486" spans="1:3" x14ac:dyDescent="0.3">
      <c r="A9486" s="80"/>
      <c r="B9486" s="81"/>
      <c r="C9486" s="82"/>
    </row>
    <row r="9487" spans="1:3" x14ac:dyDescent="0.3">
      <c r="A9487" s="80"/>
      <c r="B9487" s="81"/>
      <c r="C9487" s="82"/>
    </row>
    <row r="9488" spans="1:3" x14ac:dyDescent="0.3">
      <c r="A9488" s="80"/>
      <c r="B9488" s="81"/>
      <c r="C9488" s="82"/>
    </row>
    <row r="9489" spans="1:3" x14ac:dyDescent="0.3">
      <c r="A9489" s="80"/>
      <c r="B9489" s="81"/>
      <c r="C9489" s="82"/>
    </row>
    <row r="9490" spans="1:3" x14ac:dyDescent="0.3">
      <c r="A9490" s="80"/>
      <c r="B9490" s="81"/>
      <c r="C9490" s="82"/>
    </row>
    <row r="9491" spans="1:3" x14ac:dyDescent="0.3">
      <c r="A9491" s="80"/>
      <c r="B9491" s="81"/>
      <c r="C9491" s="82"/>
    </row>
    <row r="9492" spans="1:3" x14ac:dyDescent="0.3">
      <c r="A9492" s="80"/>
      <c r="B9492" s="81"/>
      <c r="C9492" s="82"/>
    </row>
    <row r="9493" spans="1:3" x14ac:dyDescent="0.3">
      <c r="A9493" s="80"/>
      <c r="B9493" s="81"/>
      <c r="C9493" s="82"/>
    </row>
    <row r="9494" spans="1:3" x14ac:dyDescent="0.3">
      <c r="A9494" s="80"/>
      <c r="B9494" s="81"/>
      <c r="C9494" s="82"/>
    </row>
    <row r="9495" spans="1:3" x14ac:dyDescent="0.3">
      <c r="A9495" s="80"/>
      <c r="B9495" s="81"/>
      <c r="C9495" s="82"/>
    </row>
    <row r="9496" spans="1:3" x14ac:dyDescent="0.3">
      <c r="A9496" s="80"/>
      <c r="B9496" s="81"/>
      <c r="C9496" s="82"/>
    </row>
    <row r="9497" spans="1:3" x14ac:dyDescent="0.3">
      <c r="A9497" s="80"/>
      <c r="B9497" s="81"/>
      <c r="C9497" s="82"/>
    </row>
    <row r="9498" spans="1:3" x14ac:dyDescent="0.3">
      <c r="A9498" s="80"/>
      <c r="B9498" s="81"/>
      <c r="C9498" s="82"/>
    </row>
    <row r="9499" spans="1:3" x14ac:dyDescent="0.3">
      <c r="A9499" s="80"/>
      <c r="B9499" s="81"/>
      <c r="C9499" s="82"/>
    </row>
    <row r="9500" spans="1:3" x14ac:dyDescent="0.3">
      <c r="A9500" s="80"/>
      <c r="B9500" s="81"/>
      <c r="C9500" s="82"/>
    </row>
    <row r="9501" spans="1:3" x14ac:dyDescent="0.3">
      <c r="A9501" s="80"/>
      <c r="B9501" s="81"/>
      <c r="C9501" s="82"/>
    </row>
    <row r="9502" spans="1:3" x14ac:dyDescent="0.3">
      <c r="A9502" s="80"/>
      <c r="B9502" s="81"/>
      <c r="C9502" s="82"/>
    </row>
    <row r="9503" spans="1:3" x14ac:dyDescent="0.3">
      <c r="A9503" s="80"/>
      <c r="B9503" s="81"/>
      <c r="C9503" s="82"/>
    </row>
    <row r="9504" spans="1:3" x14ac:dyDescent="0.3">
      <c r="A9504" s="80"/>
      <c r="B9504" s="81"/>
      <c r="C9504" s="82"/>
    </row>
    <row r="9505" spans="1:3" x14ac:dyDescent="0.3">
      <c r="A9505" s="80"/>
      <c r="B9505" s="81"/>
      <c r="C9505" s="82"/>
    </row>
    <row r="9506" spans="1:3" x14ac:dyDescent="0.3">
      <c r="A9506" s="80"/>
      <c r="B9506" s="81"/>
      <c r="C9506" s="82"/>
    </row>
    <row r="9507" spans="1:3" x14ac:dyDescent="0.3">
      <c r="A9507" s="80"/>
      <c r="B9507" s="81"/>
      <c r="C9507" s="82"/>
    </row>
    <row r="9508" spans="1:3" x14ac:dyDescent="0.3">
      <c r="A9508" s="80"/>
      <c r="B9508" s="81"/>
      <c r="C9508" s="82"/>
    </row>
    <row r="9509" spans="1:3" x14ac:dyDescent="0.3">
      <c r="A9509" s="80"/>
      <c r="B9509" s="81"/>
      <c r="C9509" s="82"/>
    </row>
    <row r="9510" spans="1:3" x14ac:dyDescent="0.3">
      <c r="A9510" s="80"/>
      <c r="B9510" s="81"/>
      <c r="C9510" s="82"/>
    </row>
    <row r="9511" spans="1:3" x14ac:dyDescent="0.3">
      <c r="A9511" s="80"/>
      <c r="B9511" s="81"/>
      <c r="C9511" s="82"/>
    </row>
    <row r="9512" spans="1:3" x14ac:dyDescent="0.3">
      <c r="A9512" s="80"/>
      <c r="B9512" s="81"/>
      <c r="C9512" s="82"/>
    </row>
    <row r="9513" spans="1:3" x14ac:dyDescent="0.3">
      <c r="A9513" s="80"/>
      <c r="B9513" s="81"/>
      <c r="C9513" s="82"/>
    </row>
    <row r="9514" spans="1:3" x14ac:dyDescent="0.3">
      <c r="A9514" s="80"/>
      <c r="B9514" s="81"/>
      <c r="C9514" s="82"/>
    </row>
    <row r="9515" spans="1:3" x14ac:dyDescent="0.3">
      <c r="A9515" s="80"/>
      <c r="B9515" s="81"/>
      <c r="C9515" s="82"/>
    </row>
    <row r="9516" spans="1:3" x14ac:dyDescent="0.3">
      <c r="A9516" s="80"/>
      <c r="B9516" s="81"/>
      <c r="C9516" s="82"/>
    </row>
    <row r="9517" spans="1:3" x14ac:dyDescent="0.3">
      <c r="A9517" s="80"/>
      <c r="B9517" s="81"/>
      <c r="C9517" s="82"/>
    </row>
    <row r="9518" spans="1:3" x14ac:dyDescent="0.3">
      <c r="A9518" s="80"/>
      <c r="B9518" s="81"/>
      <c r="C9518" s="82"/>
    </row>
    <row r="9519" spans="1:3" x14ac:dyDescent="0.3">
      <c r="A9519" s="80"/>
      <c r="B9519" s="81"/>
      <c r="C9519" s="82"/>
    </row>
    <row r="9520" spans="1:3" x14ac:dyDescent="0.3">
      <c r="A9520" s="80"/>
      <c r="B9520" s="81"/>
      <c r="C9520" s="82"/>
    </row>
    <row r="9521" spans="1:3" x14ac:dyDescent="0.3">
      <c r="A9521" s="80"/>
      <c r="B9521" s="81"/>
      <c r="C9521" s="82"/>
    </row>
    <row r="9522" spans="1:3" x14ac:dyDescent="0.3">
      <c r="A9522" s="80"/>
      <c r="B9522" s="81"/>
      <c r="C9522" s="82"/>
    </row>
    <row r="9523" spans="1:3" x14ac:dyDescent="0.3">
      <c r="A9523" s="80"/>
      <c r="B9523" s="81"/>
      <c r="C9523" s="82"/>
    </row>
    <row r="9524" spans="1:3" x14ac:dyDescent="0.3">
      <c r="A9524" s="80"/>
      <c r="B9524" s="81"/>
      <c r="C9524" s="82"/>
    </row>
    <row r="9525" spans="1:3" x14ac:dyDescent="0.3">
      <c r="A9525" s="80"/>
      <c r="B9525" s="81"/>
      <c r="C9525" s="82"/>
    </row>
    <row r="9526" spans="1:3" x14ac:dyDescent="0.3">
      <c r="A9526" s="80"/>
      <c r="B9526" s="81"/>
      <c r="C9526" s="82"/>
    </row>
    <row r="9527" spans="1:3" x14ac:dyDescent="0.3">
      <c r="A9527" s="80"/>
      <c r="B9527" s="81"/>
      <c r="C9527" s="82"/>
    </row>
    <row r="9528" spans="1:3" x14ac:dyDescent="0.3">
      <c r="A9528" s="80"/>
      <c r="B9528" s="81"/>
      <c r="C9528" s="82"/>
    </row>
    <row r="9529" spans="1:3" x14ac:dyDescent="0.3">
      <c r="A9529" s="80"/>
      <c r="B9529" s="81"/>
      <c r="C9529" s="82"/>
    </row>
    <row r="9530" spans="1:3" x14ac:dyDescent="0.3">
      <c r="A9530" s="80"/>
      <c r="B9530" s="81"/>
      <c r="C9530" s="82"/>
    </row>
    <row r="9531" spans="1:3" x14ac:dyDescent="0.3">
      <c r="A9531" s="80"/>
      <c r="B9531" s="81"/>
      <c r="C9531" s="82"/>
    </row>
    <row r="9532" spans="1:3" x14ac:dyDescent="0.3">
      <c r="A9532" s="80"/>
      <c r="B9532" s="81"/>
      <c r="C9532" s="82"/>
    </row>
    <row r="9533" spans="1:3" x14ac:dyDescent="0.3">
      <c r="A9533" s="80"/>
      <c r="B9533" s="81"/>
      <c r="C9533" s="82"/>
    </row>
    <row r="9534" spans="1:3" x14ac:dyDescent="0.3">
      <c r="A9534" s="80"/>
      <c r="B9534" s="81"/>
      <c r="C9534" s="82"/>
    </row>
    <row r="9535" spans="1:3" x14ac:dyDescent="0.3">
      <c r="A9535" s="80"/>
      <c r="B9535" s="81"/>
      <c r="C9535" s="82"/>
    </row>
    <row r="9536" spans="1:3" x14ac:dyDescent="0.3">
      <c r="A9536" s="80"/>
      <c r="B9536" s="81"/>
      <c r="C9536" s="82"/>
    </row>
    <row r="9537" spans="1:3" x14ac:dyDescent="0.3">
      <c r="A9537" s="80"/>
      <c r="B9537" s="81"/>
      <c r="C9537" s="82"/>
    </row>
    <row r="9538" spans="1:3" x14ac:dyDescent="0.3">
      <c r="A9538" s="80"/>
      <c r="B9538" s="81"/>
      <c r="C9538" s="82"/>
    </row>
    <row r="9539" spans="1:3" x14ac:dyDescent="0.3">
      <c r="A9539" s="80"/>
      <c r="B9539" s="81"/>
      <c r="C9539" s="82"/>
    </row>
    <row r="9540" spans="1:3" x14ac:dyDescent="0.3">
      <c r="A9540" s="80"/>
      <c r="B9540" s="81"/>
      <c r="C9540" s="82"/>
    </row>
    <row r="9541" spans="1:3" x14ac:dyDescent="0.3">
      <c r="A9541" s="80"/>
      <c r="B9541" s="81"/>
      <c r="C9541" s="82"/>
    </row>
    <row r="9542" spans="1:3" x14ac:dyDescent="0.3">
      <c r="A9542" s="80"/>
      <c r="B9542" s="81"/>
      <c r="C9542" s="82"/>
    </row>
    <row r="9543" spans="1:3" x14ac:dyDescent="0.3">
      <c r="A9543" s="80"/>
      <c r="B9543" s="81"/>
      <c r="C9543" s="82"/>
    </row>
    <row r="9544" spans="1:3" x14ac:dyDescent="0.3">
      <c r="A9544" s="80"/>
      <c r="B9544" s="81"/>
      <c r="C9544" s="82"/>
    </row>
    <row r="9545" spans="1:3" x14ac:dyDescent="0.3">
      <c r="A9545" s="80"/>
      <c r="B9545" s="81"/>
      <c r="C9545" s="82"/>
    </row>
    <row r="9546" spans="1:3" x14ac:dyDescent="0.3">
      <c r="A9546" s="80"/>
      <c r="B9546" s="81"/>
      <c r="C9546" s="82"/>
    </row>
    <row r="9547" spans="1:3" x14ac:dyDescent="0.3">
      <c r="A9547" s="80"/>
      <c r="B9547" s="81"/>
      <c r="C9547" s="82"/>
    </row>
    <row r="9548" spans="1:3" x14ac:dyDescent="0.3">
      <c r="A9548" s="80"/>
      <c r="B9548" s="81"/>
      <c r="C9548" s="82"/>
    </row>
    <row r="9549" spans="1:3" x14ac:dyDescent="0.3">
      <c r="A9549" s="80"/>
      <c r="B9549" s="81"/>
      <c r="C9549" s="82"/>
    </row>
    <row r="9550" spans="1:3" x14ac:dyDescent="0.3">
      <c r="A9550" s="80"/>
      <c r="B9550" s="81"/>
      <c r="C9550" s="82"/>
    </row>
    <row r="9551" spans="1:3" x14ac:dyDescent="0.3">
      <c r="A9551" s="80"/>
      <c r="B9551" s="81"/>
      <c r="C9551" s="82"/>
    </row>
    <row r="9552" spans="1:3" x14ac:dyDescent="0.3">
      <c r="A9552" s="80"/>
      <c r="B9552" s="81"/>
      <c r="C9552" s="82"/>
    </row>
    <row r="9553" spans="1:3" x14ac:dyDescent="0.3">
      <c r="A9553" s="80"/>
      <c r="B9553" s="81"/>
      <c r="C9553" s="82"/>
    </row>
    <row r="9554" spans="1:3" x14ac:dyDescent="0.3">
      <c r="A9554" s="80"/>
      <c r="B9554" s="81"/>
      <c r="C9554" s="82"/>
    </row>
    <row r="9555" spans="1:3" x14ac:dyDescent="0.3">
      <c r="A9555" s="80"/>
      <c r="B9555" s="81"/>
      <c r="C9555" s="82"/>
    </row>
    <row r="9556" spans="1:3" x14ac:dyDescent="0.3">
      <c r="A9556" s="80"/>
      <c r="B9556" s="81"/>
      <c r="C9556" s="82"/>
    </row>
    <row r="9557" spans="1:3" x14ac:dyDescent="0.3">
      <c r="A9557" s="80"/>
      <c r="B9557" s="81"/>
      <c r="C9557" s="82"/>
    </row>
    <row r="9558" spans="1:3" x14ac:dyDescent="0.3">
      <c r="A9558" s="80"/>
      <c r="B9558" s="81"/>
      <c r="C9558" s="82"/>
    </row>
    <row r="9559" spans="1:3" x14ac:dyDescent="0.3">
      <c r="A9559" s="80"/>
      <c r="B9559" s="81"/>
      <c r="C9559" s="82"/>
    </row>
    <row r="9560" spans="1:3" x14ac:dyDescent="0.3">
      <c r="A9560" s="80"/>
      <c r="B9560" s="81"/>
      <c r="C9560" s="82"/>
    </row>
    <row r="9561" spans="1:3" x14ac:dyDescent="0.3">
      <c r="A9561" s="80"/>
      <c r="B9561" s="81"/>
      <c r="C9561" s="82"/>
    </row>
    <row r="9562" spans="1:3" x14ac:dyDescent="0.3">
      <c r="A9562" s="80"/>
      <c r="B9562" s="81"/>
      <c r="C9562" s="82"/>
    </row>
    <row r="9563" spans="1:3" x14ac:dyDescent="0.3">
      <c r="A9563" s="80"/>
      <c r="B9563" s="81"/>
      <c r="C9563" s="82"/>
    </row>
    <row r="9564" spans="1:3" x14ac:dyDescent="0.3">
      <c r="A9564" s="80"/>
      <c r="B9564" s="81"/>
      <c r="C9564" s="82"/>
    </row>
    <row r="9565" spans="1:3" x14ac:dyDescent="0.3">
      <c r="A9565" s="80"/>
      <c r="B9565" s="81"/>
      <c r="C9565" s="82"/>
    </row>
    <row r="9566" spans="1:3" x14ac:dyDescent="0.3">
      <c r="A9566" s="80"/>
      <c r="B9566" s="81"/>
      <c r="C9566" s="82"/>
    </row>
    <row r="9567" spans="1:3" x14ac:dyDescent="0.3">
      <c r="A9567" s="80"/>
      <c r="B9567" s="81"/>
      <c r="C9567" s="82"/>
    </row>
    <row r="9568" spans="1:3" x14ac:dyDescent="0.3">
      <c r="A9568" s="80"/>
      <c r="B9568" s="81"/>
      <c r="C9568" s="82"/>
    </row>
    <row r="9569" spans="1:3" x14ac:dyDescent="0.3">
      <c r="A9569" s="80"/>
      <c r="B9569" s="81"/>
      <c r="C9569" s="82"/>
    </row>
    <row r="9570" spans="1:3" x14ac:dyDescent="0.3">
      <c r="A9570" s="80"/>
      <c r="B9570" s="81"/>
      <c r="C9570" s="82"/>
    </row>
    <row r="9571" spans="1:3" x14ac:dyDescent="0.3">
      <c r="A9571" s="80"/>
      <c r="B9571" s="81"/>
      <c r="C9571" s="82"/>
    </row>
    <row r="9572" spans="1:3" x14ac:dyDescent="0.3">
      <c r="A9572" s="80"/>
      <c r="B9572" s="81"/>
      <c r="C9572" s="82"/>
    </row>
    <row r="9573" spans="1:3" x14ac:dyDescent="0.3">
      <c r="A9573" s="80"/>
      <c r="B9573" s="81"/>
      <c r="C9573" s="82"/>
    </row>
    <row r="9574" spans="1:3" x14ac:dyDescent="0.3">
      <c r="A9574" s="80"/>
      <c r="B9574" s="81"/>
      <c r="C9574" s="82"/>
    </row>
    <row r="9575" spans="1:3" x14ac:dyDescent="0.3">
      <c r="A9575" s="80"/>
      <c r="B9575" s="81"/>
      <c r="C9575" s="82"/>
    </row>
    <row r="9576" spans="1:3" x14ac:dyDescent="0.3">
      <c r="A9576" s="80"/>
      <c r="B9576" s="81"/>
      <c r="C9576" s="82"/>
    </row>
    <row r="9577" spans="1:3" x14ac:dyDescent="0.3">
      <c r="A9577" s="80"/>
      <c r="B9577" s="81"/>
      <c r="C9577" s="82"/>
    </row>
    <row r="9578" spans="1:3" x14ac:dyDescent="0.3">
      <c r="A9578" s="80"/>
      <c r="B9578" s="81"/>
      <c r="C9578" s="82"/>
    </row>
    <row r="9579" spans="1:3" x14ac:dyDescent="0.3">
      <c r="A9579" s="80"/>
      <c r="B9579" s="81"/>
      <c r="C9579" s="82"/>
    </row>
    <row r="9580" spans="1:3" x14ac:dyDescent="0.3">
      <c r="A9580" s="80"/>
      <c r="B9580" s="81"/>
      <c r="C9580" s="82"/>
    </row>
    <row r="9581" spans="1:3" x14ac:dyDescent="0.3">
      <c r="A9581" s="80"/>
      <c r="B9581" s="81"/>
      <c r="C9581" s="82"/>
    </row>
    <row r="9582" spans="1:3" x14ac:dyDescent="0.3">
      <c r="A9582" s="80"/>
      <c r="B9582" s="81"/>
      <c r="C9582" s="82"/>
    </row>
    <row r="9583" spans="1:3" x14ac:dyDescent="0.3">
      <c r="A9583" s="80"/>
      <c r="B9583" s="81"/>
      <c r="C9583" s="82"/>
    </row>
    <row r="9584" spans="1:3" x14ac:dyDescent="0.3">
      <c r="A9584" s="80"/>
      <c r="B9584" s="81"/>
      <c r="C9584" s="82"/>
    </row>
    <row r="9585" spans="1:3" x14ac:dyDescent="0.3">
      <c r="A9585" s="80"/>
      <c r="B9585" s="81"/>
      <c r="C9585" s="82"/>
    </row>
    <row r="9586" spans="1:3" x14ac:dyDescent="0.3">
      <c r="A9586" s="80"/>
      <c r="B9586" s="81"/>
      <c r="C9586" s="82"/>
    </row>
    <row r="9587" spans="1:3" x14ac:dyDescent="0.3">
      <c r="A9587" s="80"/>
      <c r="B9587" s="81"/>
      <c r="C9587" s="82"/>
    </row>
    <row r="9588" spans="1:3" x14ac:dyDescent="0.3">
      <c r="A9588" s="80"/>
      <c r="B9588" s="81"/>
      <c r="C9588" s="82"/>
    </row>
    <row r="9589" spans="1:3" x14ac:dyDescent="0.3">
      <c r="A9589" s="80"/>
      <c r="B9589" s="81"/>
      <c r="C9589" s="82"/>
    </row>
    <row r="9590" spans="1:3" x14ac:dyDescent="0.3">
      <c r="A9590" s="80"/>
      <c r="B9590" s="81"/>
      <c r="C9590" s="82"/>
    </row>
    <row r="9591" spans="1:3" x14ac:dyDescent="0.3">
      <c r="A9591" s="80"/>
      <c r="B9591" s="81"/>
      <c r="C9591" s="82"/>
    </row>
    <row r="9592" spans="1:3" x14ac:dyDescent="0.3">
      <c r="A9592" s="80"/>
      <c r="B9592" s="81"/>
      <c r="C9592" s="82"/>
    </row>
    <row r="9593" spans="1:3" x14ac:dyDescent="0.3">
      <c r="A9593" s="80"/>
      <c r="B9593" s="81"/>
      <c r="C9593" s="82"/>
    </row>
    <row r="9594" spans="1:3" x14ac:dyDescent="0.3">
      <c r="A9594" s="80"/>
      <c r="B9594" s="81"/>
      <c r="C9594" s="82"/>
    </row>
    <row r="9595" spans="1:3" x14ac:dyDescent="0.3">
      <c r="A9595" s="80"/>
      <c r="B9595" s="81"/>
      <c r="C9595" s="82"/>
    </row>
    <row r="9596" spans="1:3" x14ac:dyDescent="0.3">
      <c r="A9596" s="80"/>
      <c r="B9596" s="81"/>
      <c r="C9596" s="82"/>
    </row>
    <row r="9597" spans="1:3" x14ac:dyDescent="0.3">
      <c r="A9597" s="80"/>
      <c r="B9597" s="81"/>
      <c r="C9597" s="82"/>
    </row>
    <row r="9598" spans="1:3" x14ac:dyDescent="0.3">
      <c r="A9598" s="80"/>
      <c r="B9598" s="81"/>
      <c r="C9598" s="82"/>
    </row>
    <row r="9599" spans="1:3" x14ac:dyDescent="0.3">
      <c r="A9599" s="80"/>
      <c r="B9599" s="81"/>
      <c r="C9599" s="82"/>
    </row>
    <row r="9600" spans="1:3" x14ac:dyDescent="0.3">
      <c r="A9600" s="80"/>
      <c r="B9600" s="81"/>
      <c r="C9600" s="82"/>
    </row>
    <row r="9601" spans="1:3" x14ac:dyDescent="0.3">
      <c r="A9601" s="80"/>
      <c r="B9601" s="81"/>
      <c r="C9601" s="82"/>
    </row>
    <row r="9602" spans="1:3" x14ac:dyDescent="0.3">
      <c r="A9602" s="80"/>
      <c r="B9602" s="81"/>
      <c r="C9602" s="82"/>
    </row>
    <row r="9603" spans="1:3" x14ac:dyDescent="0.3">
      <c r="A9603" s="80"/>
      <c r="B9603" s="81"/>
      <c r="C9603" s="82"/>
    </row>
    <row r="9604" spans="1:3" x14ac:dyDescent="0.3">
      <c r="A9604" s="80"/>
      <c r="B9604" s="81"/>
      <c r="C9604" s="82"/>
    </row>
    <row r="9605" spans="1:3" x14ac:dyDescent="0.3">
      <c r="A9605" s="80"/>
      <c r="B9605" s="81"/>
      <c r="C9605" s="82"/>
    </row>
    <row r="9606" spans="1:3" x14ac:dyDescent="0.3">
      <c r="A9606" s="80"/>
      <c r="B9606" s="81"/>
      <c r="C9606" s="82"/>
    </row>
    <row r="9607" spans="1:3" x14ac:dyDescent="0.3">
      <c r="A9607" s="80"/>
      <c r="B9607" s="81"/>
      <c r="C9607" s="82"/>
    </row>
    <row r="9608" spans="1:3" x14ac:dyDescent="0.3">
      <c r="A9608" s="80"/>
      <c r="B9608" s="81"/>
      <c r="C9608" s="82"/>
    </row>
    <row r="9609" spans="1:3" x14ac:dyDescent="0.3">
      <c r="A9609" s="80"/>
      <c r="B9609" s="81"/>
      <c r="C9609" s="82"/>
    </row>
    <row r="9610" spans="1:3" x14ac:dyDescent="0.3">
      <c r="A9610" s="80"/>
      <c r="B9610" s="81"/>
      <c r="C9610" s="82"/>
    </row>
    <row r="9611" spans="1:3" x14ac:dyDescent="0.3">
      <c r="A9611" s="80"/>
      <c r="B9611" s="81"/>
      <c r="C9611" s="82"/>
    </row>
    <row r="9612" spans="1:3" x14ac:dyDescent="0.3">
      <c r="A9612" s="80"/>
      <c r="B9612" s="81"/>
      <c r="C9612" s="82"/>
    </row>
    <row r="9613" spans="1:3" x14ac:dyDescent="0.3">
      <c r="A9613" s="80"/>
      <c r="B9613" s="81"/>
      <c r="C9613" s="82"/>
    </row>
    <row r="9614" spans="1:3" x14ac:dyDescent="0.3">
      <c r="A9614" s="80"/>
      <c r="B9614" s="81"/>
      <c r="C9614" s="82"/>
    </row>
    <row r="9615" spans="1:3" x14ac:dyDescent="0.3">
      <c r="A9615" s="80"/>
      <c r="B9615" s="81"/>
      <c r="C9615" s="82"/>
    </row>
    <row r="9616" spans="1:3" x14ac:dyDescent="0.3">
      <c r="A9616" s="80"/>
      <c r="B9616" s="81"/>
      <c r="C9616" s="82"/>
    </row>
    <row r="9617" spans="1:3" x14ac:dyDescent="0.3">
      <c r="A9617" s="80"/>
      <c r="B9617" s="81"/>
      <c r="C9617" s="82"/>
    </row>
    <row r="9618" spans="1:3" x14ac:dyDescent="0.3">
      <c r="A9618" s="80"/>
      <c r="B9618" s="81"/>
      <c r="C9618" s="82"/>
    </row>
    <row r="9619" spans="1:3" x14ac:dyDescent="0.3">
      <c r="A9619" s="80"/>
      <c r="B9619" s="81"/>
      <c r="C9619" s="82"/>
    </row>
    <row r="9620" spans="1:3" x14ac:dyDescent="0.3">
      <c r="A9620" s="80"/>
      <c r="B9620" s="81"/>
      <c r="C9620" s="82"/>
    </row>
    <row r="9621" spans="1:3" x14ac:dyDescent="0.3">
      <c r="A9621" s="80"/>
      <c r="B9621" s="81"/>
      <c r="C9621" s="82"/>
    </row>
    <row r="9622" spans="1:3" x14ac:dyDescent="0.3">
      <c r="A9622" s="80"/>
      <c r="B9622" s="81"/>
      <c r="C9622" s="82"/>
    </row>
    <row r="9623" spans="1:3" x14ac:dyDescent="0.3">
      <c r="A9623" s="80"/>
      <c r="B9623" s="81"/>
      <c r="C9623" s="82"/>
    </row>
    <row r="9624" spans="1:3" x14ac:dyDescent="0.3">
      <c r="A9624" s="80"/>
      <c r="B9624" s="81"/>
      <c r="C9624" s="82"/>
    </row>
    <row r="9625" spans="1:3" x14ac:dyDescent="0.3">
      <c r="A9625" s="80"/>
      <c r="B9625" s="81"/>
      <c r="C9625" s="82"/>
    </row>
    <row r="9626" spans="1:3" x14ac:dyDescent="0.3">
      <c r="A9626" s="80"/>
      <c r="B9626" s="81"/>
      <c r="C9626" s="82"/>
    </row>
    <row r="9627" spans="1:3" x14ac:dyDescent="0.3">
      <c r="A9627" s="80"/>
      <c r="B9627" s="81"/>
      <c r="C9627" s="82"/>
    </row>
    <row r="9628" spans="1:3" x14ac:dyDescent="0.3">
      <c r="A9628" s="80"/>
      <c r="B9628" s="81"/>
      <c r="C9628" s="82"/>
    </row>
    <row r="9629" spans="1:3" x14ac:dyDescent="0.3">
      <c r="A9629" s="80"/>
      <c r="B9629" s="81"/>
      <c r="C9629" s="82"/>
    </row>
    <row r="9630" spans="1:3" x14ac:dyDescent="0.3">
      <c r="A9630" s="80"/>
      <c r="B9630" s="81"/>
      <c r="C9630" s="82"/>
    </row>
    <row r="9631" spans="1:3" x14ac:dyDescent="0.3">
      <c r="A9631" s="80"/>
      <c r="B9631" s="81"/>
      <c r="C9631" s="82"/>
    </row>
    <row r="9632" spans="1:3" x14ac:dyDescent="0.3">
      <c r="A9632" s="80"/>
      <c r="B9632" s="81"/>
      <c r="C9632" s="82"/>
    </row>
    <row r="9633" spans="1:3" x14ac:dyDescent="0.3">
      <c r="A9633" s="80"/>
      <c r="B9633" s="81"/>
      <c r="C9633" s="82"/>
    </row>
    <row r="9634" spans="1:3" x14ac:dyDescent="0.3">
      <c r="A9634" s="80"/>
      <c r="B9634" s="81"/>
      <c r="C9634" s="82"/>
    </row>
    <row r="9635" spans="1:3" x14ac:dyDescent="0.3">
      <c r="A9635" s="80"/>
      <c r="B9635" s="81"/>
      <c r="C9635" s="82"/>
    </row>
    <row r="9636" spans="1:3" x14ac:dyDescent="0.3">
      <c r="A9636" s="80"/>
      <c r="B9636" s="81"/>
      <c r="C9636" s="82"/>
    </row>
    <row r="9637" spans="1:3" x14ac:dyDescent="0.3">
      <c r="A9637" s="80"/>
      <c r="B9637" s="81"/>
      <c r="C9637" s="82"/>
    </row>
    <row r="9638" spans="1:3" x14ac:dyDescent="0.3">
      <c r="A9638" s="80"/>
      <c r="B9638" s="81"/>
      <c r="C9638" s="82"/>
    </row>
    <row r="9639" spans="1:3" x14ac:dyDescent="0.3">
      <c r="A9639" s="80"/>
      <c r="B9639" s="81"/>
      <c r="C9639" s="82"/>
    </row>
    <row r="9640" spans="1:3" x14ac:dyDescent="0.3">
      <c r="A9640" s="80"/>
      <c r="B9640" s="81"/>
      <c r="C9640" s="82"/>
    </row>
    <row r="9641" spans="1:3" x14ac:dyDescent="0.3">
      <c r="A9641" s="80"/>
      <c r="B9641" s="81"/>
      <c r="C9641" s="82"/>
    </row>
    <row r="9642" spans="1:3" x14ac:dyDescent="0.3">
      <c r="A9642" s="80"/>
      <c r="B9642" s="81"/>
      <c r="C9642" s="82"/>
    </row>
    <row r="9643" spans="1:3" x14ac:dyDescent="0.3">
      <c r="A9643" s="80"/>
      <c r="B9643" s="81"/>
      <c r="C9643" s="82"/>
    </row>
    <row r="9644" spans="1:3" x14ac:dyDescent="0.3">
      <c r="A9644" s="80"/>
      <c r="B9644" s="81"/>
      <c r="C9644" s="82"/>
    </row>
    <row r="9645" spans="1:3" x14ac:dyDescent="0.3">
      <c r="A9645" s="80"/>
      <c r="B9645" s="81"/>
      <c r="C9645" s="82"/>
    </row>
    <row r="9646" spans="1:3" x14ac:dyDescent="0.3">
      <c r="A9646" s="80"/>
      <c r="B9646" s="81"/>
      <c r="C9646" s="82"/>
    </row>
    <row r="9647" spans="1:3" x14ac:dyDescent="0.3">
      <c r="A9647" s="80"/>
      <c r="B9647" s="81"/>
      <c r="C9647" s="82"/>
    </row>
    <row r="9648" spans="1:3" x14ac:dyDescent="0.3">
      <c r="A9648" s="80"/>
      <c r="B9648" s="81"/>
      <c r="C9648" s="82"/>
    </row>
    <row r="9649" spans="1:3" x14ac:dyDescent="0.3">
      <c r="A9649" s="80"/>
      <c r="B9649" s="81"/>
      <c r="C9649" s="82"/>
    </row>
    <row r="9650" spans="1:3" x14ac:dyDescent="0.3">
      <c r="A9650" s="80"/>
      <c r="B9650" s="81"/>
      <c r="C9650" s="82"/>
    </row>
    <row r="9651" spans="1:3" x14ac:dyDescent="0.3">
      <c r="A9651" s="80"/>
      <c r="B9651" s="81"/>
      <c r="C9651" s="82"/>
    </row>
    <row r="9652" spans="1:3" x14ac:dyDescent="0.3">
      <c r="A9652" s="80"/>
      <c r="B9652" s="81"/>
      <c r="C9652" s="82"/>
    </row>
    <row r="9653" spans="1:3" x14ac:dyDescent="0.3">
      <c r="A9653" s="80"/>
      <c r="B9653" s="81"/>
      <c r="C9653" s="82"/>
    </row>
    <row r="9654" spans="1:3" x14ac:dyDescent="0.3">
      <c r="A9654" s="80"/>
      <c r="B9654" s="81"/>
      <c r="C9654" s="82"/>
    </row>
    <row r="9655" spans="1:3" x14ac:dyDescent="0.3">
      <c r="A9655" s="80"/>
      <c r="B9655" s="81"/>
      <c r="C9655" s="82"/>
    </row>
    <row r="9656" spans="1:3" x14ac:dyDescent="0.3">
      <c r="A9656" s="80"/>
      <c r="B9656" s="81"/>
      <c r="C9656" s="82"/>
    </row>
    <row r="9657" spans="1:3" x14ac:dyDescent="0.3">
      <c r="A9657" s="80"/>
      <c r="B9657" s="81"/>
      <c r="C9657" s="82"/>
    </row>
    <row r="9658" spans="1:3" x14ac:dyDescent="0.3">
      <c r="A9658" s="80"/>
      <c r="B9658" s="81"/>
      <c r="C9658" s="82"/>
    </row>
    <row r="9659" spans="1:3" x14ac:dyDescent="0.3">
      <c r="A9659" s="80"/>
      <c r="B9659" s="81"/>
      <c r="C9659" s="82"/>
    </row>
    <row r="9660" spans="1:3" x14ac:dyDescent="0.3">
      <c r="A9660" s="80"/>
      <c r="B9660" s="81"/>
      <c r="C9660" s="82"/>
    </row>
    <row r="9661" spans="1:3" x14ac:dyDescent="0.3">
      <c r="A9661" s="80"/>
      <c r="B9661" s="81"/>
      <c r="C9661" s="82"/>
    </row>
    <row r="9662" spans="1:3" x14ac:dyDescent="0.3">
      <c r="A9662" s="80"/>
      <c r="B9662" s="81"/>
      <c r="C9662" s="82"/>
    </row>
    <row r="9663" spans="1:3" x14ac:dyDescent="0.3">
      <c r="A9663" s="80"/>
      <c r="B9663" s="81"/>
      <c r="C9663" s="82"/>
    </row>
    <row r="9664" spans="1:3" x14ac:dyDescent="0.3">
      <c r="A9664" s="80"/>
      <c r="B9664" s="81"/>
      <c r="C9664" s="82"/>
    </row>
    <row r="9665" spans="1:3" x14ac:dyDescent="0.3">
      <c r="A9665" s="80"/>
      <c r="B9665" s="81"/>
      <c r="C9665" s="82"/>
    </row>
    <row r="9666" spans="1:3" x14ac:dyDescent="0.3">
      <c r="A9666" s="80"/>
      <c r="B9666" s="81"/>
      <c r="C9666" s="82"/>
    </row>
    <row r="9667" spans="1:3" x14ac:dyDescent="0.3">
      <c r="A9667" s="80"/>
      <c r="B9667" s="81"/>
      <c r="C9667" s="82"/>
    </row>
    <row r="9668" spans="1:3" x14ac:dyDescent="0.3">
      <c r="A9668" s="80"/>
      <c r="B9668" s="81"/>
      <c r="C9668" s="82"/>
    </row>
    <row r="9669" spans="1:3" x14ac:dyDescent="0.3">
      <c r="A9669" s="80"/>
      <c r="B9669" s="81"/>
      <c r="C9669" s="82"/>
    </row>
    <row r="9670" spans="1:3" x14ac:dyDescent="0.3">
      <c r="A9670" s="80"/>
      <c r="B9670" s="81"/>
      <c r="C9670" s="82"/>
    </row>
    <row r="9671" spans="1:3" x14ac:dyDescent="0.3">
      <c r="A9671" s="80"/>
      <c r="B9671" s="81"/>
      <c r="C9671" s="82"/>
    </row>
    <row r="9672" spans="1:3" x14ac:dyDescent="0.3">
      <c r="A9672" s="80"/>
      <c r="B9672" s="81"/>
      <c r="C9672" s="82"/>
    </row>
    <row r="9673" spans="1:3" x14ac:dyDescent="0.3">
      <c r="A9673" s="80"/>
      <c r="B9673" s="81"/>
      <c r="C9673" s="82"/>
    </row>
    <row r="9674" spans="1:3" x14ac:dyDescent="0.3">
      <c r="A9674" s="80"/>
      <c r="B9674" s="81"/>
      <c r="C9674" s="82"/>
    </row>
    <row r="9675" spans="1:3" x14ac:dyDescent="0.3">
      <c r="A9675" s="80"/>
      <c r="B9675" s="81"/>
      <c r="C9675" s="82"/>
    </row>
    <row r="9676" spans="1:3" x14ac:dyDescent="0.3">
      <c r="A9676" s="80"/>
      <c r="B9676" s="81"/>
      <c r="C9676" s="82"/>
    </row>
    <row r="9677" spans="1:3" x14ac:dyDescent="0.3">
      <c r="A9677" s="80"/>
      <c r="B9677" s="81"/>
      <c r="C9677" s="82"/>
    </row>
    <row r="9678" spans="1:3" x14ac:dyDescent="0.3">
      <c r="A9678" s="80"/>
      <c r="B9678" s="81"/>
      <c r="C9678" s="82"/>
    </row>
    <row r="9679" spans="1:3" x14ac:dyDescent="0.3">
      <c r="A9679" s="80"/>
      <c r="B9679" s="81"/>
      <c r="C9679" s="82"/>
    </row>
    <row r="9680" spans="1:3" x14ac:dyDescent="0.3">
      <c r="A9680" s="80"/>
      <c r="B9680" s="81"/>
      <c r="C9680" s="82"/>
    </row>
    <row r="9681" spans="1:3" x14ac:dyDescent="0.3">
      <c r="A9681" s="80"/>
      <c r="B9681" s="81"/>
      <c r="C9681" s="82"/>
    </row>
    <row r="9682" spans="1:3" x14ac:dyDescent="0.3">
      <c r="A9682" s="80"/>
      <c r="B9682" s="81"/>
      <c r="C9682" s="82"/>
    </row>
    <row r="9683" spans="1:3" x14ac:dyDescent="0.3">
      <c r="A9683" s="80"/>
      <c r="B9683" s="81"/>
      <c r="C9683" s="82"/>
    </row>
    <row r="9684" spans="1:3" x14ac:dyDescent="0.3">
      <c r="A9684" s="80"/>
      <c r="B9684" s="81"/>
      <c r="C9684" s="82"/>
    </row>
    <row r="9685" spans="1:3" x14ac:dyDescent="0.3">
      <c r="A9685" s="80"/>
      <c r="B9685" s="81"/>
      <c r="C9685" s="82"/>
    </row>
    <row r="9686" spans="1:3" x14ac:dyDescent="0.3">
      <c r="A9686" s="80"/>
      <c r="B9686" s="81"/>
      <c r="C9686" s="82"/>
    </row>
    <row r="9687" spans="1:3" x14ac:dyDescent="0.3">
      <c r="A9687" s="80"/>
      <c r="B9687" s="81"/>
      <c r="C9687" s="82"/>
    </row>
    <row r="9688" spans="1:3" x14ac:dyDescent="0.3">
      <c r="A9688" s="80"/>
      <c r="B9688" s="81"/>
      <c r="C9688" s="82"/>
    </row>
    <row r="9689" spans="1:3" x14ac:dyDescent="0.3">
      <c r="A9689" s="80"/>
      <c r="B9689" s="81"/>
      <c r="C9689" s="82"/>
    </row>
    <row r="9690" spans="1:3" x14ac:dyDescent="0.3">
      <c r="A9690" s="80"/>
      <c r="B9690" s="81"/>
      <c r="C9690" s="82"/>
    </row>
    <row r="9691" spans="1:3" x14ac:dyDescent="0.3">
      <c r="A9691" s="80"/>
      <c r="B9691" s="81"/>
      <c r="C9691" s="82"/>
    </row>
    <row r="9692" spans="1:3" x14ac:dyDescent="0.3">
      <c r="A9692" s="80"/>
      <c r="B9692" s="81"/>
      <c r="C9692" s="82"/>
    </row>
    <row r="9693" spans="1:3" x14ac:dyDescent="0.3">
      <c r="A9693" s="80"/>
      <c r="B9693" s="81"/>
      <c r="C9693" s="82"/>
    </row>
    <row r="9694" spans="1:3" x14ac:dyDescent="0.3">
      <c r="A9694" s="80"/>
      <c r="B9694" s="81"/>
      <c r="C9694" s="82"/>
    </row>
    <row r="9695" spans="1:3" x14ac:dyDescent="0.3">
      <c r="A9695" s="80"/>
      <c r="B9695" s="81"/>
      <c r="C9695" s="82"/>
    </row>
    <row r="9696" spans="1:3" x14ac:dyDescent="0.3">
      <c r="A9696" s="80"/>
      <c r="B9696" s="81"/>
      <c r="C9696" s="82"/>
    </row>
    <row r="9697" spans="1:3" x14ac:dyDescent="0.3">
      <c r="A9697" s="80"/>
      <c r="B9697" s="81"/>
      <c r="C9697" s="82"/>
    </row>
    <row r="9698" spans="1:3" x14ac:dyDescent="0.3">
      <c r="A9698" s="80"/>
      <c r="B9698" s="81"/>
      <c r="C9698" s="82"/>
    </row>
    <row r="9699" spans="1:3" x14ac:dyDescent="0.3">
      <c r="A9699" s="80"/>
      <c r="B9699" s="81"/>
      <c r="C9699" s="82"/>
    </row>
    <row r="9700" spans="1:3" x14ac:dyDescent="0.3">
      <c r="A9700" s="80"/>
      <c r="B9700" s="81"/>
      <c r="C9700" s="82"/>
    </row>
    <row r="9701" spans="1:3" x14ac:dyDescent="0.3">
      <c r="A9701" s="80"/>
      <c r="B9701" s="81"/>
      <c r="C9701" s="82"/>
    </row>
    <row r="9702" spans="1:3" x14ac:dyDescent="0.3">
      <c r="A9702" s="80"/>
      <c r="B9702" s="81"/>
      <c r="C9702" s="82"/>
    </row>
    <row r="9703" spans="1:3" x14ac:dyDescent="0.3">
      <c r="A9703" s="80"/>
      <c r="B9703" s="81"/>
      <c r="C9703" s="82"/>
    </row>
    <row r="9704" spans="1:3" x14ac:dyDescent="0.3">
      <c r="A9704" s="80"/>
      <c r="B9704" s="81"/>
      <c r="C9704" s="82"/>
    </row>
    <row r="9705" spans="1:3" x14ac:dyDescent="0.3">
      <c r="A9705" s="80"/>
      <c r="B9705" s="81"/>
      <c r="C9705" s="82"/>
    </row>
    <row r="9706" spans="1:3" x14ac:dyDescent="0.3">
      <c r="A9706" s="80"/>
      <c r="B9706" s="81"/>
      <c r="C9706" s="82"/>
    </row>
    <row r="9707" spans="1:3" x14ac:dyDescent="0.3">
      <c r="A9707" s="80"/>
      <c r="B9707" s="81"/>
      <c r="C9707" s="82"/>
    </row>
    <row r="9708" spans="1:3" x14ac:dyDescent="0.3">
      <c r="A9708" s="80"/>
      <c r="B9708" s="81"/>
      <c r="C9708" s="82"/>
    </row>
    <row r="9709" spans="1:3" x14ac:dyDescent="0.3">
      <c r="A9709" s="80"/>
      <c r="B9709" s="81"/>
      <c r="C9709" s="82"/>
    </row>
    <row r="9710" spans="1:3" x14ac:dyDescent="0.3">
      <c r="A9710" s="80"/>
      <c r="B9710" s="81"/>
      <c r="C9710" s="82"/>
    </row>
    <row r="9711" spans="1:3" x14ac:dyDescent="0.3">
      <c r="A9711" s="80"/>
      <c r="B9711" s="81"/>
      <c r="C9711" s="82"/>
    </row>
    <row r="9712" spans="1:3" x14ac:dyDescent="0.3">
      <c r="A9712" s="80"/>
      <c r="B9712" s="81"/>
      <c r="C9712" s="82"/>
    </row>
    <row r="9713" spans="1:3" x14ac:dyDescent="0.3">
      <c r="A9713" s="80"/>
      <c r="B9713" s="81"/>
      <c r="C9713" s="82"/>
    </row>
    <row r="9714" spans="1:3" x14ac:dyDescent="0.3">
      <c r="A9714" s="80"/>
      <c r="B9714" s="81"/>
      <c r="C9714" s="82"/>
    </row>
    <row r="9715" spans="1:3" x14ac:dyDescent="0.3">
      <c r="A9715" s="80"/>
      <c r="B9715" s="81"/>
      <c r="C9715" s="82"/>
    </row>
    <row r="9716" spans="1:3" x14ac:dyDescent="0.3">
      <c r="A9716" s="80"/>
      <c r="B9716" s="81"/>
      <c r="C9716" s="82"/>
    </row>
    <row r="9717" spans="1:3" x14ac:dyDescent="0.3">
      <c r="A9717" s="80"/>
      <c r="B9717" s="81"/>
      <c r="C9717" s="82"/>
    </row>
    <row r="9718" spans="1:3" x14ac:dyDescent="0.3">
      <c r="A9718" s="80"/>
      <c r="B9718" s="81"/>
      <c r="C9718" s="82"/>
    </row>
    <row r="9719" spans="1:3" x14ac:dyDescent="0.3">
      <c r="A9719" s="80"/>
      <c r="B9719" s="81"/>
      <c r="C9719" s="82"/>
    </row>
    <row r="9720" spans="1:3" x14ac:dyDescent="0.3">
      <c r="A9720" s="80"/>
      <c r="B9720" s="81"/>
      <c r="C9720" s="82"/>
    </row>
    <row r="9721" spans="1:3" x14ac:dyDescent="0.3">
      <c r="A9721" s="80"/>
      <c r="B9721" s="81"/>
      <c r="C9721" s="82"/>
    </row>
    <row r="9722" spans="1:3" x14ac:dyDescent="0.3">
      <c r="A9722" s="80"/>
      <c r="B9722" s="81"/>
      <c r="C9722" s="82"/>
    </row>
    <row r="9723" spans="1:3" x14ac:dyDescent="0.3">
      <c r="A9723" s="80"/>
      <c r="B9723" s="81"/>
      <c r="C9723" s="82"/>
    </row>
    <row r="9724" spans="1:3" x14ac:dyDescent="0.3">
      <c r="A9724" s="80"/>
      <c r="B9724" s="81"/>
      <c r="C9724" s="82"/>
    </row>
    <row r="9725" spans="1:3" x14ac:dyDescent="0.3">
      <c r="A9725" s="80"/>
      <c r="B9725" s="81"/>
      <c r="C9725" s="82"/>
    </row>
    <row r="9726" spans="1:3" x14ac:dyDescent="0.3">
      <c r="A9726" s="80"/>
      <c r="B9726" s="81"/>
      <c r="C9726" s="82"/>
    </row>
    <row r="9727" spans="1:3" x14ac:dyDescent="0.3">
      <c r="A9727" s="80"/>
      <c r="B9727" s="81"/>
      <c r="C9727" s="82"/>
    </row>
    <row r="9728" spans="1:3" x14ac:dyDescent="0.3">
      <c r="A9728" s="80"/>
      <c r="B9728" s="81"/>
      <c r="C9728" s="82"/>
    </row>
    <row r="9729" spans="1:3" x14ac:dyDescent="0.3">
      <c r="A9729" s="80"/>
      <c r="B9729" s="81"/>
      <c r="C9729" s="82"/>
    </row>
    <row r="9730" spans="1:3" x14ac:dyDescent="0.3">
      <c r="A9730" s="80"/>
      <c r="B9730" s="81"/>
      <c r="C9730" s="82"/>
    </row>
    <row r="9731" spans="1:3" x14ac:dyDescent="0.3">
      <c r="A9731" s="80"/>
      <c r="B9731" s="81"/>
      <c r="C9731" s="82"/>
    </row>
    <row r="9732" spans="1:3" x14ac:dyDescent="0.3">
      <c r="A9732" s="80"/>
      <c r="B9732" s="81"/>
      <c r="C9732" s="82"/>
    </row>
    <row r="9733" spans="1:3" x14ac:dyDescent="0.3">
      <c r="A9733" s="80"/>
      <c r="B9733" s="81"/>
      <c r="C9733" s="82"/>
    </row>
    <row r="9734" spans="1:3" x14ac:dyDescent="0.3">
      <c r="A9734" s="80"/>
      <c r="B9734" s="81"/>
      <c r="C9734" s="82"/>
    </row>
    <row r="9735" spans="1:3" x14ac:dyDescent="0.3">
      <c r="A9735" s="80"/>
      <c r="B9735" s="81"/>
      <c r="C9735" s="82"/>
    </row>
    <row r="9736" spans="1:3" x14ac:dyDescent="0.3">
      <c r="A9736" s="80"/>
      <c r="B9736" s="81"/>
      <c r="C9736" s="82"/>
    </row>
    <row r="9737" spans="1:3" x14ac:dyDescent="0.3">
      <c r="A9737" s="80"/>
      <c r="B9737" s="81"/>
      <c r="C9737" s="82"/>
    </row>
    <row r="9738" spans="1:3" x14ac:dyDescent="0.3">
      <c r="A9738" s="80"/>
      <c r="B9738" s="81"/>
      <c r="C9738" s="82"/>
    </row>
    <row r="9739" spans="1:3" x14ac:dyDescent="0.3">
      <c r="A9739" s="80"/>
      <c r="B9739" s="81"/>
      <c r="C9739" s="82"/>
    </row>
    <row r="9740" spans="1:3" x14ac:dyDescent="0.3">
      <c r="A9740" s="80"/>
      <c r="B9740" s="81"/>
      <c r="C9740" s="82"/>
    </row>
    <row r="9741" spans="1:3" x14ac:dyDescent="0.3">
      <c r="A9741" s="80"/>
      <c r="B9741" s="81"/>
      <c r="C9741" s="82"/>
    </row>
    <row r="9742" spans="1:3" x14ac:dyDescent="0.3">
      <c r="A9742" s="80"/>
      <c r="B9742" s="81"/>
      <c r="C9742" s="82"/>
    </row>
    <row r="9743" spans="1:3" x14ac:dyDescent="0.3">
      <c r="A9743" s="80"/>
      <c r="B9743" s="81"/>
      <c r="C9743" s="82"/>
    </row>
    <row r="9744" spans="1:3" x14ac:dyDescent="0.3">
      <c r="A9744" s="80"/>
      <c r="B9744" s="81"/>
      <c r="C9744" s="82"/>
    </row>
    <row r="9745" spans="1:3" x14ac:dyDescent="0.3">
      <c r="A9745" s="80"/>
      <c r="B9745" s="81"/>
      <c r="C9745" s="82"/>
    </row>
    <row r="9746" spans="1:3" x14ac:dyDescent="0.3">
      <c r="A9746" s="80"/>
      <c r="B9746" s="81"/>
      <c r="C9746" s="82"/>
    </row>
    <row r="9747" spans="1:3" x14ac:dyDescent="0.3">
      <c r="A9747" s="80"/>
      <c r="B9747" s="81"/>
      <c r="C9747" s="82"/>
    </row>
    <row r="9748" spans="1:3" x14ac:dyDescent="0.3">
      <c r="A9748" s="80"/>
      <c r="B9748" s="81"/>
      <c r="C9748" s="82"/>
    </row>
    <row r="9749" spans="1:3" x14ac:dyDescent="0.3">
      <c r="A9749" s="80"/>
      <c r="B9749" s="81"/>
      <c r="C9749" s="82"/>
    </row>
    <row r="9750" spans="1:3" x14ac:dyDescent="0.3">
      <c r="A9750" s="80"/>
      <c r="B9750" s="81"/>
      <c r="C9750" s="82"/>
    </row>
    <row r="9751" spans="1:3" x14ac:dyDescent="0.3">
      <c r="A9751" s="80"/>
      <c r="B9751" s="81"/>
      <c r="C9751" s="82"/>
    </row>
    <row r="9752" spans="1:3" x14ac:dyDescent="0.3">
      <c r="A9752" s="80"/>
      <c r="B9752" s="81"/>
      <c r="C9752" s="82"/>
    </row>
    <row r="9753" spans="1:3" x14ac:dyDescent="0.3">
      <c r="A9753" s="80"/>
      <c r="B9753" s="81"/>
      <c r="C9753" s="82"/>
    </row>
    <row r="9754" spans="1:3" x14ac:dyDescent="0.3">
      <c r="A9754" s="80"/>
      <c r="B9754" s="81"/>
      <c r="C9754" s="82"/>
    </row>
    <row r="9755" spans="1:3" x14ac:dyDescent="0.3">
      <c r="A9755" s="80"/>
      <c r="B9755" s="81"/>
      <c r="C9755" s="82"/>
    </row>
    <row r="9756" spans="1:3" x14ac:dyDescent="0.3">
      <c r="A9756" s="80"/>
      <c r="B9756" s="81"/>
      <c r="C9756" s="82"/>
    </row>
    <row r="9757" spans="1:3" x14ac:dyDescent="0.3">
      <c r="A9757" s="80"/>
      <c r="B9757" s="81"/>
      <c r="C9757" s="82"/>
    </row>
    <row r="9758" spans="1:3" x14ac:dyDescent="0.3">
      <c r="A9758" s="80"/>
      <c r="B9758" s="81"/>
      <c r="C9758" s="82"/>
    </row>
    <row r="9759" spans="1:3" x14ac:dyDescent="0.3">
      <c r="A9759" s="80"/>
      <c r="B9759" s="81"/>
      <c r="C9759" s="82"/>
    </row>
    <row r="9760" spans="1:3" x14ac:dyDescent="0.3">
      <c r="A9760" s="80"/>
      <c r="B9760" s="81"/>
      <c r="C9760" s="82"/>
    </row>
    <row r="9761" spans="1:3" x14ac:dyDescent="0.3">
      <c r="A9761" s="80"/>
      <c r="B9761" s="81"/>
      <c r="C9761" s="82"/>
    </row>
    <row r="9762" spans="1:3" x14ac:dyDescent="0.3">
      <c r="A9762" s="80"/>
      <c r="B9762" s="81"/>
      <c r="C9762" s="82"/>
    </row>
    <row r="9763" spans="1:3" x14ac:dyDescent="0.3">
      <c r="A9763" s="80"/>
      <c r="B9763" s="81"/>
      <c r="C9763" s="82"/>
    </row>
    <row r="9764" spans="1:3" x14ac:dyDescent="0.3">
      <c r="A9764" s="80"/>
      <c r="B9764" s="81"/>
      <c r="C9764" s="82"/>
    </row>
    <row r="9765" spans="1:3" x14ac:dyDescent="0.3">
      <c r="A9765" s="80"/>
      <c r="B9765" s="81"/>
      <c r="C9765" s="82"/>
    </row>
    <row r="9766" spans="1:3" x14ac:dyDescent="0.3">
      <c r="A9766" s="80"/>
      <c r="B9766" s="81"/>
      <c r="C9766" s="82"/>
    </row>
    <row r="9767" spans="1:3" x14ac:dyDescent="0.3">
      <c r="A9767" s="80"/>
      <c r="B9767" s="81"/>
      <c r="C9767" s="82"/>
    </row>
    <row r="9768" spans="1:3" x14ac:dyDescent="0.3">
      <c r="A9768" s="80"/>
      <c r="B9768" s="81"/>
      <c r="C9768" s="82"/>
    </row>
    <row r="9769" spans="1:3" x14ac:dyDescent="0.3">
      <c r="A9769" s="80"/>
      <c r="B9769" s="81"/>
      <c r="C9769" s="82"/>
    </row>
    <row r="9770" spans="1:3" x14ac:dyDescent="0.3">
      <c r="A9770" s="80"/>
      <c r="B9770" s="81"/>
      <c r="C9770" s="82"/>
    </row>
    <row r="9771" spans="1:3" x14ac:dyDescent="0.3">
      <c r="A9771" s="80"/>
      <c r="B9771" s="81"/>
      <c r="C9771" s="82"/>
    </row>
    <row r="9772" spans="1:3" x14ac:dyDescent="0.3">
      <c r="A9772" s="80"/>
      <c r="B9772" s="81"/>
      <c r="C9772" s="82"/>
    </row>
    <row r="9773" spans="1:3" x14ac:dyDescent="0.3">
      <c r="A9773" s="80"/>
      <c r="B9773" s="81"/>
      <c r="C9773" s="82"/>
    </row>
    <row r="9774" spans="1:3" x14ac:dyDescent="0.3">
      <c r="A9774" s="80"/>
      <c r="B9774" s="81"/>
      <c r="C9774" s="82"/>
    </row>
    <row r="9775" spans="1:3" x14ac:dyDescent="0.3">
      <c r="A9775" s="80"/>
      <c r="B9775" s="81"/>
      <c r="C9775" s="82"/>
    </row>
    <row r="9776" spans="1:3" x14ac:dyDescent="0.3">
      <c r="A9776" s="80"/>
      <c r="B9776" s="81"/>
      <c r="C9776" s="82"/>
    </row>
    <row r="9777" spans="1:3" x14ac:dyDescent="0.3">
      <c r="A9777" s="80"/>
      <c r="B9777" s="81"/>
      <c r="C9777" s="82"/>
    </row>
    <row r="9778" spans="1:3" x14ac:dyDescent="0.3">
      <c r="A9778" s="80"/>
      <c r="B9778" s="81"/>
      <c r="C9778" s="82"/>
    </row>
    <row r="9779" spans="1:3" x14ac:dyDescent="0.3">
      <c r="A9779" s="80"/>
      <c r="B9779" s="81"/>
      <c r="C9779" s="82"/>
    </row>
    <row r="9780" spans="1:3" x14ac:dyDescent="0.3">
      <c r="A9780" s="80"/>
      <c r="B9780" s="81"/>
      <c r="C9780" s="82"/>
    </row>
    <row r="9781" spans="1:3" x14ac:dyDescent="0.3">
      <c r="A9781" s="80"/>
      <c r="B9781" s="81"/>
      <c r="C9781" s="82"/>
    </row>
    <row r="9782" spans="1:3" x14ac:dyDescent="0.3">
      <c r="A9782" s="80"/>
      <c r="B9782" s="81"/>
      <c r="C9782" s="82"/>
    </row>
    <row r="9783" spans="1:3" x14ac:dyDescent="0.3">
      <c r="A9783" s="80"/>
      <c r="B9783" s="81"/>
      <c r="C9783" s="82"/>
    </row>
    <row r="9784" spans="1:3" x14ac:dyDescent="0.3">
      <c r="A9784" s="80"/>
      <c r="B9784" s="81"/>
      <c r="C9784" s="82"/>
    </row>
    <row r="9785" spans="1:3" x14ac:dyDescent="0.3">
      <c r="A9785" s="80"/>
      <c r="B9785" s="81"/>
      <c r="C9785" s="82"/>
    </row>
    <row r="9786" spans="1:3" x14ac:dyDescent="0.3">
      <c r="A9786" s="80"/>
      <c r="B9786" s="81"/>
      <c r="C9786" s="82"/>
    </row>
    <row r="9787" spans="1:3" x14ac:dyDescent="0.3">
      <c r="A9787" s="80"/>
      <c r="B9787" s="81"/>
      <c r="C9787" s="82"/>
    </row>
    <row r="9788" spans="1:3" x14ac:dyDescent="0.3">
      <c r="A9788" s="80"/>
      <c r="B9788" s="81"/>
      <c r="C9788" s="82"/>
    </row>
    <row r="9789" spans="1:3" x14ac:dyDescent="0.3">
      <c r="A9789" s="80"/>
      <c r="B9789" s="81"/>
      <c r="C9789" s="82"/>
    </row>
    <row r="9790" spans="1:3" x14ac:dyDescent="0.3">
      <c r="A9790" s="80"/>
      <c r="B9790" s="81"/>
      <c r="C9790" s="82"/>
    </row>
    <row r="9791" spans="1:3" x14ac:dyDescent="0.3">
      <c r="A9791" s="80"/>
      <c r="B9791" s="81"/>
      <c r="C9791" s="82"/>
    </row>
    <row r="9792" spans="1:3" x14ac:dyDescent="0.3">
      <c r="A9792" s="80"/>
      <c r="B9792" s="81"/>
      <c r="C9792" s="82"/>
    </row>
    <row r="9793" spans="1:3" x14ac:dyDescent="0.3">
      <c r="A9793" s="80"/>
      <c r="B9793" s="81"/>
      <c r="C9793" s="82"/>
    </row>
    <row r="9794" spans="1:3" x14ac:dyDescent="0.3">
      <c r="A9794" s="80"/>
      <c r="B9794" s="81"/>
      <c r="C9794" s="82"/>
    </row>
    <row r="9795" spans="1:3" x14ac:dyDescent="0.3">
      <c r="A9795" s="80"/>
      <c r="B9795" s="81"/>
      <c r="C9795" s="82"/>
    </row>
    <row r="9796" spans="1:3" x14ac:dyDescent="0.3">
      <c r="A9796" s="80"/>
      <c r="B9796" s="81"/>
      <c r="C9796" s="82"/>
    </row>
    <row r="9797" spans="1:3" x14ac:dyDescent="0.3">
      <c r="A9797" s="80"/>
      <c r="B9797" s="81"/>
      <c r="C9797" s="82"/>
    </row>
    <row r="9798" spans="1:3" x14ac:dyDescent="0.3">
      <c r="A9798" s="80"/>
      <c r="B9798" s="81"/>
      <c r="C9798" s="82"/>
    </row>
    <row r="9799" spans="1:3" x14ac:dyDescent="0.3">
      <c r="A9799" s="80"/>
      <c r="B9799" s="81"/>
      <c r="C9799" s="82"/>
    </row>
    <row r="9800" spans="1:3" x14ac:dyDescent="0.3">
      <c r="A9800" s="80"/>
      <c r="B9800" s="81"/>
      <c r="C9800" s="82"/>
    </row>
    <row r="9801" spans="1:3" x14ac:dyDescent="0.3">
      <c r="A9801" s="80"/>
      <c r="B9801" s="81"/>
      <c r="C9801" s="82"/>
    </row>
    <row r="9802" spans="1:3" x14ac:dyDescent="0.3">
      <c r="A9802" s="80"/>
      <c r="B9802" s="81"/>
      <c r="C9802" s="82"/>
    </row>
    <row r="9803" spans="1:3" x14ac:dyDescent="0.3">
      <c r="A9803" s="80"/>
      <c r="B9803" s="81"/>
      <c r="C9803" s="82"/>
    </row>
    <row r="9804" spans="1:3" x14ac:dyDescent="0.3">
      <c r="A9804" s="80"/>
      <c r="B9804" s="81"/>
      <c r="C9804" s="82"/>
    </row>
    <row r="9805" spans="1:3" x14ac:dyDescent="0.3">
      <c r="A9805" s="80"/>
      <c r="B9805" s="81"/>
      <c r="C9805" s="82"/>
    </row>
    <row r="9806" spans="1:3" x14ac:dyDescent="0.3">
      <c r="A9806" s="80"/>
      <c r="B9806" s="81"/>
      <c r="C9806" s="82"/>
    </row>
    <row r="9807" spans="1:3" x14ac:dyDescent="0.3">
      <c r="A9807" s="80"/>
      <c r="B9807" s="81"/>
      <c r="C9807" s="82"/>
    </row>
    <row r="9808" spans="1:3" x14ac:dyDescent="0.3">
      <c r="A9808" s="80"/>
      <c r="B9808" s="81"/>
      <c r="C9808" s="82"/>
    </row>
    <row r="9809" spans="1:3" x14ac:dyDescent="0.3">
      <c r="A9809" s="80"/>
      <c r="B9809" s="81"/>
      <c r="C9809" s="82"/>
    </row>
    <row r="9810" spans="1:3" x14ac:dyDescent="0.3">
      <c r="A9810" s="80"/>
      <c r="B9810" s="81"/>
      <c r="C9810" s="82"/>
    </row>
    <row r="9811" spans="1:3" x14ac:dyDescent="0.3">
      <c r="A9811" s="80"/>
      <c r="B9811" s="81"/>
      <c r="C9811" s="82"/>
    </row>
    <row r="9812" spans="1:3" x14ac:dyDescent="0.3">
      <c r="A9812" s="80"/>
      <c r="B9812" s="81"/>
      <c r="C9812" s="82"/>
    </row>
    <row r="9813" spans="1:3" x14ac:dyDescent="0.3">
      <c r="A9813" s="80"/>
      <c r="B9813" s="81"/>
      <c r="C9813" s="82"/>
    </row>
    <row r="9814" spans="1:3" x14ac:dyDescent="0.3">
      <c r="A9814" s="80"/>
      <c r="B9814" s="81"/>
      <c r="C9814" s="82"/>
    </row>
    <row r="9815" spans="1:3" x14ac:dyDescent="0.3">
      <c r="A9815" s="80"/>
      <c r="B9815" s="81"/>
      <c r="C9815" s="82"/>
    </row>
    <row r="9816" spans="1:3" x14ac:dyDescent="0.3">
      <c r="A9816" s="80"/>
      <c r="B9816" s="81"/>
      <c r="C9816" s="82"/>
    </row>
    <row r="9817" spans="1:3" x14ac:dyDescent="0.3">
      <c r="A9817" s="80"/>
      <c r="B9817" s="81"/>
      <c r="C9817" s="82"/>
    </row>
    <row r="9818" spans="1:3" x14ac:dyDescent="0.3">
      <c r="A9818" s="80"/>
      <c r="B9818" s="81"/>
      <c r="C9818" s="82"/>
    </row>
    <row r="9819" spans="1:3" x14ac:dyDescent="0.3">
      <c r="A9819" s="80"/>
      <c r="B9819" s="81"/>
      <c r="C9819" s="82"/>
    </row>
    <row r="9820" spans="1:3" x14ac:dyDescent="0.3">
      <c r="A9820" s="80"/>
      <c r="B9820" s="81"/>
      <c r="C9820" s="82"/>
    </row>
    <row r="9821" spans="1:3" x14ac:dyDescent="0.3">
      <c r="A9821" s="80"/>
      <c r="B9821" s="81"/>
      <c r="C9821" s="82"/>
    </row>
    <row r="9822" spans="1:3" x14ac:dyDescent="0.3">
      <c r="A9822" s="80"/>
      <c r="B9822" s="81"/>
      <c r="C9822" s="82"/>
    </row>
    <row r="9823" spans="1:3" x14ac:dyDescent="0.3">
      <c r="A9823" s="80"/>
      <c r="B9823" s="81"/>
      <c r="C9823" s="82"/>
    </row>
    <row r="9824" spans="1:3" x14ac:dyDescent="0.3">
      <c r="A9824" s="80"/>
      <c r="B9824" s="81"/>
      <c r="C9824" s="82"/>
    </row>
    <row r="9825" spans="1:3" x14ac:dyDescent="0.3">
      <c r="A9825" s="80"/>
      <c r="B9825" s="81"/>
      <c r="C9825" s="82"/>
    </row>
    <row r="9826" spans="1:3" x14ac:dyDescent="0.3">
      <c r="A9826" s="80"/>
      <c r="B9826" s="81"/>
      <c r="C9826" s="82"/>
    </row>
    <row r="9827" spans="1:3" x14ac:dyDescent="0.3">
      <c r="A9827" s="80"/>
      <c r="B9827" s="81"/>
      <c r="C9827" s="82"/>
    </row>
    <row r="9828" spans="1:3" x14ac:dyDescent="0.3">
      <c r="A9828" s="80"/>
      <c r="B9828" s="81"/>
      <c r="C9828" s="82"/>
    </row>
    <row r="9829" spans="1:3" x14ac:dyDescent="0.3">
      <c r="A9829" s="80"/>
      <c r="B9829" s="81"/>
      <c r="C9829" s="82"/>
    </row>
    <row r="9830" spans="1:3" x14ac:dyDescent="0.3">
      <c r="A9830" s="80"/>
      <c r="B9830" s="81"/>
      <c r="C9830" s="82"/>
    </row>
    <row r="9831" spans="1:3" x14ac:dyDescent="0.3">
      <c r="A9831" s="80"/>
      <c r="B9831" s="81"/>
      <c r="C9831" s="82"/>
    </row>
    <row r="9832" spans="1:3" x14ac:dyDescent="0.3">
      <c r="A9832" s="80"/>
      <c r="B9832" s="81"/>
      <c r="C9832" s="82"/>
    </row>
    <row r="9833" spans="1:3" x14ac:dyDescent="0.3">
      <c r="A9833" s="80"/>
      <c r="B9833" s="81"/>
      <c r="C9833" s="82"/>
    </row>
    <row r="9834" spans="1:3" x14ac:dyDescent="0.3">
      <c r="A9834" s="80"/>
      <c r="B9834" s="81"/>
      <c r="C9834" s="82"/>
    </row>
    <row r="9835" spans="1:3" x14ac:dyDescent="0.3">
      <c r="A9835" s="80"/>
      <c r="B9835" s="81"/>
      <c r="C9835" s="82"/>
    </row>
    <row r="9836" spans="1:3" x14ac:dyDescent="0.3">
      <c r="A9836" s="80"/>
      <c r="B9836" s="81"/>
      <c r="C9836" s="82"/>
    </row>
    <row r="9837" spans="1:3" x14ac:dyDescent="0.3">
      <c r="A9837" s="80"/>
      <c r="B9837" s="81"/>
      <c r="C9837" s="82"/>
    </row>
    <row r="9838" spans="1:3" x14ac:dyDescent="0.3">
      <c r="A9838" s="80"/>
      <c r="B9838" s="81"/>
      <c r="C9838" s="82"/>
    </row>
    <row r="9839" spans="1:3" x14ac:dyDescent="0.3">
      <c r="A9839" s="80"/>
      <c r="B9839" s="81"/>
      <c r="C9839" s="82"/>
    </row>
    <row r="9840" spans="1:3" x14ac:dyDescent="0.3">
      <c r="A9840" s="80"/>
      <c r="B9840" s="81"/>
      <c r="C9840" s="82"/>
    </row>
    <row r="9841" spans="1:3" x14ac:dyDescent="0.3">
      <c r="A9841" s="80"/>
      <c r="B9841" s="81"/>
      <c r="C9841" s="82"/>
    </row>
    <row r="9842" spans="1:3" x14ac:dyDescent="0.3">
      <c r="A9842" s="80"/>
      <c r="B9842" s="81"/>
      <c r="C9842" s="82"/>
    </row>
    <row r="9843" spans="1:3" x14ac:dyDescent="0.3">
      <c r="A9843" s="80"/>
      <c r="B9843" s="81"/>
      <c r="C9843" s="82"/>
    </row>
    <row r="9844" spans="1:3" x14ac:dyDescent="0.3">
      <c r="A9844" s="80"/>
      <c r="B9844" s="81"/>
      <c r="C9844" s="82"/>
    </row>
    <row r="9845" spans="1:3" x14ac:dyDescent="0.3">
      <c r="A9845" s="80"/>
      <c r="B9845" s="81"/>
      <c r="C9845" s="82"/>
    </row>
    <row r="9846" spans="1:3" x14ac:dyDescent="0.3">
      <c r="A9846" s="80"/>
      <c r="B9846" s="81"/>
      <c r="C9846" s="82"/>
    </row>
    <row r="9847" spans="1:3" x14ac:dyDescent="0.3">
      <c r="A9847" s="80"/>
      <c r="B9847" s="81"/>
      <c r="C9847" s="82"/>
    </row>
    <row r="9848" spans="1:3" x14ac:dyDescent="0.3">
      <c r="A9848" s="80"/>
      <c r="B9848" s="81"/>
      <c r="C9848" s="82"/>
    </row>
    <row r="9849" spans="1:3" x14ac:dyDescent="0.3">
      <c r="A9849" s="80"/>
      <c r="B9849" s="81"/>
      <c r="C9849" s="82"/>
    </row>
    <row r="9850" spans="1:3" x14ac:dyDescent="0.3">
      <c r="A9850" s="80"/>
      <c r="B9850" s="81"/>
      <c r="C9850" s="82"/>
    </row>
    <row r="9851" spans="1:3" x14ac:dyDescent="0.3">
      <c r="A9851" s="80"/>
      <c r="B9851" s="81"/>
      <c r="C9851" s="82"/>
    </row>
    <row r="9852" spans="1:3" x14ac:dyDescent="0.3">
      <c r="A9852" s="80"/>
      <c r="B9852" s="81"/>
      <c r="C9852" s="82"/>
    </row>
    <row r="9853" spans="1:3" x14ac:dyDescent="0.3">
      <c r="A9853" s="80"/>
      <c r="B9853" s="81"/>
      <c r="C9853" s="82"/>
    </row>
    <row r="9854" spans="1:3" x14ac:dyDescent="0.3">
      <c r="A9854" s="80"/>
      <c r="B9854" s="81"/>
      <c r="C9854" s="82"/>
    </row>
    <row r="9855" spans="1:3" x14ac:dyDescent="0.3">
      <c r="A9855" s="80"/>
      <c r="B9855" s="81"/>
      <c r="C9855" s="82"/>
    </row>
    <row r="9856" spans="1:3" x14ac:dyDescent="0.3">
      <c r="A9856" s="80"/>
      <c r="B9856" s="81"/>
      <c r="C9856" s="82"/>
    </row>
    <row r="9857" spans="1:3" x14ac:dyDescent="0.3">
      <c r="A9857" s="80"/>
      <c r="B9857" s="81"/>
      <c r="C9857" s="82"/>
    </row>
    <row r="9858" spans="1:3" x14ac:dyDescent="0.3">
      <c r="A9858" s="80"/>
      <c r="B9858" s="81"/>
      <c r="C9858" s="82"/>
    </row>
    <row r="9859" spans="1:3" x14ac:dyDescent="0.3">
      <c r="A9859" s="80"/>
      <c r="B9859" s="81"/>
      <c r="C9859" s="82"/>
    </row>
    <row r="9860" spans="1:3" x14ac:dyDescent="0.3">
      <c r="A9860" s="80"/>
      <c r="B9860" s="81"/>
      <c r="C9860" s="82"/>
    </row>
    <row r="9861" spans="1:3" x14ac:dyDescent="0.3">
      <c r="A9861" s="80"/>
      <c r="B9861" s="81"/>
      <c r="C9861" s="82"/>
    </row>
    <row r="9862" spans="1:3" x14ac:dyDescent="0.3">
      <c r="A9862" s="80"/>
      <c r="B9862" s="81"/>
      <c r="C9862" s="82"/>
    </row>
    <row r="9863" spans="1:3" x14ac:dyDescent="0.3">
      <c r="A9863" s="80"/>
      <c r="B9863" s="81"/>
      <c r="C9863" s="82"/>
    </row>
    <row r="9864" spans="1:3" x14ac:dyDescent="0.3">
      <c r="A9864" s="80"/>
      <c r="B9864" s="81"/>
      <c r="C9864" s="82"/>
    </row>
    <row r="9865" spans="1:3" x14ac:dyDescent="0.3">
      <c r="A9865" s="80"/>
      <c r="B9865" s="81"/>
      <c r="C9865" s="82"/>
    </row>
    <row r="9866" spans="1:3" x14ac:dyDescent="0.3">
      <c r="A9866" s="80"/>
      <c r="B9866" s="81"/>
      <c r="C9866" s="82"/>
    </row>
    <row r="9867" spans="1:3" x14ac:dyDescent="0.3">
      <c r="A9867" s="80"/>
      <c r="B9867" s="81"/>
      <c r="C9867" s="82"/>
    </row>
    <row r="9868" spans="1:3" x14ac:dyDescent="0.3">
      <c r="A9868" s="80"/>
      <c r="B9868" s="81"/>
      <c r="C9868" s="82"/>
    </row>
    <row r="9869" spans="1:3" x14ac:dyDescent="0.3">
      <c r="A9869" s="80"/>
      <c r="B9869" s="81"/>
      <c r="C9869" s="82"/>
    </row>
    <row r="9870" spans="1:3" x14ac:dyDescent="0.3">
      <c r="A9870" s="80"/>
      <c r="B9870" s="81"/>
      <c r="C9870" s="82"/>
    </row>
    <row r="9871" spans="1:3" x14ac:dyDescent="0.3">
      <c r="A9871" s="80"/>
      <c r="B9871" s="81"/>
      <c r="C9871" s="82"/>
    </row>
    <row r="9872" spans="1:3" x14ac:dyDescent="0.3">
      <c r="A9872" s="80"/>
      <c r="B9872" s="81"/>
      <c r="C9872" s="82"/>
    </row>
    <row r="9873" spans="1:3" x14ac:dyDescent="0.3">
      <c r="A9873" s="80"/>
      <c r="B9873" s="81"/>
      <c r="C9873" s="82"/>
    </row>
    <row r="9874" spans="1:3" x14ac:dyDescent="0.3">
      <c r="A9874" s="80"/>
      <c r="B9874" s="81"/>
      <c r="C9874" s="82"/>
    </row>
    <row r="9875" spans="1:3" x14ac:dyDescent="0.3">
      <c r="A9875" s="80"/>
      <c r="B9875" s="81"/>
      <c r="C9875" s="82"/>
    </row>
    <row r="9876" spans="1:3" x14ac:dyDescent="0.3">
      <c r="A9876" s="80"/>
      <c r="B9876" s="81"/>
      <c r="C9876" s="82"/>
    </row>
    <row r="9877" spans="1:3" x14ac:dyDescent="0.3">
      <c r="A9877" s="80"/>
      <c r="B9877" s="81"/>
      <c r="C9877" s="82"/>
    </row>
    <row r="9878" spans="1:3" x14ac:dyDescent="0.3">
      <c r="A9878" s="80"/>
      <c r="B9878" s="81"/>
      <c r="C9878" s="82"/>
    </row>
    <row r="9879" spans="1:3" x14ac:dyDescent="0.3">
      <c r="A9879" s="80"/>
      <c r="B9879" s="81"/>
      <c r="C9879" s="82"/>
    </row>
    <row r="9880" spans="1:3" x14ac:dyDescent="0.3">
      <c r="A9880" s="80"/>
      <c r="B9880" s="81"/>
      <c r="C9880" s="82"/>
    </row>
    <row r="9881" spans="1:3" x14ac:dyDescent="0.3">
      <c r="A9881" s="80"/>
      <c r="B9881" s="81"/>
      <c r="C9881" s="82"/>
    </row>
    <row r="9882" spans="1:3" x14ac:dyDescent="0.3">
      <c r="A9882" s="80"/>
      <c r="B9882" s="81"/>
      <c r="C9882" s="82"/>
    </row>
    <row r="9883" spans="1:3" x14ac:dyDescent="0.3">
      <c r="A9883" s="80"/>
      <c r="B9883" s="81"/>
      <c r="C9883" s="82"/>
    </row>
    <row r="9884" spans="1:3" x14ac:dyDescent="0.3">
      <c r="A9884" s="80"/>
      <c r="B9884" s="81"/>
      <c r="C9884" s="82"/>
    </row>
    <row r="9885" spans="1:3" x14ac:dyDescent="0.3">
      <c r="A9885" s="80"/>
      <c r="B9885" s="81"/>
      <c r="C9885" s="82"/>
    </row>
    <row r="9886" spans="1:3" x14ac:dyDescent="0.3">
      <c r="A9886" s="80"/>
      <c r="B9886" s="81"/>
      <c r="C9886" s="82"/>
    </row>
    <row r="9887" spans="1:3" x14ac:dyDescent="0.3">
      <c r="A9887" s="80"/>
      <c r="B9887" s="81"/>
      <c r="C9887" s="82"/>
    </row>
    <row r="9888" spans="1:3" x14ac:dyDescent="0.3">
      <c r="A9888" s="80"/>
      <c r="B9888" s="81"/>
      <c r="C9888" s="82"/>
    </row>
    <row r="9889" spans="1:3" x14ac:dyDescent="0.3">
      <c r="A9889" s="80"/>
      <c r="B9889" s="81"/>
      <c r="C9889" s="82"/>
    </row>
    <row r="9890" spans="1:3" x14ac:dyDescent="0.3">
      <c r="A9890" s="80"/>
      <c r="B9890" s="81"/>
      <c r="C9890" s="82"/>
    </row>
    <row r="9891" spans="1:3" x14ac:dyDescent="0.3">
      <c r="A9891" s="80"/>
      <c r="B9891" s="81"/>
      <c r="C9891" s="82"/>
    </row>
    <row r="9892" spans="1:3" x14ac:dyDescent="0.3">
      <c r="A9892" s="80"/>
      <c r="B9892" s="81"/>
      <c r="C9892" s="82"/>
    </row>
    <row r="9893" spans="1:3" x14ac:dyDescent="0.3">
      <c r="A9893" s="80"/>
      <c r="B9893" s="81"/>
      <c r="C9893" s="82"/>
    </row>
    <row r="9894" spans="1:3" x14ac:dyDescent="0.3">
      <c r="A9894" s="80"/>
      <c r="B9894" s="81"/>
      <c r="C9894" s="82"/>
    </row>
    <row r="9895" spans="1:3" x14ac:dyDescent="0.3">
      <c r="A9895" s="80"/>
      <c r="B9895" s="81"/>
      <c r="C9895" s="82"/>
    </row>
    <row r="9896" spans="1:3" x14ac:dyDescent="0.3">
      <c r="A9896" s="80"/>
      <c r="B9896" s="81"/>
      <c r="C9896" s="82"/>
    </row>
    <row r="9897" spans="1:3" x14ac:dyDescent="0.3">
      <c r="A9897" s="80"/>
      <c r="B9897" s="81"/>
      <c r="C9897" s="82"/>
    </row>
    <row r="9898" spans="1:3" x14ac:dyDescent="0.3">
      <c r="A9898" s="80"/>
      <c r="B9898" s="81"/>
      <c r="C9898" s="82"/>
    </row>
    <row r="9899" spans="1:3" x14ac:dyDescent="0.3">
      <c r="A9899" s="80"/>
      <c r="B9899" s="81"/>
      <c r="C9899" s="82"/>
    </row>
    <row r="9900" spans="1:3" x14ac:dyDescent="0.3">
      <c r="A9900" s="80"/>
      <c r="B9900" s="81"/>
      <c r="C9900" s="82"/>
    </row>
    <row r="9901" spans="1:3" x14ac:dyDescent="0.3">
      <c r="A9901" s="80"/>
      <c r="B9901" s="81"/>
      <c r="C9901" s="82"/>
    </row>
    <row r="9902" spans="1:3" x14ac:dyDescent="0.3">
      <c r="A9902" s="80"/>
      <c r="B9902" s="81"/>
      <c r="C9902" s="82"/>
    </row>
    <row r="9903" spans="1:3" x14ac:dyDescent="0.3">
      <c r="A9903" s="80"/>
      <c r="B9903" s="81"/>
      <c r="C9903" s="82"/>
    </row>
    <row r="9904" spans="1:3" x14ac:dyDescent="0.3">
      <c r="A9904" s="80"/>
      <c r="B9904" s="81"/>
      <c r="C9904" s="82"/>
    </row>
    <row r="9905" spans="1:3" x14ac:dyDescent="0.3">
      <c r="A9905" s="80"/>
      <c r="B9905" s="81"/>
      <c r="C9905" s="82"/>
    </row>
    <row r="9906" spans="1:3" x14ac:dyDescent="0.3">
      <c r="A9906" s="80"/>
      <c r="B9906" s="81"/>
      <c r="C9906" s="82"/>
    </row>
    <row r="9907" spans="1:3" x14ac:dyDescent="0.3">
      <c r="A9907" s="80"/>
      <c r="B9907" s="81"/>
      <c r="C9907" s="82"/>
    </row>
    <row r="9908" spans="1:3" x14ac:dyDescent="0.3">
      <c r="A9908" s="80"/>
      <c r="B9908" s="81"/>
      <c r="C9908" s="82"/>
    </row>
    <row r="9909" spans="1:3" x14ac:dyDescent="0.3">
      <c r="A9909" s="80"/>
      <c r="B9909" s="81"/>
      <c r="C9909" s="82"/>
    </row>
    <row r="9910" spans="1:3" x14ac:dyDescent="0.3">
      <c r="A9910" s="80"/>
      <c r="B9910" s="81"/>
      <c r="C9910" s="82"/>
    </row>
    <row r="9911" spans="1:3" x14ac:dyDescent="0.3">
      <c r="A9911" s="80"/>
      <c r="B9911" s="81"/>
      <c r="C9911" s="82"/>
    </row>
    <row r="9912" spans="1:3" x14ac:dyDescent="0.3">
      <c r="A9912" s="80"/>
      <c r="B9912" s="81"/>
      <c r="C9912" s="82"/>
    </row>
    <row r="9913" spans="1:3" x14ac:dyDescent="0.3">
      <c r="A9913" s="80"/>
      <c r="B9913" s="81"/>
      <c r="C9913" s="82"/>
    </row>
    <row r="9914" spans="1:3" x14ac:dyDescent="0.3">
      <c r="A9914" s="80"/>
      <c r="B9914" s="81"/>
      <c r="C9914" s="82"/>
    </row>
    <row r="9915" spans="1:3" x14ac:dyDescent="0.3">
      <c r="A9915" s="80"/>
      <c r="B9915" s="81"/>
      <c r="C9915" s="82"/>
    </row>
    <row r="9916" spans="1:3" x14ac:dyDescent="0.3">
      <c r="A9916" s="80"/>
      <c r="B9916" s="81"/>
      <c r="C9916" s="82"/>
    </row>
    <row r="9917" spans="1:3" x14ac:dyDescent="0.3">
      <c r="A9917" s="80"/>
      <c r="B9917" s="81"/>
      <c r="C9917" s="82"/>
    </row>
    <row r="9918" spans="1:3" x14ac:dyDescent="0.3">
      <c r="A9918" s="80"/>
      <c r="B9918" s="81"/>
      <c r="C9918" s="82"/>
    </row>
    <row r="9919" spans="1:3" x14ac:dyDescent="0.3">
      <c r="A9919" s="80"/>
      <c r="B9919" s="81"/>
      <c r="C9919" s="82"/>
    </row>
    <row r="9920" spans="1:3" x14ac:dyDescent="0.3">
      <c r="A9920" s="80"/>
      <c r="B9920" s="81"/>
      <c r="C9920" s="82"/>
    </row>
    <row r="9921" spans="1:3" x14ac:dyDescent="0.3">
      <c r="A9921" s="80"/>
      <c r="B9921" s="81"/>
      <c r="C9921" s="82"/>
    </row>
    <row r="9922" spans="1:3" x14ac:dyDescent="0.3">
      <c r="A9922" s="80"/>
      <c r="B9922" s="81"/>
      <c r="C9922" s="82"/>
    </row>
    <row r="9923" spans="1:3" x14ac:dyDescent="0.3">
      <c r="A9923" s="80"/>
      <c r="B9923" s="81"/>
      <c r="C9923" s="82"/>
    </row>
    <row r="9924" spans="1:3" x14ac:dyDescent="0.3">
      <c r="A9924" s="80"/>
      <c r="B9924" s="81"/>
      <c r="C9924" s="82"/>
    </row>
    <row r="9925" spans="1:3" x14ac:dyDescent="0.3">
      <c r="A9925" s="80"/>
      <c r="B9925" s="81"/>
      <c r="C9925" s="82"/>
    </row>
    <row r="9926" spans="1:3" x14ac:dyDescent="0.3">
      <c r="A9926" s="80"/>
      <c r="B9926" s="81"/>
      <c r="C9926" s="82"/>
    </row>
    <row r="9927" spans="1:3" x14ac:dyDescent="0.3">
      <c r="A9927" s="80"/>
      <c r="B9927" s="81"/>
      <c r="C9927" s="82"/>
    </row>
    <row r="9928" spans="1:3" x14ac:dyDescent="0.3">
      <c r="A9928" s="80"/>
      <c r="B9928" s="81"/>
      <c r="C9928" s="82"/>
    </row>
    <row r="9929" spans="1:3" x14ac:dyDescent="0.3">
      <c r="A9929" s="80"/>
      <c r="B9929" s="81"/>
      <c r="C9929" s="82"/>
    </row>
    <row r="9930" spans="1:3" x14ac:dyDescent="0.3">
      <c r="A9930" s="80"/>
      <c r="B9930" s="81"/>
      <c r="C9930" s="82"/>
    </row>
    <row r="9931" spans="1:3" x14ac:dyDescent="0.3">
      <c r="A9931" s="80"/>
      <c r="B9931" s="81"/>
      <c r="C9931" s="82"/>
    </row>
    <row r="9932" spans="1:3" x14ac:dyDescent="0.3">
      <c r="A9932" s="80"/>
      <c r="B9932" s="81"/>
      <c r="C9932" s="82"/>
    </row>
    <row r="9933" spans="1:3" x14ac:dyDescent="0.3">
      <c r="A9933" s="80"/>
      <c r="B9933" s="81"/>
      <c r="C9933" s="82"/>
    </row>
    <row r="9934" spans="1:3" x14ac:dyDescent="0.3">
      <c r="A9934" s="80"/>
      <c r="B9934" s="81"/>
      <c r="C9934" s="82"/>
    </row>
    <row r="9935" spans="1:3" x14ac:dyDescent="0.3">
      <c r="A9935" s="80"/>
      <c r="B9935" s="81"/>
      <c r="C9935" s="82"/>
    </row>
    <row r="9936" spans="1:3" x14ac:dyDescent="0.3">
      <c r="A9936" s="80"/>
      <c r="B9936" s="81"/>
      <c r="C9936" s="82"/>
    </row>
    <row r="9937" spans="1:3" x14ac:dyDescent="0.3">
      <c r="A9937" s="80"/>
      <c r="B9937" s="81"/>
      <c r="C9937" s="82"/>
    </row>
    <row r="9938" spans="1:3" x14ac:dyDescent="0.3">
      <c r="A9938" s="80"/>
      <c r="B9938" s="81"/>
      <c r="C9938" s="82"/>
    </row>
    <row r="9939" spans="1:3" x14ac:dyDescent="0.3">
      <c r="A9939" s="80"/>
      <c r="B9939" s="81"/>
      <c r="C9939" s="82"/>
    </row>
    <row r="9940" spans="1:3" x14ac:dyDescent="0.3">
      <c r="A9940" s="80"/>
      <c r="B9940" s="81"/>
      <c r="C9940" s="82"/>
    </row>
    <row r="9941" spans="1:3" x14ac:dyDescent="0.3">
      <c r="A9941" s="80"/>
      <c r="B9941" s="81"/>
      <c r="C9941" s="82"/>
    </row>
    <row r="9942" spans="1:3" x14ac:dyDescent="0.3">
      <c r="A9942" s="80"/>
      <c r="B9942" s="81"/>
      <c r="C9942" s="82"/>
    </row>
    <row r="9943" spans="1:3" x14ac:dyDescent="0.3">
      <c r="A9943" s="80"/>
      <c r="B9943" s="81"/>
      <c r="C9943" s="82"/>
    </row>
    <row r="9944" spans="1:3" x14ac:dyDescent="0.3">
      <c r="A9944" s="80"/>
      <c r="B9944" s="81"/>
      <c r="C9944" s="82"/>
    </row>
    <row r="9945" spans="1:3" x14ac:dyDescent="0.3">
      <c r="A9945" s="80"/>
      <c r="B9945" s="81"/>
      <c r="C9945" s="82"/>
    </row>
    <row r="9946" spans="1:3" x14ac:dyDescent="0.3">
      <c r="A9946" s="80"/>
      <c r="B9946" s="81"/>
      <c r="C9946" s="82"/>
    </row>
    <row r="9947" spans="1:3" x14ac:dyDescent="0.3">
      <c r="A9947" s="80"/>
      <c r="B9947" s="81"/>
      <c r="C9947" s="82"/>
    </row>
    <row r="9948" spans="1:3" x14ac:dyDescent="0.3">
      <c r="A9948" s="80"/>
      <c r="B9948" s="81"/>
      <c r="C9948" s="82"/>
    </row>
    <row r="9949" spans="1:3" x14ac:dyDescent="0.3">
      <c r="A9949" s="80"/>
      <c r="B9949" s="81"/>
      <c r="C9949" s="82"/>
    </row>
    <row r="9950" spans="1:3" x14ac:dyDescent="0.3">
      <c r="A9950" s="80"/>
      <c r="B9950" s="81"/>
      <c r="C9950" s="82"/>
    </row>
    <row r="9951" spans="1:3" x14ac:dyDescent="0.3">
      <c r="A9951" s="80"/>
      <c r="B9951" s="81"/>
      <c r="C9951" s="82"/>
    </row>
    <row r="9952" spans="1:3" x14ac:dyDescent="0.3">
      <c r="A9952" s="80"/>
      <c r="B9952" s="81"/>
      <c r="C9952" s="82"/>
    </row>
    <row r="9953" spans="1:3" x14ac:dyDescent="0.3">
      <c r="A9953" s="80"/>
      <c r="B9953" s="81"/>
      <c r="C9953" s="82"/>
    </row>
    <row r="9954" spans="1:3" x14ac:dyDescent="0.3">
      <c r="A9954" s="80"/>
      <c r="B9954" s="81"/>
      <c r="C9954" s="82"/>
    </row>
    <row r="9955" spans="1:3" x14ac:dyDescent="0.3">
      <c r="A9955" s="80"/>
      <c r="B9955" s="81"/>
      <c r="C9955" s="82"/>
    </row>
    <row r="9956" spans="1:3" x14ac:dyDescent="0.3">
      <c r="A9956" s="80"/>
      <c r="B9956" s="81"/>
      <c r="C9956" s="82"/>
    </row>
    <row r="9957" spans="1:3" x14ac:dyDescent="0.3">
      <c r="A9957" s="80"/>
      <c r="B9957" s="81"/>
      <c r="C9957" s="82"/>
    </row>
    <row r="9958" spans="1:3" x14ac:dyDescent="0.3">
      <c r="A9958" s="80"/>
      <c r="B9958" s="81"/>
      <c r="C9958" s="82"/>
    </row>
    <row r="9959" spans="1:3" x14ac:dyDescent="0.3">
      <c r="A9959" s="80"/>
      <c r="B9959" s="81"/>
      <c r="C9959" s="82"/>
    </row>
    <row r="9960" spans="1:3" x14ac:dyDescent="0.3">
      <c r="A9960" s="80"/>
      <c r="B9960" s="81"/>
      <c r="C9960" s="82"/>
    </row>
    <row r="9961" spans="1:3" x14ac:dyDescent="0.3">
      <c r="A9961" s="80"/>
      <c r="B9961" s="81"/>
      <c r="C9961" s="82"/>
    </row>
    <row r="9962" spans="1:3" x14ac:dyDescent="0.3">
      <c r="A9962" s="80"/>
      <c r="B9962" s="81"/>
      <c r="C9962" s="82"/>
    </row>
    <row r="9963" spans="1:3" x14ac:dyDescent="0.3">
      <c r="A9963" s="80"/>
      <c r="B9963" s="81"/>
      <c r="C9963" s="82"/>
    </row>
    <row r="9964" spans="1:3" x14ac:dyDescent="0.3">
      <c r="A9964" s="80"/>
      <c r="B9964" s="81"/>
      <c r="C9964" s="82"/>
    </row>
    <row r="9965" spans="1:3" x14ac:dyDescent="0.3">
      <c r="A9965" s="80"/>
      <c r="B9965" s="81"/>
      <c r="C9965" s="82"/>
    </row>
    <row r="9966" spans="1:3" x14ac:dyDescent="0.3">
      <c r="A9966" s="80"/>
      <c r="B9966" s="81"/>
      <c r="C9966" s="82"/>
    </row>
    <row r="9967" spans="1:3" x14ac:dyDescent="0.3">
      <c r="A9967" s="80"/>
      <c r="B9967" s="81"/>
      <c r="C9967" s="82"/>
    </row>
    <row r="9968" spans="1:3" x14ac:dyDescent="0.3">
      <c r="A9968" s="80"/>
      <c r="B9968" s="81"/>
      <c r="C9968" s="82"/>
    </row>
    <row r="9969" spans="1:3" x14ac:dyDescent="0.3">
      <c r="A9969" s="80"/>
      <c r="B9969" s="81"/>
      <c r="C9969" s="82"/>
    </row>
    <row r="9970" spans="1:3" x14ac:dyDescent="0.3">
      <c r="A9970" s="80"/>
      <c r="B9970" s="81"/>
      <c r="C9970" s="82"/>
    </row>
    <row r="9971" spans="1:3" x14ac:dyDescent="0.3">
      <c r="A9971" s="80"/>
      <c r="B9971" s="81"/>
      <c r="C9971" s="82"/>
    </row>
    <row r="9972" spans="1:3" x14ac:dyDescent="0.3">
      <c r="A9972" s="80"/>
      <c r="B9972" s="81"/>
      <c r="C9972" s="82"/>
    </row>
    <row r="9973" spans="1:3" x14ac:dyDescent="0.3">
      <c r="A9973" s="80"/>
      <c r="B9973" s="81"/>
      <c r="C9973" s="82"/>
    </row>
    <row r="9974" spans="1:3" x14ac:dyDescent="0.3">
      <c r="A9974" s="80"/>
      <c r="B9974" s="81"/>
      <c r="C9974" s="82"/>
    </row>
    <row r="9975" spans="1:3" x14ac:dyDescent="0.3">
      <c r="A9975" s="80"/>
      <c r="B9975" s="81"/>
      <c r="C9975" s="82"/>
    </row>
    <row r="9976" spans="1:3" x14ac:dyDescent="0.3">
      <c r="A9976" s="80"/>
      <c r="B9976" s="81"/>
      <c r="C9976" s="82"/>
    </row>
    <row r="9977" spans="1:3" x14ac:dyDescent="0.3">
      <c r="A9977" s="80"/>
      <c r="B9977" s="81"/>
      <c r="C9977" s="82"/>
    </row>
    <row r="9978" spans="1:3" x14ac:dyDescent="0.3">
      <c r="A9978" s="80"/>
      <c r="B9978" s="81"/>
      <c r="C9978" s="82"/>
    </row>
    <row r="9979" spans="1:3" x14ac:dyDescent="0.3">
      <c r="A9979" s="80"/>
      <c r="B9979" s="81"/>
      <c r="C9979" s="82"/>
    </row>
    <row r="9980" spans="1:3" x14ac:dyDescent="0.3">
      <c r="A9980" s="80"/>
      <c r="B9980" s="81"/>
      <c r="C9980" s="82"/>
    </row>
    <row r="9981" spans="1:3" x14ac:dyDescent="0.3">
      <c r="A9981" s="80"/>
      <c r="B9981" s="81"/>
      <c r="C9981" s="82"/>
    </row>
    <row r="9982" spans="1:3" x14ac:dyDescent="0.3">
      <c r="A9982" s="80"/>
      <c r="B9982" s="81"/>
      <c r="C9982" s="82"/>
    </row>
    <row r="9983" spans="1:3" x14ac:dyDescent="0.3">
      <c r="A9983" s="80"/>
      <c r="B9983" s="81"/>
      <c r="C9983" s="82"/>
    </row>
    <row r="9984" spans="1:3" x14ac:dyDescent="0.3">
      <c r="A9984" s="80"/>
      <c r="B9984" s="81"/>
      <c r="C9984" s="82"/>
    </row>
    <row r="9985" spans="1:3" x14ac:dyDescent="0.3">
      <c r="A9985" s="80"/>
      <c r="B9985" s="81"/>
      <c r="C9985" s="82"/>
    </row>
    <row r="9986" spans="1:3" x14ac:dyDescent="0.3">
      <c r="A9986" s="80"/>
      <c r="B9986" s="81"/>
      <c r="C9986" s="82"/>
    </row>
    <row r="9987" spans="1:3" x14ac:dyDescent="0.3">
      <c r="A9987" s="80"/>
      <c r="B9987" s="81"/>
      <c r="C9987" s="82"/>
    </row>
    <row r="9988" spans="1:3" x14ac:dyDescent="0.3">
      <c r="A9988" s="80"/>
      <c r="B9988" s="81"/>
      <c r="C9988" s="82"/>
    </row>
    <row r="9989" spans="1:3" x14ac:dyDescent="0.3">
      <c r="A9989" s="80"/>
      <c r="B9989" s="81"/>
      <c r="C9989" s="82"/>
    </row>
    <row r="9990" spans="1:3" x14ac:dyDescent="0.3">
      <c r="A9990" s="80"/>
      <c r="B9990" s="81"/>
      <c r="C9990" s="82"/>
    </row>
    <row r="9991" spans="1:3" x14ac:dyDescent="0.3">
      <c r="A9991" s="80"/>
      <c r="B9991" s="81"/>
      <c r="C9991" s="82"/>
    </row>
    <row r="9992" spans="1:3" x14ac:dyDescent="0.3">
      <c r="A9992" s="80"/>
      <c r="B9992" s="81"/>
      <c r="C9992" s="82"/>
    </row>
    <row r="9993" spans="1:3" x14ac:dyDescent="0.3">
      <c r="A9993" s="80"/>
      <c r="B9993" s="81"/>
      <c r="C9993" s="82"/>
    </row>
    <row r="9994" spans="1:3" x14ac:dyDescent="0.3">
      <c r="A9994" s="80"/>
      <c r="B9994" s="81"/>
      <c r="C9994" s="82"/>
    </row>
    <row r="9995" spans="1:3" x14ac:dyDescent="0.3">
      <c r="A9995" s="80"/>
      <c r="B9995" s="81"/>
      <c r="C9995" s="82"/>
    </row>
    <row r="9996" spans="1:3" x14ac:dyDescent="0.3">
      <c r="A9996" s="80"/>
      <c r="B9996" s="81"/>
      <c r="C9996" s="82"/>
    </row>
    <row r="9997" spans="1:3" x14ac:dyDescent="0.3">
      <c r="A9997" s="80"/>
      <c r="B9997" s="81"/>
      <c r="C9997" s="82"/>
    </row>
    <row r="9998" spans="1:3" x14ac:dyDescent="0.3">
      <c r="A9998" s="80"/>
      <c r="B9998" s="81"/>
      <c r="C9998" s="82"/>
    </row>
    <row r="9999" spans="1:3" x14ac:dyDescent="0.3">
      <c r="A9999" s="80"/>
      <c r="B9999" s="81"/>
      <c r="C9999" s="82"/>
    </row>
    <row r="10000" spans="1:3" x14ac:dyDescent="0.3">
      <c r="A10000" s="80"/>
      <c r="B10000" s="81"/>
      <c r="C10000" s="82"/>
    </row>
    <row r="10001" spans="1:3" x14ac:dyDescent="0.3">
      <c r="A10001" s="80"/>
      <c r="B10001" s="81"/>
      <c r="C10001" s="82"/>
    </row>
    <row r="10002" spans="1:3" x14ac:dyDescent="0.3">
      <c r="A10002" s="80"/>
      <c r="B10002" s="81"/>
      <c r="C10002" s="82"/>
    </row>
    <row r="10003" spans="1:3" x14ac:dyDescent="0.3">
      <c r="A10003" s="80"/>
      <c r="B10003" s="81"/>
      <c r="C10003" s="82"/>
    </row>
    <row r="10004" spans="1:3" x14ac:dyDescent="0.3">
      <c r="A10004" s="80"/>
      <c r="B10004" s="81"/>
      <c r="C10004" s="82"/>
    </row>
    <row r="10005" spans="1:3" x14ac:dyDescent="0.3">
      <c r="A10005" s="80"/>
      <c r="B10005" s="81"/>
      <c r="C10005" s="82"/>
    </row>
    <row r="10006" spans="1:3" x14ac:dyDescent="0.3">
      <c r="A10006" s="80"/>
      <c r="B10006" s="81"/>
      <c r="C10006" s="82"/>
    </row>
    <row r="10007" spans="1:3" x14ac:dyDescent="0.3">
      <c r="A10007" s="80"/>
      <c r="B10007" s="81"/>
      <c r="C10007" s="82"/>
    </row>
    <row r="10008" spans="1:3" x14ac:dyDescent="0.3">
      <c r="A10008" s="80"/>
      <c r="B10008" s="81"/>
      <c r="C10008" s="82"/>
    </row>
    <row r="10009" spans="1:3" x14ac:dyDescent="0.3">
      <c r="A10009" s="80"/>
      <c r="B10009" s="81"/>
      <c r="C10009" s="82"/>
    </row>
    <row r="10010" spans="1:3" x14ac:dyDescent="0.3">
      <c r="A10010" s="80"/>
      <c r="B10010" s="81"/>
      <c r="C10010" s="82"/>
    </row>
    <row r="10011" spans="1:3" x14ac:dyDescent="0.3">
      <c r="A10011" s="80"/>
      <c r="B10011" s="81"/>
      <c r="C10011" s="82"/>
    </row>
    <row r="10012" spans="1:3" x14ac:dyDescent="0.3">
      <c r="A10012" s="80"/>
      <c r="B10012" s="81"/>
      <c r="C10012" s="82"/>
    </row>
    <row r="10013" spans="1:3" x14ac:dyDescent="0.3">
      <c r="A10013" s="80"/>
      <c r="B10013" s="81"/>
      <c r="C10013" s="82"/>
    </row>
    <row r="10014" spans="1:3" x14ac:dyDescent="0.3">
      <c r="A10014" s="80"/>
      <c r="B10014" s="81"/>
      <c r="C10014" s="82"/>
    </row>
    <row r="10015" spans="1:3" x14ac:dyDescent="0.3">
      <c r="A10015" s="80"/>
      <c r="B10015" s="81"/>
      <c r="C10015" s="82"/>
    </row>
    <row r="10016" spans="1:3" x14ac:dyDescent="0.3">
      <c r="A10016" s="80"/>
      <c r="B10016" s="81"/>
      <c r="C10016" s="82"/>
    </row>
    <row r="10017" spans="1:3" x14ac:dyDescent="0.3">
      <c r="A10017" s="80"/>
      <c r="B10017" s="81"/>
      <c r="C10017" s="82"/>
    </row>
    <row r="10018" spans="1:3" x14ac:dyDescent="0.3">
      <c r="A10018" s="80"/>
      <c r="B10018" s="81"/>
      <c r="C10018" s="82"/>
    </row>
    <row r="10019" spans="1:3" x14ac:dyDescent="0.3">
      <c r="A10019" s="80"/>
      <c r="B10019" s="81"/>
      <c r="C10019" s="82"/>
    </row>
    <row r="10020" spans="1:3" x14ac:dyDescent="0.3">
      <c r="A10020" s="80"/>
      <c r="B10020" s="81"/>
      <c r="C10020" s="82"/>
    </row>
    <row r="10021" spans="1:3" x14ac:dyDescent="0.3">
      <c r="A10021" s="80"/>
      <c r="B10021" s="81"/>
      <c r="C10021" s="82"/>
    </row>
    <row r="10022" spans="1:3" x14ac:dyDescent="0.3">
      <c r="A10022" s="80"/>
      <c r="B10022" s="81"/>
      <c r="C10022" s="82"/>
    </row>
    <row r="10023" spans="1:3" x14ac:dyDescent="0.3">
      <c r="A10023" s="80"/>
      <c r="B10023" s="81"/>
      <c r="C10023" s="82"/>
    </row>
    <row r="10024" spans="1:3" x14ac:dyDescent="0.3">
      <c r="A10024" s="80"/>
      <c r="B10024" s="81"/>
      <c r="C10024" s="82"/>
    </row>
    <row r="10025" spans="1:3" x14ac:dyDescent="0.3">
      <c r="A10025" s="80"/>
      <c r="B10025" s="81"/>
      <c r="C10025" s="82"/>
    </row>
    <row r="10026" spans="1:3" x14ac:dyDescent="0.3">
      <c r="A10026" s="80"/>
      <c r="B10026" s="81"/>
      <c r="C10026" s="82"/>
    </row>
    <row r="10027" spans="1:3" x14ac:dyDescent="0.3">
      <c r="A10027" s="80"/>
      <c r="B10027" s="81"/>
      <c r="C10027" s="82"/>
    </row>
    <row r="10028" spans="1:3" x14ac:dyDescent="0.3">
      <c r="A10028" s="80"/>
      <c r="B10028" s="81"/>
      <c r="C10028" s="82"/>
    </row>
    <row r="10029" spans="1:3" x14ac:dyDescent="0.3">
      <c r="A10029" s="80"/>
      <c r="B10029" s="81"/>
      <c r="C10029" s="82"/>
    </row>
    <row r="10030" spans="1:3" x14ac:dyDescent="0.3">
      <c r="A10030" s="80"/>
      <c r="B10030" s="81"/>
      <c r="C10030" s="82"/>
    </row>
    <row r="10031" spans="1:3" x14ac:dyDescent="0.3">
      <c r="A10031" s="80"/>
      <c r="B10031" s="81"/>
      <c r="C10031" s="82"/>
    </row>
    <row r="10032" spans="1:3" x14ac:dyDescent="0.3">
      <c r="A10032" s="80"/>
      <c r="B10032" s="81"/>
      <c r="C10032" s="82"/>
    </row>
    <row r="10033" spans="1:3" x14ac:dyDescent="0.3">
      <c r="A10033" s="80"/>
      <c r="B10033" s="81"/>
      <c r="C10033" s="82"/>
    </row>
    <row r="10034" spans="1:3" x14ac:dyDescent="0.3">
      <c r="A10034" s="80"/>
      <c r="B10034" s="81"/>
      <c r="C10034" s="82"/>
    </row>
    <row r="10035" spans="1:3" x14ac:dyDescent="0.3">
      <c r="A10035" s="80"/>
      <c r="B10035" s="81"/>
      <c r="C10035" s="82"/>
    </row>
    <row r="10036" spans="1:3" x14ac:dyDescent="0.3">
      <c r="A10036" s="80"/>
      <c r="B10036" s="81"/>
      <c r="C10036" s="82"/>
    </row>
    <row r="10037" spans="1:3" x14ac:dyDescent="0.3">
      <c r="A10037" s="80"/>
      <c r="B10037" s="81"/>
      <c r="C10037" s="82"/>
    </row>
    <row r="10038" spans="1:3" x14ac:dyDescent="0.3">
      <c r="A10038" s="80"/>
      <c r="B10038" s="81"/>
      <c r="C10038" s="82"/>
    </row>
    <row r="10039" spans="1:3" x14ac:dyDescent="0.3">
      <c r="A10039" s="80"/>
      <c r="B10039" s="81"/>
      <c r="C10039" s="82"/>
    </row>
    <row r="10040" spans="1:3" x14ac:dyDescent="0.3">
      <c r="A10040" s="80"/>
      <c r="B10040" s="81"/>
      <c r="C10040" s="82"/>
    </row>
    <row r="10041" spans="1:3" x14ac:dyDescent="0.3">
      <c r="A10041" s="80"/>
      <c r="B10041" s="81"/>
      <c r="C10041" s="82"/>
    </row>
    <row r="10042" spans="1:3" x14ac:dyDescent="0.3">
      <c r="A10042" s="80"/>
      <c r="B10042" s="81"/>
      <c r="C10042" s="82"/>
    </row>
    <row r="10043" spans="1:3" x14ac:dyDescent="0.3">
      <c r="A10043" s="80"/>
      <c r="B10043" s="81"/>
      <c r="C10043" s="82"/>
    </row>
    <row r="10044" spans="1:3" x14ac:dyDescent="0.3">
      <c r="A10044" s="80"/>
      <c r="B10044" s="81"/>
      <c r="C10044" s="82"/>
    </row>
    <row r="10045" spans="1:3" x14ac:dyDescent="0.3">
      <c r="A10045" s="80"/>
      <c r="B10045" s="81"/>
      <c r="C10045" s="82"/>
    </row>
    <row r="10046" spans="1:3" x14ac:dyDescent="0.3">
      <c r="A10046" s="80"/>
      <c r="B10046" s="81"/>
      <c r="C10046" s="82"/>
    </row>
    <row r="10047" spans="1:3" x14ac:dyDescent="0.3">
      <c r="A10047" s="80"/>
      <c r="B10047" s="81"/>
      <c r="C10047" s="82"/>
    </row>
    <row r="10048" spans="1:3" x14ac:dyDescent="0.3">
      <c r="A10048" s="80"/>
      <c r="B10048" s="81"/>
      <c r="C10048" s="82"/>
    </row>
    <row r="10049" spans="1:3" x14ac:dyDescent="0.3">
      <c r="A10049" s="80"/>
      <c r="B10049" s="81"/>
      <c r="C10049" s="82"/>
    </row>
    <row r="10050" spans="1:3" x14ac:dyDescent="0.3">
      <c r="A10050" s="80"/>
      <c r="B10050" s="81"/>
      <c r="C10050" s="82"/>
    </row>
    <row r="10051" spans="1:3" x14ac:dyDescent="0.3">
      <c r="A10051" s="80"/>
      <c r="B10051" s="81"/>
      <c r="C10051" s="82"/>
    </row>
    <row r="10052" spans="1:3" x14ac:dyDescent="0.3">
      <c r="A10052" s="80"/>
      <c r="B10052" s="81"/>
      <c r="C10052" s="82"/>
    </row>
    <row r="10053" spans="1:3" x14ac:dyDescent="0.3">
      <c r="A10053" s="80"/>
      <c r="B10053" s="81"/>
      <c r="C10053" s="82"/>
    </row>
    <row r="10054" spans="1:3" x14ac:dyDescent="0.3">
      <c r="A10054" s="80"/>
      <c r="B10054" s="81"/>
      <c r="C10054" s="82"/>
    </row>
    <row r="10055" spans="1:3" x14ac:dyDescent="0.3">
      <c r="A10055" s="80"/>
      <c r="B10055" s="81"/>
      <c r="C10055" s="82"/>
    </row>
    <row r="10056" spans="1:3" x14ac:dyDescent="0.3">
      <c r="A10056" s="80"/>
      <c r="B10056" s="81"/>
      <c r="C10056" s="82"/>
    </row>
    <row r="10057" spans="1:3" x14ac:dyDescent="0.3">
      <c r="A10057" s="80"/>
      <c r="B10057" s="81"/>
      <c r="C10057" s="82"/>
    </row>
    <row r="10058" spans="1:3" x14ac:dyDescent="0.3">
      <c r="A10058" s="80"/>
      <c r="B10058" s="81"/>
      <c r="C10058" s="82"/>
    </row>
    <row r="10059" spans="1:3" x14ac:dyDescent="0.3">
      <c r="A10059" s="80"/>
      <c r="B10059" s="81"/>
      <c r="C10059" s="82"/>
    </row>
    <row r="10060" spans="1:3" x14ac:dyDescent="0.3">
      <c r="A10060" s="80"/>
      <c r="B10060" s="81"/>
      <c r="C10060" s="82"/>
    </row>
    <row r="10061" spans="1:3" x14ac:dyDescent="0.3">
      <c r="A10061" s="80"/>
      <c r="B10061" s="81"/>
      <c r="C10061" s="82"/>
    </row>
    <row r="10062" spans="1:3" x14ac:dyDescent="0.3">
      <c r="A10062" s="80"/>
      <c r="B10062" s="81"/>
      <c r="C10062" s="82"/>
    </row>
    <row r="10063" spans="1:3" x14ac:dyDescent="0.3">
      <c r="A10063" s="80"/>
      <c r="B10063" s="81"/>
      <c r="C10063" s="82"/>
    </row>
    <row r="10064" spans="1:3" x14ac:dyDescent="0.3">
      <c r="A10064" s="80"/>
      <c r="B10064" s="81"/>
      <c r="C10064" s="82"/>
    </row>
    <row r="10065" spans="1:3" x14ac:dyDescent="0.3">
      <c r="A10065" s="80"/>
      <c r="B10065" s="81"/>
      <c r="C10065" s="82"/>
    </row>
    <row r="10066" spans="1:3" x14ac:dyDescent="0.3">
      <c r="A10066" s="80"/>
      <c r="B10066" s="81"/>
      <c r="C10066" s="82"/>
    </row>
    <row r="10067" spans="1:3" x14ac:dyDescent="0.3">
      <c r="A10067" s="80"/>
      <c r="B10067" s="81"/>
      <c r="C10067" s="82"/>
    </row>
    <row r="10068" spans="1:3" x14ac:dyDescent="0.3">
      <c r="A10068" s="80"/>
      <c r="B10068" s="81"/>
      <c r="C10068" s="82"/>
    </row>
    <row r="10069" spans="1:3" x14ac:dyDescent="0.3">
      <c r="A10069" s="80"/>
      <c r="B10069" s="81"/>
      <c r="C10069" s="82"/>
    </row>
    <row r="10070" spans="1:3" x14ac:dyDescent="0.3">
      <c r="A10070" s="80"/>
      <c r="B10070" s="81"/>
      <c r="C10070" s="82"/>
    </row>
    <row r="10071" spans="1:3" x14ac:dyDescent="0.3">
      <c r="A10071" s="80"/>
      <c r="B10071" s="81"/>
      <c r="C10071" s="82"/>
    </row>
    <row r="10072" spans="1:3" x14ac:dyDescent="0.3">
      <c r="A10072" s="80"/>
      <c r="B10072" s="81"/>
      <c r="C10072" s="82"/>
    </row>
    <row r="10073" spans="1:3" x14ac:dyDescent="0.3">
      <c r="A10073" s="80"/>
      <c r="B10073" s="81"/>
      <c r="C10073" s="82"/>
    </row>
    <row r="10074" spans="1:3" x14ac:dyDescent="0.3">
      <c r="A10074" s="80"/>
      <c r="B10074" s="81"/>
      <c r="C10074" s="82"/>
    </row>
    <row r="10075" spans="1:3" x14ac:dyDescent="0.3">
      <c r="A10075" s="80"/>
      <c r="B10075" s="81"/>
      <c r="C10075" s="82"/>
    </row>
    <row r="10076" spans="1:3" x14ac:dyDescent="0.3">
      <c r="A10076" s="80"/>
      <c r="B10076" s="81"/>
      <c r="C10076" s="82"/>
    </row>
    <row r="10077" spans="1:3" x14ac:dyDescent="0.3">
      <c r="A10077" s="80"/>
      <c r="B10077" s="81"/>
      <c r="C10077" s="82"/>
    </row>
    <row r="10078" spans="1:3" x14ac:dyDescent="0.3">
      <c r="A10078" s="80"/>
      <c r="B10078" s="81"/>
      <c r="C10078" s="82"/>
    </row>
    <row r="10079" spans="1:3" x14ac:dyDescent="0.3">
      <c r="A10079" s="80"/>
      <c r="B10079" s="81"/>
      <c r="C10079" s="82"/>
    </row>
    <row r="10080" spans="1:3" x14ac:dyDescent="0.3">
      <c r="A10080" s="80"/>
      <c r="B10080" s="81"/>
      <c r="C10080" s="82"/>
    </row>
    <row r="10081" spans="1:3" x14ac:dyDescent="0.3">
      <c r="A10081" s="80"/>
      <c r="B10081" s="81"/>
      <c r="C10081" s="82"/>
    </row>
    <row r="10082" spans="1:3" x14ac:dyDescent="0.3">
      <c r="A10082" s="80"/>
      <c r="B10082" s="81"/>
      <c r="C10082" s="82"/>
    </row>
    <row r="10083" spans="1:3" x14ac:dyDescent="0.3">
      <c r="A10083" s="80"/>
      <c r="B10083" s="81"/>
      <c r="C10083" s="82"/>
    </row>
    <row r="10084" spans="1:3" x14ac:dyDescent="0.3">
      <c r="A10084" s="80"/>
      <c r="B10084" s="81"/>
      <c r="C10084" s="82"/>
    </row>
    <row r="10085" spans="1:3" x14ac:dyDescent="0.3">
      <c r="A10085" s="80"/>
      <c r="B10085" s="81"/>
      <c r="C10085" s="82"/>
    </row>
    <row r="10086" spans="1:3" x14ac:dyDescent="0.3">
      <c r="A10086" s="80"/>
      <c r="B10086" s="81"/>
      <c r="C10086" s="82"/>
    </row>
    <row r="10087" spans="1:3" x14ac:dyDescent="0.3">
      <c r="A10087" s="80"/>
      <c r="B10087" s="81"/>
      <c r="C10087" s="82"/>
    </row>
    <row r="10088" spans="1:3" x14ac:dyDescent="0.3">
      <c r="A10088" s="80"/>
      <c r="B10088" s="81"/>
      <c r="C10088" s="82"/>
    </row>
    <row r="10089" spans="1:3" x14ac:dyDescent="0.3">
      <c r="A10089" s="80"/>
      <c r="B10089" s="81"/>
      <c r="C10089" s="82"/>
    </row>
    <row r="10090" spans="1:3" x14ac:dyDescent="0.3">
      <c r="A10090" s="80"/>
      <c r="B10090" s="81"/>
      <c r="C10090" s="82"/>
    </row>
    <row r="10091" spans="1:3" x14ac:dyDescent="0.3">
      <c r="A10091" s="80"/>
      <c r="B10091" s="81"/>
      <c r="C10091" s="82"/>
    </row>
    <row r="10092" spans="1:3" x14ac:dyDescent="0.3">
      <c r="A10092" s="80"/>
      <c r="B10092" s="81"/>
      <c r="C10092" s="82"/>
    </row>
    <row r="10093" spans="1:3" x14ac:dyDescent="0.3">
      <c r="A10093" s="80"/>
      <c r="B10093" s="81"/>
      <c r="C10093" s="82"/>
    </row>
    <row r="10094" spans="1:3" x14ac:dyDescent="0.3">
      <c r="A10094" s="80"/>
      <c r="B10094" s="81"/>
      <c r="C10094" s="82"/>
    </row>
    <row r="10095" spans="1:3" x14ac:dyDescent="0.3">
      <c r="A10095" s="80"/>
      <c r="B10095" s="81"/>
      <c r="C10095" s="82"/>
    </row>
    <row r="10096" spans="1:3" x14ac:dyDescent="0.3">
      <c r="A10096" s="80"/>
      <c r="B10096" s="81"/>
      <c r="C10096" s="82"/>
    </row>
    <row r="10097" spans="1:3" x14ac:dyDescent="0.3">
      <c r="A10097" s="80"/>
      <c r="B10097" s="81"/>
      <c r="C10097" s="82"/>
    </row>
    <row r="10098" spans="1:3" x14ac:dyDescent="0.3">
      <c r="A10098" s="80"/>
      <c r="B10098" s="81"/>
      <c r="C10098" s="82"/>
    </row>
    <row r="10099" spans="1:3" x14ac:dyDescent="0.3">
      <c r="A10099" s="80"/>
      <c r="B10099" s="81"/>
      <c r="C10099" s="82"/>
    </row>
    <row r="10100" spans="1:3" x14ac:dyDescent="0.3">
      <c r="A10100" s="80"/>
      <c r="B10100" s="81"/>
      <c r="C10100" s="82"/>
    </row>
    <row r="10101" spans="1:3" x14ac:dyDescent="0.3">
      <c r="A10101" s="80"/>
      <c r="B10101" s="81"/>
      <c r="C10101" s="82"/>
    </row>
    <row r="10102" spans="1:3" x14ac:dyDescent="0.3">
      <c r="A10102" s="80"/>
      <c r="B10102" s="81"/>
      <c r="C10102" s="82"/>
    </row>
    <row r="10103" spans="1:3" x14ac:dyDescent="0.3">
      <c r="A10103" s="80"/>
      <c r="B10103" s="81"/>
      <c r="C10103" s="82"/>
    </row>
    <row r="10104" spans="1:3" x14ac:dyDescent="0.3">
      <c r="A10104" s="80"/>
      <c r="B10104" s="81"/>
      <c r="C10104" s="82"/>
    </row>
    <row r="10105" spans="1:3" x14ac:dyDescent="0.3">
      <c r="A10105" s="80"/>
      <c r="B10105" s="81"/>
      <c r="C10105" s="82"/>
    </row>
    <row r="10106" spans="1:3" x14ac:dyDescent="0.3">
      <c r="A10106" s="80"/>
      <c r="B10106" s="81"/>
      <c r="C10106" s="82"/>
    </row>
    <row r="10107" spans="1:3" x14ac:dyDescent="0.3">
      <c r="A10107" s="80"/>
      <c r="B10107" s="81"/>
      <c r="C10107" s="82"/>
    </row>
    <row r="10108" spans="1:3" x14ac:dyDescent="0.3">
      <c r="A10108" s="80"/>
      <c r="B10108" s="81"/>
      <c r="C10108" s="82"/>
    </row>
    <row r="10109" spans="1:3" x14ac:dyDescent="0.3">
      <c r="A10109" s="80"/>
      <c r="B10109" s="81"/>
      <c r="C10109" s="82"/>
    </row>
    <row r="10110" spans="1:3" x14ac:dyDescent="0.3">
      <c r="A10110" s="80"/>
      <c r="B10110" s="81"/>
      <c r="C10110" s="82"/>
    </row>
    <row r="10111" spans="1:3" x14ac:dyDescent="0.3">
      <c r="A10111" s="80"/>
      <c r="B10111" s="81"/>
      <c r="C10111" s="82"/>
    </row>
    <row r="10112" spans="1:3" x14ac:dyDescent="0.3">
      <c r="A10112" s="80"/>
      <c r="B10112" s="81"/>
      <c r="C10112" s="82"/>
    </row>
    <row r="10113" spans="1:3" x14ac:dyDescent="0.3">
      <c r="A10113" s="80"/>
      <c r="B10113" s="81"/>
      <c r="C10113" s="82"/>
    </row>
    <row r="10114" spans="1:3" x14ac:dyDescent="0.3">
      <c r="A10114" s="80"/>
      <c r="B10114" s="81"/>
      <c r="C10114" s="82"/>
    </row>
    <row r="10115" spans="1:3" x14ac:dyDescent="0.3">
      <c r="A10115" s="80"/>
      <c r="B10115" s="81"/>
      <c r="C10115" s="82"/>
    </row>
    <row r="10116" spans="1:3" x14ac:dyDescent="0.3">
      <c r="A10116" s="80"/>
      <c r="B10116" s="81"/>
      <c r="C10116" s="82"/>
    </row>
    <row r="10117" spans="1:3" x14ac:dyDescent="0.3">
      <c r="A10117" s="80"/>
      <c r="B10117" s="81"/>
      <c r="C10117" s="82"/>
    </row>
    <row r="10118" spans="1:3" x14ac:dyDescent="0.3">
      <c r="A10118" s="80"/>
      <c r="B10118" s="81"/>
      <c r="C10118" s="82"/>
    </row>
    <row r="10119" spans="1:3" x14ac:dyDescent="0.3">
      <c r="A10119" s="80"/>
      <c r="B10119" s="81"/>
      <c r="C10119" s="82"/>
    </row>
    <row r="10120" spans="1:3" x14ac:dyDescent="0.3">
      <c r="A10120" s="80"/>
      <c r="B10120" s="81"/>
      <c r="C10120" s="82"/>
    </row>
    <row r="10121" spans="1:3" x14ac:dyDescent="0.3">
      <c r="A10121" s="80"/>
      <c r="B10121" s="81"/>
      <c r="C10121" s="82"/>
    </row>
    <row r="10122" spans="1:3" x14ac:dyDescent="0.3">
      <c r="A10122" s="80"/>
      <c r="B10122" s="81"/>
      <c r="C10122" s="82"/>
    </row>
    <row r="10123" spans="1:3" x14ac:dyDescent="0.3">
      <c r="A10123" s="80"/>
      <c r="B10123" s="81"/>
      <c r="C10123" s="82"/>
    </row>
    <row r="10124" spans="1:3" x14ac:dyDescent="0.3">
      <c r="A10124" s="80"/>
      <c r="B10124" s="81"/>
      <c r="C10124" s="82"/>
    </row>
    <row r="10125" spans="1:3" x14ac:dyDescent="0.3">
      <c r="A10125" s="80"/>
      <c r="B10125" s="81"/>
      <c r="C10125" s="82"/>
    </row>
    <row r="10126" spans="1:3" x14ac:dyDescent="0.3">
      <c r="A10126" s="80"/>
      <c r="B10126" s="81"/>
      <c r="C10126" s="82"/>
    </row>
    <row r="10127" spans="1:3" x14ac:dyDescent="0.3">
      <c r="A10127" s="80"/>
      <c r="B10127" s="81"/>
      <c r="C10127" s="82"/>
    </row>
    <row r="10128" spans="1:3" x14ac:dyDescent="0.3">
      <c r="A10128" s="80"/>
      <c r="B10128" s="81"/>
      <c r="C10128" s="82"/>
    </row>
    <row r="10129" spans="1:3" x14ac:dyDescent="0.3">
      <c r="A10129" s="80"/>
      <c r="B10129" s="81"/>
      <c r="C10129" s="82"/>
    </row>
    <row r="10130" spans="1:3" x14ac:dyDescent="0.3">
      <c r="A10130" s="80"/>
      <c r="B10130" s="81"/>
      <c r="C10130" s="82"/>
    </row>
    <row r="10131" spans="1:3" x14ac:dyDescent="0.3">
      <c r="A10131" s="80"/>
      <c r="B10131" s="81"/>
      <c r="C10131" s="82"/>
    </row>
    <row r="10132" spans="1:3" x14ac:dyDescent="0.3">
      <c r="A10132" s="80"/>
      <c r="B10132" s="81"/>
      <c r="C10132" s="82"/>
    </row>
    <row r="10133" spans="1:3" x14ac:dyDescent="0.3">
      <c r="A10133" s="80"/>
      <c r="B10133" s="81"/>
      <c r="C10133" s="82"/>
    </row>
    <row r="10134" spans="1:3" x14ac:dyDescent="0.3">
      <c r="A10134" s="80"/>
      <c r="B10134" s="81"/>
      <c r="C10134" s="82"/>
    </row>
    <row r="10135" spans="1:3" x14ac:dyDescent="0.3">
      <c r="A10135" s="80"/>
      <c r="B10135" s="81"/>
      <c r="C10135" s="82"/>
    </row>
    <row r="10136" spans="1:3" x14ac:dyDescent="0.3">
      <c r="A10136" s="80"/>
      <c r="B10136" s="81"/>
      <c r="C10136" s="82"/>
    </row>
    <row r="10137" spans="1:3" x14ac:dyDescent="0.3">
      <c r="A10137" s="80"/>
      <c r="B10137" s="81"/>
      <c r="C10137" s="82"/>
    </row>
    <row r="10138" spans="1:3" x14ac:dyDescent="0.3">
      <c r="A10138" s="80"/>
      <c r="B10138" s="81"/>
      <c r="C10138" s="82"/>
    </row>
    <row r="10139" spans="1:3" x14ac:dyDescent="0.3">
      <c r="A10139" s="80"/>
      <c r="B10139" s="81"/>
      <c r="C10139" s="82"/>
    </row>
    <row r="10140" spans="1:3" x14ac:dyDescent="0.3">
      <c r="A10140" s="80"/>
      <c r="B10140" s="81"/>
      <c r="C10140" s="82"/>
    </row>
    <row r="10141" spans="1:3" x14ac:dyDescent="0.3">
      <c r="A10141" s="80"/>
      <c r="B10141" s="81"/>
      <c r="C10141" s="82"/>
    </row>
    <row r="10142" spans="1:3" x14ac:dyDescent="0.3">
      <c r="A10142" s="80"/>
      <c r="B10142" s="81"/>
      <c r="C10142" s="82"/>
    </row>
    <row r="10143" spans="1:3" x14ac:dyDescent="0.3">
      <c r="A10143" s="80"/>
      <c r="B10143" s="81"/>
      <c r="C10143" s="82"/>
    </row>
    <row r="10144" spans="1:3" x14ac:dyDescent="0.3">
      <c r="A10144" s="80"/>
      <c r="B10144" s="81"/>
      <c r="C10144" s="82"/>
    </row>
    <row r="10145" spans="1:3" x14ac:dyDescent="0.3">
      <c r="A10145" s="80"/>
      <c r="B10145" s="81"/>
      <c r="C10145" s="82"/>
    </row>
    <row r="10146" spans="1:3" x14ac:dyDescent="0.3">
      <c r="A10146" s="80"/>
      <c r="B10146" s="81"/>
      <c r="C10146" s="82"/>
    </row>
    <row r="10147" spans="1:3" x14ac:dyDescent="0.3">
      <c r="A10147" s="80"/>
      <c r="B10147" s="81"/>
      <c r="C10147" s="82"/>
    </row>
    <row r="10148" spans="1:3" x14ac:dyDescent="0.3">
      <c r="A10148" s="80"/>
      <c r="B10148" s="81"/>
      <c r="C10148" s="82"/>
    </row>
    <row r="10149" spans="1:3" x14ac:dyDescent="0.3">
      <c r="A10149" s="80"/>
      <c r="B10149" s="81"/>
      <c r="C10149" s="82"/>
    </row>
    <row r="10150" spans="1:3" x14ac:dyDescent="0.3">
      <c r="A10150" s="80"/>
      <c r="B10150" s="81"/>
      <c r="C10150" s="82"/>
    </row>
    <row r="10151" spans="1:3" x14ac:dyDescent="0.3">
      <c r="A10151" s="80"/>
      <c r="B10151" s="81"/>
      <c r="C10151" s="82"/>
    </row>
    <row r="10152" spans="1:3" x14ac:dyDescent="0.3">
      <c r="A10152" s="80"/>
      <c r="B10152" s="81"/>
      <c r="C10152" s="82"/>
    </row>
    <row r="10153" spans="1:3" x14ac:dyDescent="0.3">
      <c r="A10153" s="80"/>
      <c r="B10153" s="81"/>
      <c r="C10153" s="82"/>
    </row>
    <row r="10154" spans="1:3" x14ac:dyDescent="0.3">
      <c r="A10154" s="80"/>
      <c r="B10154" s="81"/>
      <c r="C10154" s="82"/>
    </row>
    <row r="10155" spans="1:3" x14ac:dyDescent="0.3">
      <c r="A10155" s="80"/>
      <c r="B10155" s="81"/>
      <c r="C10155" s="82"/>
    </row>
    <row r="10156" spans="1:3" x14ac:dyDescent="0.3">
      <c r="A10156" s="80"/>
      <c r="B10156" s="81"/>
      <c r="C10156" s="82"/>
    </row>
    <row r="10157" spans="1:3" x14ac:dyDescent="0.3">
      <c r="A10157" s="80"/>
      <c r="B10157" s="81"/>
      <c r="C10157" s="82"/>
    </row>
    <row r="10158" spans="1:3" x14ac:dyDescent="0.3">
      <c r="A10158" s="80"/>
      <c r="B10158" s="81"/>
      <c r="C10158" s="82"/>
    </row>
    <row r="10159" spans="1:3" x14ac:dyDescent="0.3">
      <c r="A10159" s="80"/>
      <c r="B10159" s="81"/>
      <c r="C10159" s="82"/>
    </row>
    <row r="10160" spans="1:3" x14ac:dyDescent="0.3">
      <c r="A10160" s="80"/>
      <c r="B10160" s="81"/>
      <c r="C10160" s="82"/>
    </row>
    <row r="10161" spans="1:3" x14ac:dyDescent="0.3">
      <c r="A10161" s="80"/>
      <c r="B10161" s="81"/>
      <c r="C10161" s="82"/>
    </row>
    <row r="10162" spans="1:3" x14ac:dyDescent="0.3">
      <c r="A10162" s="80"/>
      <c r="B10162" s="81"/>
      <c r="C10162" s="82"/>
    </row>
    <row r="10163" spans="1:3" x14ac:dyDescent="0.3">
      <c r="A10163" s="80"/>
      <c r="B10163" s="81"/>
      <c r="C10163" s="82"/>
    </row>
    <row r="10164" spans="1:3" x14ac:dyDescent="0.3">
      <c r="A10164" s="80"/>
      <c r="B10164" s="81"/>
      <c r="C10164" s="82"/>
    </row>
    <row r="10165" spans="1:3" x14ac:dyDescent="0.3">
      <c r="A10165" s="80"/>
      <c r="B10165" s="81"/>
      <c r="C10165" s="82"/>
    </row>
    <row r="10166" spans="1:3" x14ac:dyDescent="0.3">
      <c r="A10166" s="80"/>
      <c r="B10166" s="81"/>
      <c r="C10166" s="82"/>
    </row>
    <row r="10167" spans="1:3" x14ac:dyDescent="0.3">
      <c r="A10167" s="80"/>
      <c r="B10167" s="81"/>
      <c r="C10167" s="82"/>
    </row>
    <row r="10168" spans="1:3" x14ac:dyDescent="0.3">
      <c r="A10168" s="80"/>
      <c r="B10168" s="81"/>
      <c r="C10168" s="82"/>
    </row>
    <row r="10169" spans="1:3" x14ac:dyDescent="0.3">
      <c r="A10169" s="80"/>
      <c r="B10169" s="81"/>
      <c r="C10169" s="82"/>
    </row>
    <row r="10170" spans="1:3" x14ac:dyDescent="0.3">
      <c r="A10170" s="80"/>
      <c r="B10170" s="81"/>
      <c r="C10170" s="82"/>
    </row>
    <row r="10171" spans="1:3" x14ac:dyDescent="0.3">
      <c r="A10171" s="80"/>
      <c r="B10171" s="81"/>
      <c r="C10171" s="82"/>
    </row>
    <row r="10172" spans="1:3" x14ac:dyDescent="0.3">
      <c r="A10172" s="80"/>
      <c r="B10172" s="81"/>
      <c r="C10172" s="82"/>
    </row>
    <row r="10173" spans="1:3" x14ac:dyDescent="0.3">
      <c r="A10173" s="80"/>
      <c r="B10173" s="81"/>
      <c r="C10173" s="82"/>
    </row>
    <row r="10174" spans="1:3" x14ac:dyDescent="0.3">
      <c r="A10174" s="80"/>
      <c r="B10174" s="81"/>
      <c r="C10174" s="82"/>
    </row>
    <row r="10175" spans="1:3" x14ac:dyDescent="0.3">
      <c r="A10175" s="80"/>
      <c r="B10175" s="81"/>
      <c r="C10175" s="82"/>
    </row>
    <row r="10176" spans="1:3" x14ac:dyDescent="0.3">
      <c r="A10176" s="80"/>
      <c r="B10176" s="81"/>
      <c r="C10176" s="82"/>
    </row>
    <row r="10177" spans="1:3" x14ac:dyDescent="0.3">
      <c r="A10177" s="80"/>
      <c r="B10177" s="81"/>
      <c r="C10177" s="82"/>
    </row>
    <row r="10178" spans="1:3" x14ac:dyDescent="0.3">
      <c r="A10178" s="80"/>
      <c r="B10178" s="81"/>
      <c r="C10178" s="82"/>
    </row>
    <row r="10179" spans="1:3" x14ac:dyDescent="0.3">
      <c r="A10179" s="80"/>
      <c r="B10179" s="81"/>
      <c r="C10179" s="82"/>
    </row>
    <row r="10180" spans="1:3" x14ac:dyDescent="0.3">
      <c r="A10180" s="80"/>
      <c r="B10180" s="81"/>
      <c r="C10180" s="82"/>
    </row>
    <row r="10181" spans="1:3" x14ac:dyDescent="0.3">
      <c r="A10181" s="80"/>
      <c r="B10181" s="81"/>
      <c r="C10181" s="82"/>
    </row>
    <row r="10182" spans="1:3" x14ac:dyDescent="0.3">
      <c r="A10182" s="80"/>
      <c r="B10182" s="81"/>
      <c r="C10182" s="82"/>
    </row>
    <row r="10183" spans="1:3" x14ac:dyDescent="0.3">
      <c r="A10183" s="80"/>
      <c r="B10183" s="81"/>
      <c r="C10183" s="82"/>
    </row>
    <row r="10184" spans="1:3" x14ac:dyDescent="0.3">
      <c r="A10184" s="80"/>
      <c r="B10184" s="81"/>
      <c r="C10184" s="82"/>
    </row>
    <row r="10185" spans="1:3" x14ac:dyDescent="0.3">
      <c r="A10185" s="80"/>
      <c r="B10185" s="81"/>
      <c r="C10185" s="82"/>
    </row>
    <row r="10186" spans="1:3" x14ac:dyDescent="0.3">
      <c r="A10186" s="80"/>
      <c r="B10186" s="81"/>
      <c r="C10186" s="82"/>
    </row>
    <row r="10187" spans="1:3" x14ac:dyDescent="0.3">
      <c r="A10187" s="80"/>
      <c r="B10187" s="81"/>
      <c r="C10187" s="82"/>
    </row>
    <row r="10188" spans="1:3" x14ac:dyDescent="0.3">
      <c r="A10188" s="80"/>
      <c r="B10188" s="81"/>
      <c r="C10188" s="82"/>
    </row>
    <row r="10189" spans="1:3" x14ac:dyDescent="0.3">
      <c r="A10189" s="80"/>
      <c r="B10189" s="81"/>
      <c r="C10189" s="82"/>
    </row>
    <row r="10190" spans="1:3" x14ac:dyDescent="0.3">
      <c r="A10190" s="80"/>
      <c r="B10190" s="81"/>
      <c r="C10190" s="82"/>
    </row>
    <row r="10191" spans="1:3" x14ac:dyDescent="0.3">
      <c r="A10191" s="80"/>
      <c r="B10191" s="81"/>
      <c r="C10191" s="82"/>
    </row>
    <row r="10192" spans="1:3" x14ac:dyDescent="0.3">
      <c r="A10192" s="80"/>
      <c r="B10192" s="81"/>
      <c r="C10192" s="82"/>
    </row>
    <row r="10193" spans="1:3" x14ac:dyDescent="0.3">
      <c r="A10193" s="80"/>
      <c r="B10193" s="81"/>
      <c r="C10193" s="82"/>
    </row>
    <row r="10194" spans="1:3" x14ac:dyDescent="0.3">
      <c r="A10194" s="80"/>
      <c r="B10194" s="81"/>
      <c r="C10194" s="82"/>
    </row>
  </sheetData>
  <autoFilter ref="A1:C360" xr:uid="{034024F6-8007-4552-BF21-A469D91B8706}"/>
  <conditionalFormatting sqref="C1:C1048576">
    <cfRule type="cellIs" dxfId="1" priority="1" operator="greaterThan">
      <formula>3%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7623-28EA-4482-94F4-95B1D71424CC}">
  <sheetPr>
    <tabColor theme="2" tint="-9.9978637043366805E-2"/>
  </sheetPr>
  <dimension ref="A1:AT8852"/>
  <sheetViews>
    <sheetView workbookViewId="0">
      <selection activeCell="D2" sqref="D2"/>
    </sheetView>
  </sheetViews>
  <sheetFormatPr defaultColWidth="8.6640625" defaultRowHeight="13.2" x14ac:dyDescent="0.25"/>
  <cols>
    <col min="1" max="1" width="20.109375" style="2" bestFit="1" customWidth="1"/>
    <col min="2" max="2" width="10.5546875" style="38" bestFit="1" customWidth="1"/>
    <col min="3" max="3" width="19.109375" style="79" customWidth="1"/>
    <col min="4" max="4" width="39.109375" style="2" bestFit="1" customWidth="1"/>
    <col min="5" max="5" width="8.6640625" style="2"/>
    <col min="6" max="6" width="5.6640625" style="2" bestFit="1" customWidth="1"/>
    <col min="7" max="7" width="10.33203125" style="2" bestFit="1" customWidth="1"/>
    <col min="8" max="16384" width="8.6640625" style="2"/>
  </cols>
  <sheetData>
    <row r="1" spans="1:46" x14ac:dyDescent="0.25">
      <c r="A1" s="39" t="s">
        <v>63</v>
      </c>
      <c r="B1" s="87" t="s">
        <v>64</v>
      </c>
      <c r="C1" s="77" t="s">
        <v>65</v>
      </c>
      <c r="D1" s="1" t="s">
        <v>66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spans="1:46" ht="14.4" x14ac:dyDescent="0.3">
      <c r="A2" s="42" t="str" cm="1">
        <f t="array" ref="A2:C8852">_xlfn.SORTBY('Investment Perf His'!A2:C8852,'Investment Perf His'!A2:A8852,1,'Investment Perf His'!B2:B8852,1)</f>
        <v>Aurora 0% Growth</v>
      </c>
      <c r="B2" s="43">
        <v>44957</v>
      </c>
      <c r="C2" s="78">
        <v>2.2882920000000001E-2</v>
      </c>
      <c r="D2" s="44"/>
      <c r="E2" s="3"/>
      <c r="G2" s="5"/>
      <c r="H2" s="6"/>
      <c r="I2" s="6"/>
      <c r="J2" s="6"/>
      <c r="K2" s="6"/>
      <c r="L2" s="6"/>
      <c r="M2" s="6"/>
      <c r="N2" s="6"/>
      <c r="O2" s="6"/>
      <c r="P2" s="6"/>
    </row>
    <row r="3" spans="1:46" ht="14.4" x14ac:dyDescent="0.3">
      <c r="A3" s="42" t="str">
        <v>Aurora 0% Growth</v>
      </c>
      <c r="B3" s="43">
        <v>44985</v>
      </c>
      <c r="C3" s="78">
        <v>-7.5710700000000001E-3</v>
      </c>
      <c r="D3" s="44"/>
      <c r="E3" s="3"/>
      <c r="G3" s="5"/>
    </row>
    <row r="4" spans="1:46" ht="14.4" x14ac:dyDescent="0.3">
      <c r="A4" s="42" t="str">
        <v>Aurora 0% Growth</v>
      </c>
      <c r="B4" s="43">
        <v>45016</v>
      </c>
      <c r="C4" s="78">
        <v>1.473816E-2</v>
      </c>
      <c r="D4" s="44"/>
      <c r="E4" s="3"/>
      <c r="G4" s="5"/>
    </row>
    <row r="5" spans="1:46" ht="14.4" x14ac:dyDescent="0.3">
      <c r="A5" s="42" t="str">
        <v>Aurora 0% Growth</v>
      </c>
      <c r="B5" s="43">
        <v>45046</v>
      </c>
      <c r="C5" s="78">
        <v>4.0185300000000002E-3</v>
      </c>
      <c r="D5" s="44"/>
      <c r="E5" s="3"/>
      <c r="G5" s="5"/>
    </row>
    <row r="6" spans="1:46" ht="14.4" x14ac:dyDescent="0.3">
      <c r="A6" s="42" t="str">
        <v>Aurora 0% Growth</v>
      </c>
      <c r="B6" s="43">
        <v>45077</v>
      </c>
      <c r="C6" s="78">
        <v>-6.3844900000000005E-3</v>
      </c>
      <c r="D6" s="44"/>
      <c r="E6" s="3"/>
      <c r="G6" s="5"/>
    </row>
    <row r="7" spans="1:46" ht="14.4" x14ac:dyDescent="0.3">
      <c r="A7" s="42" t="str">
        <v>Aurora 0% Growth</v>
      </c>
      <c r="B7" s="43">
        <v>45107</v>
      </c>
      <c r="C7" s="78">
        <v>-9.5791699999999997E-3</v>
      </c>
      <c r="D7" s="44"/>
      <c r="E7" s="3"/>
      <c r="G7" s="5"/>
    </row>
    <row r="8" spans="1:46" ht="14.4" x14ac:dyDescent="0.3">
      <c r="A8" s="42" t="str">
        <v>Aurora 0% Growth</v>
      </c>
      <c r="B8" s="43">
        <v>45138</v>
      </c>
      <c r="C8" s="78">
        <v>6.0726100000000009E-3</v>
      </c>
      <c r="D8" s="44"/>
      <c r="E8" s="3"/>
      <c r="G8" s="5"/>
    </row>
    <row r="9" spans="1:46" ht="14.4" x14ac:dyDescent="0.3">
      <c r="A9" s="42" t="str">
        <v>Aurora 0% Growth</v>
      </c>
      <c r="B9" s="43">
        <v>45169</v>
      </c>
      <c r="C9" s="78">
        <v>6.95855E-3</v>
      </c>
      <c r="D9" s="44"/>
      <c r="E9" s="3"/>
      <c r="G9" s="5"/>
    </row>
    <row r="10" spans="1:46" ht="14.4" x14ac:dyDescent="0.3">
      <c r="A10" s="42" t="str">
        <v>Aurora 0% Growth</v>
      </c>
      <c r="B10" s="43">
        <v>45199</v>
      </c>
      <c r="C10" s="78">
        <v>-6.0639699999999993E-3</v>
      </c>
      <c r="D10" s="44"/>
      <c r="E10" s="3"/>
      <c r="G10" s="5"/>
    </row>
    <row r="11" spans="1:46" ht="14.4" x14ac:dyDescent="0.3">
      <c r="A11" s="42" t="str">
        <v>Aurora 0% Growth</v>
      </c>
      <c r="B11" s="43">
        <v>45230</v>
      </c>
      <c r="C11" s="78">
        <v>-6.7414700000000003E-3</v>
      </c>
      <c r="D11" s="44"/>
      <c r="E11" s="3"/>
      <c r="G11" s="5"/>
    </row>
    <row r="12" spans="1:46" ht="14.4" x14ac:dyDescent="0.3">
      <c r="A12" s="42" t="str">
        <v>Aurora 0% Growth</v>
      </c>
      <c r="B12" s="43">
        <v>45260</v>
      </c>
      <c r="C12" s="78">
        <v>2.266398E-2</v>
      </c>
      <c r="D12" s="44"/>
      <c r="E12" s="3"/>
      <c r="G12" s="5"/>
      <c r="H12" s="2">
        <f>_xlfn.STDEV.S(C14:C37)*SQRT(12)</f>
        <v>1.9056829308338918E-2</v>
      </c>
    </row>
    <row r="13" spans="1:46" ht="14.4" x14ac:dyDescent="0.3">
      <c r="A13" s="42" t="str">
        <v>Aurora 0% Growth</v>
      </c>
      <c r="B13" s="43">
        <v>45291</v>
      </c>
      <c r="C13" s="78">
        <v>2.5335409999999999E-2</v>
      </c>
      <c r="D13" s="44"/>
      <c r="E13" s="3"/>
      <c r="G13" s="5"/>
    </row>
    <row r="14" spans="1:46" ht="14.4" x14ac:dyDescent="0.3">
      <c r="A14" s="42" t="str">
        <v>Aurora 0% Growth</v>
      </c>
      <c r="B14" s="43">
        <v>45322</v>
      </c>
      <c r="C14" s="78">
        <v>3.0598599999999998E-3</v>
      </c>
      <c r="D14" s="44"/>
      <c r="E14" s="3"/>
      <c r="G14" s="5"/>
    </row>
    <row r="15" spans="1:46" ht="14.4" x14ac:dyDescent="0.3">
      <c r="A15" s="42" t="str">
        <v>Aurora 0% Growth</v>
      </c>
      <c r="B15" s="43">
        <v>45351</v>
      </c>
      <c r="C15" s="78">
        <v>-2.5378E-4</v>
      </c>
      <c r="D15" s="44"/>
      <c r="E15" s="3"/>
      <c r="G15" s="5"/>
    </row>
    <row r="16" spans="1:46" ht="14.4" x14ac:dyDescent="0.3">
      <c r="A16" s="42" t="str">
        <v>Aurora 0% Growth</v>
      </c>
      <c r="B16" s="43">
        <v>45382</v>
      </c>
      <c r="C16" s="78">
        <v>1.0938659999999999E-2</v>
      </c>
      <c r="D16" s="44"/>
      <c r="E16" s="3"/>
      <c r="G16" s="5"/>
    </row>
    <row r="17" spans="1:7" ht="14.4" x14ac:dyDescent="0.3">
      <c r="A17" s="42" t="str">
        <v>Aurora 0% Growth</v>
      </c>
      <c r="B17" s="43">
        <v>45412</v>
      </c>
      <c r="C17" s="78">
        <v>-9.205940000000001E-3</v>
      </c>
      <c r="D17" s="44"/>
      <c r="E17" s="3"/>
      <c r="G17" s="5"/>
    </row>
    <row r="18" spans="1:7" ht="14.4" x14ac:dyDescent="0.3">
      <c r="A18" s="42" t="str">
        <v>Aurora 0% Growth</v>
      </c>
      <c r="B18" s="43">
        <v>45443</v>
      </c>
      <c r="C18" s="78">
        <v>5.53179E-3</v>
      </c>
      <c r="D18" s="44"/>
      <c r="E18" s="3"/>
      <c r="G18" s="5"/>
    </row>
    <row r="19" spans="1:7" ht="14.4" x14ac:dyDescent="0.3">
      <c r="A19" s="42" t="str">
        <v>Aurora 0% Growth</v>
      </c>
      <c r="B19" s="43">
        <v>45473</v>
      </c>
      <c r="C19" s="78">
        <v>6.2866699999999994E-3</v>
      </c>
      <c r="D19" s="44"/>
      <c r="E19" s="3"/>
      <c r="G19" s="5"/>
    </row>
    <row r="20" spans="1:7" ht="14.4" x14ac:dyDescent="0.3">
      <c r="A20" s="42" t="str">
        <v>Aurora 0% Growth</v>
      </c>
      <c r="B20" s="43">
        <v>45504</v>
      </c>
      <c r="C20" s="78">
        <v>1.481509E-2</v>
      </c>
      <c r="D20" s="44"/>
      <c r="E20" s="3"/>
      <c r="G20" s="5"/>
    </row>
    <row r="21" spans="1:7" ht="14.4" x14ac:dyDescent="0.3">
      <c r="A21" s="42" t="str">
        <v>Aurora 0% Growth</v>
      </c>
      <c r="B21" s="43">
        <v>45535</v>
      </c>
      <c r="C21" s="78">
        <v>8.7323999999999995E-3</v>
      </c>
      <c r="D21" s="44"/>
      <c r="E21" s="3"/>
      <c r="G21" s="5"/>
    </row>
    <row r="22" spans="1:7" ht="14.4" x14ac:dyDescent="0.3">
      <c r="A22" s="42" t="str">
        <v>Aurora 0% Growth</v>
      </c>
      <c r="B22" s="43">
        <v>45565</v>
      </c>
      <c r="C22" s="78">
        <v>6.6108599999999997E-3</v>
      </c>
      <c r="D22" s="44"/>
      <c r="E22" s="3"/>
      <c r="G22" s="5"/>
    </row>
    <row r="23" spans="1:7" ht="14.4" x14ac:dyDescent="0.3">
      <c r="A23" s="42" t="str">
        <v>Aurora 0% Growth</v>
      </c>
      <c r="B23" s="43">
        <v>45596</v>
      </c>
      <c r="C23" s="78">
        <v>-7.7509600000000003E-3</v>
      </c>
      <c r="D23" s="44"/>
      <c r="E23" s="3"/>
      <c r="G23" s="5"/>
    </row>
    <row r="24" spans="1:7" ht="14.4" x14ac:dyDescent="0.3">
      <c r="A24" s="42" t="str">
        <v>Aurora 0% Growth</v>
      </c>
      <c r="B24" s="43">
        <v>45626</v>
      </c>
      <c r="C24" s="78">
        <v>9.9513099999999997E-3</v>
      </c>
      <c r="D24" s="44"/>
      <c r="E24" s="3"/>
      <c r="G24" s="5"/>
    </row>
    <row r="25" spans="1:7" ht="14.4" x14ac:dyDescent="0.3">
      <c r="A25" s="42" t="str">
        <v>Aurora 0% Growth</v>
      </c>
      <c r="B25" s="43">
        <v>45657</v>
      </c>
      <c r="C25" s="78">
        <v>5.6291800000000001E-3</v>
      </c>
      <c r="D25" s="44"/>
      <c r="E25" s="3"/>
      <c r="G25" s="5"/>
    </row>
    <row r="26" spans="1:7" ht="14.4" x14ac:dyDescent="0.3">
      <c r="A26" s="42" t="str">
        <v>Aurora 0% Growth</v>
      </c>
      <c r="B26" s="43">
        <v>45688</v>
      </c>
      <c r="C26" s="78">
        <v>5.1195999999999993E-3</v>
      </c>
      <c r="D26" s="44"/>
      <c r="E26" s="3"/>
      <c r="G26" s="5"/>
    </row>
    <row r="27" spans="1:7" ht="14.4" x14ac:dyDescent="0.3">
      <c r="A27" s="42" t="str">
        <v>Aurora 0% Growth</v>
      </c>
      <c r="B27" s="43">
        <v>45716</v>
      </c>
      <c r="C27" s="78">
        <v>8.3574700000000005E-3</v>
      </c>
      <c r="D27" s="44"/>
      <c r="E27" s="3"/>
      <c r="G27" s="5"/>
    </row>
    <row r="28" spans="1:7" ht="14.4" x14ac:dyDescent="0.3">
      <c r="A28" s="42" t="str">
        <v>Aurora 0% Growth</v>
      </c>
      <c r="B28" s="43">
        <v>45747</v>
      </c>
      <c r="C28" s="78">
        <v>8.1284E-4</v>
      </c>
      <c r="D28" s="44"/>
      <c r="E28" s="3"/>
      <c r="G28" s="5"/>
    </row>
    <row r="29" spans="1:7" ht="14.4" x14ac:dyDescent="0.3">
      <c r="A29" s="42" t="str">
        <v>Aurora 0% Growth</v>
      </c>
      <c r="B29" s="43">
        <v>45777</v>
      </c>
      <c r="C29" s="78">
        <v>7.7867200000000004E-3</v>
      </c>
      <c r="D29" s="44"/>
      <c r="E29" s="3"/>
      <c r="G29" s="5"/>
    </row>
    <row r="30" spans="1:7" ht="14.4" x14ac:dyDescent="0.3">
      <c r="A30" s="42" t="str">
        <v>Aurora 0% Growth</v>
      </c>
      <c r="B30" s="43">
        <v>45808</v>
      </c>
      <c r="C30" s="78">
        <v>1.40763E-3</v>
      </c>
      <c r="D30" s="44"/>
      <c r="E30" s="3"/>
      <c r="G30" s="5"/>
    </row>
    <row r="31" spans="1:7" ht="14.4" x14ac:dyDescent="0.3">
      <c r="A31" s="42" t="str">
        <v>Aurora 0% Growth</v>
      </c>
      <c r="B31" s="43">
        <v>45838</v>
      </c>
      <c r="C31" s="78">
        <v>7.8236599999999996E-3</v>
      </c>
      <c r="D31" s="44"/>
      <c r="E31" s="3"/>
      <c r="G31" s="5"/>
    </row>
    <row r="32" spans="1:7" ht="14.4" x14ac:dyDescent="0.3">
      <c r="A32" s="42" t="str">
        <v>Aurora 0% Growth</v>
      </c>
      <c r="B32" s="43">
        <v>45869</v>
      </c>
      <c r="C32" s="78">
        <v>2.7439299999999999E-3</v>
      </c>
      <c r="D32" s="44"/>
      <c r="E32" s="3"/>
      <c r="G32" s="5"/>
    </row>
    <row r="33" spans="1:7" ht="14.4" x14ac:dyDescent="0.3">
      <c r="A33" s="42" t="str">
        <v>Aurora 0% Growth</v>
      </c>
      <c r="B33" s="43">
        <v>45900</v>
      </c>
      <c r="C33" s="78">
        <v>5.1729800000000006E-3</v>
      </c>
      <c r="D33" s="44"/>
      <c r="E33" s="3"/>
      <c r="G33" s="5"/>
    </row>
    <row r="34" spans="1:7" ht="14.4" x14ac:dyDescent="0.3">
      <c r="A34" s="42" t="str">
        <v>Aurora 0% Growth</v>
      </c>
      <c r="B34" s="43">
        <v>45930</v>
      </c>
      <c r="C34" s="78">
        <v>3.5517700000000001E-3</v>
      </c>
      <c r="D34" s="44"/>
      <c r="E34" s="3"/>
      <c r="G34" s="5"/>
    </row>
    <row r="35" spans="1:7" ht="14.4" x14ac:dyDescent="0.3">
      <c r="A35" s="42" t="str">
        <v>Aurora 0% Growth</v>
      </c>
      <c r="B35" s="43">
        <v>45961</v>
      </c>
      <c r="C35" s="78">
        <v>5.5025999999999999E-3</v>
      </c>
      <c r="D35" s="44"/>
      <c r="E35" s="3"/>
      <c r="G35" s="5"/>
    </row>
    <row r="36" spans="1:7" ht="14.4" x14ac:dyDescent="0.3">
      <c r="A36" s="42" t="str">
        <v>Aurora 0% Growth</v>
      </c>
      <c r="B36" s="43">
        <v>45991</v>
      </c>
      <c r="C36" s="78">
        <v>-1.8079200000000002E-3</v>
      </c>
      <c r="D36" s="44"/>
      <c r="E36" s="3"/>
      <c r="G36" s="5"/>
    </row>
    <row r="37" spans="1:7" ht="14.4" x14ac:dyDescent="0.3">
      <c r="A37" s="42" t="str">
        <v>Aurora 0% Growth</v>
      </c>
      <c r="B37" s="43">
        <v>46022</v>
      </c>
      <c r="C37" s="78">
        <v>-4.929E-4</v>
      </c>
      <c r="D37" s="44"/>
      <c r="E37" s="3"/>
      <c r="G37" s="5"/>
    </row>
    <row r="38" spans="1:7" ht="14.4" x14ac:dyDescent="0.3">
      <c r="A38" s="42" t="str">
        <v>Aurora 100% Growth Portfolio</v>
      </c>
      <c r="B38" s="43">
        <v>44957</v>
      </c>
      <c r="C38" s="78">
        <v>4.2083839999999997E-2</v>
      </c>
      <c r="D38" s="44"/>
      <c r="E38" s="3"/>
      <c r="G38" s="5"/>
    </row>
    <row r="39" spans="1:7" ht="14.4" x14ac:dyDescent="0.3">
      <c r="A39" s="42" t="str">
        <v>Aurora 100% Growth Portfolio</v>
      </c>
      <c r="B39" s="43">
        <v>44985</v>
      </c>
      <c r="C39" s="78">
        <v>4.6046999999999999E-4</v>
      </c>
      <c r="D39" s="44"/>
      <c r="E39" s="3"/>
      <c r="G39" s="5"/>
    </row>
    <row r="40" spans="1:7" ht="14.4" x14ac:dyDescent="0.3">
      <c r="A40" s="42" t="str">
        <v>Aurora 100% Growth Portfolio</v>
      </c>
      <c r="B40" s="43">
        <v>45016</v>
      </c>
      <c r="C40" s="78">
        <v>9.2511600000000013E-3</v>
      </c>
      <c r="D40" s="44"/>
      <c r="E40" s="3"/>
      <c r="G40" s="5"/>
    </row>
    <row r="41" spans="1:7" ht="14.4" x14ac:dyDescent="0.3">
      <c r="A41" s="42" t="str">
        <v>Aurora 100% Growth Portfolio</v>
      </c>
      <c r="B41" s="43">
        <v>45046</v>
      </c>
      <c r="C41" s="78">
        <v>2.7839839999999998E-2</v>
      </c>
      <c r="D41" s="44"/>
      <c r="E41" s="3"/>
      <c r="G41" s="5"/>
    </row>
    <row r="42" spans="1:7" ht="14.4" x14ac:dyDescent="0.3">
      <c r="A42" s="42" t="str">
        <v>Aurora 100% Growth Portfolio</v>
      </c>
      <c r="B42" s="43">
        <v>45077</v>
      </c>
      <c r="C42" s="78">
        <v>-6.2499400000000007E-3</v>
      </c>
      <c r="D42" s="44"/>
      <c r="E42" s="3"/>
      <c r="G42" s="5"/>
    </row>
    <row r="43" spans="1:7" ht="14.4" x14ac:dyDescent="0.3">
      <c r="A43" s="42" t="str">
        <v>Aurora 100% Growth Portfolio</v>
      </c>
      <c r="B43" s="43">
        <v>45107</v>
      </c>
      <c r="C43" s="78">
        <v>2.0962729999999999E-2</v>
      </c>
      <c r="D43" s="44"/>
      <c r="E43" s="3"/>
      <c r="G43" s="5"/>
    </row>
    <row r="44" spans="1:7" ht="14.4" x14ac:dyDescent="0.3">
      <c r="A44" s="42" t="str">
        <v>Aurora 100% Growth Portfolio</v>
      </c>
      <c r="B44" s="43">
        <v>45138</v>
      </c>
      <c r="C44" s="78">
        <v>2.660761E-2</v>
      </c>
      <c r="D44" s="44"/>
      <c r="E44" s="3"/>
      <c r="G44" s="5"/>
    </row>
    <row r="45" spans="1:7" ht="14.4" x14ac:dyDescent="0.3">
      <c r="A45" s="42" t="str">
        <v>Aurora 100% Growth Portfolio</v>
      </c>
      <c r="B45" s="43">
        <v>45169</v>
      </c>
      <c r="C45" s="78">
        <v>3.2922699999999999E-3</v>
      </c>
      <c r="D45" s="44"/>
      <c r="E45" s="3"/>
      <c r="G45" s="5"/>
    </row>
    <row r="46" spans="1:7" ht="14.4" x14ac:dyDescent="0.3">
      <c r="A46" s="42" t="str">
        <v>Aurora 100% Growth Portfolio</v>
      </c>
      <c r="B46" s="43">
        <v>45199</v>
      </c>
      <c r="C46" s="78">
        <v>-3.5570940000000002E-2</v>
      </c>
      <c r="D46" s="44"/>
      <c r="E46" s="3"/>
      <c r="G46" s="5"/>
    </row>
    <row r="47" spans="1:7" ht="14.4" x14ac:dyDescent="0.3">
      <c r="A47" s="42" t="str">
        <v>Aurora 100% Growth Portfolio</v>
      </c>
      <c r="B47" s="43">
        <v>45230</v>
      </c>
      <c r="C47" s="78">
        <v>-2.0881549999999999E-2</v>
      </c>
      <c r="D47" s="44"/>
      <c r="E47" s="3"/>
      <c r="G47" s="5"/>
    </row>
    <row r="48" spans="1:7" ht="14.4" x14ac:dyDescent="0.3">
      <c r="A48" s="42" t="str">
        <v>Aurora 100% Growth Portfolio</v>
      </c>
      <c r="B48" s="43">
        <v>45260</v>
      </c>
      <c r="C48" s="78">
        <v>4.1554089999999995E-2</v>
      </c>
      <c r="D48" s="44"/>
      <c r="E48" s="3"/>
      <c r="G48" s="5"/>
    </row>
    <row r="49" spans="1:7" ht="14.4" x14ac:dyDescent="0.3">
      <c r="A49" s="42" t="str">
        <v>Aurora 100% Growth Portfolio</v>
      </c>
      <c r="B49" s="43">
        <v>45291</v>
      </c>
      <c r="C49" s="78">
        <v>4.0123430000000002E-2</v>
      </c>
      <c r="D49" s="44"/>
      <c r="E49" s="3"/>
      <c r="G49" s="5"/>
    </row>
    <row r="50" spans="1:7" ht="14.4" x14ac:dyDescent="0.3">
      <c r="A50" s="42" t="str">
        <v>Aurora 100% Growth Portfolio</v>
      </c>
      <c r="B50" s="43">
        <v>45322</v>
      </c>
      <c r="C50" s="78">
        <v>1.8213440000000001E-2</v>
      </c>
      <c r="D50" s="44"/>
      <c r="E50" s="3"/>
      <c r="G50" s="5"/>
    </row>
    <row r="51" spans="1:7" ht="14.4" x14ac:dyDescent="0.3">
      <c r="A51" s="42" t="str">
        <v>Aurora 100% Growth Portfolio</v>
      </c>
      <c r="B51" s="43">
        <v>45351</v>
      </c>
      <c r="C51" s="78">
        <v>3.5630259999999997E-2</v>
      </c>
      <c r="D51" s="44"/>
      <c r="E51" s="3"/>
      <c r="G51" s="5"/>
    </row>
    <row r="52" spans="1:7" ht="14.4" x14ac:dyDescent="0.3">
      <c r="A52" s="42" t="str">
        <v>Aurora 100% Growth Portfolio</v>
      </c>
      <c r="B52" s="43">
        <v>45382</v>
      </c>
      <c r="C52" s="78">
        <v>3.809303E-2</v>
      </c>
      <c r="D52" s="44"/>
      <c r="E52" s="3"/>
      <c r="G52" s="5"/>
    </row>
    <row r="53" spans="1:7" ht="14.4" x14ac:dyDescent="0.3">
      <c r="A53" s="42" t="str">
        <v>Aurora 100% Growth Portfolio</v>
      </c>
      <c r="B53" s="43">
        <v>45412</v>
      </c>
      <c r="C53" s="78">
        <v>-2.6076439999999999E-2</v>
      </c>
      <c r="D53" s="44"/>
      <c r="E53" s="3"/>
      <c r="G53" s="5"/>
    </row>
    <row r="54" spans="1:7" ht="14.4" x14ac:dyDescent="0.3">
      <c r="A54" s="42" t="str">
        <v>Aurora 100% Growth Portfolio</v>
      </c>
      <c r="B54" s="43">
        <v>45443</v>
      </c>
      <c r="C54" s="78">
        <v>9.7886700000000011E-3</v>
      </c>
      <c r="D54" s="44"/>
      <c r="E54" s="3"/>
      <c r="G54" s="5"/>
    </row>
    <row r="55" spans="1:7" ht="14.4" x14ac:dyDescent="0.3">
      <c r="A55" s="42" t="str">
        <v>Aurora 100% Growth Portfolio</v>
      </c>
      <c r="B55" s="43">
        <v>45473</v>
      </c>
      <c r="C55" s="78">
        <v>1.4043300000000001E-3</v>
      </c>
      <c r="D55" s="44"/>
      <c r="E55" s="3"/>
      <c r="G55" s="5"/>
    </row>
    <row r="56" spans="1:7" ht="14.4" x14ac:dyDescent="0.3">
      <c r="A56" s="42" t="str">
        <v>Aurora 100% Growth Portfolio</v>
      </c>
      <c r="B56" s="43">
        <v>45504</v>
      </c>
      <c r="C56" s="78">
        <v>4.6433820000000001E-2</v>
      </c>
      <c r="D56" s="44"/>
      <c r="E56" s="3"/>
      <c r="G56" s="5"/>
    </row>
    <row r="57" spans="1:7" ht="14.4" x14ac:dyDescent="0.3">
      <c r="A57" s="42" t="str">
        <v>Aurora 100% Growth Portfolio</v>
      </c>
      <c r="B57" s="43">
        <v>45535</v>
      </c>
      <c r="C57" s="78">
        <v>-5.9882899999999994E-3</v>
      </c>
      <c r="D57" s="44"/>
      <c r="E57" s="3"/>
      <c r="G57" s="5"/>
    </row>
    <row r="58" spans="1:7" ht="14.4" x14ac:dyDescent="0.3">
      <c r="A58" s="42" t="str">
        <v>Aurora 100% Growth Portfolio</v>
      </c>
      <c r="B58" s="43">
        <v>45565</v>
      </c>
      <c r="C58" s="78">
        <v>2.1135850000000001E-2</v>
      </c>
      <c r="D58" s="44"/>
      <c r="E58" s="3"/>
      <c r="G58" s="5"/>
    </row>
    <row r="59" spans="1:7" ht="14.4" x14ac:dyDescent="0.3">
      <c r="A59" s="42" t="str">
        <v>Aurora 100% Growth Portfolio</v>
      </c>
      <c r="B59" s="43">
        <v>45596</v>
      </c>
      <c r="C59" s="78">
        <v>1.6147499999999999E-2</v>
      </c>
      <c r="D59" s="44"/>
      <c r="E59" s="3"/>
      <c r="G59" s="5"/>
    </row>
    <row r="60" spans="1:7" ht="14.4" x14ac:dyDescent="0.3">
      <c r="A60" s="42" t="str">
        <v>Aurora 100% Growth Portfolio</v>
      </c>
      <c r="B60" s="43">
        <v>45626</v>
      </c>
      <c r="C60" s="78">
        <v>3.8297589999999999E-2</v>
      </c>
      <c r="D60" s="44"/>
      <c r="E60" s="3"/>
      <c r="G60" s="5"/>
    </row>
    <row r="61" spans="1:7" ht="14.4" x14ac:dyDescent="0.3">
      <c r="A61" s="42" t="str">
        <v>Aurora 100% Growth Portfolio</v>
      </c>
      <c r="B61" s="43">
        <v>45657</v>
      </c>
      <c r="C61" s="78">
        <v>-8.0431099999999991E-3</v>
      </c>
      <c r="D61" s="44"/>
      <c r="E61" s="3"/>
      <c r="G61" s="5"/>
    </row>
    <row r="62" spans="1:7" ht="14.4" x14ac:dyDescent="0.3">
      <c r="A62" s="42" t="str">
        <v>Aurora 100% Growth Portfolio</v>
      </c>
      <c r="B62" s="43">
        <v>45688</v>
      </c>
      <c r="C62" s="78">
        <v>2.9445410000000002E-2</v>
      </c>
      <c r="D62" s="44"/>
    </row>
    <row r="63" spans="1:7" ht="14.4" x14ac:dyDescent="0.3">
      <c r="A63" s="42" t="str">
        <v>Aurora 100% Growth Portfolio</v>
      </c>
      <c r="B63" s="43">
        <v>45716</v>
      </c>
      <c r="C63" s="78">
        <v>-1.1087340000000001E-2</v>
      </c>
      <c r="D63" s="44"/>
    </row>
    <row r="64" spans="1:7" ht="14.4" x14ac:dyDescent="0.3">
      <c r="A64" s="42" t="str">
        <v>Aurora 100% Growth Portfolio</v>
      </c>
      <c r="B64" s="43">
        <v>45747</v>
      </c>
      <c r="C64" s="78">
        <v>-2.5779700000000003E-2</v>
      </c>
      <c r="D64" s="44"/>
    </row>
    <row r="65" spans="1:4" ht="14.4" x14ac:dyDescent="0.3">
      <c r="A65" s="42" t="str">
        <v>Aurora 100% Growth Portfolio</v>
      </c>
      <c r="B65" s="43">
        <v>45777</v>
      </c>
      <c r="C65" s="78">
        <v>3.5932799999999999E-3</v>
      </c>
      <c r="D65" s="44"/>
    </row>
    <row r="66" spans="1:4" ht="14.4" x14ac:dyDescent="0.3">
      <c r="A66" s="42" t="str">
        <v>Aurora 100% Growth Portfolio</v>
      </c>
      <c r="B66" s="43">
        <v>45808</v>
      </c>
      <c r="C66" s="78">
        <v>5.0158589999999996E-2</v>
      </c>
      <c r="D66" s="42"/>
    </row>
    <row r="67" spans="1:4" ht="14.4" x14ac:dyDescent="0.3">
      <c r="A67" s="42" t="str">
        <v>Aurora 100% Growth Portfolio</v>
      </c>
      <c r="B67" s="43">
        <v>45838</v>
      </c>
      <c r="C67" s="78">
        <v>2.017362E-2</v>
      </c>
      <c r="D67" s="42"/>
    </row>
    <row r="68" spans="1:4" ht="14.4" x14ac:dyDescent="0.3">
      <c r="A68" s="42" t="str">
        <v>Aurora 100% Growth Portfolio</v>
      </c>
      <c r="B68" s="43">
        <v>45869</v>
      </c>
      <c r="C68" s="78">
        <v>2.2768609999999998E-2</v>
      </c>
      <c r="D68" s="42"/>
    </row>
    <row r="69" spans="1:4" ht="14.4" x14ac:dyDescent="0.3">
      <c r="A69" s="42" t="str">
        <v>Aurora 100% Growth Portfolio</v>
      </c>
      <c r="B69" s="43">
        <v>45900</v>
      </c>
      <c r="C69" s="78">
        <v>2.260672E-2</v>
      </c>
      <c r="D69" s="42"/>
    </row>
    <row r="70" spans="1:4" ht="14.4" x14ac:dyDescent="0.3">
      <c r="A70" s="42" t="str">
        <v>Aurora 100% Growth Portfolio</v>
      </c>
      <c r="B70" s="43">
        <v>45930</v>
      </c>
      <c r="C70" s="78">
        <v>1.30385E-2</v>
      </c>
      <c r="D70" s="42"/>
    </row>
    <row r="71" spans="1:4" ht="14.4" x14ac:dyDescent="0.3">
      <c r="A71" s="42" t="str">
        <v>Aurora 100% Growth Portfolio</v>
      </c>
      <c r="B71" s="43">
        <v>45961</v>
      </c>
      <c r="C71" s="78">
        <v>1.6303289999999998E-2</v>
      </c>
      <c r="D71" s="42"/>
    </row>
    <row r="72" spans="1:4" ht="14.4" x14ac:dyDescent="0.3">
      <c r="A72" s="42" t="str">
        <v>Aurora 100% Growth Portfolio</v>
      </c>
      <c r="B72" s="43">
        <v>45991</v>
      </c>
      <c r="C72" s="78">
        <v>-2.6320800000000002E-3</v>
      </c>
      <c r="D72" s="42"/>
    </row>
    <row r="73" spans="1:4" ht="14.4" x14ac:dyDescent="0.3">
      <c r="A73" s="42" t="str">
        <v>Aurora 100% Growth Portfolio</v>
      </c>
      <c r="B73" s="43">
        <v>46022</v>
      </c>
      <c r="C73" s="78">
        <v>-2.4888699999999998E-3</v>
      </c>
      <c r="D73" s="42"/>
    </row>
    <row r="74" spans="1:4" ht="14.4" x14ac:dyDescent="0.3">
      <c r="A74" s="42">
        <v>0</v>
      </c>
      <c r="B74" s="43">
        <v>0</v>
      </c>
      <c r="C74" s="78">
        <v>0</v>
      </c>
      <c r="D74" s="42"/>
    </row>
    <row r="75" spans="1:4" ht="14.4" x14ac:dyDescent="0.3">
      <c r="A75" s="42">
        <v>0</v>
      </c>
      <c r="B75" s="43">
        <v>0</v>
      </c>
      <c r="C75" s="78">
        <v>0</v>
      </c>
      <c r="D75" s="42"/>
    </row>
    <row r="76" spans="1:4" ht="14.4" x14ac:dyDescent="0.3">
      <c r="A76" s="42">
        <v>0</v>
      </c>
      <c r="B76" s="43">
        <v>0</v>
      </c>
      <c r="C76" s="78">
        <v>0</v>
      </c>
      <c r="D76" s="42"/>
    </row>
    <row r="77" spans="1:4" ht="14.4" x14ac:dyDescent="0.3">
      <c r="A77" s="42">
        <v>0</v>
      </c>
      <c r="B77" s="43">
        <v>0</v>
      </c>
      <c r="C77" s="78">
        <v>0</v>
      </c>
      <c r="D77" s="42"/>
    </row>
    <row r="78" spans="1:4" ht="14.4" x14ac:dyDescent="0.3">
      <c r="A78" s="42">
        <v>0</v>
      </c>
      <c r="B78" s="43">
        <v>0</v>
      </c>
      <c r="C78" s="78">
        <v>0</v>
      </c>
      <c r="D78" s="42"/>
    </row>
    <row r="79" spans="1:4" ht="14.4" x14ac:dyDescent="0.3">
      <c r="A79" s="42">
        <v>0</v>
      </c>
      <c r="B79" s="43">
        <v>0</v>
      </c>
      <c r="C79" s="78">
        <v>0</v>
      </c>
      <c r="D79" s="42"/>
    </row>
    <row r="80" spans="1:4" ht="14.4" x14ac:dyDescent="0.3">
      <c r="A80" s="42">
        <v>0</v>
      </c>
      <c r="B80" s="43">
        <v>0</v>
      </c>
      <c r="C80" s="78">
        <v>0</v>
      </c>
      <c r="D80" s="42"/>
    </row>
    <row r="81" spans="1:4" ht="14.4" x14ac:dyDescent="0.3">
      <c r="A81" s="42">
        <v>0</v>
      </c>
      <c r="B81" s="43">
        <v>0</v>
      </c>
      <c r="C81" s="78">
        <v>0</v>
      </c>
      <c r="D81" s="42"/>
    </row>
    <row r="82" spans="1:4" ht="14.4" x14ac:dyDescent="0.3">
      <c r="A82" s="42">
        <v>0</v>
      </c>
      <c r="B82" s="43">
        <v>0</v>
      </c>
      <c r="C82" s="78">
        <v>0</v>
      </c>
      <c r="D82" s="42"/>
    </row>
    <row r="83" spans="1:4" ht="14.4" x14ac:dyDescent="0.3">
      <c r="A83" s="42">
        <v>0</v>
      </c>
      <c r="B83" s="43">
        <v>0</v>
      </c>
      <c r="C83" s="78">
        <v>0</v>
      </c>
      <c r="D83" s="42"/>
    </row>
    <row r="84" spans="1:4" ht="14.4" x14ac:dyDescent="0.3">
      <c r="A84" s="42">
        <v>0</v>
      </c>
      <c r="B84" s="43">
        <v>0</v>
      </c>
      <c r="C84" s="78">
        <v>0</v>
      </c>
      <c r="D84" s="42"/>
    </row>
    <row r="85" spans="1:4" ht="14.4" x14ac:dyDescent="0.3">
      <c r="A85" s="42">
        <v>0</v>
      </c>
      <c r="B85" s="43">
        <v>0</v>
      </c>
      <c r="C85" s="78">
        <v>0</v>
      </c>
      <c r="D85" s="42"/>
    </row>
    <row r="86" spans="1:4" ht="14.4" x14ac:dyDescent="0.3">
      <c r="A86" s="42">
        <v>0</v>
      </c>
      <c r="B86" s="43">
        <v>0</v>
      </c>
      <c r="C86" s="78">
        <v>0</v>
      </c>
      <c r="D86" s="42"/>
    </row>
    <row r="87" spans="1:4" ht="14.4" x14ac:dyDescent="0.3">
      <c r="A87" s="42">
        <v>0</v>
      </c>
      <c r="B87" s="43">
        <v>0</v>
      </c>
      <c r="C87" s="78">
        <v>0</v>
      </c>
      <c r="D87" s="42"/>
    </row>
    <row r="88" spans="1:4" ht="14.4" x14ac:dyDescent="0.3">
      <c r="A88" s="42">
        <v>0</v>
      </c>
      <c r="B88" s="43">
        <v>0</v>
      </c>
      <c r="C88" s="78">
        <v>0</v>
      </c>
      <c r="D88" s="42"/>
    </row>
    <row r="89" spans="1:4" ht="14.4" x14ac:dyDescent="0.3">
      <c r="A89" s="42">
        <v>0</v>
      </c>
      <c r="B89" s="43">
        <v>0</v>
      </c>
      <c r="C89" s="78">
        <v>0</v>
      </c>
      <c r="D89" s="42"/>
    </row>
    <row r="90" spans="1:4" ht="14.4" x14ac:dyDescent="0.3">
      <c r="A90" s="42">
        <v>0</v>
      </c>
      <c r="B90" s="43">
        <v>0</v>
      </c>
      <c r="C90" s="78">
        <v>0</v>
      </c>
      <c r="D90" s="42"/>
    </row>
    <row r="91" spans="1:4" ht="14.4" x14ac:dyDescent="0.3">
      <c r="A91" s="42">
        <v>0</v>
      </c>
      <c r="B91" s="43">
        <v>0</v>
      </c>
      <c r="C91" s="78">
        <v>0</v>
      </c>
      <c r="D91" s="42"/>
    </row>
    <row r="92" spans="1:4" ht="14.4" x14ac:dyDescent="0.3">
      <c r="A92" s="42">
        <v>0</v>
      </c>
      <c r="B92" s="43">
        <v>0</v>
      </c>
      <c r="C92" s="78">
        <v>0</v>
      </c>
      <c r="D92" s="42"/>
    </row>
    <row r="93" spans="1:4" ht="14.4" x14ac:dyDescent="0.3">
      <c r="A93" s="42">
        <v>0</v>
      </c>
      <c r="B93" s="43">
        <v>0</v>
      </c>
      <c r="C93" s="78">
        <v>0</v>
      </c>
      <c r="D93" s="42"/>
    </row>
    <row r="94" spans="1:4" ht="14.4" x14ac:dyDescent="0.3">
      <c r="A94" s="42">
        <v>0</v>
      </c>
      <c r="B94" s="43">
        <v>0</v>
      </c>
      <c r="C94" s="78">
        <v>0</v>
      </c>
      <c r="D94" s="42"/>
    </row>
    <row r="95" spans="1:4" ht="14.4" x14ac:dyDescent="0.3">
      <c r="A95" s="42">
        <v>0</v>
      </c>
      <c r="B95" s="43">
        <v>0</v>
      </c>
      <c r="C95" s="78">
        <v>0</v>
      </c>
      <c r="D95" s="42"/>
    </row>
    <row r="96" spans="1:4" ht="14.4" x14ac:dyDescent="0.3">
      <c r="A96" s="42">
        <v>0</v>
      </c>
      <c r="B96" s="43">
        <v>0</v>
      </c>
      <c r="C96" s="78">
        <v>0</v>
      </c>
      <c r="D96" s="42"/>
    </row>
    <row r="97" spans="1:4" ht="14.4" x14ac:dyDescent="0.3">
      <c r="A97" s="42">
        <v>0</v>
      </c>
      <c r="B97" s="43">
        <v>0</v>
      </c>
      <c r="C97" s="78">
        <v>0</v>
      </c>
      <c r="D97" s="42"/>
    </row>
    <row r="98" spans="1:4" ht="14.4" x14ac:dyDescent="0.3">
      <c r="A98" s="42">
        <v>0</v>
      </c>
      <c r="B98" s="43">
        <v>0</v>
      </c>
      <c r="C98" s="78">
        <v>0</v>
      </c>
      <c r="D98" s="42"/>
    </row>
    <row r="99" spans="1:4" ht="14.4" x14ac:dyDescent="0.3">
      <c r="A99" s="42">
        <v>0</v>
      </c>
      <c r="B99" s="43">
        <v>0</v>
      </c>
      <c r="C99" s="78">
        <v>0</v>
      </c>
      <c r="D99" s="42"/>
    </row>
    <row r="100" spans="1:4" ht="14.4" x14ac:dyDescent="0.3">
      <c r="A100" s="42">
        <v>0</v>
      </c>
      <c r="B100" s="43">
        <v>0</v>
      </c>
      <c r="C100" s="78">
        <v>0</v>
      </c>
      <c r="D100" s="42"/>
    </row>
    <row r="101" spans="1:4" ht="14.4" x14ac:dyDescent="0.3">
      <c r="A101" s="42">
        <v>0</v>
      </c>
      <c r="B101" s="43">
        <v>0</v>
      </c>
      <c r="C101" s="78">
        <v>0</v>
      </c>
      <c r="D101" s="42"/>
    </row>
    <row r="102" spans="1:4" ht="14.4" x14ac:dyDescent="0.3">
      <c r="A102" s="42">
        <v>0</v>
      </c>
      <c r="B102" s="43">
        <v>0</v>
      </c>
      <c r="C102" s="78">
        <v>0</v>
      </c>
      <c r="D102" s="42"/>
    </row>
    <row r="103" spans="1:4" ht="14.4" x14ac:dyDescent="0.3">
      <c r="A103" s="42">
        <v>0</v>
      </c>
      <c r="B103" s="43">
        <v>0</v>
      </c>
      <c r="C103" s="78">
        <v>0</v>
      </c>
      <c r="D103" s="42"/>
    </row>
    <row r="104" spans="1:4" ht="14.4" x14ac:dyDescent="0.3">
      <c r="A104" s="42">
        <v>0</v>
      </c>
      <c r="B104" s="43">
        <v>0</v>
      </c>
      <c r="C104" s="78">
        <v>0</v>
      </c>
      <c r="D104" s="42"/>
    </row>
    <row r="105" spans="1:4" ht="14.4" x14ac:dyDescent="0.3">
      <c r="A105" s="42">
        <v>0</v>
      </c>
      <c r="B105" s="43">
        <v>0</v>
      </c>
      <c r="C105" s="78">
        <v>0</v>
      </c>
      <c r="D105" s="42"/>
    </row>
    <row r="106" spans="1:4" ht="14.4" x14ac:dyDescent="0.3">
      <c r="A106" s="42">
        <v>0</v>
      </c>
      <c r="B106" s="43">
        <v>0</v>
      </c>
      <c r="C106" s="78">
        <v>0</v>
      </c>
      <c r="D106" s="42"/>
    </row>
    <row r="107" spans="1:4" ht="14.4" x14ac:dyDescent="0.3">
      <c r="A107" s="42">
        <v>0</v>
      </c>
      <c r="B107" s="43">
        <v>0</v>
      </c>
      <c r="C107" s="78">
        <v>0</v>
      </c>
      <c r="D107" s="42"/>
    </row>
    <row r="108" spans="1:4" ht="14.4" x14ac:dyDescent="0.3">
      <c r="A108" s="42">
        <v>0</v>
      </c>
      <c r="B108" s="43">
        <v>0</v>
      </c>
      <c r="C108" s="78">
        <v>0</v>
      </c>
      <c r="D108" s="42"/>
    </row>
    <row r="109" spans="1:4" ht="14.4" x14ac:dyDescent="0.3">
      <c r="A109" s="42">
        <v>0</v>
      </c>
      <c r="B109" s="43">
        <v>0</v>
      </c>
      <c r="C109" s="78">
        <v>0</v>
      </c>
      <c r="D109" s="42"/>
    </row>
    <row r="110" spans="1:4" ht="14.4" x14ac:dyDescent="0.3">
      <c r="A110" s="42">
        <v>0</v>
      </c>
      <c r="B110" s="43">
        <v>0</v>
      </c>
      <c r="C110" s="78">
        <v>0</v>
      </c>
      <c r="D110" s="42"/>
    </row>
    <row r="111" spans="1:4" ht="14.4" x14ac:dyDescent="0.3">
      <c r="A111" s="42">
        <v>0</v>
      </c>
      <c r="B111" s="43">
        <v>0</v>
      </c>
      <c r="C111" s="78">
        <v>0</v>
      </c>
      <c r="D111" s="42"/>
    </row>
    <row r="112" spans="1:4" ht="14.4" x14ac:dyDescent="0.3">
      <c r="A112" s="42">
        <v>0</v>
      </c>
      <c r="B112" s="43">
        <v>0</v>
      </c>
      <c r="C112" s="78">
        <v>0</v>
      </c>
      <c r="D112" s="42"/>
    </row>
    <row r="113" spans="1:4" ht="14.4" x14ac:dyDescent="0.3">
      <c r="A113" s="42">
        <v>0</v>
      </c>
      <c r="B113" s="43">
        <v>0</v>
      </c>
      <c r="C113" s="78">
        <v>0</v>
      </c>
      <c r="D113" s="42"/>
    </row>
    <row r="114" spans="1:4" ht="14.4" x14ac:dyDescent="0.3">
      <c r="A114" s="42">
        <v>0</v>
      </c>
      <c r="B114" s="43">
        <v>0</v>
      </c>
      <c r="C114" s="78">
        <v>0</v>
      </c>
      <c r="D114" s="42"/>
    </row>
    <row r="115" spans="1:4" ht="14.4" x14ac:dyDescent="0.3">
      <c r="A115" s="42">
        <v>0</v>
      </c>
      <c r="B115" s="43">
        <v>0</v>
      </c>
      <c r="C115" s="78">
        <v>0</v>
      </c>
      <c r="D115" s="42"/>
    </row>
    <row r="116" spans="1:4" ht="14.4" x14ac:dyDescent="0.3">
      <c r="A116" s="42">
        <v>0</v>
      </c>
      <c r="B116" s="43">
        <v>0</v>
      </c>
      <c r="C116" s="78">
        <v>0</v>
      </c>
      <c r="D116" s="42"/>
    </row>
    <row r="117" spans="1:4" ht="14.4" x14ac:dyDescent="0.3">
      <c r="A117" s="42">
        <v>0</v>
      </c>
      <c r="B117" s="43">
        <v>0</v>
      </c>
      <c r="C117" s="78">
        <v>0</v>
      </c>
      <c r="D117" s="42"/>
    </row>
    <row r="118" spans="1:4" ht="14.4" x14ac:dyDescent="0.3">
      <c r="A118" s="42">
        <v>0</v>
      </c>
      <c r="B118" s="43">
        <v>0</v>
      </c>
      <c r="C118" s="78">
        <v>0</v>
      </c>
      <c r="D118" s="42"/>
    </row>
    <row r="119" spans="1:4" ht="14.4" x14ac:dyDescent="0.3">
      <c r="A119" s="42">
        <v>0</v>
      </c>
      <c r="B119" s="43">
        <v>0</v>
      </c>
      <c r="C119" s="78">
        <v>0</v>
      </c>
      <c r="D119" s="42"/>
    </row>
    <row r="120" spans="1:4" ht="14.4" x14ac:dyDescent="0.3">
      <c r="A120" s="42">
        <v>0</v>
      </c>
      <c r="B120" s="43">
        <v>0</v>
      </c>
      <c r="C120" s="78">
        <v>0</v>
      </c>
      <c r="D120" s="42"/>
    </row>
    <row r="121" spans="1:4" ht="14.4" x14ac:dyDescent="0.3">
      <c r="A121" s="42">
        <v>0</v>
      </c>
      <c r="B121" s="43">
        <v>0</v>
      </c>
      <c r="C121" s="78">
        <v>0</v>
      </c>
      <c r="D121" s="42"/>
    </row>
    <row r="122" spans="1:4" ht="14.4" x14ac:dyDescent="0.3">
      <c r="A122" s="42">
        <v>0</v>
      </c>
      <c r="B122" s="43">
        <v>0</v>
      </c>
      <c r="C122" s="78">
        <v>0</v>
      </c>
      <c r="D122" s="42"/>
    </row>
    <row r="123" spans="1:4" ht="14.4" x14ac:dyDescent="0.3">
      <c r="A123" s="42">
        <v>0</v>
      </c>
      <c r="B123" s="43">
        <v>0</v>
      </c>
      <c r="C123" s="78">
        <v>0</v>
      </c>
      <c r="D123" s="42"/>
    </row>
    <row r="124" spans="1:4" ht="14.4" x14ac:dyDescent="0.3">
      <c r="A124" s="42">
        <v>0</v>
      </c>
      <c r="B124" s="43">
        <v>0</v>
      </c>
      <c r="C124" s="78">
        <v>0</v>
      </c>
      <c r="D124" s="42"/>
    </row>
    <row r="125" spans="1:4" ht="14.4" x14ac:dyDescent="0.3">
      <c r="A125" s="42">
        <v>0</v>
      </c>
      <c r="B125" s="43">
        <v>0</v>
      </c>
      <c r="C125" s="78">
        <v>0</v>
      </c>
      <c r="D125" s="42"/>
    </row>
    <row r="126" spans="1:4" ht="14.4" x14ac:dyDescent="0.3">
      <c r="A126" s="42">
        <v>0</v>
      </c>
      <c r="B126" s="43">
        <v>0</v>
      </c>
      <c r="C126" s="78">
        <v>0</v>
      </c>
      <c r="D126" s="42"/>
    </row>
    <row r="127" spans="1:4" ht="14.4" x14ac:dyDescent="0.3">
      <c r="A127" s="42">
        <v>0</v>
      </c>
      <c r="B127" s="43">
        <v>0</v>
      </c>
      <c r="C127" s="78">
        <v>0</v>
      </c>
      <c r="D127" s="42"/>
    </row>
    <row r="128" spans="1:4" ht="14.4" x14ac:dyDescent="0.3">
      <c r="A128" s="42">
        <v>0</v>
      </c>
      <c r="B128" s="43">
        <v>0</v>
      </c>
      <c r="C128" s="78">
        <v>0</v>
      </c>
      <c r="D128" s="42"/>
    </row>
    <row r="129" spans="1:4" ht="14.4" x14ac:dyDescent="0.3">
      <c r="A129" s="42">
        <v>0</v>
      </c>
      <c r="B129" s="43">
        <v>0</v>
      </c>
      <c r="C129" s="78">
        <v>0</v>
      </c>
      <c r="D129" s="42"/>
    </row>
    <row r="130" spans="1:4" ht="14.4" x14ac:dyDescent="0.3">
      <c r="A130" s="42">
        <v>0</v>
      </c>
      <c r="B130" s="43">
        <v>0</v>
      </c>
      <c r="C130" s="78">
        <v>0</v>
      </c>
      <c r="D130" s="42"/>
    </row>
    <row r="131" spans="1:4" ht="14.4" x14ac:dyDescent="0.3">
      <c r="A131" s="42">
        <v>0</v>
      </c>
      <c r="B131" s="43">
        <v>0</v>
      </c>
      <c r="C131" s="78">
        <v>0</v>
      </c>
      <c r="D131" s="42"/>
    </row>
    <row r="132" spans="1:4" ht="14.4" x14ac:dyDescent="0.3">
      <c r="A132" s="42">
        <v>0</v>
      </c>
      <c r="B132" s="43">
        <v>0</v>
      </c>
      <c r="C132" s="78">
        <v>0</v>
      </c>
      <c r="D132" s="42"/>
    </row>
    <row r="133" spans="1:4" ht="14.4" x14ac:dyDescent="0.3">
      <c r="A133" s="42">
        <v>0</v>
      </c>
      <c r="B133" s="43">
        <v>0</v>
      </c>
      <c r="C133" s="78">
        <v>0</v>
      </c>
      <c r="D133" s="42"/>
    </row>
    <row r="134" spans="1:4" ht="14.4" x14ac:dyDescent="0.3">
      <c r="A134" s="42">
        <v>0</v>
      </c>
      <c r="B134" s="43">
        <v>0</v>
      </c>
      <c r="C134" s="78">
        <v>0</v>
      </c>
      <c r="D134" s="42"/>
    </row>
    <row r="135" spans="1:4" ht="14.4" x14ac:dyDescent="0.3">
      <c r="A135" s="42">
        <v>0</v>
      </c>
      <c r="B135" s="43">
        <v>0</v>
      </c>
      <c r="C135" s="78">
        <v>0</v>
      </c>
      <c r="D135" s="42"/>
    </row>
    <row r="136" spans="1:4" ht="14.4" x14ac:dyDescent="0.3">
      <c r="A136" s="42">
        <v>0</v>
      </c>
      <c r="B136" s="43">
        <v>0</v>
      </c>
      <c r="C136" s="78">
        <v>0</v>
      </c>
      <c r="D136" s="42"/>
    </row>
    <row r="137" spans="1:4" ht="14.4" x14ac:dyDescent="0.3">
      <c r="A137" s="42">
        <v>0</v>
      </c>
      <c r="B137" s="43">
        <v>0</v>
      </c>
      <c r="C137" s="78">
        <v>0</v>
      </c>
      <c r="D137" s="42"/>
    </row>
    <row r="138" spans="1:4" ht="14.4" x14ac:dyDescent="0.3">
      <c r="A138" s="42">
        <v>0</v>
      </c>
      <c r="B138" s="43">
        <v>0</v>
      </c>
      <c r="C138" s="78">
        <v>0</v>
      </c>
      <c r="D138" s="42"/>
    </row>
    <row r="139" spans="1:4" ht="14.4" x14ac:dyDescent="0.3">
      <c r="A139" s="42">
        <v>0</v>
      </c>
      <c r="B139" s="43">
        <v>0</v>
      </c>
      <c r="C139" s="78">
        <v>0</v>
      </c>
      <c r="D139" s="42"/>
    </row>
    <row r="140" spans="1:4" ht="14.4" x14ac:dyDescent="0.3">
      <c r="A140" s="42">
        <v>0</v>
      </c>
      <c r="B140" s="43">
        <v>0</v>
      </c>
      <c r="C140" s="78">
        <v>0</v>
      </c>
      <c r="D140" s="42"/>
    </row>
    <row r="141" spans="1:4" ht="14.4" x14ac:dyDescent="0.3">
      <c r="A141" s="42">
        <v>0</v>
      </c>
      <c r="B141" s="43">
        <v>0</v>
      </c>
      <c r="C141" s="78">
        <v>0</v>
      </c>
      <c r="D141" s="42"/>
    </row>
    <row r="142" spans="1:4" ht="14.4" x14ac:dyDescent="0.3">
      <c r="A142" s="42">
        <v>0</v>
      </c>
      <c r="B142" s="43">
        <v>0</v>
      </c>
      <c r="C142" s="78">
        <v>0</v>
      </c>
      <c r="D142" s="42"/>
    </row>
    <row r="143" spans="1:4" ht="14.4" x14ac:dyDescent="0.3">
      <c r="A143" s="42">
        <v>0</v>
      </c>
      <c r="B143" s="43">
        <v>0</v>
      </c>
      <c r="C143" s="78">
        <v>0</v>
      </c>
      <c r="D143" s="42"/>
    </row>
    <row r="144" spans="1:4" ht="14.4" x14ac:dyDescent="0.3">
      <c r="A144" s="42">
        <v>0</v>
      </c>
      <c r="B144" s="43">
        <v>0</v>
      </c>
      <c r="C144" s="78">
        <v>0</v>
      </c>
      <c r="D144" s="42"/>
    </row>
    <row r="145" spans="1:4" ht="14.4" x14ac:dyDescent="0.3">
      <c r="A145" s="42">
        <v>0</v>
      </c>
      <c r="B145" s="43">
        <v>0</v>
      </c>
      <c r="C145" s="78">
        <v>0</v>
      </c>
      <c r="D145" s="42"/>
    </row>
    <row r="146" spans="1:4" ht="14.4" x14ac:dyDescent="0.3">
      <c r="A146" s="42">
        <v>0</v>
      </c>
      <c r="B146" s="43">
        <v>0</v>
      </c>
      <c r="C146" s="78">
        <v>0</v>
      </c>
      <c r="D146" s="42"/>
    </row>
    <row r="147" spans="1:4" ht="14.4" x14ac:dyDescent="0.3">
      <c r="A147" s="42">
        <v>0</v>
      </c>
      <c r="B147" s="43">
        <v>0</v>
      </c>
      <c r="C147" s="78">
        <v>0</v>
      </c>
      <c r="D147" s="42"/>
    </row>
    <row r="148" spans="1:4" ht="14.4" x14ac:dyDescent="0.3">
      <c r="A148" s="42">
        <v>0</v>
      </c>
      <c r="B148" s="43">
        <v>0</v>
      </c>
      <c r="C148" s="78">
        <v>0</v>
      </c>
      <c r="D148" s="42"/>
    </row>
    <row r="149" spans="1:4" ht="14.4" x14ac:dyDescent="0.3">
      <c r="A149" s="42">
        <v>0</v>
      </c>
      <c r="B149" s="43">
        <v>0</v>
      </c>
      <c r="C149" s="78">
        <v>0</v>
      </c>
      <c r="D149" s="42"/>
    </row>
    <row r="150" spans="1:4" ht="14.4" x14ac:dyDescent="0.3">
      <c r="A150" s="42">
        <v>0</v>
      </c>
      <c r="B150" s="43">
        <v>0</v>
      </c>
      <c r="C150" s="78">
        <v>0</v>
      </c>
      <c r="D150" s="42"/>
    </row>
    <row r="151" spans="1:4" ht="14.4" x14ac:dyDescent="0.3">
      <c r="A151" s="42">
        <v>0</v>
      </c>
      <c r="B151" s="43">
        <v>0</v>
      </c>
      <c r="C151" s="78">
        <v>0</v>
      </c>
      <c r="D151" s="42"/>
    </row>
    <row r="152" spans="1:4" ht="14.4" x14ac:dyDescent="0.3">
      <c r="A152" s="42">
        <v>0</v>
      </c>
      <c r="B152" s="43">
        <v>0</v>
      </c>
      <c r="C152" s="78">
        <v>0</v>
      </c>
      <c r="D152" s="42"/>
    </row>
    <row r="153" spans="1:4" ht="14.4" x14ac:dyDescent="0.3">
      <c r="A153" s="42">
        <v>0</v>
      </c>
      <c r="B153" s="43">
        <v>0</v>
      </c>
      <c r="C153" s="78">
        <v>0</v>
      </c>
      <c r="D153" s="42"/>
    </row>
    <row r="154" spans="1:4" ht="14.4" x14ac:dyDescent="0.3">
      <c r="A154" s="42">
        <v>0</v>
      </c>
      <c r="B154" s="43">
        <v>0</v>
      </c>
      <c r="C154" s="78">
        <v>0</v>
      </c>
      <c r="D154" s="42"/>
    </row>
    <row r="155" spans="1:4" ht="14.4" x14ac:dyDescent="0.3">
      <c r="A155" s="42">
        <v>0</v>
      </c>
      <c r="B155" s="43">
        <v>0</v>
      </c>
      <c r="C155" s="78">
        <v>0</v>
      </c>
      <c r="D155" s="42"/>
    </row>
    <row r="156" spans="1:4" ht="14.4" x14ac:dyDescent="0.3">
      <c r="A156" s="42">
        <v>0</v>
      </c>
      <c r="B156" s="43">
        <v>0</v>
      </c>
      <c r="C156" s="78">
        <v>0</v>
      </c>
      <c r="D156" s="42"/>
    </row>
    <row r="157" spans="1:4" ht="14.4" x14ac:dyDescent="0.3">
      <c r="A157" s="42">
        <v>0</v>
      </c>
      <c r="B157" s="43">
        <v>0</v>
      </c>
      <c r="C157" s="78">
        <v>0</v>
      </c>
      <c r="D157" s="42"/>
    </row>
    <row r="158" spans="1:4" ht="14.4" x14ac:dyDescent="0.3">
      <c r="A158" s="42">
        <v>0</v>
      </c>
      <c r="B158" s="43">
        <v>0</v>
      </c>
      <c r="C158" s="78">
        <v>0</v>
      </c>
      <c r="D158" s="42"/>
    </row>
    <row r="159" spans="1:4" ht="14.4" x14ac:dyDescent="0.3">
      <c r="A159" s="42">
        <v>0</v>
      </c>
      <c r="B159" s="43">
        <v>0</v>
      </c>
      <c r="C159" s="78">
        <v>0</v>
      </c>
      <c r="D159" s="42"/>
    </row>
    <row r="160" spans="1:4" ht="14.4" x14ac:dyDescent="0.3">
      <c r="A160" s="42">
        <v>0</v>
      </c>
      <c r="B160" s="43">
        <v>0</v>
      </c>
      <c r="C160" s="78">
        <v>0</v>
      </c>
      <c r="D160" s="42"/>
    </row>
    <row r="161" spans="1:4" ht="14.4" x14ac:dyDescent="0.3">
      <c r="A161" s="42">
        <v>0</v>
      </c>
      <c r="B161" s="43">
        <v>0</v>
      </c>
      <c r="C161" s="78">
        <v>0</v>
      </c>
      <c r="D161" s="42"/>
    </row>
    <row r="162" spans="1:4" ht="14.4" x14ac:dyDescent="0.3">
      <c r="A162" s="42">
        <v>0</v>
      </c>
      <c r="B162" s="43">
        <v>0</v>
      </c>
      <c r="C162" s="78">
        <v>0</v>
      </c>
      <c r="D162" s="42"/>
    </row>
    <row r="163" spans="1:4" ht="14.4" x14ac:dyDescent="0.3">
      <c r="A163" s="42">
        <v>0</v>
      </c>
      <c r="B163" s="43">
        <v>0</v>
      </c>
      <c r="C163" s="78">
        <v>0</v>
      </c>
      <c r="D163" s="42"/>
    </row>
    <row r="164" spans="1:4" ht="14.4" x14ac:dyDescent="0.3">
      <c r="A164" s="42">
        <v>0</v>
      </c>
      <c r="B164" s="43">
        <v>0</v>
      </c>
      <c r="C164" s="78">
        <v>0</v>
      </c>
      <c r="D164" s="42"/>
    </row>
    <row r="165" spans="1:4" ht="14.4" x14ac:dyDescent="0.3">
      <c r="A165" s="42">
        <v>0</v>
      </c>
      <c r="B165" s="43">
        <v>0</v>
      </c>
      <c r="C165" s="78">
        <v>0</v>
      </c>
      <c r="D165" s="42"/>
    </row>
    <row r="166" spans="1:4" ht="14.4" x14ac:dyDescent="0.3">
      <c r="A166" s="42">
        <v>0</v>
      </c>
      <c r="B166" s="43">
        <v>0</v>
      </c>
      <c r="C166" s="78">
        <v>0</v>
      </c>
      <c r="D166" s="42"/>
    </row>
    <row r="167" spans="1:4" ht="14.4" x14ac:dyDescent="0.3">
      <c r="A167" s="42">
        <v>0</v>
      </c>
      <c r="B167" s="43">
        <v>0</v>
      </c>
      <c r="C167" s="78">
        <v>0</v>
      </c>
      <c r="D167" s="42"/>
    </row>
    <row r="168" spans="1:4" ht="14.4" x14ac:dyDescent="0.3">
      <c r="A168" s="42">
        <v>0</v>
      </c>
      <c r="B168" s="43">
        <v>0</v>
      </c>
      <c r="C168" s="78">
        <v>0</v>
      </c>
      <c r="D168" s="42"/>
    </row>
    <row r="169" spans="1:4" ht="14.4" x14ac:dyDescent="0.3">
      <c r="A169" s="42">
        <v>0</v>
      </c>
      <c r="B169" s="43">
        <v>0</v>
      </c>
      <c r="C169" s="78">
        <v>0</v>
      </c>
      <c r="D169" s="42"/>
    </row>
    <row r="170" spans="1:4" ht="14.4" x14ac:dyDescent="0.3">
      <c r="A170" s="42">
        <v>0</v>
      </c>
      <c r="B170" s="43">
        <v>0</v>
      </c>
      <c r="C170" s="78">
        <v>0</v>
      </c>
      <c r="D170" s="42"/>
    </row>
    <row r="171" spans="1:4" ht="14.4" x14ac:dyDescent="0.3">
      <c r="A171" s="42">
        <v>0</v>
      </c>
      <c r="B171" s="43">
        <v>0</v>
      </c>
      <c r="C171" s="78">
        <v>0</v>
      </c>
      <c r="D171" s="42"/>
    </row>
    <row r="172" spans="1:4" ht="14.4" x14ac:dyDescent="0.3">
      <c r="A172" s="42">
        <v>0</v>
      </c>
      <c r="B172" s="43">
        <v>0</v>
      </c>
      <c r="C172" s="78">
        <v>0</v>
      </c>
      <c r="D172" s="42"/>
    </row>
    <row r="173" spans="1:4" ht="14.4" x14ac:dyDescent="0.3">
      <c r="A173" s="42">
        <v>0</v>
      </c>
      <c r="B173" s="43">
        <v>0</v>
      </c>
      <c r="C173" s="78">
        <v>0</v>
      </c>
      <c r="D173" s="42"/>
    </row>
    <row r="174" spans="1:4" ht="14.4" x14ac:dyDescent="0.3">
      <c r="A174" s="42">
        <v>0</v>
      </c>
      <c r="B174" s="43">
        <v>0</v>
      </c>
      <c r="C174" s="78">
        <v>0</v>
      </c>
      <c r="D174" s="42"/>
    </row>
    <row r="175" spans="1:4" ht="14.4" x14ac:dyDescent="0.3">
      <c r="A175" s="42">
        <v>0</v>
      </c>
      <c r="B175" s="43">
        <v>0</v>
      </c>
      <c r="C175" s="78">
        <v>0</v>
      </c>
      <c r="D175" s="42"/>
    </row>
    <row r="176" spans="1:4" ht="14.4" x14ac:dyDescent="0.3">
      <c r="A176" s="42">
        <v>0</v>
      </c>
      <c r="B176" s="43">
        <v>0</v>
      </c>
      <c r="C176" s="78">
        <v>0</v>
      </c>
      <c r="D176" s="42"/>
    </row>
    <row r="177" spans="1:4" ht="14.4" x14ac:dyDescent="0.3">
      <c r="A177" s="42">
        <v>0</v>
      </c>
      <c r="B177" s="43">
        <v>0</v>
      </c>
      <c r="C177" s="78">
        <v>0</v>
      </c>
      <c r="D177" s="42"/>
    </row>
    <row r="178" spans="1:4" ht="14.4" x14ac:dyDescent="0.3">
      <c r="A178" s="42">
        <v>0</v>
      </c>
      <c r="B178" s="43">
        <v>0</v>
      </c>
      <c r="C178" s="78">
        <v>0</v>
      </c>
      <c r="D178" s="42"/>
    </row>
    <row r="179" spans="1:4" ht="14.4" x14ac:dyDescent="0.3">
      <c r="A179" s="42">
        <v>0</v>
      </c>
      <c r="B179" s="43">
        <v>0</v>
      </c>
      <c r="C179" s="78">
        <v>0</v>
      </c>
      <c r="D179" s="42"/>
    </row>
    <row r="180" spans="1:4" ht="14.4" x14ac:dyDescent="0.3">
      <c r="A180" s="42">
        <v>0</v>
      </c>
      <c r="B180" s="43">
        <v>0</v>
      </c>
      <c r="C180" s="78">
        <v>0</v>
      </c>
      <c r="D180" s="42"/>
    </row>
    <row r="181" spans="1:4" ht="14.4" x14ac:dyDescent="0.3">
      <c r="A181" s="42">
        <v>0</v>
      </c>
      <c r="B181" s="43">
        <v>0</v>
      </c>
      <c r="C181" s="78">
        <v>0</v>
      </c>
      <c r="D181" s="42"/>
    </row>
    <row r="182" spans="1:4" ht="14.4" x14ac:dyDescent="0.3">
      <c r="A182" s="42">
        <v>0</v>
      </c>
      <c r="B182" s="43">
        <v>0</v>
      </c>
      <c r="C182" s="78">
        <v>0</v>
      </c>
      <c r="D182" s="42"/>
    </row>
    <row r="183" spans="1:4" ht="14.4" x14ac:dyDescent="0.3">
      <c r="A183" s="42">
        <v>0</v>
      </c>
      <c r="B183" s="43">
        <v>0</v>
      </c>
      <c r="C183" s="78">
        <v>0</v>
      </c>
      <c r="D183" s="42"/>
    </row>
    <row r="184" spans="1:4" ht="14.4" x14ac:dyDescent="0.3">
      <c r="A184" s="42">
        <v>0</v>
      </c>
      <c r="B184" s="43">
        <v>0</v>
      </c>
      <c r="C184" s="78">
        <v>0</v>
      </c>
      <c r="D184" s="42"/>
    </row>
    <row r="185" spans="1:4" ht="14.4" x14ac:dyDescent="0.3">
      <c r="A185" s="42">
        <v>0</v>
      </c>
      <c r="B185" s="43">
        <v>0</v>
      </c>
      <c r="C185" s="78">
        <v>0</v>
      </c>
      <c r="D185" s="42"/>
    </row>
    <row r="186" spans="1:4" ht="14.4" x14ac:dyDescent="0.3">
      <c r="A186" s="42">
        <v>0</v>
      </c>
      <c r="B186" s="43">
        <v>0</v>
      </c>
      <c r="C186" s="78">
        <v>0</v>
      </c>
      <c r="D186" s="42"/>
    </row>
    <row r="187" spans="1:4" ht="14.4" x14ac:dyDescent="0.3">
      <c r="A187" s="42">
        <v>0</v>
      </c>
      <c r="B187" s="43">
        <v>0</v>
      </c>
      <c r="C187" s="78">
        <v>0</v>
      </c>
      <c r="D187" s="42"/>
    </row>
    <row r="188" spans="1:4" ht="14.4" x14ac:dyDescent="0.3">
      <c r="A188" s="42">
        <v>0</v>
      </c>
      <c r="B188" s="43">
        <v>0</v>
      </c>
      <c r="C188" s="78">
        <v>0</v>
      </c>
      <c r="D188" s="42"/>
    </row>
    <row r="189" spans="1:4" ht="14.4" x14ac:dyDescent="0.3">
      <c r="A189" s="42">
        <v>0</v>
      </c>
      <c r="B189" s="43">
        <v>0</v>
      </c>
      <c r="C189" s="78">
        <v>0</v>
      </c>
      <c r="D189" s="42"/>
    </row>
    <row r="190" spans="1:4" ht="14.4" x14ac:dyDescent="0.3">
      <c r="A190" s="42">
        <v>0</v>
      </c>
      <c r="B190" s="43">
        <v>0</v>
      </c>
      <c r="C190" s="78">
        <v>0</v>
      </c>
      <c r="D190" s="42"/>
    </row>
    <row r="191" spans="1:4" ht="14.4" x14ac:dyDescent="0.3">
      <c r="A191" s="42">
        <v>0</v>
      </c>
      <c r="B191" s="43">
        <v>0</v>
      </c>
      <c r="C191" s="78">
        <v>0</v>
      </c>
      <c r="D191" s="42"/>
    </row>
    <row r="192" spans="1:4" ht="14.4" x14ac:dyDescent="0.3">
      <c r="A192" s="42">
        <v>0</v>
      </c>
      <c r="B192" s="43">
        <v>0</v>
      </c>
      <c r="C192" s="78">
        <v>0</v>
      </c>
      <c r="D192" s="42"/>
    </row>
    <row r="193" spans="1:4" ht="14.4" x14ac:dyDescent="0.3">
      <c r="A193" s="42">
        <v>0</v>
      </c>
      <c r="B193" s="43">
        <v>0</v>
      </c>
      <c r="C193" s="78">
        <v>0</v>
      </c>
      <c r="D193" s="42"/>
    </row>
    <row r="194" spans="1:4" ht="14.4" x14ac:dyDescent="0.3">
      <c r="A194" s="42">
        <v>0</v>
      </c>
      <c r="B194" s="43">
        <v>0</v>
      </c>
      <c r="C194" s="78">
        <v>0</v>
      </c>
      <c r="D194" s="42"/>
    </row>
    <row r="195" spans="1:4" ht="14.4" x14ac:dyDescent="0.3">
      <c r="A195" s="42">
        <v>0</v>
      </c>
      <c r="B195" s="43">
        <v>0</v>
      </c>
      <c r="C195" s="78">
        <v>0</v>
      </c>
      <c r="D195" s="42"/>
    </row>
    <row r="196" spans="1:4" ht="14.4" x14ac:dyDescent="0.3">
      <c r="A196" s="42">
        <v>0</v>
      </c>
      <c r="B196" s="43">
        <v>0</v>
      </c>
      <c r="C196" s="78">
        <v>0</v>
      </c>
      <c r="D196" s="42"/>
    </row>
    <row r="197" spans="1:4" ht="14.4" x14ac:dyDescent="0.3">
      <c r="A197" s="42">
        <v>0</v>
      </c>
      <c r="B197" s="43">
        <v>0</v>
      </c>
      <c r="C197" s="78">
        <v>0</v>
      </c>
      <c r="D197" s="42"/>
    </row>
    <row r="198" spans="1:4" ht="14.4" x14ac:dyDescent="0.3">
      <c r="A198" s="42">
        <v>0</v>
      </c>
      <c r="B198" s="43">
        <v>0</v>
      </c>
      <c r="C198" s="78">
        <v>0</v>
      </c>
      <c r="D198" s="42"/>
    </row>
    <row r="199" spans="1:4" ht="14.4" x14ac:dyDescent="0.3">
      <c r="A199" s="42">
        <v>0</v>
      </c>
      <c r="B199" s="43">
        <v>0</v>
      </c>
      <c r="C199" s="78">
        <v>0</v>
      </c>
      <c r="D199" s="42"/>
    </row>
    <row r="200" spans="1:4" ht="14.4" x14ac:dyDescent="0.3">
      <c r="A200" s="42">
        <v>0</v>
      </c>
      <c r="B200" s="43">
        <v>0</v>
      </c>
      <c r="C200" s="78">
        <v>0</v>
      </c>
      <c r="D200" s="42"/>
    </row>
    <row r="201" spans="1:4" ht="14.4" x14ac:dyDescent="0.3">
      <c r="A201" s="42">
        <v>0</v>
      </c>
      <c r="B201" s="43">
        <v>0</v>
      </c>
      <c r="C201" s="78">
        <v>0</v>
      </c>
      <c r="D201" s="42"/>
    </row>
    <row r="202" spans="1:4" ht="14.4" x14ac:dyDescent="0.3">
      <c r="A202" s="42">
        <v>0</v>
      </c>
      <c r="B202" s="43">
        <v>0</v>
      </c>
      <c r="C202" s="78">
        <v>0</v>
      </c>
      <c r="D202" s="42"/>
    </row>
    <row r="203" spans="1:4" ht="14.4" x14ac:dyDescent="0.3">
      <c r="A203" s="42">
        <v>0</v>
      </c>
      <c r="B203" s="43">
        <v>0</v>
      </c>
      <c r="C203" s="78">
        <v>0</v>
      </c>
      <c r="D203" s="42"/>
    </row>
    <row r="204" spans="1:4" ht="14.4" x14ac:dyDescent="0.3">
      <c r="A204" s="42">
        <v>0</v>
      </c>
      <c r="B204" s="43">
        <v>0</v>
      </c>
      <c r="C204" s="78">
        <v>0</v>
      </c>
      <c r="D204" s="42"/>
    </row>
    <row r="205" spans="1:4" ht="14.4" x14ac:dyDescent="0.3">
      <c r="A205" s="42">
        <v>0</v>
      </c>
      <c r="B205" s="43">
        <v>0</v>
      </c>
      <c r="C205" s="78">
        <v>0</v>
      </c>
      <c r="D205" s="42"/>
    </row>
    <row r="206" spans="1:4" ht="14.4" x14ac:dyDescent="0.3">
      <c r="A206" s="42">
        <v>0</v>
      </c>
      <c r="B206" s="43">
        <v>0</v>
      </c>
      <c r="C206" s="78">
        <v>0</v>
      </c>
      <c r="D206" s="42"/>
    </row>
    <row r="207" spans="1:4" ht="14.4" x14ac:dyDescent="0.3">
      <c r="A207" s="42">
        <v>0</v>
      </c>
      <c r="B207" s="43">
        <v>0</v>
      </c>
      <c r="C207" s="78">
        <v>0</v>
      </c>
      <c r="D207" s="42"/>
    </row>
    <row r="208" spans="1:4" ht="14.4" x14ac:dyDescent="0.3">
      <c r="A208" s="42">
        <v>0</v>
      </c>
      <c r="B208" s="43">
        <v>0</v>
      </c>
      <c r="C208" s="78">
        <v>0</v>
      </c>
      <c r="D208" s="42"/>
    </row>
    <row r="209" spans="1:4" ht="14.4" x14ac:dyDescent="0.3">
      <c r="A209" s="42">
        <v>0</v>
      </c>
      <c r="B209" s="43">
        <v>0</v>
      </c>
      <c r="C209" s="78">
        <v>0</v>
      </c>
      <c r="D209" s="42"/>
    </row>
    <row r="210" spans="1:4" ht="14.4" x14ac:dyDescent="0.3">
      <c r="A210" s="42">
        <v>0</v>
      </c>
      <c r="B210" s="43">
        <v>0</v>
      </c>
      <c r="C210" s="78">
        <v>0</v>
      </c>
      <c r="D210" s="42"/>
    </row>
    <row r="211" spans="1:4" ht="14.4" x14ac:dyDescent="0.3">
      <c r="A211" s="42">
        <v>0</v>
      </c>
      <c r="B211" s="43">
        <v>0</v>
      </c>
      <c r="C211" s="78">
        <v>0</v>
      </c>
      <c r="D211" s="42"/>
    </row>
    <row r="212" spans="1:4" ht="14.4" x14ac:dyDescent="0.3">
      <c r="A212" s="42">
        <v>0</v>
      </c>
      <c r="B212" s="43">
        <v>0</v>
      </c>
      <c r="C212" s="78">
        <v>0</v>
      </c>
      <c r="D212" s="42"/>
    </row>
    <row r="213" spans="1:4" ht="14.4" x14ac:dyDescent="0.3">
      <c r="A213" s="42">
        <v>0</v>
      </c>
      <c r="B213" s="43">
        <v>0</v>
      </c>
      <c r="C213" s="78">
        <v>0</v>
      </c>
      <c r="D213" s="42"/>
    </row>
    <row r="214" spans="1:4" ht="14.4" x14ac:dyDescent="0.3">
      <c r="A214" s="42">
        <v>0</v>
      </c>
      <c r="B214" s="43">
        <v>0</v>
      </c>
      <c r="C214" s="78">
        <v>0</v>
      </c>
      <c r="D214" s="42"/>
    </row>
    <row r="215" spans="1:4" ht="14.4" x14ac:dyDescent="0.3">
      <c r="A215" s="42">
        <v>0</v>
      </c>
      <c r="B215" s="43">
        <v>0</v>
      </c>
      <c r="C215" s="78">
        <v>0</v>
      </c>
      <c r="D215" s="42"/>
    </row>
    <row r="216" spans="1:4" ht="14.4" x14ac:dyDescent="0.3">
      <c r="A216" s="42">
        <v>0</v>
      </c>
      <c r="B216" s="43">
        <v>0</v>
      </c>
      <c r="C216" s="78">
        <v>0</v>
      </c>
      <c r="D216" s="42"/>
    </row>
    <row r="217" spans="1:4" ht="14.4" x14ac:dyDescent="0.3">
      <c r="A217" s="42">
        <v>0</v>
      </c>
      <c r="B217" s="43">
        <v>0</v>
      </c>
      <c r="C217" s="78">
        <v>0</v>
      </c>
      <c r="D217" s="42"/>
    </row>
    <row r="218" spans="1:4" ht="14.4" x14ac:dyDescent="0.3">
      <c r="A218" s="42">
        <v>0</v>
      </c>
      <c r="B218" s="43">
        <v>0</v>
      </c>
      <c r="C218" s="78">
        <v>0</v>
      </c>
      <c r="D218" s="42"/>
    </row>
    <row r="219" spans="1:4" ht="14.4" x14ac:dyDescent="0.3">
      <c r="A219" s="42">
        <v>0</v>
      </c>
      <c r="B219" s="43">
        <v>0</v>
      </c>
      <c r="C219" s="78">
        <v>0</v>
      </c>
      <c r="D219" s="42"/>
    </row>
    <row r="220" spans="1:4" ht="14.4" x14ac:dyDescent="0.3">
      <c r="A220" s="42">
        <v>0</v>
      </c>
      <c r="B220" s="43">
        <v>0</v>
      </c>
      <c r="C220" s="78">
        <v>0</v>
      </c>
      <c r="D220" s="42"/>
    </row>
    <row r="221" spans="1:4" ht="14.4" x14ac:dyDescent="0.3">
      <c r="A221" s="42">
        <v>0</v>
      </c>
      <c r="B221" s="43">
        <v>0</v>
      </c>
      <c r="C221" s="78">
        <v>0</v>
      </c>
      <c r="D221" s="42"/>
    </row>
    <row r="222" spans="1:4" ht="14.4" x14ac:dyDescent="0.3">
      <c r="A222" s="42">
        <v>0</v>
      </c>
      <c r="B222" s="43">
        <v>0</v>
      </c>
      <c r="C222" s="78">
        <v>0</v>
      </c>
      <c r="D222" s="42"/>
    </row>
    <row r="223" spans="1:4" ht="14.4" x14ac:dyDescent="0.3">
      <c r="A223" s="42">
        <v>0</v>
      </c>
      <c r="B223" s="43">
        <v>0</v>
      </c>
      <c r="C223" s="78">
        <v>0</v>
      </c>
      <c r="D223" s="42"/>
    </row>
    <row r="224" spans="1:4" ht="14.4" x14ac:dyDescent="0.3">
      <c r="A224" s="42">
        <v>0</v>
      </c>
      <c r="B224" s="43">
        <v>0</v>
      </c>
      <c r="C224" s="78">
        <v>0</v>
      </c>
      <c r="D224" s="42"/>
    </row>
    <row r="225" spans="1:4" ht="14.4" x14ac:dyDescent="0.3">
      <c r="A225" s="42">
        <v>0</v>
      </c>
      <c r="B225" s="43">
        <v>0</v>
      </c>
      <c r="C225" s="78">
        <v>0</v>
      </c>
      <c r="D225" s="42"/>
    </row>
    <row r="226" spans="1:4" ht="14.4" x14ac:dyDescent="0.3">
      <c r="A226" s="42">
        <v>0</v>
      </c>
      <c r="B226" s="43">
        <v>0</v>
      </c>
      <c r="C226" s="78">
        <v>0</v>
      </c>
      <c r="D226" s="42"/>
    </row>
    <row r="227" spans="1:4" ht="14.4" x14ac:dyDescent="0.3">
      <c r="A227" s="42">
        <v>0</v>
      </c>
      <c r="B227" s="43">
        <v>0</v>
      </c>
      <c r="C227" s="78">
        <v>0</v>
      </c>
      <c r="D227" s="42"/>
    </row>
    <row r="228" spans="1:4" ht="14.4" x14ac:dyDescent="0.3">
      <c r="A228" s="42">
        <v>0</v>
      </c>
      <c r="B228" s="43">
        <v>0</v>
      </c>
      <c r="C228" s="78">
        <v>0</v>
      </c>
      <c r="D228" s="42"/>
    </row>
    <row r="229" spans="1:4" ht="14.4" x14ac:dyDescent="0.3">
      <c r="A229" s="42">
        <v>0</v>
      </c>
      <c r="B229" s="43">
        <v>0</v>
      </c>
      <c r="C229" s="78">
        <v>0</v>
      </c>
      <c r="D229" s="42"/>
    </row>
    <row r="230" spans="1:4" ht="14.4" x14ac:dyDescent="0.3">
      <c r="A230" s="42">
        <v>0</v>
      </c>
      <c r="B230" s="43">
        <v>0</v>
      </c>
      <c r="C230" s="78">
        <v>0</v>
      </c>
      <c r="D230" s="42"/>
    </row>
    <row r="231" spans="1:4" ht="14.4" x14ac:dyDescent="0.3">
      <c r="A231" s="42">
        <v>0</v>
      </c>
      <c r="B231" s="43">
        <v>0</v>
      </c>
      <c r="C231" s="78">
        <v>0</v>
      </c>
      <c r="D231" s="42"/>
    </row>
    <row r="232" spans="1:4" ht="14.4" x14ac:dyDescent="0.3">
      <c r="A232" s="42">
        <v>0</v>
      </c>
      <c r="B232" s="43">
        <v>0</v>
      </c>
      <c r="C232" s="78">
        <v>0</v>
      </c>
      <c r="D232" s="42"/>
    </row>
    <row r="233" spans="1:4" ht="14.4" x14ac:dyDescent="0.3">
      <c r="A233" s="42">
        <v>0</v>
      </c>
      <c r="B233" s="43">
        <v>0</v>
      </c>
      <c r="C233" s="78">
        <v>0</v>
      </c>
      <c r="D233" s="42"/>
    </row>
    <row r="234" spans="1:4" ht="14.4" x14ac:dyDescent="0.3">
      <c r="A234" s="42">
        <v>0</v>
      </c>
      <c r="B234" s="43">
        <v>0</v>
      </c>
      <c r="C234" s="78">
        <v>0</v>
      </c>
      <c r="D234" s="42"/>
    </row>
    <row r="235" spans="1:4" ht="14.4" x14ac:dyDescent="0.3">
      <c r="A235" s="42">
        <v>0</v>
      </c>
      <c r="B235" s="43">
        <v>0</v>
      </c>
      <c r="C235" s="78">
        <v>0</v>
      </c>
      <c r="D235" s="42"/>
    </row>
    <row r="236" spans="1:4" ht="14.4" x14ac:dyDescent="0.3">
      <c r="A236" s="42">
        <v>0</v>
      </c>
      <c r="B236" s="43">
        <v>0</v>
      </c>
      <c r="C236" s="78">
        <v>0</v>
      </c>
      <c r="D236" s="42"/>
    </row>
    <row r="237" spans="1:4" ht="14.4" x14ac:dyDescent="0.3">
      <c r="A237" s="42">
        <v>0</v>
      </c>
      <c r="B237" s="43">
        <v>0</v>
      </c>
      <c r="C237" s="78">
        <v>0</v>
      </c>
      <c r="D237" s="42"/>
    </row>
    <row r="238" spans="1:4" ht="14.4" x14ac:dyDescent="0.3">
      <c r="A238" s="42">
        <v>0</v>
      </c>
      <c r="B238" s="43">
        <v>0</v>
      </c>
      <c r="C238" s="78">
        <v>0</v>
      </c>
      <c r="D238" s="42"/>
    </row>
    <row r="239" spans="1:4" ht="14.4" x14ac:dyDescent="0.3">
      <c r="A239" s="42">
        <v>0</v>
      </c>
      <c r="B239" s="43">
        <v>0</v>
      </c>
      <c r="C239" s="78">
        <v>0</v>
      </c>
      <c r="D239" s="42"/>
    </row>
    <row r="240" spans="1:4" ht="14.4" x14ac:dyDescent="0.3">
      <c r="A240" s="42">
        <v>0</v>
      </c>
      <c r="B240" s="43">
        <v>0</v>
      </c>
      <c r="C240" s="78">
        <v>0</v>
      </c>
      <c r="D240" s="42"/>
    </row>
    <row r="241" spans="1:4" ht="14.4" x14ac:dyDescent="0.3">
      <c r="A241" s="42">
        <v>0</v>
      </c>
      <c r="B241" s="43">
        <v>0</v>
      </c>
      <c r="C241" s="78">
        <v>0</v>
      </c>
      <c r="D241" s="42"/>
    </row>
    <row r="242" spans="1:4" ht="14.4" x14ac:dyDescent="0.3">
      <c r="A242" s="42">
        <v>0</v>
      </c>
      <c r="B242" s="43">
        <v>0</v>
      </c>
      <c r="C242" s="78">
        <v>0</v>
      </c>
      <c r="D242" s="42"/>
    </row>
    <row r="243" spans="1:4" ht="14.4" x14ac:dyDescent="0.3">
      <c r="A243" s="42">
        <v>0</v>
      </c>
      <c r="B243" s="43">
        <v>0</v>
      </c>
      <c r="C243" s="78">
        <v>0</v>
      </c>
      <c r="D243" s="42"/>
    </row>
    <row r="244" spans="1:4" ht="14.4" x14ac:dyDescent="0.3">
      <c r="A244" s="42">
        <v>0</v>
      </c>
      <c r="B244" s="43">
        <v>0</v>
      </c>
      <c r="C244" s="78">
        <v>0</v>
      </c>
      <c r="D244" s="42"/>
    </row>
    <row r="245" spans="1:4" ht="14.4" x14ac:dyDescent="0.3">
      <c r="A245" s="42">
        <v>0</v>
      </c>
      <c r="B245" s="43">
        <v>0</v>
      </c>
      <c r="C245" s="78">
        <v>0</v>
      </c>
      <c r="D245" s="42"/>
    </row>
    <row r="246" spans="1:4" ht="14.4" x14ac:dyDescent="0.3">
      <c r="A246" s="42">
        <v>0</v>
      </c>
      <c r="B246" s="43">
        <v>0</v>
      </c>
      <c r="C246" s="78">
        <v>0</v>
      </c>
      <c r="D246" s="42"/>
    </row>
    <row r="247" spans="1:4" ht="14.4" x14ac:dyDescent="0.3">
      <c r="A247" s="42">
        <v>0</v>
      </c>
      <c r="B247" s="43">
        <v>0</v>
      </c>
      <c r="C247" s="78">
        <v>0</v>
      </c>
      <c r="D247" s="42"/>
    </row>
    <row r="248" spans="1:4" ht="14.4" x14ac:dyDescent="0.3">
      <c r="A248" s="42">
        <v>0</v>
      </c>
      <c r="B248" s="43">
        <v>0</v>
      </c>
      <c r="C248" s="78">
        <v>0</v>
      </c>
      <c r="D248" s="42"/>
    </row>
    <row r="249" spans="1:4" ht="14.4" x14ac:dyDescent="0.3">
      <c r="A249" s="42">
        <v>0</v>
      </c>
      <c r="B249" s="43">
        <v>0</v>
      </c>
      <c r="C249" s="78">
        <v>0</v>
      </c>
      <c r="D249" s="42"/>
    </row>
    <row r="250" spans="1:4" ht="14.4" x14ac:dyDescent="0.3">
      <c r="A250" s="42">
        <v>0</v>
      </c>
      <c r="B250" s="43">
        <v>0</v>
      </c>
      <c r="C250" s="78">
        <v>0</v>
      </c>
      <c r="D250" s="42"/>
    </row>
    <row r="251" spans="1:4" ht="14.4" x14ac:dyDescent="0.3">
      <c r="A251" s="42">
        <v>0</v>
      </c>
      <c r="B251" s="43">
        <v>0</v>
      </c>
      <c r="C251" s="78">
        <v>0</v>
      </c>
      <c r="D251" s="42"/>
    </row>
    <row r="252" spans="1:4" ht="14.4" x14ac:dyDescent="0.3">
      <c r="A252" s="42">
        <v>0</v>
      </c>
      <c r="B252" s="43">
        <v>0</v>
      </c>
      <c r="C252" s="78">
        <v>0</v>
      </c>
      <c r="D252" s="42"/>
    </row>
    <row r="253" spans="1:4" ht="14.4" x14ac:dyDescent="0.3">
      <c r="A253" s="42">
        <v>0</v>
      </c>
      <c r="B253" s="43">
        <v>0</v>
      </c>
      <c r="C253" s="78">
        <v>0</v>
      </c>
      <c r="D253" s="42"/>
    </row>
    <row r="254" spans="1:4" ht="14.4" x14ac:dyDescent="0.3">
      <c r="A254" s="42">
        <v>0</v>
      </c>
      <c r="B254" s="43">
        <v>0</v>
      </c>
      <c r="C254" s="78">
        <v>0</v>
      </c>
      <c r="D254" s="42"/>
    </row>
    <row r="255" spans="1:4" ht="14.4" x14ac:dyDescent="0.3">
      <c r="A255" s="42">
        <v>0</v>
      </c>
      <c r="B255" s="43">
        <v>0</v>
      </c>
      <c r="C255" s="78">
        <v>0</v>
      </c>
      <c r="D255" s="42"/>
    </row>
    <row r="256" spans="1:4" ht="14.4" x14ac:dyDescent="0.3">
      <c r="A256" s="42">
        <v>0</v>
      </c>
      <c r="B256" s="43">
        <v>0</v>
      </c>
      <c r="C256" s="78">
        <v>0</v>
      </c>
      <c r="D256" s="42"/>
    </row>
    <row r="257" spans="1:4" ht="14.4" x14ac:dyDescent="0.3">
      <c r="A257" s="42">
        <v>0</v>
      </c>
      <c r="B257" s="43">
        <v>0</v>
      </c>
      <c r="C257" s="78">
        <v>0</v>
      </c>
      <c r="D257" s="42"/>
    </row>
    <row r="258" spans="1:4" ht="14.4" x14ac:dyDescent="0.3">
      <c r="A258" s="42">
        <v>0</v>
      </c>
      <c r="B258" s="43">
        <v>0</v>
      </c>
      <c r="C258" s="78">
        <v>0</v>
      </c>
      <c r="D258" s="42"/>
    </row>
    <row r="259" spans="1:4" ht="14.4" x14ac:dyDescent="0.3">
      <c r="A259" s="42">
        <v>0</v>
      </c>
      <c r="B259" s="43">
        <v>0</v>
      </c>
      <c r="C259" s="78">
        <v>0</v>
      </c>
      <c r="D259" s="42"/>
    </row>
    <row r="260" spans="1:4" ht="14.4" x14ac:dyDescent="0.3">
      <c r="A260" s="42">
        <v>0</v>
      </c>
      <c r="B260" s="43">
        <v>0</v>
      </c>
      <c r="C260" s="78">
        <v>0</v>
      </c>
      <c r="D260" s="42"/>
    </row>
    <row r="261" spans="1:4" ht="14.4" x14ac:dyDescent="0.3">
      <c r="A261" s="42">
        <v>0</v>
      </c>
      <c r="B261" s="43">
        <v>0</v>
      </c>
      <c r="C261" s="78">
        <v>0</v>
      </c>
      <c r="D261" s="42"/>
    </row>
    <row r="262" spans="1:4" ht="14.4" x14ac:dyDescent="0.3">
      <c r="A262" s="42">
        <v>0</v>
      </c>
      <c r="B262" s="43">
        <v>0</v>
      </c>
      <c r="C262" s="78">
        <v>0</v>
      </c>
      <c r="D262" s="42"/>
    </row>
    <row r="263" spans="1:4" ht="14.4" x14ac:dyDescent="0.3">
      <c r="A263" s="42">
        <v>0</v>
      </c>
      <c r="B263" s="43">
        <v>0</v>
      </c>
      <c r="C263" s="78">
        <v>0</v>
      </c>
      <c r="D263" s="42"/>
    </row>
    <row r="264" spans="1:4" ht="14.4" x14ac:dyDescent="0.3">
      <c r="A264" s="42">
        <v>0</v>
      </c>
      <c r="B264" s="43">
        <v>0</v>
      </c>
      <c r="C264" s="78">
        <v>0</v>
      </c>
      <c r="D264" s="42"/>
    </row>
    <row r="265" spans="1:4" ht="14.4" x14ac:dyDescent="0.3">
      <c r="A265" s="42">
        <v>0</v>
      </c>
      <c r="B265" s="43">
        <v>0</v>
      </c>
      <c r="C265" s="78">
        <v>0</v>
      </c>
      <c r="D265" s="42"/>
    </row>
    <row r="266" spans="1:4" ht="14.4" x14ac:dyDescent="0.3">
      <c r="A266" s="42">
        <v>0</v>
      </c>
      <c r="B266" s="43">
        <v>0</v>
      </c>
      <c r="C266" s="78">
        <v>0</v>
      </c>
      <c r="D266" s="42"/>
    </row>
    <row r="267" spans="1:4" ht="14.4" x14ac:dyDescent="0.3">
      <c r="A267" s="42">
        <v>0</v>
      </c>
      <c r="B267" s="43">
        <v>0</v>
      </c>
      <c r="C267" s="78">
        <v>0</v>
      </c>
      <c r="D267" s="42"/>
    </row>
    <row r="268" spans="1:4" ht="14.4" x14ac:dyDescent="0.3">
      <c r="A268" s="42">
        <v>0</v>
      </c>
      <c r="B268" s="43">
        <v>0</v>
      </c>
      <c r="C268" s="78">
        <v>0</v>
      </c>
      <c r="D268" s="42"/>
    </row>
    <row r="269" spans="1:4" ht="14.4" x14ac:dyDescent="0.3">
      <c r="A269" s="42">
        <v>0</v>
      </c>
      <c r="B269" s="43">
        <v>0</v>
      </c>
      <c r="C269" s="78">
        <v>0</v>
      </c>
      <c r="D269" s="42"/>
    </row>
    <row r="270" spans="1:4" ht="14.4" x14ac:dyDescent="0.3">
      <c r="A270" s="42">
        <v>0</v>
      </c>
      <c r="B270" s="43">
        <v>0</v>
      </c>
      <c r="C270" s="78">
        <v>0</v>
      </c>
      <c r="D270" s="42"/>
    </row>
    <row r="271" spans="1:4" ht="14.4" x14ac:dyDescent="0.3">
      <c r="A271" s="42">
        <v>0</v>
      </c>
      <c r="B271" s="43">
        <v>0</v>
      </c>
      <c r="C271" s="78">
        <v>0</v>
      </c>
      <c r="D271" s="42"/>
    </row>
    <row r="272" spans="1:4" ht="14.4" x14ac:dyDescent="0.3">
      <c r="A272" s="42">
        <v>0</v>
      </c>
      <c r="B272" s="43">
        <v>0</v>
      </c>
      <c r="C272" s="78">
        <v>0</v>
      </c>
      <c r="D272" s="42"/>
    </row>
    <row r="273" spans="1:4" ht="14.4" x14ac:dyDescent="0.3">
      <c r="A273" s="42">
        <v>0</v>
      </c>
      <c r="B273" s="43">
        <v>0</v>
      </c>
      <c r="C273" s="78">
        <v>0</v>
      </c>
      <c r="D273" s="42"/>
    </row>
    <row r="274" spans="1:4" ht="14.4" x14ac:dyDescent="0.3">
      <c r="A274" s="42">
        <v>0</v>
      </c>
      <c r="B274" s="43">
        <v>0</v>
      </c>
      <c r="C274" s="78">
        <v>0</v>
      </c>
      <c r="D274" s="42"/>
    </row>
    <row r="275" spans="1:4" ht="14.4" x14ac:dyDescent="0.3">
      <c r="A275" s="42">
        <v>0</v>
      </c>
      <c r="B275" s="43">
        <v>0</v>
      </c>
      <c r="C275" s="78">
        <v>0</v>
      </c>
      <c r="D275" s="42"/>
    </row>
    <row r="276" spans="1:4" ht="14.4" x14ac:dyDescent="0.3">
      <c r="A276" s="42">
        <v>0</v>
      </c>
      <c r="B276" s="43">
        <v>0</v>
      </c>
      <c r="C276" s="78">
        <v>0</v>
      </c>
      <c r="D276" s="42"/>
    </row>
    <row r="277" spans="1:4" ht="14.4" x14ac:dyDescent="0.3">
      <c r="A277" s="42">
        <v>0</v>
      </c>
      <c r="B277" s="43">
        <v>0</v>
      </c>
      <c r="C277" s="78">
        <v>0</v>
      </c>
      <c r="D277" s="42"/>
    </row>
    <row r="278" spans="1:4" ht="14.4" x14ac:dyDescent="0.3">
      <c r="A278" s="42">
        <v>0</v>
      </c>
      <c r="B278" s="43">
        <v>0</v>
      </c>
      <c r="C278" s="78">
        <v>0</v>
      </c>
      <c r="D278" s="42"/>
    </row>
    <row r="279" spans="1:4" ht="14.4" x14ac:dyDescent="0.3">
      <c r="A279" s="42">
        <v>0</v>
      </c>
      <c r="B279" s="43">
        <v>0</v>
      </c>
      <c r="C279" s="78">
        <v>0</v>
      </c>
      <c r="D279" s="42"/>
    </row>
    <row r="280" spans="1:4" ht="14.4" x14ac:dyDescent="0.3">
      <c r="A280" s="42">
        <v>0</v>
      </c>
      <c r="B280" s="43">
        <v>0</v>
      </c>
      <c r="C280" s="78">
        <v>0</v>
      </c>
      <c r="D280" s="42"/>
    </row>
    <row r="281" spans="1:4" ht="14.4" x14ac:dyDescent="0.3">
      <c r="A281" s="42">
        <v>0</v>
      </c>
      <c r="B281" s="43">
        <v>0</v>
      </c>
      <c r="C281" s="78">
        <v>0</v>
      </c>
      <c r="D281" s="42"/>
    </row>
    <row r="282" spans="1:4" ht="14.4" x14ac:dyDescent="0.3">
      <c r="A282" s="42">
        <v>0</v>
      </c>
      <c r="B282" s="43">
        <v>0</v>
      </c>
      <c r="C282" s="78">
        <v>0</v>
      </c>
      <c r="D282" s="42"/>
    </row>
    <row r="283" spans="1:4" ht="14.4" x14ac:dyDescent="0.3">
      <c r="A283" s="42">
        <v>0</v>
      </c>
      <c r="B283" s="43">
        <v>0</v>
      </c>
      <c r="C283" s="78">
        <v>0</v>
      </c>
      <c r="D283" s="42"/>
    </row>
    <row r="284" spans="1:4" ht="14.4" x14ac:dyDescent="0.3">
      <c r="A284" s="42">
        <v>0</v>
      </c>
      <c r="B284" s="43">
        <v>0</v>
      </c>
      <c r="C284" s="78">
        <v>0</v>
      </c>
      <c r="D284" s="42"/>
    </row>
    <row r="285" spans="1:4" ht="14.4" x14ac:dyDescent="0.3">
      <c r="A285" s="42">
        <v>0</v>
      </c>
      <c r="B285" s="43">
        <v>0</v>
      </c>
      <c r="C285" s="78">
        <v>0</v>
      </c>
      <c r="D285" s="42"/>
    </row>
    <row r="286" spans="1:4" ht="14.4" x14ac:dyDescent="0.3">
      <c r="A286" s="42">
        <v>0</v>
      </c>
      <c r="B286" s="43">
        <v>0</v>
      </c>
      <c r="C286" s="78">
        <v>0</v>
      </c>
      <c r="D286" s="42"/>
    </row>
    <row r="287" spans="1:4" ht="14.4" x14ac:dyDescent="0.3">
      <c r="A287" s="42">
        <v>0</v>
      </c>
      <c r="B287" s="43">
        <v>0</v>
      </c>
      <c r="C287" s="78">
        <v>0</v>
      </c>
      <c r="D287" s="42"/>
    </row>
    <row r="288" spans="1:4" ht="14.4" x14ac:dyDescent="0.3">
      <c r="A288" s="42">
        <v>0</v>
      </c>
      <c r="B288" s="43">
        <v>0</v>
      </c>
      <c r="C288" s="78">
        <v>0</v>
      </c>
      <c r="D288" s="42"/>
    </row>
    <row r="289" spans="1:4" ht="14.4" x14ac:dyDescent="0.3">
      <c r="A289" s="42">
        <v>0</v>
      </c>
      <c r="B289" s="43">
        <v>0</v>
      </c>
      <c r="C289" s="78">
        <v>0</v>
      </c>
      <c r="D289" s="42"/>
    </row>
    <row r="290" spans="1:4" ht="14.4" x14ac:dyDescent="0.3">
      <c r="A290" s="42">
        <v>0</v>
      </c>
      <c r="B290" s="43">
        <v>0</v>
      </c>
      <c r="C290" s="78">
        <v>0</v>
      </c>
      <c r="D290" s="42"/>
    </row>
    <row r="291" spans="1:4" ht="14.4" x14ac:dyDescent="0.3">
      <c r="A291" s="42">
        <v>0</v>
      </c>
      <c r="B291" s="43">
        <v>0</v>
      </c>
      <c r="C291" s="78">
        <v>0</v>
      </c>
      <c r="D291" s="42"/>
    </row>
    <row r="292" spans="1:4" ht="14.4" x14ac:dyDescent="0.3">
      <c r="A292" s="42">
        <v>0</v>
      </c>
      <c r="B292" s="43">
        <v>0</v>
      </c>
      <c r="C292" s="78">
        <v>0</v>
      </c>
      <c r="D292" s="42"/>
    </row>
    <row r="293" spans="1:4" ht="14.4" x14ac:dyDescent="0.3">
      <c r="A293" s="42">
        <v>0</v>
      </c>
      <c r="B293" s="43">
        <v>0</v>
      </c>
      <c r="C293" s="78">
        <v>0</v>
      </c>
      <c r="D293" s="42"/>
    </row>
    <row r="294" spans="1:4" ht="14.4" x14ac:dyDescent="0.3">
      <c r="A294" s="42">
        <v>0</v>
      </c>
      <c r="B294" s="43">
        <v>0</v>
      </c>
      <c r="C294" s="78">
        <v>0</v>
      </c>
      <c r="D294" s="42"/>
    </row>
    <row r="295" spans="1:4" ht="14.4" x14ac:dyDescent="0.3">
      <c r="A295" s="42">
        <v>0</v>
      </c>
      <c r="B295" s="43">
        <v>0</v>
      </c>
      <c r="C295" s="78">
        <v>0</v>
      </c>
      <c r="D295" s="42"/>
    </row>
    <row r="296" spans="1:4" ht="14.4" x14ac:dyDescent="0.3">
      <c r="A296" s="42">
        <v>0</v>
      </c>
      <c r="B296" s="43">
        <v>0</v>
      </c>
      <c r="C296" s="78">
        <v>0</v>
      </c>
      <c r="D296" s="42"/>
    </row>
    <row r="297" spans="1:4" ht="14.4" x14ac:dyDescent="0.3">
      <c r="A297" s="42">
        <v>0</v>
      </c>
      <c r="B297" s="43">
        <v>0</v>
      </c>
      <c r="C297" s="78">
        <v>0</v>
      </c>
      <c r="D297" s="42"/>
    </row>
    <row r="298" spans="1:4" ht="14.4" x14ac:dyDescent="0.3">
      <c r="A298" s="42">
        <v>0</v>
      </c>
      <c r="B298" s="43">
        <v>0</v>
      </c>
      <c r="C298" s="78">
        <v>0</v>
      </c>
      <c r="D298" s="42"/>
    </row>
    <row r="299" spans="1:4" ht="14.4" x14ac:dyDescent="0.3">
      <c r="A299" s="42">
        <v>0</v>
      </c>
      <c r="B299" s="43">
        <v>0</v>
      </c>
      <c r="C299" s="78">
        <v>0</v>
      </c>
      <c r="D299" s="42"/>
    </row>
    <row r="300" spans="1:4" ht="14.4" x14ac:dyDescent="0.3">
      <c r="A300" s="42">
        <v>0</v>
      </c>
      <c r="B300" s="43">
        <v>0</v>
      </c>
      <c r="C300" s="78">
        <v>0</v>
      </c>
      <c r="D300" s="42"/>
    </row>
    <row r="301" spans="1:4" ht="14.4" x14ac:dyDescent="0.3">
      <c r="A301" s="42">
        <v>0</v>
      </c>
      <c r="B301" s="43">
        <v>0</v>
      </c>
      <c r="C301" s="78">
        <v>0</v>
      </c>
      <c r="D301" s="42"/>
    </row>
    <row r="302" spans="1:4" ht="14.4" x14ac:dyDescent="0.3">
      <c r="A302" s="42">
        <v>0</v>
      </c>
      <c r="B302" s="43">
        <v>0</v>
      </c>
      <c r="C302" s="78">
        <v>0</v>
      </c>
      <c r="D302" s="42"/>
    </row>
    <row r="303" spans="1:4" ht="14.4" x14ac:dyDescent="0.3">
      <c r="A303" s="42">
        <v>0</v>
      </c>
      <c r="B303" s="43">
        <v>0</v>
      </c>
      <c r="C303" s="78">
        <v>0</v>
      </c>
      <c r="D303" s="42"/>
    </row>
    <row r="304" spans="1:4" ht="14.4" x14ac:dyDescent="0.3">
      <c r="A304" s="42">
        <v>0</v>
      </c>
      <c r="B304" s="43">
        <v>0</v>
      </c>
      <c r="C304" s="78">
        <v>0</v>
      </c>
      <c r="D304" s="42"/>
    </row>
    <row r="305" spans="1:4" ht="14.4" x14ac:dyDescent="0.3">
      <c r="A305" s="42">
        <v>0</v>
      </c>
      <c r="B305" s="43">
        <v>0</v>
      </c>
      <c r="C305" s="78">
        <v>0</v>
      </c>
      <c r="D305" s="42"/>
    </row>
    <row r="306" spans="1:4" ht="14.4" x14ac:dyDescent="0.3">
      <c r="A306" s="42">
        <v>0</v>
      </c>
      <c r="B306" s="43">
        <v>0</v>
      </c>
      <c r="C306" s="78">
        <v>0</v>
      </c>
      <c r="D306" s="42"/>
    </row>
    <row r="307" spans="1:4" ht="14.4" x14ac:dyDescent="0.3">
      <c r="A307" s="42">
        <v>0</v>
      </c>
      <c r="B307" s="43">
        <v>0</v>
      </c>
      <c r="C307" s="78">
        <v>0</v>
      </c>
      <c r="D307" s="42"/>
    </row>
    <row r="308" spans="1:4" ht="14.4" x14ac:dyDescent="0.3">
      <c r="A308" s="42">
        <v>0</v>
      </c>
      <c r="B308" s="43">
        <v>0</v>
      </c>
      <c r="C308" s="78">
        <v>0</v>
      </c>
      <c r="D308" s="42"/>
    </row>
    <row r="309" spans="1:4" ht="14.4" x14ac:dyDescent="0.3">
      <c r="A309" s="42">
        <v>0</v>
      </c>
      <c r="B309" s="43">
        <v>0</v>
      </c>
      <c r="C309" s="78">
        <v>0</v>
      </c>
      <c r="D309" s="42"/>
    </row>
    <row r="310" spans="1:4" ht="14.4" x14ac:dyDescent="0.3">
      <c r="A310" s="42">
        <v>0</v>
      </c>
      <c r="B310" s="43">
        <v>0</v>
      </c>
      <c r="C310" s="78">
        <v>0</v>
      </c>
      <c r="D310" s="42"/>
    </row>
    <row r="311" spans="1:4" ht="14.4" x14ac:dyDescent="0.3">
      <c r="A311" s="42">
        <v>0</v>
      </c>
      <c r="B311" s="43">
        <v>0</v>
      </c>
      <c r="C311" s="78">
        <v>0</v>
      </c>
      <c r="D311" s="42"/>
    </row>
    <row r="312" spans="1:4" ht="14.4" x14ac:dyDescent="0.3">
      <c r="A312" s="42">
        <v>0</v>
      </c>
      <c r="B312" s="43">
        <v>0</v>
      </c>
      <c r="C312" s="78">
        <v>0</v>
      </c>
      <c r="D312" s="42"/>
    </row>
    <row r="313" spans="1:4" ht="14.4" x14ac:dyDescent="0.3">
      <c r="A313" s="42">
        <v>0</v>
      </c>
      <c r="B313" s="43">
        <v>0</v>
      </c>
      <c r="C313" s="78">
        <v>0</v>
      </c>
      <c r="D313" s="42"/>
    </row>
    <row r="314" spans="1:4" ht="14.4" x14ac:dyDescent="0.3">
      <c r="A314" s="42">
        <v>0</v>
      </c>
      <c r="B314" s="43">
        <v>0</v>
      </c>
      <c r="C314" s="78">
        <v>0</v>
      </c>
      <c r="D314" s="42"/>
    </row>
    <row r="315" spans="1:4" ht="14.4" x14ac:dyDescent="0.3">
      <c r="A315" s="42">
        <v>0</v>
      </c>
      <c r="B315" s="43">
        <v>0</v>
      </c>
      <c r="C315" s="78">
        <v>0</v>
      </c>
      <c r="D315" s="42"/>
    </row>
    <row r="316" spans="1:4" ht="14.4" x14ac:dyDescent="0.3">
      <c r="A316" s="42">
        <v>0</v>
      </c>
      <c r="B316" s="43">
        <v>0</v>
      </c>
      <c r="C316" s="78">
        <v>0</v>
      </c>
      <c r="D316" s="42"/>
    </row>
    <row r="317" spans="1:4" ht="14.4" x14ac:dyDescent="0.3">
      <c r="A317" s="42">
        <v>0</v>
      </c>
      <c r="B317" s="43">
        <v>0</v>
      </c>
      <c r="C317" s="78">
        <v>0</v>
      </c>
      <c r="D317" s="42"/>
    </row>
    <row r="318" spans="1:4" ht="14.4" x14ac:dyDescent="0.3">
      <c r="A318" s="42">
        <v>0</v>
      </c>
      <c r="B318" s="43">
        <v>0</v>
      </c>
      <c r="C318" s="78">
        <v>0</v>
      </c>
      <c r="D318" s="42"/>
    </row>
    <row r="319" spans="1:4" ht="14.4" x14ac:dyDescent="0.3">
      <c r="A319" s="42">
        <v>0</v>
      </c>
      <c r="B319" s="43">
        <v>0</v>
      </c>
      <c r="C319" s="78">
        <v>0</v>
      </c>
      <c r="D319" s="42"/>
    </row>
    <row r="320" spans="1:4" ht="14.4" x14ac:dyDescent="0.3">
      <c r="A320" s="42">
        <v>0</v>
      </c>
      <c r="B320" s="43">
        <v>0</v>
      </c>
      <c r="C320" s="78">
        <v>0</v>
      </c>
      <c r="D320" s="42"/>
    </row>
    <row r="321" spans="1:4" ht="14.4" x14ac:dyDescent="0.3">
      <c r="A321" s="42">
        <v>0</v>
      </c>
      <c r="B321" s="43">
        <v>0</v>
      </c>
      <c r="C321" s="78">
        <v>0</v>
      </c>
      <c r="D321" s="42"/>
    </row>
    <row r="322" spans="1:4" ht="14.4" x14ac:dyDescent="0.3">
      <c r="A322" s="42">
        <v>0</v>
      </c>
      <c r="B322" s="43">
        <v>0</v>
      </c>
      <c r="C322" s="78">
        <v>0</v>
      </c>
      <c r="D322" s="42"/>
    </row>
    <row r="323" spans="1:4" ht="14.4" x14ac:dyDescent="0.3">
      <c r="A323" s="42">
        <v>0</v>
      </c>
      <c r="B323" s="43">
        <v>0</v>
      </c>
      <c r="C323" s="78">
        <v>0</v>
      </c>
      <c r="D323" s="42"/>
    </row>
    <row r="324" spans="1:4" ht="14.4" x14ac:dyDescent="0.3">
      <c r="A324" s="42">
        <v>0</v>
      </c>
      <c r="B324" s="43">
        <v>0</v>
      </c>
      <c r="C324" s="78">
        <v>0</v>
      </c>
      <c r="D324" s="42"/>
    </row>
    <row r="325" spans="1:4" ht="14.4" x14ac:dyDescent="0.3">
      <c r="A325" s="42">
        <v>0</v>
      </c>
      <c r="B325" s="43">
        <v>0</v>
      </c>
      <c r="C325" s="78">
        <v>0</v>
      </c>
      <c r="D325" s="42"/>
    </row>
    <row r="326" spans="1:4" ht="14.4" x14ac:dyDescent="0.3">
      <c r="A326" s="42">
        <v>0</v>
      </c>
      <c r="B326" s="43">
        <v>0</v>
      </c>
      <c r="C326" s="78">
        <v>0</v>
      </c>
      <c r="D326" s="42"/>
    </row>
    <row r="327" spans="1:4" ht="14.4" x14ac:dyDescent="0.3">
      <c r="A327" s="42">
        <v>0</v>
      </c>
      <c r="B327" s="43">
        <v>0</v>
      </c>
      <c r="C327" s="78">
        <v>0</v>
      </c>
      <c r="D327" s="42"/>
    </row>
    <row r="328" spans="1:4" ht="14.4" x14ac:dyDescent="0.3">
      <c r="A328" s="42">
        <v>0</v>
      </c>
      <c r="B328" s="43">
        <v>0</v>
      </c>
      <c r="C328" s="78">
        <v>0</v>
      </c>
      <c r="D328" s="42"/>
    </row>
    <row r="329" spans="1:4" ht="14.4" x14ac:dyDescent="0.3">
      <c r="A329" s="42">
        <v>0</v>
      </c>
      <c r="B329" s="43">
        <v>0</v>
      </c>
      <c r="C329" s="78">
        <v>0</v>
      </c>
      <c r="D329" s="42"/>
    </row>
    <row r="330" spans="1:4" ht="14.4" x14ac:dyDescent="0.3">
      <c r="A330" s="42">
        <v>0</v>
      </c>
      <c r="B330" s="43">
        <v>0</v>
      </c>
      <c r="C330" s="78">
        <v>0</v>
      </c>
      <c r="D330" s="42"/>
    </row>
    <row r="331" spans="1:4" ht="14.4" x14ac:dyDescent="0.3">
      <c r="A331" s="42">
        <v>0</v>
      </c>
      <c r="B331" s="43">
        <v>0</v>
      </c>
      <c r="C331" s="78">
        <v>0</v>
      </c>
      <c r="D331" s="42"/>
    </row>
    <row r="332" spans="1:4" ht="14.4" x14ac:dyDescent="0.3">
      <c r="A332" s="42">
        <v>0</v>
      </c>
      <c r="B332" s="43">
        <v>0</v>
      </c>
      <c r="C332" s="78">
        <v>0</v>
      </c>
      <c r="D332" s="42"/>
    </row>
    <row r="333" spans="1:4" ht="14.4" x14ac:dyDescent="0.3">
      <c r="A333" s="42">
        <v>0</v>
      </c>
      <c r="B333" s="43">
        <v>0</v>
      </c>
      <c r="C333" s="78">
        <v>0</v>
      </c>
      <c r="D333" s="42"/>
    </row>
    <row r="334" spans="1:4" ht="14.4" x14ac:dyDescent="0.3">
      <c r="A334" s="42">
        <v>0</v>
      </c>
      <c r="B334" s="43">
        <v>0</v>
      </c>
      <c r="C334" s="78">
        <v>0</v>
      </c>
      <c r="D334" s="42"/>
    </row>
    <row r="335" spans="1:4" ht="14.4" x14ac:dyDescent="0.3">
      <c r="A335" s="42">
        <v>0</v>
      </c>
      <c r="B335" s="43">
        <v>0</v>
      </c>
      <c r="C335" s="78">
        <v>0</v>
      </c>
      <c r="D335" s="42"/>
    </row>
    <row r="336" spans="1:4" ht="14.4" x14ac:dyDescent="0.3">
      <c r="A336" s="42">
        <v>0</v>
      </c>
      <c r="B336" s="43">
        <v>0</v>
      </c>
      <c r="C336" s="78">
        <v>0</v>
      </c>
      <c r="D336" s="42"/>
    </row>
    <row r="337" spans="1:4" ht="14.4" x14ac:dyDescent="0.3">
      <c r="A337" s="42">
        <v>0</v>
      </c>
      <c r="B337" s="43">
        <v>0</v>
      </c>
      <c r="C337" s="78">
        <v>0</v>
      </c>
      <c r="D337" s="42"/>
    </row>
    <row r="338" spans="1:4" ht="14.4" x14ac:dyDescent="0.3">
      <c r="A338" s="42">
        <v>0</v>
      </c>
      <c r="B338" s="43">
        <v>0</v>
      </c>
      <c r="C338" s="78">
        <v>0</v>
      </c>
      <c r="D338" s="42"/>
    </row>
    <row r="339" spans="1:4" ht="14.4" x14ac:dyDescent="0.3">
      <c r="A339" s="42">
        <v>0</v>
      </c>
      <c r="B339" s="43">
        <v>0</v>
      </c>
      <c r="C339" s="78">
        <v>0</v>
      </c>
      <c r="D339" s="42"/>
    </row>
    <row r="340" spans="1:4" ht="14.4" x14ac:dyDescent="0.3">
      <c r="A340" s="42">
        <v>0</v>
      </c>
      <c r="B340" s="43">
        <v>0</v>
      </c>
      <c r="C340" s="78">
        <v>0</v>
      </c>
      <c r="D340" s="42"/>
    </row>
    <row r="341" spans="1:4" ht="14.4" x14ac:dyDescent="0.3">
      <c r="A341" s="42">
        <v>0</v>
      </c>
      <c r="B341" s="43">
        <v>0</v>
      </c>
      <c r="C341" s="78">
        <v>0</v>
      </c>
      <c r="D341" s="42"/>
    </row>
    <row r="342" spans="1:4" ht="14.4" x14ac:dyDescent="0.3">
      <c r="A342" s="42">
        <v>0</v>
      </c>
      <c r="B342" s="43">
        <v>0</v>
      </c>
      <c r="C342" s="78">
        <v>0</v>
      </c>
      <c r="D342" s="42"/>
    </row>
    <row r="343" spans="1:4" ht="14.4" x14ac:dyDescent="0.3">
      <c r="A343" s="42">
        <v>0</v>
      </c>
      <c r="B343" s="43">
        <v>0</v>
      </c>
      <c r="C343" s="78">
        <v>0</v>
      </c>
      <c r="D343" s="42"/>
    </row>
    <row r="344" spans="1:4" ht="14.4" x14ac:dyDescent="0.3">
      <c r="A344" s="42">
        <v>0</v>
      </c>
      <c r="B344" s="43">
        <v>0</v>
      </c>
      <c r="C344" s="78">
        <v>0</v>
      </c>
      <c r="D344" s="42"/>
    </row>
    <row r="345" spans="1:4" ht="14.4" x14ac:dyDescent="0.3">
      <c r="A345" s="42">
        <v>0</v>
      </c>
      <c r="B345" s="43">
        <v>0</v>
      </c>
      <c r="C345" s="78">
        <v>0</v>
      </c>
      <c r="D345" s="42"/>
    </row>
    <row r="346" spans="1:4" ht="14.4" x14ac:dyDescent="0.3">
      <c r="A346" s="42">
        <v>0</v>
      </c>
      <c r="B346" s="43">
        <v>0</v>
      </c>
      <c r="C346" s="78">
        <v>0</v>
      </c>
      <c r="D346" s="42"/>
    </row>
    <row r="347" spans="1:4" ht="14.4" x14ac:dyDescent="0.3">
      <c r="A347" s="42">
        <v>0</v>
      </c>
      <c r="B347" s="43">
        <v>0</v>
      </c>
      <c r="C347" s="78">
        <v>0</v>
      </c>
      <c r="D347" s="42"/>
    </row>
    <row r="348" spans="1:4" ht="14.4" x14ac:dyDescent="0.3">
      <c r="A348" s="42">
        <v>0</v>
      </c>
      <c r="B348" s="43">
        <v>0</v>
      </c>
      <c r="C348" s="78">
        <v>0</v>
      </c>
      <c r="D348" s="42"/>
    </row>
    <row r="349" spans="1:4" ht="14.4" x14ac:dyDescent="0.3">
      <c r="A349" s="42">
        <v>0</v>
      </c>
      <c r="B349" s="43">
        <v>0</v>
      </c>
      <c r="C349" s="78">
        <v>0</v>
      </c>
      <c r="D349" s="42"/>
    </row>
    <row r="350" spans="1:4" ht="14.4" x14ac:dyDescent="0.3">
      <c r="A350" s="42">
        <v>0</v>
      </c>
      <c r="B350" s="43">
        <v>0</v>
      </c>
      <c r="C350" s="78">
        <v>0</v>
      </c>
      <c r="D350" s="42"/>
    </row>
    <row r="351" spans="1:4" ht="14.4" x14ac:dyDescent="0.3">
      <c r="A351" s="42">
        <v>0</v>
      </c>
      <c r="B351" s="43">
        <v>0</v>
      </c>
      <c r="C351" s="78">
        <v>0</v>
      </c>
      <c r="D351" s="42"/>
    </row>
    <row r="352" spans="1:4" ht="14.4" x14ac:dyDescent="0.3">
      <c r="A352" s="42">
        <v>0</v>
      </c>
      <c r="B352" s="43">
        <v>0</v>
      </c>
      <c r="C352" s="78">
        <v>0</v>
      </c>
      <c r="D352" s="42"/>
    </row>
    <row r="353" spans="1:4" ht="14.4" x14ac:dyDescent="0.3">
      <c r="A353" s="42">
        <v>0</v>
      </c>
      <c r="B353" s="43">
        <v>0</v>
      </c>
      <c r="C353" s="78">
        <v>0</v>
      </c>
      <c r="D353" s="42"/>
    </row>
    <row r="354" spans="1:4" ht="14.4" x14ac:dyDescent="0.3">
      <c r="A354" s="42">
        <v>0</v>
      </c>
      <c r="B354" s="43">
        <v>0</v>
      </c>
      <c r="C354" s="78">
        <v>0</v>
      </c>
      <c r="D354" s="42"/>
    </row>
    <row r="355" spans="1:4" ht="14.4" x14ac:dyDescent="0.3">
      <c r="A355" s="42">
        <v>0</v>
      </c>
      <c r="B355" s="43">
        <v>0</v>
      </c>
      <c r="C355" s="78">
        <v>0</v>
      </c>
      <c r="D355" s="42"/>
    </row>
    <row r="356" spans="1:4" ht="14.4" x14ac:dyDescent="0.3">
      <c r="A356" s="42">
        <v>0</v>
      </c>
      <c r="B356" s="43">
        <v>0</v>
      </c>
      <c r="C356" s="78">
        <v>0</v>
      </c>
      <c r="D356" s="42"/>
    </row>
    <row r="357" spans="1:4" ht="14.4" x14ac:dyDescent="0.3">
      <c r="A357" s="42">
        <v>0</v>
      </c>
      <c r="B357" s="43">
        <v>0</v>
      </c>
      <c r="C357" s="78">
        <v>0</v>
      </c>
      <c r="D357" s="42"/>
    </row>
    <row r="358" spans="1:4" ht="14.4" x14ac:dyDescent="0.3">
      <c r="A358" s="42">
        <v>0</v>
      </c>
      <c r="B358" s="43">
        <v>0</v>
      </c>
      <c r="C358" s="78">
        <v>0</v>
      </c>
      <c r="D358" s="42"/>
    </row>
    <row r="359" spans="1:4" ht="14.4" x14ac:dyDescent="0.3">
      <c r="A359" s="42">
        <v>0</v>
      </c>
      <c r="B359" s="43">
        <v>0</v>
      </c>
      <c r="C359" s="78">
        <v>0</v>
      </c>
      <c r="D359" s="42"/>
    </row>
    <row r="360" spans="1:4" ht="14.4" x14ac:dyDescent="0.3">
      <c r="A360" s="42">
        <v>0</v>
      </c>
      <c r="B360" s="43">
        <v>0</v>
      </c>
      <c r="C360" s="78">
        <v>0</v>
      </c>
      <c r="D360" s="42"/>
    </row>
    <row r="361" spans="1:4" ht="14.4" x14ac:dyDescent="0.3">
      <c r="A361" s="42">
        <v>0</v>
      </c>
      <c r="B361" s="43">
        <v>0</v>
      </c>
      <c r="C361" s="78">
        <v>0</v>
      </c>
      <c r="D361" s="42"/>
    </row>
    <row r="362" spans="1:4" ht="14.4" x14ac:dyDescent="0.3">
      <c r="A362" s="42">
        <v>0</v>
      </c>
      <c r="B362" s="43">
        <v>0</v>
      </c>
      <c r="C362" s="78">
        <v>0</v>
      </c>
      <c r="D362" s="42"/>
    </row>
    <row r="363" spans="1:4" ht="14.4" x14ac:dyDescent="0.3">
      <c r="A363" s="42">
        <v>0</v>
      </c>
      <c r="B363" s="43">
        <v>0</v>
      </c>
      <c r="C363" s="78">
        <v>0</v>
      </c>
      <c r="D363" s="42"/>
    </row>
    <row r="364" spans="1:4" ht="14.4" x14ac:dyDescent="0.3">
      <c r="A364" s="42">
        <v>0</v>
      </c>
      <c r="B364" s="43">
        <v>0</v>
      </c>
      <c r="C364" s="78">
        <v>0</v>
      </c>
      <c r="D364" s="42"/>
    </row>
    <row r="365" spans="1:4" ht="14.4" x14ac:dyDescent="0.3">
      <c r="A365" s="42">
        <v>0</v>
      </c>
      <c r="B365" s="43">
        <v>0</v>
      </c>
      <c r="C365" s="78">
        <v>0</v>
      </c>
      <c r="D365" s="42"/>
    </row>
    <row r="366" spans="1:4" ht="14.4" x14ac:dyDescent="0.3">
      <c r="A366" s="42">
        <v>0</v>
      </c>
      <c r="B366" s="43">
        <v>0</v>
      </c>
      <c r="C366" s="78">
        <v>0</v>
      </c>
      <c r="D366" s="42"/>
    </row>
    <row r="367" spans="1:4" ht="14.4" x14ac:dyDescent="0.3">
      <c r="A367" s="42">
        <v>0</v>
      </c>
      <c r="B367" s="43">
        <v>0</v>
      </c>
      <c r="C367" s="78">
        <v>0</v>
      </c>
      <c r="D367" s="42"/>
    </row>
    <row r="368" spans="1:4" ht="14.4" x14ac:dyDescent="0.3">
      <c r="A368" s="42">
        <v>0</v>
      </c>
      <c r="B368" s="43">
        <v>0</v>
      </c>
      <c r="C368" s="78">
        <v>0</v>
      </c>
      <c r="D368" s="42"/>
    </row>
    <row r="369" spans="1:4" ht="14.4" x14ac:dyDescent="0.3">
      <c r="A369" s="42">
        <v>0</v>
      </c>
      <c r="B369" s="43">
        <v>0</v>
      </c>
      <c r="C369" s="78">
        <v>0</v>
      </c>
      <c r="D369" s="42"/>
    </row>
    <row r="370" spans="1:4" ht="14.4" x14ac:dyDescent="0.3">
      <c r="A370" s="42">
        <v>0</v>
      </c>
      <c r="B370" s="43">
        <v>0</v>
      </c>
      <c r="C370" s="78">
        <v>0</v>
      </c>
      <c r="D370" s="42"/>
    </row>
    <row r="371" spans="1:4" ht="14.4" x14ac:dyDescent="0.3">
      <c r="A371" s="42">
        <v>0</v>
      </c>
      <c r="B371" s="43">
        <v>0</v>
      </c>
      <c r="C371" s="78">
        <v>0</v>
      </c>
      <c r="D371" s="42"/>
    </row>
    <row r="372" spans="1:4" ht="14.4" x14ac:dyDescent="0.3">
      <c r="A372" s="42">
        <v>0</v>
      </c>
      <c r="B372" s="43">
        <v>0</v>
      </c>
      <c r="C372" s="78">
        <v>0</v>
      </c>
      <c r="D372" s="42"/>
    </row>
    <row r="373" spans="1:4" ht="14.4" x14ac:dyDescent="0.3">
      <c r="A373" s="42">
        <v>0</v>
      </c>
      <c r="B373" s="43">
        <v>0</v>
      </c>
      <c r="C373" s="78">
        <v>0</v>
      </c>
      <c r="D373" s="42"/>
    </row>
    <row r="374" spans="1:4" ht="14.4" x14ac:dyDescent="0.3">
      <c r="A374" s="42">
        <v>0</v>
      </c>
      <c r="B374" s="43">
        <v>0</v>
      </c>
      <c r="C374" s="78">
        <v>0</v>
      </c>
      <c r="D374" s="42"/>
    </row>
    <row r="375" spans="1:4" ht="14.4" x14ac:dyDescent="0.3">
      <c r="A375" s="42">
        <v>0</v>
      </c>
      <c r="B375" s="43">
        <v>0</v>
      </c>
      <c r="C375" s="78">
        <v>0</v>
      </c>
      <c r="D375" s="42"/>
    </row>
    <row r="376" spans="1:4" ht="14.4" x14ac:dyDescent="0.3">
      <c r="A376" s="42">
        <v>0</v>
      </c>
      <c r="B376" s="43">
        <v>0</v>
      </c>
      <c r="C376" s="78">
        <v>0</v>
      </c>
      <c r="D376" s="42"/>
    </row>
    <row r="377" spans="1:4" ht="14.4" x14ac:dyDescent="0.3">
      <c r="A377" s="42">
        <v>0</v>
      </c>
      <c r="B377" s="43">
        <v>0</v>
      </c>
      <c r="C377" s="78">
        <v>0</v>
      </c>
      <c r="D377" s="42"/>
    </row>
    <row r="378" spans="1:4" ht="14.4" x14ac:dyDescent="0.3">
      <c r="A378" s="42">
        <v>0</v>
      </c>
      <c r="B378" s="43">
        <v>0</v>
      </c>
      <c r="C378" s="78">
        <v>0</v>
      </c>
      <c r="D378" s="42"/>
    </row>
    <row r="379" spans="1:4" ht="14.4" x14ac:dyDescent="0.3">
      <c r="A379" s="42">
        <v>0</v>
      </c>
      <c r="B379" s="43">
        <v>0</v>
      </c>
      <c r="C379" s="78">
        <v>0</v>
      </c>
      <c r="D379" s="42"/>
    </row>
    <row r="380" spans="1:4" ht="14.4" x14ac:dyDescent="0.3">
      <c r="A380" s="42">
        <v>0</v>
      </c>
      <c r="B380" s="43">
        <v>0</v>
      </c>
      <c r="C380" s="78">
        <v>0</v>
      </c>
      <c r="D380" s="42"/>
    </row>
    <row r="381" spans="1:4" ht="14.4" x14ac:dyDescent="0.3">
      <c r="A381" s="42">
        <v>0</v>
      </c>
      <c r="B381" s="43">
        <v>0</v>
      </c>
      <c r="C381" s="78">
        <v>0</v>
      </c>
      <c r="D381" s="42"/>
    </row>
    <row r="382" spans="1:4" ht="14.4" x14ac:dyDescent="0.3">
      <c r="A382" s="42">
        <v>0</v>
      </c>
      <c r="B382" s="43">
        <v>0</v>
      </c>
      <c r="C382" s="78">
        <v>0</v>
      </c>
      <c r="D382" s="42"/>
    </row>
    <row r="383" spans="1:4" ht="14.4" x14ac:dyDescent="0.3">
      <c r="A383" s="42">
        <v>0</v>
      </c>
      <c r="B383" s="43">
        <v>0</v>
      </c>
      <c r="C383" s="78">
        <v>0</v>
      </c>
      <c r="D383" s="42"/>
    </row>
    <row r="384" spans="1:4" ht="14.4" x14ac:dyDescent="0.3">
      <c r="A384" s="42">
        <v>0</v>
      </c>
      <c r="B384" s="43">
        <v>0</v>
      </c>
      <c r="C384" s="78">
        <v>0</v>
      </c>
      <c r="D384" s="42"/>
    </row>
    <row r="385" spans="1:4" ht="14.4" x14ac:dyDescent="0.3">
      <c r="A385" s="42">
        <v>0</v>
      </c>
      <c r="B385" s="43">
        <v>0</v>
      </c>
      <c r="C385" s="78">
        <v>0</v>
      </c>
      <c r="D385" s="42"/>
    </row>
    <row r="386" spans="1:4" ht="14.4" x14ac:dyDescent="0.3">
      <c r="A386" s="42">
        <v>0</v>
      </c>
      <c r="B386" s="43">
        <v>0</v>
      </c>
      <c r="C386" s="78">
        <v>0</v>
      </c>
      <c r="D386" s="42"/>
    </row>
    <row r="387" spans="1:4" ht="14.4" x14ac:dyDescent="0.3">
      <c r="A387" s="42">
        <v>0</v>
      </c>
      <c r="B387" s="43">
        <v>0</v>
      </c>
      <c r="C387" s="78">
        <v>0</v>
      </c>
      <c r="D387" s="42"/>
    </row>
    <row r="388" spans="1:4" ht="14.4" x14ac:dyDescent="0.3">
      <c r="A388" s="42">
        <v>0</v>
      </c>
      <c r="B388" s="43">
        <v>0</v>
      </c>
      <c r="C388" s="78">
        <v>0</v>
      </c>
      <c r="D388" s="42"/>
    </row>
    <row r="389" spans="1:4" ht="14.4" x14ac:dyDescent="0.3">
      <c r="A389" s="42">
        <v>0</v>
      </c>
      <c r="B389" s="43">
        <v>0</v>
      </c>
      <c r="C389" s="78">
        <v>0</v>
      </c>
      <c r="D389" s="42"/>
    </row>
    <row r="390" spans="1:4" ht="14.4" x14ac:dyDescent="0.3">
      <c r="A390" s="42">
        <v>0</v>
      </c>
      <c r="B390" s="43">
        <v>0</v>
      </c>
      <c r="C390" s="78">
        <v>0</v>
      </c>
      <c r="D390" s="42"/>
    </row>
    <row r="391" spans="1:4" ht="14.4" x14ac:dyDescent="0.3">
      <c r="A391" s="42">
        <v>0</v>
      </c>
      <c r="B391" s="43">
        <v>0</v>
      </c>
      <c r="C391" s="78">
        <v>0</v>
      </c>
      <c r="D391" s="42"/>
    </row>
    <row r="392" spans="1:4" ht="14.4" x14ac:dyDescent="0.3">
      <c r="A392" s="42">
        <v>0</v>
      </c>
      <c r="B392" s="43">
        <v>0</v>
      </c>
      <c r="C392" s="78">
        <v>0</v>
      </c>
      <c r="D392" s="42"/>
    </row>
    <row r="393" spans="1:4" ht="14.4" x14ac:dyDescent="0.3">
      <c r="A393" s="42">
        <v>0</v>
      </c>
      <c r="B393" s="43">
        <v>0</v>
      </c>
      <c r="C393" s="78">
        <v>0</v>
      </c>
      <c r="D393" s="42"/>
    </row>
    <row r="394" spans="1:4" ht="14.4" x14ac:dyDescent="0.3">
      <c r="A394" s="42">
        <v>0</v>
      </c>
      <c r="B394" s="43">
        <v>0</v>
      </c>
      <c r="C394" s="78">
        <v>0</v>
      </c>
      <c r="D394" s="42"/>
    </row>
    <row r="395" spans="1:4" ht="14.4" x14ac:dyDescent="0.3">
      <c r="A395" s="42">
        <v>0</v>
      </c>
      <c r="B395" s="43">
        <v>0</v>
      </c>
      <c r="C395" s="78">
        <v>0</v>
      </c>
      <c r="D395" s="42"/>
    </row>
    <row r="396" spans="1:4" ht="14.4" x14ac:dyDescent="0.3">
      <c r="A396" s="42">
        <v>0</v>
      </c>
      <c r="B396" s="43">
        <v>0</v>
      </c>
      <c r="C396" s="78">
        <v>0</v>
      </c>
      <c r="D396" s="42"/>
    </row>
    <row r="397" spans="1:4" ht="14.4" x14ac:dyDescent="0.3">
      <c r="A397" s="42">
        <v>0</v>
      </c>
      <c r="B397" s="43">
        <v>0</v>
      </c>
      <c r="C397" s="78">
        <v>0</v>
      </c>
      <c r="D397" s="42"/>
    </row>
    <row r="398" spans="1:4" ht="14.4" x14ac:dyDescent="0.3">
      <c r="A398" s="42">
        <v>0</v>
      </c>
      <c r="B398" s="43">
        <v>0</v>
      </c>
      <c r="C398" s="78">
        <v>0</v>
      </c>
      <c r="D398" s="42"/>
    </row>
    <row r="399" spans="1:4" ht="14.4" x14ac:dyDescent="0.3">
      <c r="A399" s="42">
        <v>0</v>
      </c>
      <c r="B399" s="43">
        <v>0</v>
      </c>
      <c r="C399" s="78">
        <v>0</v>
      </c>
      <c r="D399" s="42"/>
    </row>
    <row r="400" spans="1:4" ht="14.4" x14ac:dyDescent="0.3">
      <c r="A400" s="42">
        <v>0</v>
      </c>
      <c r="B400" s="43">
        <v>0</v>
      </c>
      <c r="C400" s="78">
        <v>0</v>
      </c>
      <c r="D400" s="42"/>
    </row>
    <row r="401" spans="1:4" ht="14.4" x14ac:dyDescent="0.3">
      <c r="A401" s="42">
        <v>0</v>
      </c>
      <c r="B401" s="43">
        <v>0</v>
      </c>
      <c r="C401" s="78">
        <v>0</v>
      </c>
      <c r="D401" s="42"/>
    </row>
    <row r="402" spans="1:4" ht="14.4" x14ac:dyDescent="0.3">
      <c r="A402" s="42">
        <v>0</v>
      </c>
      <c r="B402" s="43">
        <v>0</v>
      </c>
      <c r="C402" s="78">
        <v>0</v>
      </c>
      <c r="D402" s="42"/>
    </row>
    <row r="403" spans="1:4" ht="14.4" x14ac:dyDescent="0.3">
      <c r="A403" s="42">
        <v>0</v>
      </c>
      <c r="B403" s="43">
        <v>0</v>
      </c>
      <c r="C403" s="78">
        <v>0</v>
      </c>
      <c r="D403" s="42"/>
    </row>
    <row r="404" spans="1:4" ht="14.4" x14ac:dyDescent="0.3">
      <c r="A404" s="42">
        <v>0</v>
      </c>
      <c r="B404" s="43">
        <v>0</v>
      </c>
      <c r="C404" s="78">
        <v>0</v>
      </c>
      <c r="D404" s="42"/>
    </row>
    <row r="405" spans="1:4" ht="14.4" x14ac:dyDescent="0.3">
      <c r="A405" s="42">
        <v>0</v>
      </c>
      <c r="B405" s="43">
        <v>0</v>
      </c>
      <c r="C405" s="78">
        <v>0</v>
      </c>
      <c r="D405" s="42"/>
    </row>
    <row r="406" spans="1:4" ht="14.4" x14ac:dyDescent="0.3">
      <c r="A406" s="42">
        <v>0</v>
      </c>
      <c r="B406" s="43">
        <v>0</v>
      </c>
      <c r="C406" s="78">
        <v>0</v>
      </c>
      <c r="D406" s="42"/>
    </row>
    <row r="407" spans="1:4" ht="14.4" x14ac:dyDescent="0.3">
      <c r="A407" s="42">
        <v>0</v>
      </c>
      <c r="B407" s="43">
        <v>0</v>
      </c>
      <c r="C407" s="78">
        <v>0</v>
      </c>
      <c r="D407" s="42"/>
    </row>
    <row r="408" spans="1:4" ht="14.4" x14ac:dyDescent="0.3">
      <c r="A408" s="42">
        <v>0</v>
      </c>
      <c r="B408" s="43">
        <v>0</v>
      </c>
      <c r="C408" s="78">
        <v>0</v>
      </c>
      <c r="D408" s="42"/>
    </row>
    <row r="409" spans="1:4" ht="14.4" x14ac:dyDescent="0.3">
      <c r="A409" s="42">
        <v>0</v>
      </c>
      <c r="B409" s="43">
        <v>0</v>
      </c>
      <c r="C409" s="78">
        <v>0</v>
      </c>
      <c r="D409" s="42"/>
    </row>
    <row r="410" spans="1:4" ht="14.4" x14ac:dyDescent="0.3">
      <c r="A410" s="42">
        <v>0</v>
      </c>
      <c r="B410" s="43">
        <v>0</v>
      </c>
      <c r="C410" s="78">
        <v>0</v>
      </c>
      <c r="D410" s="42"/>
    </row>
    <row r="411" spans="1:4" ht="14.4" x14ac:dyDescent="0.3">
      <c r="A411" s="42">
        <v>0</v>
      </c>
      <c r="B411" s="43">
        <v>0</v>
      </c>
      <c r="C411" s="78">
        <v>0</v>
      </c>
      <c r="D411" s="42"/>
    </row>
    <row r="412" spans="1:4" ht="14.4" x14ac:dyDescent="0.3">
      <c r="A412" s="42">
        <v>0</v>
      </c>
      <c r="B412" s="43">
        <v>0</v>
      </c>
      <c r="C412" s="78">
        <v>0</v>
      </c>
      <c r="D412" s="42"/>
    </row>
    <row r="413" spans="1:4" ht="14.4" x14ac:dyDescent="0.3">
      <c r="A413" s="42">
        <v>0</v>
      </c>
      <c r="B413" s="43">
        <v>0</v>
      </c>
      <c r="C413" s="78">
        <v>0</v>
      </c>
      <c r="D413" s="42"/>
    </row>
    <row r="414" spans="1:4" ht="14.4" x14ac:dyDescent="0.3">
      <c r="A414" s="42">
        <v>0</v>
      </c>
      <c r="B414" s="43">
        <v>0</v>
      </c>
      <c r="C414" s="78">
        <v>0</v>
      </c>
      <c r="D414" s="42"/>
    </row>
    <row r="415" spans="1:4" ht="14.4" x14ac:dyDescent="0.3">
      <c r="A415" s="42">
        <v>0</v>
      </c>
      <c r="B415" s="43">
        <v>0</v>
      </c>
      <c r="C415" s="78">
        <v>0</v>
      </c>
      <c r="D415" s="42"/>
    </row>
    <row r="416" spans="1:4" ht="14.4" x14ac:dyDescent="0.3">
      <c r="A416" s="42">
        <v>0</v>
      </c>
      <c r="B416" s="43">
        <v>0</v>
      </c>
      <c r="C416" s="78">
        <v>0</v>
      </c>
      <c r="D416" s="42"/>
    </row>
    <row r="417" spans="1:4" ht="14.4" x14ac:dyDescent="0.3">
      <c r="A417" s="42">
        <v>0</v>
      </c>
      <c r="B417" s="43">
        <v>0</v>
      </c>
      <c r="C417" s="78">
        <v>0</v>
      </c>
      <c r="D417" s="42"/>
    </row>
    <row r="418" spans="1:4" ht="14.4" x14ac:dyDescent="0.3">
      <c r="A418" s="42">
        <v>0</v>
      </c>
      <c r="B418" s="43">
        <v>0</v>
      </c>
      <c r="C418" s="78">
        <v>0</v>
      </c>
      <c r="D418" s="42"/>
    </row>
    <row r="419" spans="1:4" ht="14.4" x14ac:dyDescent="0.3">
      <c r="A419" s="42">
        <v>0</v>
      </c>
      <c r="B419" s="43">
        <v>0</v>
      </c>
      <c r="C419" s="78">
        <v>0</v>
      </c>
      <c r="D419" s="42"/>
    </row>
    <row r="420" spans="1:4" ht="14.4" x14ac:dyDescent="0.3">
      <c r="A420" s="42">
        <v>0</v>
      </c>
      <c r="B420" s="43">
        <v>0</v>
      </c>
      <c r="C420" s="78">
        <v>0</v>
      </c>
      <c r="D420" s="42"/>
    </row>
    <row r="421" spans="1:4" ht="14.4" x14ac:dyDescent="0.3">
      <c r="A421" s="42">
        <v>0</v>
      </c>
      <c r="B421" s="43">
        <v>0</v>
      </c>
      <c r="C421" s="78">
        <v>0</v>
      </c>
      <c r="D421" s="42"/>
    </row>
    <row r="422" spans="1:4" ht="14.4" x14ac:dyDescent="0.3">
      <c r="A422" s="42">
        <v>0</v>
      </c>
      <c r="B422" s="43">
        <v>0</v>
      </c>
      <c r="C422" s="78">
        <v>0</v>
      </c>
      <c r="D422" s="42"/>
    </row>
    <row r="423" spans="1:4" ht="14.4" x14ac:dyDescent="0.3">
      <c r="A423" s="42">
        <v>0</v>
      </c>
      <c r="B423" s="43">
        <v>0</v>
      </c>
      <c r="C423" s="78">
        <v>0</v>
      </c>
      <c r="D423" s="42"/>
    </row>
    <row r="424" spans="1:4" ht="14.4" x14ac:dyDescent="0.3">
      <c r="A424" s="42">
        <v>0</v>
      </c>
      <c r="B424" s="43">
        <v>0</v>
      </c>
      <c r="C424" s="78">
        <v>0</v>
      </c>
      <c r="D424" s="42"/>
    </row>
    <row r="425" spans="1:4" ht="14.4" x14ac:dyDescent="0.3">
      <c r="A425" s="42">
        <v>0</v>
      </c>
      <c r="B425" s="43">
        <v>0</v>
      </c>
      <c r="C425" s="78">
        <v>0</v>
      </c>
      <c r="D425" s="42"/>
    </row>
    <row r="426" spans="1:4" ht="14.4" x14ac:dyDescent="0.3">
      <c r="A426" s="42">
        <v>0</v>
      </c>
      <c r="B426" s="43">
        <v>0</v>
      </c>
      <c r="C426" s="78">
        <v>0</v>
      </c>
      <c r="D426" s="42"/>
    </row>
    <row r="427" spans="1:4" ht="14.4" x14ac:dyDescent="0.3">
      <c r="A427" s="42">
        <v>0</v>
      </c>
      <c r="B427" s="43">
        <v>0</v>
      </c>
      <c r="C427" s="78">
        <v>0</v>
      </c>
      <c r="D427" s="42"/>
    </row>
    <row r="428" spans="1:4" ht="14.4" x14ac:dyDescent="0.3">
      <c r="A428" s="42">
        <v>0</v>
      </c>
      <c r="B428" s="43">
        <v>0</v>
      </c>
      <c r="C428" s="78">
        <v>0</v>
      </c>
      <c r="D428" s="42"/>
    </row>
    <row r="429" spans="1:4" ht="14.4" x14ac:dyDescent="0.3">
      <c r="A429" s="42">
        <v>0</v>
      </c>
      <c r="B429" s="43">
        <v>0</v>
      </c>
      <c r="C429" s="78">
        <v>0</v>
      </c>
      <c r="D429" s="42"/>
    </row>
    <row r="430" spans="1:4" ht="14.4" x14ac:dyDescent="0.3">
      <c r="A430" s="42">
        <v>0</v>
      </c>
      <c r="B430" s="43">
        <v>0</v>
      </c>
      <c r="C430" s="78">
        <v>0</v>
      </c>
      <c r="D430" s="42"/>
    </row>
    <row r="431" spans="1:4" ht="14.4" x14ac:dyDescent="0.3">
      <c r="A431" s="42">
        <v>0</v>
      </c>
      <c r="B431" s="43">
        <v>0</v>
      </c>
      <c r="C431" s="78">
        <v>0</v>
      </c>
      <c r="D431" s="42"/>
    </row>
    <row r="432" spans="1:4" ht="14.4" x14ac:dyDescent="0.3">
      <c r="A432" s="42">
        <v>0</v>
      </c>
      <c r="B432" s="43">
        <v>0</v>
      </c>
      <c r="C432" s="78">
        <v>0</v>
      </c>
      <c r="D432" s="42"/>
    </row>
    <row r="433" spans="1:4" ht="14.4" x14ac:dyDescent="0.3">
      <c r="A433" s="42">
        <v>0</v>
      </c>
      <c r="B433" s="43">
        <v>0</v>
      </c>
      <c r="C433" s="78">
        <v>0</v>
      </c>
      <c r="D433" s="42"/>
    </row>
    <row r="434" spans="1:4" ht="14.4" x14ac:dyDescent="0.3">
      <c r="A434" s="42">
        <v>0</v>
      </c>
      <c r="B434" s="43">
        <v>0</v>
      </c>
      <c r="C434" s="78">
        <v>0</v>
      </c>
      <c r="D434" s="42"/>
    </row>
    <row r="435" spans="1:4" ht="14.4" x14ac:dyDescent="0.3">
      <c r="A435" s="42">
        <v>0</v>
      </c>
      <c r="B435" s="43">
        <v>0</v>
      </c>
      <c r="C435" s="78">
        <v>0</v>
      </c>
      <c r="D435" s="42"/>
    </row>
    <row r="436" spans="1:4" ht="14.4" x14ac:dyDescent="0.3">
      <c r="A436" s="42">
        <v>0</v>
      </c>
      <c r="B436" s="43">
        <v>0</v>
      </c>
      <c r="C436" s="78">
        <v>0</v>
      </c>
      <c r="D436" s="42"/>
    </row>
    <row r="437" spans="1:4" ht="14.4" x14ac:dyDescent="0.3">
      <c r="A437" s="42">
        <v>0</v>
      </c>
      <c r="B437" s="43">
        <v>0</v>
      </c>
      <c r="C437" s="78">
        <v>0</v>
      </c>
      <c r="D437" s="42"/>
    </row>
    <row r="438" spans="1:4" ht="14.4" x14ac:dyDescent="0.3">
      <c r="A438" s="42">
        <v>0</v>
      </c>
      <c r="B438" s="43">
        <v>0</v>
      </c>
      <c r="C438" s="78">
        <v>0</v>
      </c>
      <c r="D438" s="42"/>
    </row>
    <row r="439" spans="1:4" ht="14.4" x14ac:dyDescent="0.3">
      <c r="A439" s="42">
        <v>0</v>
      </c>
      <c r="B439" s="43">
        <v>0</v>
      </c>
      <c r="C439" s="78">
        <v>0</v>
      </c>
      <c r="D439" s="42"/>
    </row>
    <row r="440" spans="1:4" ht="14.4" x14ac:dyDescent="0.3">
      <c r="A440" s="42">
        <v>0</v>
      </c>
      <c r="B440" s="43">
        <v>0</v>
      </c>
      <c r="C440" s="78">
        <v>0</v>
      </c>
      <c r="D440" s="42"/>
    </row>
    <row r="441" spans="1:4" ht="14.4" x14ac:dyDescent="0.3">
      <c r="A441" s="42">
        <v>0</v>
      </c>
      <c r="B441" s="43">
        <v>0</v>
      </c>
      <c r="C441" s="78">
        <v>0</v>
      </c>
      <c r="D441" s="42"/>
    </row>
    <row r="442" spans="1:4" ht="14.4" x14ac:dyDescent="0.3">
      <c r="A442" s="42">
        <v>0</v>
      </c>
      <c r="B442" s="43">
        <v>0</v>
      </c>
      <c r="C442" s="78">
        <v>0</v>
      </c>
      <c r="D442" s="42"/>
    </row>
    <row r="443" spans="1:4" ht="14.4" x14ac:dyDescent="0.3">
      <c r="A443" s="42">
        <v>0</v>
      </c>
      <c r="B443" s="43">
        <v>0</v>
      </c>
      <c r="C443" s="78">
        <v>0</v>
      </c>
      <c r="D443" s="42"/>
    </row>
    <row r="444" spans="1:4" ht="14.4" x14ac:dyDescent="0.3">
      <c r="A444" s="42">
        <v>0</v>
      </c>
      <c r="B444" s="43">
        <v>0</v>
      </c>
      <c r="C444" s="78">
        <v>0</v>
      </c>
      <c r="D444" s="42"/>
    </row>
    <row r="445" spans="1:4" ht="14.4" x14ac:dyDescent="0.3">
      <c r="A445" s="42">
        <v>0</v>
      </c>
      <c r="B445" s="43">
        <v>0</v>
      </c>
      <c r="C445" s="78">
        <v>0</v>
      </c>
      <c r="D445" s="42"/>
    </row>
    <row r="446" spans="1:4" ht="14.4" x14ac:dyDescent="0.3">
      <c r="A446" s="42">
        <v>0</v>
      </c>
      <c r="B446" s="43">
        <v>0</v>
      </c>
      <c r="C446" s="78">
        <v>0</v>
      </c>
      <c r="D446" s="42"/>
    </row>
    <row r="447" spans="1:4" ht="14.4" x14ac:dyDescent="0.3">
      <c r="A447" s="42">
        <v>0</v>
      </c>
      <c r="B447" s="43">
        <v>0</v>
      </c>
      <c r="C447" s="78">
        <v>0</v>
      </c>
      <c r="D447" s="42"/>
    </row>
    <row r="448" spans="1:4" ht="14.4" x14ac:dyDescent="0.3">
      <c r="A448" s="42">
        <v>0</v>
      </c>
      <c r="B448" s="43">
        <v>0</v>
      </c>
      <c r="C448" s="78">
        <v>0</v>
      </c>
      <c r="D448" s="42"/>
    </row>
    <row r="449" spans="1:4" ht="14.4" x14ac:dyDescent="0.3">
      <c r="A449" s="42">
        <v>0</v>
      </c>
      <c r="B449" s="43">
        <v>0</v>
      </c>
      <c r="C449" s="78">
        <v>0</v>
      </c>
      <c r="D449" s="42"/>
    </row>
    <row r="450" spans="1:4" ht="14.4" x14ac:dyDescent="0.3">
      <c r="A450" s="42">
        <v>0</v>
      </c>
      <c r="B450" s="43">
        <v>0</v>
      </c>
      <c r="C450" s="78">
        <v>0</v>
      </c>
      <c r="D450" s="42"/>
    </row>
    <row r="451" spans="1:4" ht="14.4" x14ac:dyDescent="0.3">
      <c r="A451" s="42">
        <v>0</v>
      </c>
      <c r="B451" s="43">
        <v>0</v>
      </c>
      <c r="C451" s="78">
        <v>0</v>
      </c>
      <c r="D451" s="42"/>
    </row>
    <row r="452" spans="1:4" ht="14.4" x14ac:dyDescent="0.3">
      <c r="A452" s="42">
        <v>0</v>
      </c>
      <c r="B452" s="43">
        <v>0</v>
      </c>
      <c r="C452" s="78">
        <v>0</v>
      </c>
      <c r="D452" s="42"/>
    </row>
    <row r="453" spans="1:4" ht="14.4" x14ac:dyDescent="0.3">
      <c r="A453" s="42">
        <v>0</v>
      </c>
      <c r="B453" s="43">
        <v>0</v>
      </c>
      <c r="C453" s="78">
        <v>0</v>
      </c>
      <c r="D453" s="42"/>
    </row>
    <row r="454" spans="1:4" ht="14.4" x14ac:dyDescent="0.3">
      <c r="A454" s="42">
        <v>0</v>
      </c>
      <c r="B454" s="43">
        <v>0</v>
      </c>
      <c r="C454" s="78">
        <v>0</v>
      </c>
      <c r="D454" s="42"/>
    </row>
    <row r="455" spans="1:4" ht="14.4" x14ac:dyDescent="0.3">
      <c r="A455" s="42">
        <v>0</v>
      </c>
      <c r="B455" s="43">
        <v>0</v>
      </c>
      <c r="C455" s="78">
        <v>0</v>
      </c>
      <c r="D455" s="42"/>
    </row>
    <row r="456" spans="1:4" ht="14.4" x14ac:dyDescent="0.3">
      <c r="A456" s="42">
        <v>0</v>
      </c>
      <c r="B456" s="43">
        <v>0</v>
      </c>
      <c r="C456" s="78">
        <v>0</v>
      </c>
      <c r="D456" s="42"/>
    </row>
    <row r="457" spans="1:4" ht="14.4" x14ac:dyDescent="0.3">
      <c r="A457" s="42">
        <v>0</v>
      </c>
      <c r="B457" s="43">
        <v>0</v>
      </c>
      <c r="C457" s="78">
        <v>0</v>
      </c>
      <c r="D457" s="42"/>
    </row>
    <row r="458" spans="1:4" ht="14.4" x14ac:dyDescent="0.3">
      <c r="A458" s="42">
        <v>0</v>
      </c>
      <c r="B458" s="43">
        <v>0</v>
      </c>
      <c r="C458" s="78">
        <v>0</v>
      </c>
      <c r="D458" s="42"/>
    </row>
    <row r="459" spans="1:4" ht="14.4" x14ac:dyDescent="0.3">
      <c r="A459" s="42">
        <v>0</v>
      </c>
      <c r="B459" s="43">
        <v>0</v>
      </c>
      <c r="C459" s="78">
        <v>0</v>
      </c>
      <c r="D459" s="42"/>
    </row>
    <row r="460" spans="1:4" ht="14.4" x14ac:dyDescent="0.3">
      <c r="A460" s="42">
        <v>0</v>
      </c>
      <c r="B460" s="43">
        <v>0</v>
      </c>
      <c r="C460" s="78">
        <v>0</v>
      </c>
      <c r="D460" s="42"/>
    </row>
    <row r="461" spans="1:4" ht="14.4" x14ac:dyDescent="0.3">
      <c r="A461" s="42">
        <v>0</v>
      </c>
      <c r="B461" s="43">
        <v>0</v>
      </c>
      <c r="C461" s="78">
        <v>0</v>
      </c>
      <c r="D461" s="42"/>
    </row>
    <row r="462" spans="1:4" ht="14.4" x14ac:dyDescent="0.3">
      <c r="A462" s="42">
        <v>0</v>
      </c>
      <c r="B462" s="43">
        <v>0</v>
      </c>
      <c r="C462" s="78">
        <v>0</v>
      </c>
      <c r="D462" s="42"/>
    </row>
    <row r="463" spans="1:4" ht="14.4" x14ac:dyDescent="0.3">
      <c r="A463" s="42">
        <v>0</v>
      </c>
      <c r="B463" s="43">
        <v>0</v>
      </c>
      <c r="C463" s="78">
        <v>0</v>
      </c>
      <c r="D463" s="42"/>
    </row>
    <row r="464" spans="1:4" ht="14.4" x14ac:dyDescent="0.3">
      <c r="A464" s="42">
        <v>0</v>
      </c>
      <c r="B464" s="43">
        <v>0</v>
      </c>
      <c r="C464" s="78">
        <v>0</v>
      </c>
      <c r="D464" s="42"/>
    </row>
    <row r="465" spans="1:4" ht="14.4" x14ac:dyDescent="0.3">
      <c r="A465" s="42">
        <v>0</v>
      </c>
      <c r="B465" s="43">
        <v>0</v>
      </c>
      <c r="C465" s="78">
        <v>0</v>
      </c>
      <c r="D465" s="42"/>
    </row>
    <row r="466" spans="1:4" ht="14.4" x14ac:dyDescent="0.3">
      <c r="A466" s="42">
        <v>0</v>
      </c>
      <c r="B466" s="43">
        <v>0</v>
      </c>
      <c r="C466" s="78">
        <v>0</v>
      </c>
      <c r="D466" s="42"/>
    </row>
    <row r="467" spans="1:4" ht="14.4" x14ac:dyDescent="0.3">
      <c r="A467" s="42">
        <v>0</v>
      </c>
      <c r="B467" s="43">
        <v>0</v>
      </c>
      <c r="C467" s="78">
        <v>0</v>
      </c>
      <c r="D467" s="42"/>
    </row>
    <row r="468" spans="1:4" ht="14.4" x14ac:dyDescent="0.3">
      <c r="A468" s="42">
        <v>0</v>
      </c>
      <c r="B468" s="43">
        <v>0</v>
      </c>
      <c r="C468" s="78">
        <v>0</v>
      </c>
      <c r="D468" s="42"/>
    </row>
    <row r="469" spans="1:4" ht="14.4" x14ac:dyDescent="0.3">
      <c r="A469" s="42">
        <v>0</v>
      </c>
      <c r="B469" s="43">
        <v>0</v>
      </c>
      <c r="C469" s="78">
        <v>0</v>
      </c>
      <c r="D469" s="42"/>
    </row>
    <row r="470" spans="1:4" ht="14.4" x14ac:dyDescent="0.3">
      <c r="A470" s="42">
        <v>0</v>
      </c>
      <c r="B470" s="43">
        <v>0</v>
      </c>
      <c r="C470" s="78">
        <v>0</v>
      </c>
      <c r="D470" s="42"/>
    </row>
    <row r="471" spans="1:4" ht="14.4" x14ac:dyDescent="0.3">
      <c r="A471" s="42">
        <v>0</v>
      </c>
      <c r="B471" s="43">
        <v>0</v>
      </c>
      <c r="C471" s="78">
        <v>0</v>
      </c>
      <c r="D471" s="42"/>
    </row>
    <row r="472" spans="1:4" ht="14.4" x14ac:dyDescent="0.3">
      <c r="A472" s="42">
        <v>0</v>
      </c>
      <c r="B472" s="43">
        <v>0</v>
      </c>
      <c r="C472" s="78">
        <v>0</v>
      </c>
      <c r="D472" s="42"/>
    </row>
    <row r="473" spans="1:4" ht="14.4" x14ac:dyDescent="0.3">
      <c r="A473" s="42">
        <v>0</v>
      </c>
      <c r="B473" s="43">
        <v>0</v>
      </c>
      <c r="C473" s="78">
        <v>0</v>
      </c>
      <c r="D473" s="42"/>
    </row>
    <row r="474" spans="1:4" ht="14.4" x14ac:dyDescent="0.3">
      <c r="A474" s="42">
        <v>0</v>
      </c>
      <c r="B474" s="43">
        <v>0</v>
      </c>
      <c r="C474" s="78">
        <v>0</v>
      </c>
      <c r="D474" s="42"/>
    </row>
    <row r="475" spans="1:4" ht="14.4" x14ac:dyDescent="0.3">
      <c r="A475" s="42">
        <v>0</v>
      </c>
      <c r="B475" s="43">
        <v>0</v>
      </c>
      <c r="C475" s="78">
        <v>0</v>
      </c>
      <c r="D475" s="42"/>
    </row>
    <row r="476" spans="1:4" ht="14.4" x14ac:dyDescent="0.3">
      <c r="A476" s="42">
        <v>0</v>
      </c>
      <c r="B476" s="43">
        <v>0</v>
      </c>
      <c r="C476" s="78">
        <v>0</v>
      </c>
      <c r="D476" s="42"/>
    </row>
    <row r="477" spans="1:4" ht="14.4" x14ac:dyDescent="0.3">
      <c r="A477" s="42">
        <v>0</v>
      </c>
      <c r="B477" s="43">
        <v>0</v>
      </c>
      <c r="C477" s="78">
        <v>0</v>
      </c>
      <c r="D477" s="42"/>
    </row>
    <row r="478" spans="1:4" ht="14.4" x14ac:dyDescent="0.3">
      <c r="A478" s="42">
        <v>0</v>
      </c>
      <c r="B478" s="43">
        <v>0</v>
      </c>
      <c r="C478" s="78">
        <v>0</v>
      </c>
      <c r="D478" s="42"/>
    </row>
    <row r="479" spans="1:4" ht="14.4" x14ac:dyDescent="0.3">
      <c r="A479" s="42">
        <v>0</v>
      </c>
      <c r="B479" s="43">
        <v>0</v>
      </c>
      <c r="C479" s="78">
        <v>0</v>
      </c>
      <c r="D479" s="42"/>
    </row>
    <row r="480" spans="1:4" ht="14.4" x14ac:dyDescent="0.3">
      <c r="A480" s="42">
        <v>0</v>
      </c>
      <c r="B480" s="43">
        <v>0</v>
      </c>
      <c r="C480" s="78">
        <v>0</v>
      </c>
      <c r="D480" s="42"/>
    </row>
    <row r="481" spans="1:4" ht="14.4" x14ac:dyDescent="0.3">
      <c r="A481" s="42">
        <v>0</v>
      </c>
      <c r="B481" s="43">
        <v>0</v>
      </c>
      <c r="C481" s="78">
        <v>0</v>
      </c>
      <c r="D481" s="42"/>
    </row>
    <row r="482" spans="1:4" ht="14.4" x14ac:dyDescent="0.3">
      <c r="A482" s="42">
        <v>0</v>
      </c>
      <c r="B482" s="43">
        <v>0</v>
      </c>
      <c r="C482" s="78">
        <v>0</v>
      </c>
      <c r="D482" s="42"/>
    </row>
    <row r="483" spans="1:4" ht="14.4" x14ac:dyDescent="0.3">
      <c r="A483" s="42">
        <v>0</v>
      </c>
      <c r="B483" s="43">
        <v>0</v>
      </c>
      <c r="C483" s="78">
        <v>0</v>
      </c>
      <c r="D483" s="42"/>
    </row>
    <row r="484" spans="1:4" ht="14.4" x14ac:dyDescent="0.3">
      <c r="A484" s="42">
        <v>0</v>
      </c>
      <c r="B484" s="43">
        <v>0</v>
      </c>
      <c r="C484" s="78">
        <v>0</v>
      </c>
      <c r="D484" s="42"/>
    </row>
    <row r="485" spans="1:4" ht="14.4" x14ac:dyDescent="0.3">
      <c r="A485" s="42">
        <v>0</v>
      </c>
      <c r="B485" s="43">
        <v>0</v>
      </c>
      <c r="C485" s="78">
        <v>0</v>
      </c>
      <c r="D485" s="42"/>
    </row>
    <row r="486" spans="1:4" ht="14.4" x14ac:dyDescent="0.3">
      <c r="A486" s="42">
        <v>0</v>
      </c>
      <c r="B486" s="43">
        <v>0</v>
      </c>
      <c r="C486" s="78">
        <v>0</v>
      </c>
      <c r="D486" s="42"/>
    </row>
    <row r="487" spans="1:4" ht="14.4" x14ac:dyDescent="0.3">
      <c r="A487" s="42">
        <v>0</v>
      </c>
      <c r="B487" s="43">
        <v>0</v>
      </c>
      <c r="C487" s="78">
        <v>0</v>
      </c>
      <c r="D487" s="42"/>
    </row>
    <row r="488" spans="1:4" ht="14.4" x14ac:dyDescent="0.3">
      <c r="A488" s="42">
        <v>0</v>
      </c>
      <c r="B488" s="43">
        <v>0</v>
      </c>
      <c r="C488" s="78">
        <v>0</v>
      </c>
      <c r="D488" s="42"/>
    </row>
    <row r="489" spans="1:4" ht="14.4" x14ac:dyDescent="0.3">
      <c r="A489" s="42">
        <v>0</v>
      </c>
      <c r="B489" s="43">
        <v>0</v>
      </c>
      <c r="C489" s="78">
        <v>0</v>
      </c>
      <c r="D489" s="42"/>
    </row>
    <row r="490" spans="1:4" ht="14.4" x14ac:dyDescent="0.3">
      <c r="A490" s="42">
        <v>0</v>
      </c>
      <c r="B490" s="43">
        <v>0</v>
      </c>
      <c r="C490" s="78">
        <v>0</v>
      </c>
      <c r="D490" s="42"/>
    </row>
    <row r="491" spans="1:4" ht="14.4" x14ac:dyDescent="0.3">
      <c r="A491" s="42">
        <v>0</v>
      </c>
      <c r="B491" s="43">
        <v>0</v>
      </c>
      <c r="C491" s="78">
        <v>0</v>
      </c>
      <c r="D491" s="42"/>
    </row>
    <row r="492" spans="1:4" ht="14.4" x14ac:dyDescent="0.3">
      <c r="A492" s="42">
        <v>0</v>
      </c>
      <c r="B492" s="43">
        <v>0</v>
      </c>
      <c r="C492" s="78">
        <v>0</v>
      </c>
      <c r="D492" s="42"/>
    </row>
    <row r="493" spans="1:4" ht="14.4" x14ac:dyDescent="0.3">
      <c r="A493" s="42">
        <v>0</v>
      </c>
      <c r="B493" s="43">
        <v>0</v>
      </c>
      <c r="C493" s="78">
        <v>0</v>
      </c>
      <c r="D493" s="42"/>
    </row>
    <row r="494" spans="1:4" ht="14.4" x14ac:dyDescent="0.3">
      <c r="A494" s="42">
        <v>0</v>
      </c>
      <c r="B494" s="43">
        <v>0</v>
      </c>
      <c r="C494" s="78">
        <v>0</v>
      </c>
      <c r="D494" s="42"/>
    </row>
    <row r="495" spans="1:4" ht="14.4" x14ac:dyDescent="0.3">
      <c r="A495" s="42">
        <v>0</v>
      </c>
      <c r="B495" s="43">
        <v>0</v>
      </c>
      <c r="C495" s="78">
        <v>0</v>
      </c>
      <c r="D495" s="42"/>
    </row>
    <row r="496" spans="1:4" ht="14.4" x14ac:dyDescent="0.3">
      <c r="A496" s="42">
        <v>0</v>
      </c>
      <c r="B496" s="43">
        <v>0</v>
      </c>
      <c r="C496" s="78">
        <v>0</v>
      </c>
      <c r="D496" s="42"/>
    </row>
    <row r="497" spans="1:4" ht="14.4" x14ac:dyDescent="0.3">
      <c r="A497" s="42">
        <v>0</v>
      </c>
      <c r="B497" s="43">
        <v>0</v>
      </c>
      <c r="C497" s="78">
        <v>0</v>
      </c>
      <c r="D497" s="42"/>
    </row>
    <row r="498" spans="1:4" ht="14.4" x14ac:dyDescent="0.3">
      <c r="A498" s="42">
        <v>0</v>
      </c>
      <c r="B498" s="43">
        <v>0</v>
      </c>
      <c r="C498" s="78">
        <v>0</v>
      </c>
      <c r="D498" s="42"/>
    </row>
    <row r="499" spans="1:4" ht="14.4" x14ac:dyDescent="0.3">
      <c r="A499" s="42">
        <v>0</v>
      </c>
      <c r="B499" s="43">
        <v>0</v>
      </c>
      <c r="C499" s="78">
        <v>0</v>
      </c>
      <c r="D499" s="42"/>
    </row>
    <row r="500" spans="1:4" ht="14.4" x14ac:dyDescent="0.3">
      <c r="A500" s="42">
        <v>0</v>
      </c>
      <c r="B500" s="43">
        <v>0</v>
      </c>
      <c r="C500" s="78">
        <v>0</v>
      </c>
      <c r="D500" s="42"/>
    </row>
    <row r="501" spans="1:4" ht="14.4" x14ac:dyDescent="0.3">
      <c r="A501" s="42">
        <v>0</v>
      </c>
      <c r="B501" s="43">
        <v>0</v>
      </c>
      <c r="C501" s="78">
        <v>0</v>
      </c>
      <c r="D501" s="42"/>
    </row>
    <row r="502" spans="1:4" ht="14.4" x14ac:dyDescent="0.3">
      <c r="A502" s="42">
        <v>0</v>
      </c>
      <c r="B502" s="43">
        <v>0</v>
      </c>
      <c r="C502" s="78">
        <v>0</v>
      </c>
      <c r="D502" s="42"/>
    </row>
    <row r="503" spans="1:4" ht="14.4" x14ac:dyDescent="0.3">
      <c r="A503" s="42">
        <v>0</v>
      </c>
      <c r="B503" s="43">
        <v>0</v>
      </c>
      <c r="C503" s="78">
        <v>0</v>
      </c>
      <c r="D503" s="42"/>
    </row>
    <row r="504" spans="1:4" ht="14.4" x14ac:dyDescent="0.3">
      <c r="A504" s="42">
        <v>0</v>
      </c>
      <c r="B504" s="43">
        <v>0</v>
      </c>
      <c r="C504" s="78">
        <v>0</v>
      </c>
      <c r="D504" s="42"/>
    </row>
    <row r="505" spans="1:4" ht="14.4" x14ac:dyDescent="0.3">
      <c r="A505" s="42">
        <v>0</v>
      </c>
      <c r="B505" s="43">
        <v>0</v>
      </c>
      <c r="C505" s="78">
        <v>0</v>
      </c>
      <c r="D505" s="42"/>
    </row>
    <row r="506" spans="1:4" ht="14.4" x14ac:dyDescent="0.3">
      <c r="A506" s="42">
        <v>0</v>
      </c>
      <c r="B506" s="43">
        <v>0</v>
      </c>
      <c r="C506" s="78">
        <v>0</v>
      </c>
      <c r="D506" s="42"/>
    </row>
    <row r="507" spans="1:4" ht="14.4" x14ac:dyDescent="0.3">
      <c r="A507" s="42">
        <v>0</v>
      </c>
      <c r="B507" s="43">
        <v>0</v>
      </c>
      <c r="C507" s="78">
        <v>0</v>
      </c>
      <c r="D507" s="42"/>
    </row>
    <row r="508" spans="1:4" ht="14.4" x14ac:dyDescent="0.3">
      <c r="A508" s="42">
        <v>0</v>
      </c>
      <c r="B508" s="43">
        <v>0</v>
      </c>
      <c r="C508" s="78">
        <v>0</v>
      </c>
      <c r="D508" s="42"/>
    </row>
    <row r="509" spans="1:4" ht="14.4" x14ac:dyDescent="0.3">
      <c r="A509" s="42">
        <v>0</v>
      </c>
      <c r="B509" s="43">
        <v>0</v>
      </c>
      <c r="C509" s="78">
        <v>0</v>
      </c>
      <c r="D509" s="42"/>
    </row>
    <row r="510" spans="1:4" ht="14.4" x14ac:dyDescent="0.3">
      <c r="A510" s="42">
        <v>0</v>
      </c>
      <c r="B510" s="43">
        <v>0</v>
      </c>
      <c r="C510" s="78">
        <v>0</v>
      </c>
      <c r="D510" s="42"/>
    </row>
    <row r="511" spans="1:4" ht="14.4" x14ac:dyDescent="0.3">
      <c r="A511" s="42">
        <v>0</v>
      </c>
      <c r="B511" s="43">
        <v>0</v>
      </c>
      <c r="C511" s="78">
        <v>0</v>
      </c>
      <c r="D511" s="42"/>
    </row>
    <row r="512" spans="1:4" ht="14.4" x14ac:dyDescent="0.3">
      <c r="A512" s="42">
        <v>0</v>
      </c>
      <c r="B512" s="43">
        <v>0</v>
      </c>
      <c r="C512" s="78">
        <v>0</v>
      </c>
      <c r="D512" s="42"/>
    </row>
    <row r="513" spans="1:4" ht="14.4" x14ac:dyDescent="0.3">
      <c r="A513" s="42">
        <v>0</v>
      </c>
      <c r="B513" s="43">
        <v>0</v>
      </c>
      <c r="C513" s="78">
        <v>0</v>
      </c>
      <c r="D513" s="42"/>
    </row>
    <row r="514" spans="1:4" ht="14.4" x14ac:dyDescent="0.3">
      <c r="A514" s="42">
        <v>0</v>
      </c>
      <c r="B514" s="43">
        <v>0</v>
      </c>
      <c r="C514" s="78">
        <v>0</v>
      </c>
      <c r="D514" s="42"/>
    </row>
    <row r="515" spans="1:4" ht="14.4" x14ac:dyDescent="0.3">
      <c r="A515" s="42">
        <v>0</v>
      </c>
      <c r="B515" s="43">
        <v>0</v>
      </c>
      <c r="C515" s="78">
        <v>0</v>
      </c>
      <c r="D515" s="42"/>
    </row>
    <row r="516" spans="1:4" ht="14.4" x14ac:dyDescent="0.3">
      <c r="A516" s="42">
        <v>0</v>
      </c>
      <c r="B516" s="43">
        <v>0</v>
      </c>
      <c r="C516" s="78">
        <v>0</v>
      </c>
      <c r="D516" s="42"/>
    </row>
    <row r="517" spans="1:4" ht="14.4" x14ac:dyDescent="0.3">
      <c r="A517" s="42">
        <v>0</v>
      </c>
      <c r="B517" s="43">
        <v>0</v>
      </c>
      <c r="C517" s="78">
        <v>0</v>
      </c>
      <c r="D517" s="42"/>
    </row>
    <row r="518" spans="1:4" ht="14.4" x14ac:dyDescent="0.3">
      <c r="A518" s="42">
        <v>0</v>
      </c>
      <c r="B518" s="43">
        <v>0</v>
      </c>
      <c r="C518" s="78">
        <v>0</v>
      </c>
      <c r="D518" s="42"/>
    </row>
    <row r="519" spans="1:4" ht="14.4" x14ac:dyDescent="0.3">
      <c r="A519" s="42">
        <v>0</v>
      </c>
      <c r="B519" s="43">
        <v>0</v>
      </c>
      <c r="C519" s="78">
        <v>0</v>
      </c>
      <c r="D519" s="42"/>
    </row>
    <row r="520" spans="1:4" ht="14.4" x14ac:dyDescent="0.3">
      <c r="A520" s="42">
        <v>0</v>
      </c>
      <c r="B520" s="43">
        <v>0</v>
      </c>
      <c r="C520" s="78">
        <v>0</v>
      </c>
      <c r="D520" s="42"/>
    </row>
    <row r="521" spans="1:4" ht="14.4" x14ac:dyDescent="0.3">
      <c r="A521" s="42">
        <v>0</v>
      </c>
      <c r="B521" s="43">
        <v>0</v>
      </c>
      <c r="C521" s="78">
        <v>0</v>
      </c>
      <c r="D521" s="42"/>
    </row>
    <row r="522" spans="1:4" ht="14.4" x14ac:dyDescent="0.3">
      <c r="A522" s="42">
        <v>0</v>
      </c>
      <c r="B522" s="43">
        <v>0</v>
      </c>
      <c r="C522" s="78">
        <v>0</v>
      </c>
      <c r="D522" s="42"/>
    </row>
    <row r="523" spans="1:4" ht="14.4" x14ac:dyDescent="0.3">
      <c r="A523" s="42">
        <v>0</v>
      </c>
      <c r="B523" s="43">
        <v>0</v>
      </c>
      <c r="C523" s="78">
        <v>0</v>
      </c>
      <c r="D523" s="42"/>
    </row>
    <row r="524" spans="1:4" ht="14.4" x14ac:dyDescent="0.3">
      <c r="A524" s="42">
        <v>0</v>
      </c>
      <c r="B524" s="43">
        <v>0</v>
      </c>
      <c r="C524" s="78">
        <v>0</v>
      </c>
      <c r="D524" s="42"/>
    </row>
    <row r="525" spans="1:4" ht="14.4" x14ac:dyDescent="0.3">
      <c r="A525" s="42">
        <v>0</v>
      </c>
      <c r="B525" s="43">
        <v>0</v>
      </c>
      <c r="C525" s="78">
        <v>0</v>
      </c>
      <c r="D525" s="42"/>
    </row>
    <row r="526" spans="1:4" ht="14.4" x14ac:dyDescent="0.3">
      <c r="A526" s="42">
        <v>0</v>
      </c>
      <c r="B526" s="43">
        <v>0</v>
      </c>
      <c r="C526" s="78">
        <v>0</v>
      </c>
      <c r="D526" s="42"/>
    </row>
    <row r="527" spans="1:4" ht="14.4" x14ac:dyDescent="0.3">
      <c r="A527" s="42">
        <v>0</v>
      </c>
      <c r="B527" s="43">
        <v>0</v>
      </c>
      <c r="C527" s="78">
        <v>0</v>
      </c>
      <c r="D527" s="42"/>
    </row>
    <row r="528" spans="1:4" ht="14.4" x14ac:dyDescent="0.3">
      <c r="A528" s="42">
        <v>0</v>
      </c>
      <c r="B528" s="43">
        <v>0</v>
      </c>
      <c r="C528" s="78">
        <v>0</v>
      </c>
      <c r="D528" s="42"/>
    </row>
    <row r="529" spans="1:4" ht="14.4" x14ac:dyDescent="0.3">
      <c r="A529" s="42">
        <v>0</v>
      </c>
      <c r="B529" s="43">
        <v>0</v>
      </c>
      <c r="C529" s="78">
        <v>0</v>
      </c>
      <c r="D529" s="42"/>
    </row>
    <row r="530" spans="1:4" ht="14.4" x14ac:dyDescent="0.3">
      <c r="A530" s="42">
        <v>0</v>
      </c>
      <c r="B530" s="43">
        <v>0</v>
      </c>
      <c r="C530" s="78">
        <v>0</v>
      </c>
      <c r="D530" s="42"/>
    </row>
    <row r="531" spans="1:4" ht="14.4" x14ac:dyDescent="0.3">
      <c r="A531" s="42">
        <v>0</v>
      </c>
      <c r="B531" s="43">
        <v>0</v>
      </c>
      <c r="C531" s="78">
        <v>0</v>
      </c>
      <c r="D531" s="42"/>
    </row>
    <row r="532" spans="1:4" ht="14.4" x14ac:dyDescent="0.3">
      <c r="A532" s="42">
        <v>0</v>
      </c>
      <c r="B532" s="43">
        <v>0</v>
      </c>
      <c r="C532" s="78">
        <v>0</v>
      </c>
      <c r="D532" s="42"/>
    </row>
    <row r="533" spans="1:4" ht="14.4" x14ac:dyDescent="0.3">
      <c r="A533" s="42">
        <v>0</v>
      </c>
      <c r="B533" s="43">
        <v>0</v>
      </c>
      <c r="C533" s="78">
        <v>0</v>
      </c>
      <c r="D533" s="42"/>
    </row>
    <row r="534" spans="1:4" ht="14.4" x14ac:dyDescent="0.3">
      <c r="A534" s="42">
        <v>0</v>
      </c>
      <c r="B534" s="43">
        <v>0</v>
      </c>
      <c r="C534" s="78">
        <v>0</v>
      </c>
      <c r="D534" s="42"/>
    </row>
    <row r="535" spans="1:4" ht="14.4" x14ac:dyDescent="0.3">
      <c r="A535" s="42">
        <v>0</v>
      </c>
      <c r="B535" s="43">
        <v>0</v>
      </c>
      <c r="C535" s="78">
        <v>0</v>
      </c>
      <c r="D535" s="42"/>
    </row>
    <row r="536" spans="1:4" ht="14.4" x14ac:dyDescent="0.3">
      <c r="A536" s="42">
        <v>0</v>
      </c>
      <c r="B536" s="43">
        <v>0</v>
      </c>
      <c r="C536" s="78">
        <v>0</v>
      </c>
      <c r="D536" s="42"/>
    </row>
    <row r="537" spans="1:4" ht="14.4" x14ac:dyDescent="0.3">
      <c r="A537" s="42">
        <v>0</v>
      </c>
      <c r="B537" s="43">
        <v>0</v>
      </c>
      <c r="C537" s="78">
        <v>0</v>
      </c>
      <c r="D537" s="42"/>
    </row>
    <row r="538" spans="1:4" ht="14.4" x14ac:dyDescent="0.3">
      <c r="A538" s="42">
        <v>0</v>
      </c>
      <c r="B538" s="43">
        <v>0</v>
      </c>
      <c r="C538" s="78">
        <v>0</v>
      </c>
      <c r="D538" s="42"/>
    </row>
    <row r="539" spans="1:4" ht="14.4" x14ac:dyDescent="0.3">
      <c r="A539" s="42">
        <v>0</v>
      </c>
      <c r="B539" s="43">
        <v>0</v>
      </c>
      <c r="C539" s="78">
        <v>0</v>
      </c>
      <c r="D539" s="42"/>
    </row>
    <row r="540" spans="1:4" ht="14.4" x14ac:dyDescent="0.3">
      <c r="A540" s="42">
        <v>0</v>
      </c>
      <c r="B540" s="43">
        <v>0</v>
      </c>
      <c r="C540" s="78">
        <v>0</v>
      </c>
      <c r="D540" s="42"/>
    </row>
    <row r="541" spans="1:4" ht="14.4" x14ac:dyDescent="0.3">
      <c r="A541" s="42">
        <v>0</v>
      </c>
      <c r="B541" s="43">
        <v>0</v>
      </c>
      <c r="C541" s="78">
        <v>0</v>
      </c>
      <c r="D541" s="42"/>
    </row>
    <row r="542" spans="1:4" ht="14.4" x14ac:dyDescent="0.3">
      <c r="A542" s="42">
        <v>0</v>
      </c>
      <c r="B542" s="43">
        <v>0</v>
      </c>
      <c r="C542" s="78">
        <v>0</v>
      </c>
      <c r="D542" s="42"/>
    </row>
    <row r="543" spans="1:4" ht="14.4" x14ac:dyDescent="0.3">
      <c r="A543" s="42">
        <v>0</v>
      </c>
      <c r="B543" s="43">
        <v>0</v>
      </c>
      <c r="C543" s="78">
        <v>0</v>
      </c>
      <c r="D543" s="42"/>
    </row>
    <row r="544" spans="1:4" ht="14.4" x14ac:dyDescent="0.3">
      <c r="A544" s="42">
        <v>0</v>
      </c>
      <c r="B544" s="43">
        <v>0</v>
      </c>
      <c r="C544" s="78">
        <v>0</v>
      </c>
      <c r="D544" s="42"/>
    </row>
    <row r="545" spans="1:4" ht="14.4" x14ac:dyDescent="0.3">
      <c r="A545" s="42">
        <v>0</v>
      </c>
      <c r="B545" s="43">
        <v>0</v>
      </c>
      <c r="C545" s="78">
        <v>0</v>
      </c>
      <c r="D545" s="42"/>
    </row>
    <row r="546" spans="1:4" ht="14.4" x14ac:dyDescent="0.3">
      <c r="A546" s="42">
        <v>0</v>
      </c>
      <c r="B546" s="43">
        <v>0</v>
      </c>
      <c r="C546" s="78">
        <v>0</v>
      </c>
      <c r="D546" s="42"/>
    </row>
    <row r="547" spans="1:4" ht="14.4" x14ac:dyDescent="0.3">
      <c r="A547" s="42">
        <v>0</v>
      </c>
      <c r="B547" s="43">
        <v>0</v>
      </c>
      <c r="C547" s="78">
        <v>0</v>
      </c>
      <c r="D547" s="42"/>
    </row>
    <row r="548" spans="1:4" ht="14.4" x14ac:dyDescent="0.3">
      <c r="A548" s="42">
        <v>0</v>
      </c>
      <c r="B548" s="43">
        <v>0</v>
      </c>
      <c r="C548" s="78">
        <v>0</v>
      </c>
      <c r="D548" s="42"/>
    </row>
    <row r="549" spans="1:4" ht="14.4" x14ac:dyDescent="0.3">
      <c r="A549" s="42">
        <v>0</v>
      </c>
      <c r="B549" s="43">
        <v>0</v>
      </c>
      <c r="C549" s="78">
        <v>0</v>
      </c>
      <c r="D549" s="42"/>
    </row>
    <row r="550" spans="1:4" ht="14.4" x14ac:dyDescent="0.3">
      <c r="A550" s="42">
        <v>0</v>
      </c>
      <c r="B550" s="43">
        <v>0</v>
      </c>
      <c r="C550" s="78">
        <v>0</v>
      </c>
      <c r="D550" s="42"/>
    </row>
    <row r="551" spans="1:4" ht="14.4" x14ac:dyDescent="0.3">
      <c r="A551" s="42">
        <v>0</v>
      </c>
      <c r="B551" s="43">
        <v>0</v>
      </c>
      <c r="C551" s="78">
        <v>0</v>
      </c>
      <c r="D551" s="42"/>
    </row>
    <row r="552" spans="1:4" ht="14.4" x14ac:dyDescent="0.3">
      <c r="A552" s="42">
        <v>0</v>
      </c>
      <c r="B552" s="43">
        <v>0</v>
      </c>
      <c r="C552" s="78">
        <v>0</v>
      </c>
      <c r="D552" s="42"/>
    </row>
    <row r="553" spans="1:4" ht="14.4" x14ac:dyDescent="0.3">
      <c r="A553" s="42">
        <v>0</v>
      </c>
      <c r="B553" s="43">
        <v>0</v>
      </c>
      <c r="C553" s="78">
        <v>0</v>
      </c>
      <c r="D553" s="42"/>
    </row>
    <row r="554" spans="1:4" ht="14.4" x14ac:dyDescent="0.3">
      <c r="A554" s="42">
        <v>0</v>
      </c>
      <c r="B554" s="43">
        <v>0</v>
      </c>
      <c r="C554" s="78">
        <v>0</v>
      </c>
      <c r="D554" s="42"/>
    </row>
    <row r="555" spans="1:4" ht="14.4" x14ac:dyDescent="0.3">
      <c r="A555" s="42">
        <v>0</v>
      </c>
      <c r="B555" s="43">
        <v>0</v>
      </c>
      <c r="C555" s="78">
        <v>0</v>
      </c>
      <c r="D555" s="42"/>
    </row>
    <row r="556" spans="1:4" ht="14.4" x14ac:dyDescent="0.3">
      <c r="A556" s="42">
        <v>0</v>
      </c>
      <c r="B556" s="43">
        <v>0</v>
      </c>
      <c r="C556" s="78">
        <v>0</v>
      </c>
      <c r="D556" s="42"/>
    </row>
    <row r="557" spans="1:4" ht="14.4" x14ac:dyDescent="0.3">
      <c r="A557" s="42">
        <v>0</v>
      </c>
      <c r="B557" s="43">
        <v>0</v>
      </c>
      <c r="C557" s="78">
        <v>0</v>
      </c>
      <c r="D557" s="42"/>
    </row>
    <row r="558" spans="1:4" ht="14.4" x14ac:dyDescent="0.3">
      <c r="A558" s="42">
        <v>0</v>
      </c>
      <c r="B558" s="43">
        <v>0</v>
      </c>
      <c r="C558" s="78">
        <v>0</v>
      </c>
      <c r="D558" s="42"/>
    </row>
    <row r="559" spans="1:4" ht="14.4" x14ac:dyDescent="0.3">
      <c r="A559" s="42">
        <v>0</v>
      </c>
      <c r="B559" s="43">
        <v>0</v>
      </c>
      <c r="C559" s="78">
        <v>0</v>
      </c>
      <c r="D559" s="42"/>
    </row>
    <row r="560" spans="1:4" ht="14.4" x14ac:dyDescent="0.3">
      <c r="A560" s="42">
        <v>0</v>
      </c>
      <c r="B560" s="43">
        <v>0</v>
      </c>
      <c r="C560" s="78">
        <v>0</v>
      </c>
      <c r="D560" s="42"/>
    </row>
    <row r="561" spans="1:4" ht="14.4" x14ac:dyDescent="0.3">
      <c r="A561" s="42">
        <v>0</v>
      </c>
      <c r="B561" s="43">
        <v>0</v>
      </c>
      <c r="C561" s="78">
        <v>0</v>
      </c>
      <c r="D561" s="42"/>
    </row>
    <row r="562" spans="1:4" ht="14.4" x14ac:dyDescent="0.3">
      <c r="A562" s="42">
        <v>0</v>
      </c>
      <c r="B562" s="43">
        <v>0</v>
      </c>
      <c r="C562" s="78">
        <v>0</v>
      </c>
      <c r="D562" s="42"/>
    </row>
    <row r="563" spans="1:4" ht="14.4" x14ac:dyDescent="0.3">
      <c r="A563" s="42">
        <v>0</v>
      </c>
      <c r="B563" s="43">
        <v>0</v>
      </c>
      <c r="C563" s="78">
        <v>0</v>
      </c>
      <c r="D563" s="42"/>
    </row>
    <row r="564" spans="1:4" ht="14.4" x14ac:dyDescent="0.3">
      <c r="A564" s="42">
        <v>0</v>
      </c>
      <c r="B564" s="43">
        <v>0</v>
      </c>
      <c r="C564" s="78">
        <v>0</v>
      </c>
      <c r="D564" s="42"/>
    </row>
    <row r="565" spans="1:4" ht="14.4" x14ac:dyDescent="0.3">
      <c r="A565" s="42">
        <v>0</v>
      </c>
      <c r="B565" s="43">
        <v>0</v>
      </c>
      <c r="C565" s="78">
        <v>0</v>
      </c>
      <c r="D565" s="42"/>
    </row>
    <row r="566" spans="1:4" ht="14.4" x14ac:dyDescent="0.3">
      <c r="A566" s="42">
        <v>0</v>
      </c>
      <c r="B566" s="43">
        <v>0</v>
      </c>
      <c r="C566" s="78">
        <v>0</v>
      </c>
      <c r="D566" s="42"/>
    </row>
    <row r="567" spans="1:4" ht="14.4" x14ac:dyDescent="0.3">
      <c r="A567" s="42">
        <v>0</v>
      </c>
      <c r="B567" s="43">
        <v>0</v>
      </c>
      <c r="C567" s="78">
        <v>0</v>
      </c>
      <c r="D567" s="42"/>
    </row>
    <row r="568" spans="1:4" ht="14.4" x14ac:dyDescent="0.3">
      <c r="A568" s="42">
        <v>0</v>
      </c>
      <c r="B568" s="43">
        <v>0</v>
      </c>
      <c r="C568" s="78">
        <v>0</v>
      </c>
      <c r="D568" s="42"/>
    </row>
    <row r="569" spans="1:4" ht="14.4" x14ac:dyDescent="0.3">
      <c r="A569" s="42">
        <v>0</v>
      </c>
      <c r="B569" s="43">
        <v>0</v>
      </c>
      <c r="C569" s="78">
        <v>0</v>
      </c>
      <c r="D569" s="42"/>
    </row>
    <row r="570" spans="1:4" ht="14.4" x14ac:dyDescent="0.3">
      <c r="A570" s="42">
        <v>0</v>
      </c>
      <c r="B570" s="43">
        <v>0</v>
      </c>
      <c r="C570" s="78">
        <v>0</v>
      </c>
      <c r="D570" s="42"/>
    </row>
    <row r="571" spans="1:4" ht="14.4" x14ac:dyDescent="0.3">
      <c r="A571" s="42">
        <v>0</v>
      </c>
      <c r="B571" s="43">
        <v>0</v>
      </c>
      <c r="C571" s="78">
        <v>0</v>
      </c>
      <c r="D571" s="42"/>
    </row>
    <row r="572" spans="1:4" ht="14.4" x14ac:dyDescent="0.3">
      <c r="A572" s="42">
        <v>0</v>
      </c>
      <c r="B572" s="43">
        <v>0</v>
      </c>
      <c r="C572" s="78">
        <v>0</v>
      </c>
      <c r="D572" s="42"/>
    </row>
    <row r="573" spans="1:4" ht="14.4" x14ac:dyDescent="0.3">
      <c r="A573" s="42">
        <v>0</v>
      </c>
      <c r="B573" s="43">
        <v>0</v>
      </c>
      <c r="C573" s="78">
        <v>0</v>
      </c>
      <c r="D573" s="42"/>
    </row>
    <row r="574" spans="1:4" ht="14.4" x14ac:dyDescent="0.3">
      <c r="A574" s="42">
        <v>0</v>
      </c>
      <c r="B574" s="43">
        <v>0</v>
      </c>
      <c r="C574" s="78">
        <v>0</v>
      </c>
      <c r="D574" s="42"/>
    </row>
    <row r="575" spans="1:4" ht="14.4" x14ac:dyDescent="0.3">
      <c r="A575" s="42">
        <v>0</v>
      </c>
      <c r="B575" s="43">
        <v>0</v>
      </c>
      <c r="C575" s="78">
        <v>0</v>
      </c>
      <c r="D575" s="42"/>
    </row>
    <row r="576" spans="1:4" ht="14.4" x14ac:dyDescent="0.3">
      <c r="A576" s="42">
        <v>0</v>
      </c>
      <c r="B576" s="43">
        <v>0</v>
      </c>
      <c r="C576" s="78">
        <v>0</v>
      </c>
      <c r="D576" s="42"/>
    </row>
    <row r="577" spans="1:4" ht="14.4" x14ac:dyDescent="0.3">
      <c r="A577" s="42">
        <v>0</v>
      </c>
      <c r="B577" s="43">
        <v>0</v>
      </c>
      <c r="C577" s="78">
        <v>0</v>
      </c>
      <c r="D577" s="42"/>
    </row>
    <row r="578" spans="1:4" ht="14.4" x14ac:dyDescent="0.3">
      <c r="A578" s="42">
        <v>0</v>
      </c>
      <c r="B578" s="43">
        <v>0</v>
      </c>
      <c r="C578" s="78">
        <v>0</v>
      </c>
      <c r="D578" s="42"/>
    </row>
    <row r="579" spans="1:4" ht="14.4" x14ac:dyDescent="0.3">
      <c r="A579" s="42">
        <v>0</v>
      </c>
      <c r="B579" s="43">
        <v>0</v>
      </c>
      <c r="C579" s="78">
        <v>0</v>
      </c>
      <c r="D579" s="42"/>
    </row>
    <row r="580" spans="1:4" ht="14.4" x14ac:dyDescent="0.3">
      <c r="A580" s="42">
        <v>0</v>
      </c>
      <c r="B580" s="43">
        <v>0</v>
      </c>
      <c r="C580" s="78">
        <v>0</v>
      </c>
      <c r="D580" s="42"/>
    </row>
    <row r="581" spans="1:4" ht="14.4" x14ac:dyDescent="0.3">
      <c r="A581" s="42">
        <v>0</v>
      </c>
      <c r="B581" s="43">
        <v>0</v>
      </c>
      <c r="C581" s="78">
        <v>0</v>
      </c>
      <c r="D581" s="42"/>
    </row>
    <row r="582" spans="1:4" ht="14.4" x14ac:dyDescent="0.3">
      <c r="A582" s="42">
        <v>0</v>
      </c>
      <c r="B582" s="43">
        <v>0</v>
      </c>
      <c r="C582" s="78">
        <v>0</v>
      </c>
      <c r="D582" s="42"/>
    </row>
    <row r="583" spans="1:4" ht="14.4" x14ac:dyDescent="0.3">
      <c r="A583" s="42">
        <v>0</v>
      </c>
      <c r="B583" s="43">
        <v>0</v>
      </c>
      <c r="C583" s="78">
        <v>0</v>
      </c>
      <c r="D583" s="42"/>
    </row>
    <row r="584" spans="1:4" ht="14.4" x14ac:dyDescent="0.3">
      <c r="A584" s="42">
        <v>0</v>
      </c>
      <c r="B584" s="43">
        <v>0</v>
      </c>
      <c r="C584" s="78">
        <v>0</v>
      </c>
      <c r="D584" s="42"/>
    </row>
    <row r="585" spans="1:4" ht="14.4" x14ac:dyDescent="0.3">
      <c r="A585" s="42">
        <v>0</v>
      </c>
      <c r="B585" s="43">
        <v>0</v>
      </c>
      <c r="C585" s="78">
        <v>0</v>
      </c>
      <c r="D585" s="42"/>
    </row>
    <row r="586" spans="1:4" ht="14.4" x14ac:dyDescent="0.3">
      <c r="A586" s="42">
        <v>0</v>
      </c>
      <c r="B586" s="43">
        <v>0</v>
      </c>
      <c r="C586" s="78">
        <v>0</v>
      </c>
      <c r="D586" s="42"/>
    </row>
    <row r="587" spans="1:4" ht="14.4" x14ac:dyDescent="0.3">
      <c r="A587" s="42">
        <v>0</v>
      </c>
      <c r="B587" s="43">
        <v>0</v>
      </c>
      <c r="C587" s="78">
        <v>0</v>
      </c>
      <c r="D587" s="42"/>
    </row>
    <row r="588" spans="1:4" ht="14.4" x14ac:dyDescent="0.3">
      <c r="A588" s="42">
        <v>0</v>
      </c>
      <c r="B588" s="43">
        <v>0</v>
      </c>
      <c r="C588" s="78">
        <v>0</v>
      </c>
      <c r="D588" s="42"/>
    </row>
    <row r="589" spans="1:4" ht="14.4" x14ac:dyDescent="0.3">
      <c r="A589" s="42">
        <v>0</v>
      </c>
      <c r="B589" s="43">
        <v>0</v>
      </c>
      <c r="C589" s="78">
        <v>0</v>
      </c>
      <c r="D589" s="42"/>
    </row>
    <row r="590" spans="1:4" ht="14.4" x14ac:dyDescent="0.3">
      <c r="A590" s="42">
        <v>0</v>
      </c>
      <c r="B590" s="43">
        <v>0</v>
      </c>
      <c r="C590" s="78">
        <v>0</v>
      </c>
      <c r="D590" s="42"/>
    </row>
    <row r="591" spans="1:4" ht="14.4" x14ac:dyDescent="0.3">
      <c r="A591" s="42">
        <v>0</v>
      </c>
      <c r="B591" s="43">
        <v>0</v>
      </c>
      <c r="C591" s="78">
        <v>0</v>
      </c>
      <c r="D591" s="42"/>
    </row>
    <row r="592" spans="1:4" ht="14.4" x14ac:dyDescent="0.3">
      <c r="A592" s="42">
        <v>0</v>
      </c>
      <c r="B592" s="43">
        <v>0</v>
      </c>
      <c r="C592" s="78">
        <v>0</v>
      </c>
      <c r="D592" s="42"/>
    </row>
    <row r="593" spans="1:4" ht="14.4" x14ac:dyDescent="0.3">
      <c r="A593" s="42">
        <v>0</v>
      </c>
      <c r="B593" s="43">
        <v>0</v>
      </c>
      <c r="C593" s="78">
        <v>0</v>
      </c>
      <c r="D593" s="42"/>
    </row>
    <row r="594" spans="1:4" ht="14.4" x14ac:dyDescent="0.3">
      <c r="A594" s="42">
        <v>0</v>
      </c>
      <c r="B594" s="43">
        <v>0</v>
      </c>
      <c r="C594" s="78">
        <v>0</v>
      </c>
      <c r="D594" s="42"/>
    </row>
    <row r="595" spans="1:4" ht="14.4" x14ac:dyDescent="0.3">
      <c r="A595" s="42">
        <v>0</v>
      </c>
      <c r="B595" s="43">
        <v>0</v>
      </c>
      <c r="C595" s="78">
        <v>0</v>
      </c>
      <c r="D595" s="42"/>
    </row>
    <row r="596" spans="1:4" ht="14.4" x14ac:dyDescent="0.3">
      <c r="A596" s="42">
        <v>0</v>
      </c>
      <c r="B596" s="43">
        <v>0</v>
      </c>
      <c r="C596" s="78">
        <v>0</v>
      </c>
      <c r="D596" s="42"/>
    </row>
    <row r="597" spans="1:4" ht="14.4" x14ac:dyDescent="0.3">
      <c r="A597" s="42">
        <v>0</v>
      </c>
      <c r="B597" s="43">
        <v>0</v>
      </c>
      <c r="C597" s="78">
        <v>0</v>
      </c>
      <c r="D597" s="42"/>
    </row>
    <row r="598" spans="1:4" ht="14.4" x14ac:dyDescent="0.3">
      <c r="A598" s="42">
        <v>0</v>
      </c>
      <c r="B598" s="43">
        <v>0</v>
      </c>
      <c r="C598" s="78">
        <v>0</v>
      </c>
      <c r="D598" s="42"/>
    </row>
    <row r="599" spans="1:4" ht="14.4" x14ac:dyDescent="0.3">
      <c r="A599" s="42">
        <v>0</v>
      </c>
      <c r="B599" s="43">
        <v>0</v>
      </c>
      <c r="C599" s="78">
        <v>0</v>
      </c>
      <c r="D599" s="42"/>
    </row>
    <row r="600" spans="1:4" ht="14.4" x14ac:dyDescent="0.3">
      <c r="A600" s="42">
        <v>0</v>
      </c>
      <c r="B600" s="43">
        <v>0</v>
      </c>
      <c r="C600" s="78">
        <v>0</v>
      </c>
      <c r="D600" s="42"/>
    </row>
    <row r="601" spans="1:4" ht="14.4" x14ac:dyDescent="0.3">
      <c r="A601" s="42">
        <v>0</v>
      </c>
      <c r="B601" s="43">
        <v>0</v>
      </c>
      <c r="C601" s="78">
        <v>0</v>
      </c>
      <c r="D601" s="42"/>
    </row>
    <row r="602" spans="1:4" ht="14.4" x14ac:dyDescent="0.3">
      <c r="A602" s="42">
        <v>0</v>
      </c>
      <c r="B602" s="43">
        <v>0</v>
      </c>
      <c r="C602" s="78">
        <v>0</v>
      </c>
      <c r="D602" s="42"/>
    </row>
    <row r="603" spans="1:4" ht="14.4" x14ac:dyDescent="0.3">
      <c r="A603" s="42">
        <v>0</v>
      </c>
      <c r="B603" s="43">
        <v>0</v>
      </c>
      <c r="C603" s="78">
        <v>0</v>
      </c>
      <c r="D603" s="42"/>
    </row>
    <row r="604" spans="1:4" ht="14.4" x14ac:dyDescent="0.3">
      <c r="A604" s="42">
        <v>0</v>
      </c>
      <c r="B604" s="43">
        <v>0</v>
      </c>
      <c r="C604" s="78">
        <v>0</v>
      </c>
      <c r="D604" s="42"/>
    </row>
    <row r="605" spans="1:4" ht="14.4" x14ac:dyDescent="0.3">
      <c r="A605" s="42">
        <v>0</v>
      </c>
      <c r="B605" s="43">
        <v>0</v>
      </c>
      <c r="C605" s="78">
        <v>0</v>
      </c>
      <c r="D605" s="42"/>
    </row>
    <row r="606" spans="1:4" ht="14.4" x14ac:dyDescent="0.3">
      <c r="A606" s="42">
        <v>0</v>
      </c>
      <c r="B606" s="43">
        <v>0</v>
      </c>
      <c r="C606" s="78">
        <v>0</v>
      </c>
      <c r="D606" s="42"/>
    </row>
    <row r="607" spans="1:4" ht="14.4" x14ac:dyDescent="0.3">
      <c r="A607" s="42">
        <v>0</v>
      </c>
      <c r="B607" s="43">
        <v>0</v>
      </c>
      <c r="C607" s="78">
        <v>0</v>
      </c>
      <c r="D607" s="42"/>
    </row>
    <row r="608" spans="1:4" ht="14.4" x14ac:dyDescent="0.3">
      <c r="A608" s="42">
        <v>0</v>
      </c>
      <c r="B608" s="43">
        <v>0</v>
      </c>
      <c r="C608" s="78">
        <v>0</v>
      </c>
      <c r="D608" s="42"/>
    </row>
    <row r="609" spans="1:4" ht="14.4" x14ac:dyDescent="0.3">
      <c r="A609" s="42">
        <v>0</v>
      </c>
      <c r="B609" s="43">
        <v>0</v>
      </c>
      <c r="C609" s="78">
        <v>0</v>
      </c>
      <c r="D609" s="42"/>
    </row>
    <row r="610" spans="1:4" ht="14.4" x14ac:dyDescent="0.3">
      <c r="A610" s="42">
        <v>0</v>
      </c>
      <c r="B610" s="43">
        <v>0</v>
      </c>
      <c r="C610" s="78">
        <v>0</v>
      </c>
      <c r="D610" s="42"/>
    </row>
    <row r="611" spans="1:4" ht="14.4" x14ac:dyDescent="0.3">
      <c r="A611" s="42">
        <v>0</v>
      </c>
      <c r="B611" s="43">
        <v>0</v>
      </c>
      <c r="C611" s="78">
        <v>0</v>
      </c>
      <c r="D611" s="42"/>
    </row>
    <row r="612" spans="1:4" ht="14.4" x14ac:dyDescent="0.3">
      <c r="A612" s="42">
        <v>0</v>
      </c>
      <c r="B612" s="43">
        <v>0</v>
      </c>
      <c r="C612" s="78">
        <v>0</v>
      </c>
      <c r="D612" s="42"/>
    </row>
    <row r="613" spans="1:4" ht="14.4" x14ac:dyDescent="0.3">
      <c r="A613" s="42">
        <v>0</v>
      </c>
      <c r="B613" s="43">
        <v>0</v>
      </c>
      <c r="C613" s="78">
        <v>0</v>
      </c>
      <c r="D613" s="42"/>
    </row>
    <row r="614" spans="1:4" ht="14.4" x14ac:dyDescent="0.3">
      <c r="A614" s="42">
        <v>0</v>
      </c>
      <c r="B614" s="43">
        <v>0</v>
      </c>
      <c r="C614" s="78">
        <v>0</v>
      </c>
      <c r="D614" s="42"/>
    </row>
    <row r="615" spans="1:4" ht="14.4" x14ac:dyDescent="0.3">
      <c r="A615" s="42">
        <v>0</v>
      </c>
      <c r="B615" s="43">
        <v>0</v>
      </c>
      <c r="C615" s="78">
        <v>0</v>
      </c>
      <c r="D615" s="42"/>
    </row>
    <row r="616" spans="1:4" ht="14.4" x14ac:dyDescent="0.3">
      <c r="A616" s="42">
        <v>0</v>
      </c>
      <c r="B616" s="43">
        <v>0</v>
      </c>
      <c r="C616" s="78">
        <v>0</v>
      </c>
      <c r="D616" s="42"/>
    </row>
    <row r="617" spans="1:4" ht="14.4" x14ac:dyDescent="0.3">
      <c r="A617" s="42">
        <v>0</v>
      </c>
      <c r="B617" s="43">
        <v>0</v>
      </c>
      <c r="C617" s="78">
        <v>0</v>
      </c>
      <c r="D617" s="42"/>
    </row>
    <row r="618" spans="1:4" ht="14.4" x14ac:dyDescent="0.3">
      <c r="A618" s="42">
        <v>0</v>
      </c>
      <c r="B618" s="43">
        <v>0</v>
      </c>
      <c r="C618" s="78">
        <v>0</v>
      </c>
      <c r="D618" s="42"/>
    </row>
    <row r="619" spans="1:4" ht="14.4" x14ac:dyDescent="0.3">
      <c r="A619" s="42">
        <v>0</v>
      </c>
      <c r="B619" s="43">
        <v>0</v>
      </c>
      <c r="C619" s="78">
        <v>0</v>
      </c>
      <c r="D619" s="42"/>
    </row>
    <row r="620" spans="1:4" ht="14.4" x14ac:dyDescent="0.3">
      <c r="A620" s="42">
        <v>0</v>
      </c>
      <c r="B620" s="43">
        <v>0</v>
      </c>
      <c r="C620" s="78">
        <v>0</v>
      </c>
      <c r="D620" s="42"/>
    </row>
    <row r="621" spans="1:4" ht="14.4" x14ac:dyDescent="0.3">
      <c r="A621" s="42">
        <v>0</v>
      </c>
      <c r="B621" s="43">
        <v>0</v>
      </c>
      <c r="C621" s="78">
        <v>0</v>
      </c>
      <c r="D621" s="42"/>
    </row>
    <row r="622" spans="1:4" ht="14.4" x14ac:dyDescent="0.3">
      <c r="A622" s="42">
        <v>0</v>
      </c>
      <c r="B622" s="43">
        <v>0</v>
      </c>
      <c r="C622" s="78">
        <v>0</v>
      </c>
      <c r="D622" s="42"/>
    </row>
    <row r="623" spans="1:4" ht="14.4" x14ac:dyDescent="0.3">
      <c r="A623" s="42">
        <v>0</v>
      </c>
      <c r="B623" s="43">
        <v>0</v>
      </c>
      <c r="C623" s="78">
        <v>0</v>
      </c>
      <c r="D623" s="42"/>
    </row>
    <row r="624" spans="1:4" ht="14.4" x14ac:dyDescent="0.3">
      <c r="A624" s="42">
        <v>0</v>
      </c>
      <c r="B624" s="43">
        <v>0</v>
      </c>
      <c r="C624" s="78">
        <v>0</v>
      </c>
      <c r="D624" s="42"/>
    </row>
    <row r="625" spans="1:4" ht="14.4" x14ac:dyDescent="0.3">
      <c r="A625" s="42">
        <v>0</v>
      </c>
      <c r="B625" s="43">
        <v>0</v>
      </c>
      <c r="C625" s="78">
        <v>0</v>
      </c>
      <c r="D625" s="42"/>
    </row>
    <row r="626" spans="1:4" ht="14.4" x14ac:dyDescent="0.3">
      <c r="A626" s="42">
        <v>0</v>
      </c>
      <c r="B626" s="43">
        <v>0</v>
      </c>
      <c r="C626" s="78">
        <v>0</v>
      </c>
      <c r="D626" s="42"/>
    </row>
    <row r="627" spans="1:4" ht="14.4" x14ac:dyDescent="0.3">
      <c r="A627" s="42">
        <v>0</v>
      </c>
      <c r="B627" s="43">
        <v>0</v>
      </c>
      <c r="C627" s="78">
        <v>0</v>
      </c>
      <c r="D627" s="42"/>
    </row>
    <row r="628" spans="1:4" ht="14.4" x14ac:dyDescent="0.3">
      <c r="A628" s="42">
        <v>0</v>
      </c>
      <c r="B628" s="43">
        <v>0</v>
      </c>
      <c r="C628" s="78">
        <v>0</v>
      </c>
      <c r="D628" s="42"/>
    </row>
    <row r="629" spans="1:4" ht="14.4" x14ac:dyDescent="0.3">
      <c r="A629" s="42">
        <v>0</v>
      </c>
      <c r="B629" s="43">
        <v>0</v>
      </c>
      <c r="C629" s="78">
        <v>0</v>
      </c>
      <c r="D629" s="42"/>
    </row>
    <row r="630" spans="1:4" ht="14.4" x14ac:dyDescent="0.3">
      <c r="A630" s="42">
        <v>0</v>
      </c>
      <c r="B630" s="43">
        <v>0</v>
      </c>
      <c r="C630" s="78">
        <v>0</v>
      </c>
      <c r="D630" s="42"/>
    </row>
    <row r="631" spans="1:4" ht="14.4" x14ac:dyDescent="0.3">
      <c r="A631" s="42">
        <v>0</v>
      </c>
      <c r="B631" s="43">
        <v>0</v>
      </c>
      <c r="C631" s="78">
        <v>0</v>
      </c>
      <c r="D631" s="42"/>
    </row>
    <row r="632" spans="1:4" ht="14.4" x14ac:dyDescent="0.3">
      <c r="A632" s="42">
        <v>0</v>
      </c>
      <c r="B632" s="43">
        <v>0</v>
      </c>
      <c r="C632" s="78">
        <v>0</v>
      </c>
      <c r="D632" s="42"/>
    </row>
    <row r="633" spans="1:4" ht="14.4" x14ac:dyDescent="0.3">
      <c r="A633" s="42">
        <v>0</v>
      </c>
      <c r="B633" s="43">
        <v>0</v>
      </c>
      <c r="C633" s="78">
        <v>0</v>
      </c>
      <c r="D633" s="42"/>
    </row>
    <row r="634" spans="1:4" ht="14.4" x14ac:dyDescent="0.3">
      <c r="A634" s="42">
        <v>0</v>
      </c>
      <c r="B634" s="43">
        <v>0</v>
      </c>
      <c r="C634" s="78">
        <v>0</v>
      </c>
      <c r="D634" s="42"/>
    </row>
    <row r="635" spans="1:4" ht="14.4" x14ac:dyDescent="0.3">
      <c r="A635" s="42">
        <v>0</v>
      </c>
      <c r="B635" s="43">
        <v>0</v>
      </c>
      <c r="C635" s="78">
        <v>0</v>
      </c>
      <c r="D635" s="42"/>
    </row>
    <row r="636" spans="1:4" ht="14.4" x14ac:dyDescent="0.3">
      <c r="A636" s="42">
        <v>0</v>
      </c>
      <c r="B636" s="43">
        <v>0</v>
      </c>
      <c r="C636" s="78">
        <v>0</v>
      </c>
      <c r="D636" s="42"/>
    </row>
    <row r="637" spans="1:4" ht="14.4" x14ac:dyDescent="0.3">
      <c r="A637" s="42">
        <v>0</v>
      </c>
      <c r="B637" s="43">
        <v>0</v>
      </c>
      <c r="C637" s="78">
        <v>0</v>
      </c>
      <c r="D637" s="42"/>
    </row>
    <row r="638" spans="1:4" ht="14.4" x14ac:dyDescent="0.3">
      <c r="A638" s="42">
        <v>0</v>
      </c>
      <c r="B638" s="43">
        <v>0</v>
      </c>
      <c r="C638" s="78">
        <v>0</v>
      </c>
      <c r="D638" s="42"/>
    </row>
    <row r="639" spans="1:4" ht="14.4" x14ac:dyDescent="0.3">
      <c r="A639" s="42">
        <v>0</v>
      </c>
      <c r="B639" s="43">
        <v>0</v>
      </c>
      <c r="C639" s="78">
        <v>0</v>
      </c>
      <c r="D639" s="42"/>
    </row>
    <row r="640" spans="1:4" ht="14.4" x14ac:dyDescent="0.3">
      <c r="A640" s="42">
        <v>0</v>
      </c>
      <c r="B640" s="43">
        <v>0</v>
      </c>
      <c r="C640" s="78">
        <v>0</v>
      </c>
      <c r="D640" s="42"/>
    </row>
    <row r="641" spans="1:4" ht="14.4" x14ac:dyDescent="0.3">
      <c r="A641" s="42">
        <v>0</v>
      </c>
      <c r="B641" s="43">
        <v>0</v>
      </c>
      <c r="C641" s="78">
        <v>0</v>
      </c>
      <c r="D641" s="42"/>
    </row>
    <row r="642" spans="1:4" ht="14.4" x14ac:dyDescent="0.3">
      <c r="A642" s="42">
        <v>0</v>
      </c>
      <c r="B642" s="43">
        <v>0</v>
      </c>
      <c r="C642" s="78">
        <v>0</v>
      </c>
      <c r="D642" s="42"/>
    </row>
    <row r="643" spans="1:4" ht="14.4" x14ac:dyDescent="0.3">
      <c r="A643" s="42">
        <v>0</v>
      </c>
      <c r="B643" s="43">
        <v>0</v>
      </c>
      <c r="C643" s="78">
        <v>0</v>
      </c>
      <c r="D643" s="42"/>
    </row>
    <row r="644" spans="1:4" ht="14.4" x14ac:dyDescent="0.3">
      <c r="A644" s="42">
        <v>0</v>
      </c>
      <c r="B644" s="43">
        <v>0</v>
      </c>
      <c r="C644" s="78">
        <v>0</v>
      </c>
      <c r="D644" s="42"/>
    </row>
    <row r="645" spans="1:4" ht="14.4" x14ac:dyDescent="0.3">
      <c r="A645" s="42">
        <v>0</v>
      </c>
      <c r="B645" s="43">
        <v>0</v>
      </c>
      <c r="C645" s="78">
        <v>0</v>
      </c>
      <c r="D645" s="42"/>
    </row>
    <row r="646" spans="1:4" ht="14.4" x14ac:dyDescent="0.3">
      <c r="A646" s="42">
        <v>0</v>
      </c>
      <c r="B646" s="43">
        <v>0</v>
      </c>
      <c r="C646" s="78">
        <v>0</v>
      </c>
      <c r="D646" s="42"/>
    </row>
    <row r="647" spans="1:4" ht="14.4" x14ac:dyDescent="0.3">
      <c r="A647" s="42">
        <v>0</v>
      </c>
      <c r="B647" s="43">
        <v>0</v>
      </c>
      <c r="C647" s="78">
        <v>0</v>
      </c>
      <c r="D647" s="42"/>
    </row>
    <row r="648" spans="1:4" ht="14.4" x14ac:dyDescent="0.3">
      <c r="A648" s="42">
        <v>0</v>
      </c>
      <c r="B648" s="43">
        <v>0</v>
      </c>
      <c r="C648" s="78">
        <v>0</v>
      </c>
      <c r="D648" s="42"/>
    </row>
    <row r="649" spans="1:4" ht="14.4" x14ac:dyDescent="0.3">
      <c r="A649" s="42">
        <v>0</v>
      </c>
      <c r="B649" s="43">
        <v>0</v>
      </c>
      <c r="C649" s="78">
        <v>0</v>
      </c>
      <c r="D649" s="42"/>
    </row>
    <row r="650" spans="1:4" ht="14.4" x14ac:dyDescent="0.3">
      <c r="A650" s="42">
        <v>0</v>
      </c>
      <c r="B650" s="43">
        <v>0</v>
      </c>
      <c r="C650" s="78">
        <v>0</v>
      </c>
      <c r="D650" s="42"/>
    </row>
    <row r="651" spans="1:4" ht="14.4" x14ac:dyDescent="0.3">
      <c r="A651" s="42">
        <v>0</v>
      </c>
      <c r="B651" s="43">
        <v>0</v>
      </c>
      <c r="C651" s="78">
        <v>0</v>
      </c>
      <c r="D651" s="42"/>
    </row>
    <row r="652" spans="1:4" ht="14.4" x14ac:dyDescent="0.3">
      <c r="A652" s="42">
        <v>0</v>
      </c>
      <c r="B652" s="43">
        <v>0</v>
      </c>
      <c r="C652" s="78">
        <v>0</v>
      </c>
      <c r="D652" s="42"/>
    </row>
    <row r="653" spans="1:4" ht="14.4" x14ac:dyDescent="0.3">
      <c r="A653" s="42">
        <v>0</v>
      </c>
      <c r="B653" s="43">
        <v>0</v>
      </c>
      <c r="C653" s="78">
        <v>0</v>
      </c>
      <c r="D653" s="42"/>
    </row>
    <row r="654" spans="1:4" ht="14.4" x14ac:dyDescent="0.3">
      <c r="A654" s="42">
        <v>0</v>
      </c>
      <c r="B654" s="43">
        <v>0</v>
      </c>
      <c r="C654" s="78">
        <v>0</v>
      </c>
      <c r="D654" s="42"/>
    </row>
    <row r="655" spans="1:4" ht="14.4" x14ac:dyDescent="0.3">
      <c r="A655" s="42">
        <v>0</v>
      </c>
      <c r="B655" s="43">
        <v>0</v>
      </c>
      <c r="C655" s="78">
        <v>0</v>
      </c>
      <c r="D655" s="42"/>
    </row>
    <row r="656" spans="1:4" ht="14.4" x14ac:dyDescent="0.3">
      <c r="A656" s="42">
        <v>0</v>
      </c>
      <c r="B656" s="43">
        <v>0</v>
      </c>
      <c r="C656" s="78">
        <v>0</v>
      </c>
      <c r="D656" s="42"/>
    </row>
    <row r="657" spans="1:4" ht="14.4" x14ac:dyDescent="0.3">
      <c r="A657" s="42">
        <v>0</v>
      </c>
      <c r="B657" s="43">
        <v>0</v>
      </c>
      <c r="C657" s="78">
        <v>0</v>
      </c>
      <c r="D657" s="42"/>
    </row>
    <row r="658" spans="1:4" ht="14.4" x14ac:dyDescent="0.3">
      <c r="A658" s="42">
        <v>0</v>
      </c>
      <c r="B658" s="43">
        <v>0</v>
      </c>
      <c r="C658" s="78">
        <v>0</v>
      </c>
      <c r="D658" s="42"/>
    </row>
    <row r="659" spans="1:4" ht="14.4" x14ac:dyDescent="0.3">
      <c r="A659" s="42">
        <v>0</v>
      </c>
      <c r="B659" s="43">
        <v>0</v>
      </c>
      <c r="C659" s="78">
        <v>0</v>
      </c>
      <c r="D659" s="42"/>
    </row>
    <row r="660" spans="1:4" ht="14.4" x14ac:dyDescent="0.3">
      <c r="A660" s="42">
        <v>0</v>
      </c>
      <c r="B660" s="43">
        <v>0</v>
      </c>
      <c r="C660" s="78">
        <v>0</v>
      </c>
      <c r="D660" s="42"/>
    </row>
    <row r="661" spans="1:4" ht="14.4" x14ac:dyDescent="0.3">
      <c r="A661" s="42">
        <v>0</v>
      </c>
      <c r="B661" s="43">
        <v>0</v>
      </c>
      <c r="C661" s="78">
        <v>0</v>
      </c>
      <c r="D661" s="42"/>
    </row>
    <row r="662" spans="1:4" ht="14.4" x14ac:dyDescent="0.3">
      <c r="A662" s="42">
        <v>0</v>
      </c>
      <c r="B662" s="43">
        <v>0</v>
      </c>
      <c r="C662" s="78">
        <v>0</v>
      </c>
      <c r="D662" s="42"/>
    </row>
    <row r="663" spans="1:4" ht="14.4" x14ac:dyDescent="0.3">
      <c r="A663" s="42">
        <v>0</v>
      </c>
      <c r="B663" s="43">
        <v>0</v>
      </c>
      <c r="C663" s="78">
        <v>0</v>
      </c>
      <c r="D663" s="42"/>
    </row>
    <row r="664" spans="1:4" ht="14.4" x14ac:dyDescent="0.3">
      <c r="A664" s="42">
        <v>0</v>
      </c>
      <c r="B664" s="43">
        <v>0</v>
      </c>
      <c r="C664" s="78">
        <v>0</v>
      </c>
      <c r="D664" s="42"/>
    </row>
    <row r="665" spans="1:4" ht="14.4" x14ac:dyDescent="0.3">
      <c r="A665" s="42">
        <v>0</v>
      </c>
      <c r="B665" s="43">
        <v>0</v>
      </c>
      <c r="C665" s="78">
        <v>0</v>
      </c>
      <c r="D665" s="42"/>
    </row>
    <row r="666" spans="1:4" ht="14.4" x14ac:dyDescent="0.3">
      <c r="A666" s="42">
        <v>0</v>
      </c>
      <c r="B666" s="43">
        <v>0</v>
      </c>
      <c r="C666" s="78">
        <v>0</v>
      </c>
      <c r="D666" s="42"/>
    </row>
    <row r="667" spans="1:4" ht="14.4" x14ac:dyDescent="0.3">
      <c r="A667" s="42">
        <v>0</v>
      </c>
      <c r="B667" s="43">
        <v>0</v>
      </c>
      <c r="C667" s="78">
        <v>0</v>
      </c>
      <c r="D667" s="42"/>
    </row>
    <row r="668" spans="1:4" ht="14.4" x14ac:dyDescent="0.3">
      <c r="A668" s="42">
        <v>0</v>
      </c>
      <c r="B668" s="43">
        <v>0</v>
      </c>
      <c r="C668" s="78">
        <v>0</v>
      </c>
      <c r="D668" s="42"/>
    </row>
    <row r="669" spans="1:4" ht="14.4" x14ac:dyDescent="0.3">
      <c r="A669" s="42">
        <v>0</v>
      </c>
      <c r="B669" s="43">
        <v>0</v>
      </c>
      <c r="C669" s="78">
        <v>0</v>
      </c>
      <c r="D669" s="42"/>
    </row>
    <row r="670" spans="1:4" ht="14.4" x14ac:dyDescent="0.3">
      <c r="A670" s="42">
        <v>0</v>
      </c>
      <c r="B670" s="43">
        <v>0</v>
      </c>
      <c r="C670" s="78">
        <v>0</v>
      </c>
      <c r="D670" s="42"/>
    </row>
    <row r="671" spans="1:4" ht="14.4" x14ac:dyDescent="0.3">
      <c r="A671" s="42">
        <v>0</v>
      </c>
      <c r="B671" s="43">
        <v>0</v>
      </c>
      <c r="C671" s="78">
        <v>0</v>
      </c>
      <c r="D671" s="42"/>
    </row>
    <row r="672" spans="1:4" ht="14.4" x14ac:dyDescent="0.3">
      <c r="A672" s="42">
        <v>0</v>
      </c>
      <c r="B672" s="43">
        <v>0</v>
      </c>
      <c r="C672" s="78">
        <v>0</v>
      </c>
      <c r="D672" s="42"/>
    </row>
    <row r="673" spans="1:4" ht="14.4" x14ac:dyDescent="0.3">
      <c r="A673" s="42">
        <v>0</v>
      </c>
      <c r="B673" s="43">
        <v>0</v>
      </c>
      <c r="C673" s="78">
        <v>0</v>
      </c>
      <c r="D673" s="42"/>
    </row>
    <row r="674" spans="1:4" ht="14.4" x14ac:dyDescent="0.3">
      <c r="A674" s="42">
        <v>0</v>
      </c>
      <c r="B674" s="43">
        <v>0</v>
      </c>
      <c r="C674" s="78">
        <v>0</v>
      </c>
      <c r="D674" s="42"/>
    </row>
    <row r="675" spans="1:4" ht="14.4" x14ac:dyDescent="0.3">
      <c r="A675" s="42">
        <v>0</v>
      </c>
      <c r="B675" s="43">
        <v>0</v>
      </c>
      <c r="C675" s="78">
        <v>0</v>
      </c>
      <c r="D675" s="42"/>
    </row>
    <row r="676" spans="1:4" ht="14.4" x14ac:dyDescent="0.3">
      <c r="A676" s="42">
        <v>0</v>
      </c>
      <c r="B676" s="43">
        <v>0</v>
      </c>
      <c r="C676" s="78">
        <v>0</v>
      </c>
      <c r="D676" s="42"/>
    </row>
    <row r="677" spans="1:4" ht="14.4" x14ac:dyDescent="0.3">
      <c r="A677" s="42">
        <v>0</v>
      </c>
      <c r="B677" s="43">
        <v>0</v>
      </c>
      <c r="C677" s="78">
        <v>0</v>
      </c>
      <c r="D677" s="42"/>
    </row>
    <row r="678" spans="1:4" ht="14.4" x14ac:dyDescent="0.3">
      <c r="A678" s="42">
        <v>0</v>
      </c>
      <c r="B678" s="43">
        <v>0</v>
      </c>
      <c r="C678" s="78">
        <v>0</v>
      </c>
      <c r="D678" s="42"/>
    </row>
    <row r="679" spans="1:4" ht="14.4" x14ac:dyDescent="0.3">
      <c r="A679" s="42">
        <v>0</v>
      </c>
      <c r="B679" s="43">
        <v>0</v>
      </c>
      <c r="C679" s="78">
        <v>0</v>
      </c>
      <c r="D679" s="42"/>
    </row>
    <row r="680" spans="1:4" ht="14.4" x14ac:dyDescent="0.3">
      <c r="A680" s="42">
        <v>0</v>
      </c>
      <c r="B680" s="43">
        <v>0</v>
      </c>
      <c r="C680" s="78">
        <v>0</v>
      </c>
      <c r="D680" s="42"/>
    </row>
    <row r="681" spans="1:4" ht="14.4" x14ac:dyDescent="0.3">
      <c r="A681" s="42">
        <v>0</v>
      </c>
      <c r="B681" s="43">
        <v>0</v>
      </c>
      <c r="C681" s="78">
        <v>0</v>
      </c>
      <c r="D681" s="42"/>
    </row>
    <row r="682" spans="1:4" ht="14.4" x14ac:dyDescent="0.3">
      <c r="A682" s="42">
        <v>0</v>
      </c>
      <c r="B682" s="43">
        <v>0</v>
      </c>
      <c r="C682" s="78">
        <v>0</v>
      </c>
      <c r="D682" s="42"/>
    </row>
    <row r="683" spans="1:4" ht="14.4" x14ac:dyDescent="0.3">
      <c r="A683" s="42">
        <v>0</v>
      </c>
      <c r="B683" s="43">
        <v>0</v>
      </c>
      <c r="C683" s="78">
        <v>0</v>
      </c>
      <c r="D683" s="42"/>
    </row>
    <row r="684" spans="1:4" ht="14.4" x14ac:dyDescent="0.3">
      <c r="A684" s="42">
        <v>0</v>
      </c>
      <c r="B684" s="43">
        <v>0</v>
      </c>
      <c r="C684" s="78">
        <v>0</v>
      </c>
      <c r="D684" s="42"/>
    </row>
    <row r="685" spans="1:4" ht="14.4" x14ac:dyDescent="0.3">
      <c r="A685" s="42">
        <v>0</v>
      </c>
      <c r="B685" s="43">
        <v>0</v>
      </c>
      <c r="C685" s="78">
        <v>0</v>
      </c>
      <c r="D685" s="42"/>
    </row>
    <row r="686" spans="1:4" ht="14.4" x14ac:dyDescent="0.3">
      <c r="A686" s="42">
        <v>0</v>
      </c>
      <c r="B686" s="43">
        <v>0</v>
      </c>
      <c r="C686" s="78">
        <v>0</v>
      </c>
      <c r="D686" s="42"/>
    </row>
    <row r="687" spans="1:4" ht="14.4" x14ac:dyDescent="0.3">
      <c r="A687" s="42">
        <v>0</v>
      </c>
      <c r="B687" s="43">
        <v>0</v>
      </c>
      <c r="C687" s="78">
        <v>0</v>
      </c>
      <c r="D687" s="42"/>
    </row>
    <row r="688" spans="1:4" ht="14.4" x14ac:dyDescent="0.3">
      <c r="A688" s="42">
        <v>0</v>
      </c>
      <c r="B688" s="43">
        <v>0</v>
      </c>
      <c r="C688" s="78">
        <v>0</v>
      </c>
      <c r="D688" s="42"/>
    </row>
    <row r="689" spans="1:4" ht="14.4" x14ac:dyDescent="0.3">
      <c r="A689" s="42">
        <v>0</v>
      </c>
      <c r="B689" s="43">
        <v>0</v>
      </c>
      <c r="C689" s="78">
        <v>0</v>
      </c>
      <c r="D689" s="42"/>
    </row>
    <row r="690" spans="1:4" ht="14.4" x14ac:dyDescent="0.3">
      <c r="A690" s="42">
        <v>0</v>
      </c>
      <c r="B690" s="43">
        <v>0</v>
      </c>
      <c r="C690" s="78">
        <v>0</v>
      </c>
      <c r="D690" s="42"/>
    </row>
    <row r="691" spans="1:4" ht="14.4" x14ac:dyDescent="0.3">
      <c r="A691" s="42">
        <v>0</v>
      </c>
      <c r="B691" s="43">
        <v>0</v>
      </c>
      <c r="C691" s="78">
        <v>0</v>
      </c>
      <c r="D691" s="42"/>
    </row>
    <row r="692" spans="1:4" ht="14.4" x14ac:dyDescent="0.3">
      <c r="A692" s="42">
        <v>0</v>
      </c>
      <c r="B692" s="43">
        <v>0</v>
      </c>
      <c r="C692" s="78">
        <v>0</v>
      </c>
      <c r="D692" s="42"/>
    </row>
    <row r="693" spans="1:4" ht="14.4" x14ac:dyDescent="0.3">
      <c r="A693" s="42">
        <v>0</v>
      </c>
      <c r="B693" s="43">
        <v>0</v>
      </c>
      <c r="C693" s="78">
        <v>0</v>
      </c>
      <c r="D693" s="42"/>
    </row>
    <row r="694" spans="1:4" ht="14.4" x14ac:dyDescent="0.3">
      <c r="A694" s="42">
        <v>0</v>
      </c>
      <c r="B694" s="43">
        <v>0</v>
      </c>
      <c r="C694" s="78">
        <v>0</v>
      </c>
      <c r="D694" s="42"/>
    </row>
    <row r="695" spans="1:4" ht="14.4" x14ac:dyDescent="0.3">
      <c r="A695" s="42">
        <v>0</v>
      </c>
      <c r="B695" s="43">
        <v>0</v>
      </c>
      <c r="C695" s="78">
        <v>0</v>
      </c>
      <c r="D695" s="42"/>
    </row>
    <row r="696" spans="1:4" ht="14.4" x14ac:dyDescent="0.3">
      <c r="A696" s="42">
        <v>0</v>
      </c>
      <c r="B696" s="43">
        <v>0</v>
      </c>
      <c r="C696" s="78">
        <v>0</v>
      </c>
      <c r="D696" s="42"/>
    </row>
    <row r="697" spans="1:4" ht="14.4" x14ac:dyDescent="0.3">
      <c r="A697" s="42">
        <v>0</v>
      </c>
      <c r="B697" s="43">
        <v>0</v>
      </c>
      <c r="C697" s="78">
        <v>0</v>
      </c>
      <c r="D697" s="42"/>
    </row>
    <row r="698" spans="1:4" ht="14.4" x14ac:dyDescent="0.3">
      <c r="A698" s="42">
        <v>0</v>
      </c>
      <c r="B698" s="43">
        <v>0</v>
      </c>
      <c r="C698" s="78">
        <v>0</v>
      </c>
      <c r="D698" s="42"/>
    </row>
    <row r="699" spans="1:4" ht="14.4" x14ac:dyDescent="0.3">
      <c r="A699" s="42">
        <v>0</v>
      </c>
      <c r="B699" s="43">
        <v>0</v>
      </c>
      <c r="C699" s="78">
        <v>0</v>
      </c>
      <c r="D699" s="42"/>
    </row>
    <row r="700" spans="1:4" ht="14.4" x14ac:dyDescent="0.3">
      <c r="A700" s="42">
        <v>0</v>
      </c>
      <c r="B700" s="43">
        <v>0</v>
      </c>
      <c r="C700" s="78">
        <v>0</v>
      </c>
      <c r="D700" s="42"/>
    </row>
    <row r="701" spans="1:4" ht="14.4" x14ac:dyDescent="0.3">
      <c r="A701" s="42">
        <v>0</v>
      </c>
      <c r="B701" s="43">
        <v>0</v>
      </c>
      <c r="C701" s="78">
        <v>0</v>
      </c>
      <c r="D701" s="42"/>
    </row>
    <row r="702" spans="1:4" ht="14.4" x14ac:dyDescent="0.3">
      <c r="A702" s="42">
        <v>0</v>
      </c>
      <c r="B702" s="43">
        <v>0</v>
      </c>
      <c r="C702" s="78">
        <v>0</v>
      </c>
      <c r="D702" s="42"/>
    </row>
    <row r="703" spans="1:4" ht="14.4" x14ac:dyDescent="0.3">
      <c r="A703" s="42">
        <v>0</v>
      </c>
      <c r="B703" s="43">
        <v>0</v>
      </c>
      <c r="C703" s="78">
        <v>0</v>
      </c>
      <c r="D703" s="42"/>
    </row>
    <row r="704" spans="1:4" ht="14.4" x14ac:dyDescent="0.3">
      <c r="A704" s="42">
        <v>0</v>
      </c>
      <c r="B704" s="43">
        <v>0</v>
      </c>
      <c r="C704" s="78">
        <v>0</v>
      </c>
      <c r="D704" s="42"/>
    </row>
    <row r="705" spans="1:4" ht="14.4" x14ac:dyDescent="0.3">
      <c r="A705" s="42">
        <v>0</v>
      </c>
      <c r="B705" s="43">
        <v>0</v>
      </c>
      <c r="C705" s="78">
        <v>0</v>
      </c>
      <c r="D705" s="42"/>
    </row>
    <row r="706" spans="1:4" ht="14.4" x14ac:dyDescent="0.3">
      <c r="A706" s="42">
        <v>0</v>
      </c>
      <c r="B706" s="43">
        <v>0</v>
      </c>
      <c r="C706" s="78">
        <v>0</v>
      </c>
      <c r="D706" s="42"/>
    </row>
    <row r="707" spans="1:4" ht="14.4" x14ac:dyDescent="0.3">
      <c r="A707" s="42">
        <v>0</v>
      </c>
      <c r="B707" s="43">
        <v>0</v>
      </c>
      <c r="C707" s="78">
        <v>0</v>
      </c>
      <c r="D707" s="42"/>
    </row>
    <row r="708" spans="1:4" ht="14.4" x14ac:dyDescent="0.3">
      <c r="A708" s="42">
        <v>0</v>
      </c>
      <c r="B708" s="43">
        <v>0</v>
      </c>
      <c r="C708" s="78">
        <v>0</v>
      </c>
      <c r="D708" s="42"/>
    </row>
    <row r="709" spans="1:4" ht="14.4" x14ac:dyDescent="0.3">
      <c r="A709" s="42">
        <v>0</v>
      </c>
      <c r="B709" s="43">
        <v>0</v>
      </c>
      <c r="C709" s="78">
        <v>0</v>
      </c>
      <c r="D709" s="42"/>
    </row>
    <row r="710" spans="1:4" ht="14.4" x14ac:dyDescent="0.3">
      <c r="A710" s="42">
        <v>0</v>
      </c>
      <c r="B710" s="43">
        <v>0</v>
      </c>
      <c r="C710" s="78">
        <v>0</v>
      </c>
      <c r="D710" s="42"/>
    </row>
    <row r="711" spans="1:4" ht="14.4" x14ac:dyDescent="0.3">
      <c r="A711" s="42">
        <v>0</v>
      </c>
      <c r="B711" s="43">
        <v>0</v>
      </c>
      <c r="C711" s="78">
        <v>0</v>
      </c>
      <c r="D711" s="42"/>
    </row>
    <row r="712" spans="1:4" ht="14.4" x14ac:dyDescent="0.3">
      <c r="A712" s="42">
        <v>0</v>
      </c>
      <c r="B712" s="43">
        <v>0</v>
      </c>
      <c r="C712" s="78">
        <v>0</v>
      </c>
      <c r="D712" s="42"/>
    </row>
    <row r="713" spans="1:4" ht="14.4" x14ac:dyDescent="0.3">
      <c r="A713" s="42">
        <v>0</v>
      </c>
      <c r="B713" s="43">
        <v>0</v>
      </c>
      <c r="C713" s="78">
        <v>0</v>
      </c>
      <c r="D713" s="42"/>
    </row>
    <row r="714" spans="1:4" ht="14.4" x14ac:dyDescent="0.3">
      <c r="A714" s="42">
        <v>0</v>
      </c>
      <c r="B714" s="43">
        <v>0</v>
      </c>
      <c r="C714" s="78">
        <v>0</v>
      </c>
      <c r="D714" s="42"/>
    </row>
    <row r="715" spans="1:4" ht="14.4" x14ac:dyDescent="0.3">
      <c r="A715" s="42">
        <v>0</v>
      </c>
      <c r="B715" s="43">
        <v>0</v>
      </c>
      <c r="C715" s="78">
        <v>0</v>
      </c>
      <c r="D715" s="42"/>
    </row>
    <row r="716" spans="1:4" ht="14.4" x14ac:dyDescent="0.3">
      <c r="A716" s="42">
        <v>0</v>
      </c>
      <c r="B716" s="43">
        <v>0</v>
      </c>
      <c r="C716" s="78">
        <v>0</v>
      </c>
      <c r="D716" s="42"/>
    </row>
    <row r="717" spans="1:4" ht="14.4" x14ac:dyDescent="0.3">
      <c r="A717" s="42">
        <v>0</v>
      </c>
      <c r="B717" s="43">
        <v>0</v>
      </c>
      <c r="C717" s="78">
        <v>0</v>
      </c>
      <c r="D717" s="42"/>
    </row>
    <row r="718" spans="1:4" ht="14.4" x14ac:dyDescent="0.3">
      <c r="A718" s="42">
        <v>0</v>
      </c>
      <c r="B718" s="43">
        <v>0</v>
      </c>
      <c r="C718" s="78">
        <v>0</v>
      </c>
      <c r="D718" s="42"/>
    </row>
    <row r="719" spans="1:4" ht="14.4" x14ac:dyDescent="0.3">
      <c r="A719" s="42">
        <v>0</v>
      </c>
      <c r="B719" s="43">
        <v>0</v>
      </c>
      <c r="C719" s="78">
        <v>0</v>
      </c>
      <c r="D719" s="42"/>
    </row>
    <row r="720" spans="1:4" ht="14.4" x14ac:dyDescent="0.3">
      <c r="A720" s="42">
        <v>0</v>
      </c>
      <c r="B720" s="43">
        <v>0</v>
      </c>
      <c r="C720" s="78">
        <v>0</v>
      </c>
      <c r="D720" s="42"/>
    </row>
    <row r="721" spans="1:4" ht="14.4" x14ac:dyDescent="0.3">
      <c r="A721" s="42">
        <v>0</v>
      </c>
      <c r="B721" s="43">
        <v>0</v>
      </c>
      <c r="C721" s="78">
        <v>0</v>
      </c>
      <c r="D721" s="42"/>
    </row>
    <row r="722" spans="1:4" ht="14.4" x14ac:dyDescent="0.3">
      <c r="A722" s="42">
        <v>0</v>
      </c>
      <c r="B722" s="43">
        <v>0</v>
      </c>
      <c r="C722" s="78">
        <v>0</v>
      </c>
      <c r="D722" s="42"/>
    </row>
    <row r="723" spans="1:4" ht="14.4" x14ac:dyDescent="0.3">
      <c r="A723" s="42">
        <v>0</v>
      </c>
      <c r="B723" s="43">
        <v>0</v>
      </c>
      <c r="C723" s="78">
        <v>0</v>
      </c>
      <c r="D723" s="42"/>
    </row>
    <row r="724" spans="1:4" ht="14.4" x14ac:dyDescent="0.3">
      <c r="A724" s="42">
        <v>0</v>
      </c>
      <c r="B724" s="43">
        <v>0</v>
      </c>
      <c r="C724" s="78">
        <v>0</v>
      </c>
      <c r="D724" s="42"/>
    </row>
    <row r="725" spans="1:4" ht="14.4" x14ac:dyDescent="0.3">
      <c r="A725" s="42">
        <v>0</v>
      </c>
      <c r="B725" s="43">
        <v>0</v>
      </c>
      <c r="C725" s="78">
        <v>0</v>
      </c>
      <c r="D725" s="42"/>
    </row>
    <row r="726" spans="1:4" ht="14.4" x14ac:dyDescent="0.3">
      <c r="A726" s="42">
        <v>0</v>
      </c>
      <c r="B726" s="43">
        <v>0</v>
      </c>
      <c r="C726" s="78">
        <v>0</v>
      </c>
      <c r="D726" s="42"/>
    </row>
    <row r="727" spans="1:4" ht="14.4" x14ac:dyDescent="0.3">
      <c r="A727" s="42">
        <v>0</v>
      </c>
      <c r="B727" s="43">
        <v>0</v>
      </c>
      <c r="C727" s="78">
        <v>0</v>
      </c>
      <c r="D727" s="42"/>
    </row>
    <row r="728" spans="1:4" ht="14.4" x14ac:dyDescent="0.3">
      <c r="A728" s="42">
        <v>0</v>
      </c>
      <c r="B728" s="43">
        <v>0</v>
      </c>
      <c r="C728" s="78">
        <v>0</v>
      </c>
      <c r="D728" s="42"/>
    </row>
    <row r="729" spans="1:4" ht="14.4" x14ac:dyDescent="0.3">
      <c r="A729" s="42">
        <v>0</v>
      </c>
      <c r="B729" s="43">
        <v>0</v>
      </c>
      <c r="C729" s="78">
        <v>0</v>
      </c>
      <c r="D729" s="42"/>
    </row>
    <row r="730" spans="1:4" ht="14.4" x14ac:dyDescent="0.3">
      <c r="A730" s="42">
        <v>0</v>
      </c>
      <c r="B730" s="43">
        <v>0</v>
      </c>
      <c r="C730" s="78">
        <v>0</v>
      </c>
      <c r="D730" s="42"/>
    </row>
    <row r="731" spans="1:4" ht="14.4" x14ac:dyDescent="0.3">
      <c r="A731" s="42">
        <v>0</v>
      </c>
      <c r="B731" s="43">
        <v>0</v>
      </c>
      <c r="C731" s="78">
        <v>0</v>
      </c>
      <c r="D731" s="42"/>
    </row>
    <row r="732" spans="1:4" ht="14.4" x14ac:dyDescent="0.3">
      <c r="A732" s="42">
        <v>0</v>
      </c>
      <c r="B732" s="43">
        <v>0</v>
      </c>
      <c r="C732" s="78">
        <v>0</v>
      </c>
      <c r="D732" s="42"/>
    </row>
    <row r="733" spans="1:4" ht="14.4" x14ac:dyDescent="0.3">
      <c r="A733" s="42">
        <v>0</v>
      </c>
      <c r="B733" s="43">
        <v>0</v>
      </c>
      <c r="C733" s="78">
        <v>0</v>
      </c>
      <c r="D733" s="42"/>
    </row>
    <row r="734" spans="1:4" ht="14.4" x14ac:dyDescent="0.3">
      <c r="A734" s="42">
        <v>0</v>
      </c>
      <c r="B734" s="43">
        <v>0</v>
      </c>
      <c r="C734" s="78">
        <v>0</v>
      </c>
      <c r="D734" s="42"/>
    </row>
    <row r="735" spans="1:4" ht="14.4" x14ac:dyDescent="0.3">
      <c r="A735" s="42">
        <v>0</v>
      </c>
      <c r="B735" s="43">
        <v>0</v>
      </c>
      <c r="C735" s="78">
        <v>0</v>
      </c>
      <c r="D735" s="42"/>
    </row>
    <row r="736" spans="1:4" ht="14.4" x14ac:dyDescent="0.3">
      <c r="A736" s="42">
        <v>0</v>
      </c>
      <c r="B736" s="43">
        <v>0</v>
      </c>
      <c r="C736" s="78">
        <v>0</v>
      </c>
      <c r="D736" s="42"/>
    </row>
    <row r="737" spans="1:4" ht="14.4" x14ac:dyDescent="0.3">
      <c r="A737" s="42">
        <v>0</v>
      </c>
      <c r="B737" s="43">
        <v>0</v>
      </c>
      <c r="C737" s="78">
        <v>0</v>
      </c>
      <c r="D737" s="42"/>
    </row>
    <row r="738" spans="1:4" ht="14.4" x14ac:dyDescent="0.3">
      <c r="A738" s="42">
        <v>0</v>
      </c>
      <c r="B738" s="43">
        <v>0</v>
      </c>
      <c r="C738" s="78">
        <v>0</v>
      </c>
      <c r="D738" s="42"/>
    </row>
    <row r="739" spans="1:4" ht="14.4" x14ac:dyDescent="0.3">
      <c r="A739" s="42">
        <v>0</v>
      </c>
      <c r="B739" s="43">
        <v>0</v>
      </c>
      <c r="C739" s="78">
        <v>0</v>
      </c>
      <c r="D739" s="42"/>
    </row>
    <row r="740" spans="1:4" ht="14.4" x14ac:dyDescent="0.3">
      <c r="A740" s="42">
        <v>0</v>
      </c>
      <c r="B740" s="43">
        <v>0</v>
      </c>
      <c r="C740" s="78">
        <v>0</v>
      </c>
      <c r="D740" s="42"/>
    </row>
    <row r="741" spans="1:4" ht="14.4" x14ac:dyDescent="0.3">
      <c r="A741" s="42">
        <v>0</v>
      </c>
      <c r="B741" s="43">
        <v>0</v>
      </c>
      <c r="C741" s="78">
        <v>0</v>
      </c>
      <c r="D741" s="42"/>
    </row>
    <row r="742" spans="1:4" ht="14.4" x14ac:dyDescent="0.3">
      <c r="A742" s="42">
        <v>0</v>
      </c>
      <c r="B742" s="43">
        <v>0</v>
      </c>
      <c r="C742" s="78">
        <v>0</v>
      </c>
      <c r="D742" s="42"/>
    </row>
    <row r="743" spans="1:4" ht="14.4" x14ac:dyDescent="0.3">
      <c r="A743" s="42">
        <v>0</v>
      </c>
      <c r="B743" s="43">
        <v>0</v>
      </c>
      <c r="C743" s="78">
        <v>0</v>
      </c>
      <c r="D743" s="42"/>
    </row>
    <row r="744" spans="1:4" ht="14.4" x14ac:dyDescent="0.3">
      <c r="A744" s="42">
        <v>0</v>
      </c>
      <c r="B744" s="43">
        <v>0</v>
      </c>
      <c r="C744" s="78">
        <v>0</v>
      </c>
      <c r="D744" s="42"/>
    </row>
    <row r="745" spans="1:4" ht="14.4" x14ac:dyDescent="0.3">
      <c r="A745" s="42">
        <v>0</v>
      </c>
      <c r="B745" s="43">
        <v>0</v>
      </c>
      <c r="C745" s="78">
        <v>0</v>
      </c>
      <c r="D745" s="42"/>
    </row>
    <row r="746" spans="1:4" ht="14.4" x14ac:dyDescent="0.3">
      <c r="A746" s="42">
        <v>0</v>
      </c>
      <c r="B746" s="43">
        <v>0</v>
      </c>
      <c r="C746" s="78">
        <v>0</v>
      </c>
      <c r="D746" s="42"/>
    </row>
    <row r="747" spans="1:4" ht="14.4" x14ac:dyDescent="0.3">
      <c r="A747" s="42">
        <v>0</v>
      </c>
      <c r="B747" s="43">
        <v>0</v>
      </c>
      <c r="C747" s="78">
        <v>0</v>
      </c>
      <c r="D747" s="42"/>
    </row>
    <row r="748" spans="1:4" ht="14.4" x14ac:dyDescent="0.3">
      <c r="A748" s="42">
        <v>0</v>
      </c>
      <c r="B748" s="43">
        <v>0</v>
      </c>
      <c r="C748" s="78">
        <v>0</v>
      </c>
      <c r="D748" s="42"/>
    </row>
    <row r="749" spans="1:4" ht="14.4" x14ac:dyDescent="0.3">
      <c r="A749" s="42">
        <v>0</v>
      </c>
      <c r="B749" s="43">
        <v>0</v>
      </c>
      <c r="C749" s="78">
        <v>0</v>
      </c>
      <c r="D749" s="42"/>
    </row>
    <row r="750" spans="1:4" ht="14.4" x14ac:dyDescent="0.3">
      <c r="A750" s="42">
        <v>0</v>
      </c>
      <c r="B750" s="43">
        <v>0</v>
      </c>
      <c r="C750" s="78">
        <v>0</v>
      </c>
      <c r="D750" s="42"/>
    </row>
    <row r="751" spans="1:4" ht="14.4" x14ac:dyDescent="0.3">
      <c r="A751" s="42">
        <v>0</v>
      </c>
      <c r="B751" s="43">
        <v>0</v>
      </c>
      <c r="C751" s="78">
        <v>0</v>
      </c>
      <c r="D751" s="42"/>
    </row>
    <row r="752" spans="1:4" ht="14.4" x14ac:dyDescent="0.3">
      <c r="A752" s="42">
        <v>0</v>
      </c>
      <c r="B752" s="43">
        <v>0</v>
      </c>
      <c r="C752" s="78">
        <v>0</v>
      </c>
      <c r="D752" s="42"/>
    </row>
    <row r="753" spans="1:4" ht="14.4" x14ac:dyDescent="0.3">
      <c r="A753" s="42">
        <v>0</v>
      </c>
      <c r="B753" s="43">
        <v>0</v>
      </c>
      <c r="C753" s="78">
        <v>0</v>
      </c>
      <c r="D753" s="42"/>
    </row>
    <row r="754" spans="1:4" ht="14.4" x14ac:dyDescent="0.3">
      <c r="A754" s="42">
        <v>0</v>
      </c>
      <c r="B754" s="43">
        <v>0</v>
      </c>
      <c r="C754" s="78">
        <v>0</v>
      </c>
      <c r="D754" s="42"/>
    </row>
    <row r="755" spans="1:4" ht="14.4" x14ac:dyDescent="0.3">
      <c r="A755" s="42">
        <v>0</v>
      </c>
      <c r="B755" s="43">
        <v>0</v>
      </c>
      <c r="C755" s="78">
        <v>0</v>
      </c>
      <c r="D755" s="42"/>
    </row>
    <row r="756" spans="1:4" ht="14.4" x14ac:dyDescent="0.3">
      <c r="A756" s="42">
        <v>0</v>
      </c>
      <c r="B756" s="43">
        <v>0</v>
      </c>
      <c r="C756" s="78">
        <v>0</v>
      </c>
      <c r="D756" s="42"/>
    </row>
    <row r="757" spans="1:4" ht="14.4" x14ac:dyDescent="0.3">
      <c r="A757" s="42">
        <v>0</v>
      </c>
      <c r="B757" s="43">
        <v>0</v>
      </c>
      <c r="C757" s="78">
        <v>0</v>
      </c>
      <c r="D757" s="42"/>
    </row>
    <row r="758" spans="1:4" ht="14.4" x14ac:dyDescent="0.3">
      <c r="A758" s="42">
        <v>0</v>
      </c>
      <c r="B758" s="43">
        <v>0</v>
      </c>
      <c r="C758" s="78">
        <v>0</v>
      </c>
      <c r="D758" s="42"/>
    </row>
    <row r="759" spans="1:4" ht="14.4" x14ac:dyDescent="0.3">
      <c r="A759" s="42">
        <v>0</v>
      </c>
      <c r="B759" s="43">
        <v>0</v>
      </c>
      <c r="C759" s="78">
        <v>0</v>
      </c>
      <c r="D759" s="42"/>
    </row>
    <row r="760" spans="1:4" ht="14.4" x14ac:dyDescent="0.3">
      <c r="A760" s="42">
        <v>0</v>
      </c>
      <c r="B760" s="43">
        <v>0</v>
      </c>
      <c r="C760" s="78">
        <v>0</v>
      </c>
      <c r="D760" s="42"/>
    </row>
    <row r="761" spans="1:4" ht="14.4" x14ac:dyDescent="0.3">
      <c r="A761" s="42">
        <v>0</v>
      </c>
      <c r="B761" s="43">
        <v>0</v>
      </c>
      <c r="C761" s="78">
        <v>0</v>
      </c>
      <c r="D761" s="42"/>
    </row>
    <row r="762" spans="1:4" ht="14.4" x14ac:dyDescent="0.3">
      <c r="A762" s="42">
        <v>0</v>
      </c>
      <c r="B762" s="43">
        <v>0</v>
      </c>
      <c r="C762" s="78">
        <v>0</v>
      </c>
      <c r="D762" s="42"/>
    </row>
    <row r="763" spans="1:4" ht="14.4" x14ac:dyDescent="0.3">
      <c r="A763" s="42">
        <v>0</v>
      </c>
      <c r="B763" s="43">
        <v>0</v>
      </c>
      <c r="C763" s="78">
        <v>0</v>
      </c>
      <c r="D763" s="42"/>
    </row>
    <row r="764" spans="1:4" ht="14.4" x14ac:dyDescent="0.3">
      <c r="A764" s="42">
        <v>0</v>
      </c>
      <c r="B764" s="43">
        <v>0</v>
      </c>
      <c r="C764" s="78">
        <v>0</v>
      </c>
      <c r="D764" s="42"/>
    </row>
    <row r="765" spans="1:4" ht="14.4" x14ac:dyDescent="0.3">
      <c r="A765" s="42">
        <v>0</v>
      </c>
      <c r="B765" s="43">
        <v>0</v>
      </c>
      <c r="C765" s="78">
        <v>0</v>
      </c>
      <c r="D765" s="42"/>
    </row>
    <row r="766" spans="1:4" ht="14.4" x14ac:dyDescent="0.3">
      <c r="A766" s="42">
        <v>0</v>
      </c>
      <c r="B766" s="43">
        <v>0</v>
      </c>
      <c r="C766" s="78">
        <v>0</v>
      </c>
      <c r="D766" s="42"/>
    </row>
    <row r="767" spans="1:4" ht="14.4" x14ac:dyDescent="0.3">
      <c r="A767" s="42">
        <v>0</v>
      </c>
      <c r="B767" s="43">
        <v>0</v>
      </c>
      <c r="C767" s="78">
        <v>0</v>
      </c>
      <c r="D767" s="42"/>
    </row>
    <row r="768" spans="1:4" ht="14.4" x14ac:dyDescent="0.3">
      <c r="A768" s="42">
        <v>0</v>
      </c>
      <c r="B768" s="43">
        <v>0</v>
      </c>
      <c r="C768" s="78">
        <v>0</v>
      </c>
      <c r="D768" s="42"/>
    </row>
    <row r="769" spans="1:4" ht="14.4" x14ac:dyDescent="0.3">
      <c r="A769" s="42">
        <v>0</v>
      </c>
      <c r="B769" s="43">
        <v>0</v>
      </c>
      <c r="C769" s="78">
        <v>0</v>
      </c>
      <c r="D769" s="42"/>
    </row>
    <row r="770" spans="1:4" ht="14.4" x14ac:dyDescent="0.3">
      <c r="A770" s="42">
        <v>0</v>
      </c>
      <c r="B770" s="43">
        <v>0</v>
      </c>
      <c r="C770" s="78">
        <v>0</v>
      </c>
      <c r="D770" s="42"/>
    </row>
    <row r="771" spans="1:4" ht="14.4" x14ac:dyDescent="0.3">
      <c r="A771" s="42">
        <v>0</v>
      </c>
      <c r="B771" s="43">
        <v>0</v>
      </c>
      <c r="C771" s="78">
        <v>0</v>
      </c>
      <c r="D771" s="42"/>
    </row>
    <row r="772" spans="1:4" ht="14.4" x14ac:dyDescent="0.3">
      <c r="A772" s="42">
        <v>0</v>
      </c>
      <c r="B772" s="43">
        <v>0</v>
      </c>
      <c r="C772" s="78">
        <v>0</v>
      </c>
      <c r="D772" s="42"/>
    </row>
    <row r="773" spans="1:4" ht="14.4" x14ac:dyDescent="0.3">
      <c r="A773" s="42">
        <v>0</v>
      </c>
      <c r="B773" s="43">
        <v>0</v>
      </c>
      <c r="C773" s="78">
        <v>0</v>
      </c>
      <c r="D773" s="42"/>
    </row>
    <row r="774" spans="1:4" ht="14.4" x14ac:dyDescent="0.3">
      <c r="A774" s="42">
        <v>0</v>
      </c>
      <c r="B774" s="43">
        <v>0</v>
      </c>
      <c r="C774" s="78">
        <v>0</v>
      </c>
      <c r="D774" s="42"/>
    </row>
    <row r="775" spans="1:4" ht="14.4" x14ac:dyDescent="0.3">
      <c r="A775" s="42">
        <v>0</v>
      </c>
      <c r="B775" s="43">
        <v>0</v>
      </c>
      <c r="C775" s="78">
        <v>0</v>
      </c>
      <c r="D775" s="42"/>
    </row>
    <row r="776" spans="1:4" ht="14.4" x14ac:dyDescent="0.3">
      <c r="A776" s="42">
        <v>0</v>
      </c>
      <c r="B776" s="43">
        <v>0</v>
      </c>
      <c r="C776" s="78">
        <v>0</v>
      </c>
      <c r="D776" s="42"/>
    </row>
    <row r="777" spans="1:4" ht="14.4" x14ac:dyDescent="0.3">
      <c r="A777" s="42">
        <v>0</v>
      </c>
      <c r="B777" s="43">
        <v>0</v>
      </c>
      <c r="C777" s="78">
        <v>0</v>
      </c>
      <c r="D777" s="42"/>
    </row>
    <row r="778" spans="1:4" ht="14.4" x14ac:dyDescent="0.3">
      <c r="A778" s="42">
        <v>0</v>
      </c>
      <c r="B778" s="43">
        <v>0</v>
      </c>
      <c r="C778" s="78">
        <v>0</v>
      </c>
      <c r="D778" s="42"/>
    </row>
    <row r="779" spans="1:4" ht="14.4" x14ac:dyDescent="0.3">
      <c r="A779" s="42">
        <v>0</v>
      </c>
      <c r="B779" s="43">
        <v>0</v>
      </c>
      <c r="C779" s="78">
        <v>0</v>
      </c>
      <c r="D779" s="42"/>
    </row>
    <row r="780" spans="1:4" ht="14.4" x14ac:dyDescent="0.3">
      <c r="A780" s="42">
        <v>0</v>
      </c>
      <c r="B780" s="43">
        <v>0</v>
      </c>
      <c r="C780" s="78">
        <v>0</v>
      </c>
      <c r="D780" s="42"/>
    </row>
    <row r="781" spans="1:4" ht="14.4" x14ac:dyDescent="0.3">
      <c r="A781" s="42">
        <v>0</v>
      </c>
      <c r="B781" s="43">
        <v>0</v>
      </c>
      <c r="C781" s="78">
        <v>0</v>
      </c>
      <c r="D781" s="42"/>
    </row>
    <row r="782" spans="1:4" ht="14.4" x14ac:dyDescent="0.3">
      <c r="A782" s="42">
        <v>0</v>
      </c>
      <c r="B782" s="43">
        <v>0</v>
      </c>
      <c r="C782" s="78">
        <v>0</v>
      </c>
      <c r="D782" s="42"/>
    </row>
    <row r="783" spans="1:4" ht="14.4" x14ac:dyDescent="0.3">
      <c r="A783" s="42">
        <v>0</v>
      </c>
      <c r="B783" s="43">
        <v>0</v>
      </c>
      <c r="C783" s="78">
        <v>0</v>
      </c>
      <c r="D783" s="42"/>
    </row>
    <row r="784" spans="1:4" ht="14.4" x14ac:dyDescent="0.3">
      <c r="A784" s="42">
        <v>0</v>
      </c>
      <c r="B784" s="43">
        <v>0</v>
      </c>
      <c r="C784" s="78">
        <v>0</v>
      </c>
      <c r="D784" s="42"/>
    </row>
    <row r="785" spans="1:4" ht="14.4" x14ac:dyDescent="0.3">
      <c r="A785" s="42">
        <v>0</v>
      </c>
      <c r="B785" s="43">
        <v>0</v>
      </c>
      <c r="C785" s="78">
        <v>0</v>
      </c>
      <c r="D785" s="42"/>
    </row>
    <row r="786" spans="1:4" ht="14.4" x14ac:dyDescent="0.3">
      <c r="A786" s="42">
        <v>0</v>
      </c>
      <c r="B786" s="43">
        <v>0</v>
      </c>
      <c r="C786" s="78">
        <v>0</v>
      </c>
      <c r="D786" s="42"/>
    </row>
    <row r="787" spans="1:4" ht="14.4" x14ac:dyDescent="0.3">
      <c r="A787" s="42">
        <v>0</v>
      </c>
      <c r="B787" s="43">
        <v>0</v>
      </c>
      <c r="C787" s="78">
        <v>0</v>
      </c>
      <c r="D787" s="42"/>
    </row>
    <row r="788" spans="1:4" ht="14.4" x14ac:dyDescent="0.3">
      <c r="A788" s="42">
        <v>0</v>
      </c>
      <c r="B788" s="43">
        <v>0</v>
      </c>
      <c r="C788" s="78">
        <v>0</v>
      </c>
      <c r="D788" s="42"/>
    </row>
    <row r="789" spans="1:4" ht="14.4" x14ac:dyDescent="0.3">
      <c r="A789" s="42">
        <v>0</v>
      </c>
      <c r="B789" s="43">
        <v>0</v>
      </c>
      <c r="C789" s="78">
        <v>0</v>
      </c>
      <c r="D789" s="42"/>
    </row>
    <row r="790" spans="1:4" ht="14.4" x14ac:dyDescent="0.3">
      <c r="A790" s="42">
        <v>0</v>
      </c>
      <c r="B790" s="43">
        <v>0</v>
      </c>
      <c r="C790" s="78">
        <v>0</v>
      </c>
      <c r="D790" s="42"/>
    </row>
    <row r="791" spans="1:4" ht="14.4" x14ac:dyDescent="0.3">
      <c r="A791" s="42">
        <v>0</v>
      </c>
      <c r="B791" s="43">
        <v>0</v>
      </c>
      <c r="C791" s="78">
        <v>0</v>
      </c>
      <c r="D791" s="42"/>
    </row>
    <row r="792" spans="1:4" ht="14.4" x14ac:dyDescent="0.3">
      <c r="A792" s="42">
        <v>0</v>
      </c>
      <c r="B792" s="43">
        <v>0</v>
      </c>
      <c r="C792" s="78">
        <v>0</v>
      </c>
      <c r="D792" s="42"/>
    </row>
    <row r="793" spans="1:4" ht="14.4" x14ac:dyDescent="0.3">
      <c r="A793" s="42">
        <v>0</v>
      </c>
      <c r="B793" s="43">
        <v>0</v>
      </c>
      <c r="C793" s="78">
        <v>0</v>
      </c>
      <c r="D793" s="42"/>
    </row>
    <row r="794" spans="1:4" ht="14.4" x14ac:dyDescent="0.3">
      <c r="A794" s="42">
        <v>0</v>
      </c>
      <c r="B794" s="43">
        <v>0</v>
      </c>
      <c r="C794" s="78">
        <v>0</v>
      </c>
      <c r="D794" s="42"/>
    </row>
    <row r="795" spans="1:4" ht="14.4" x14ac:dyDescent="0.3">
      <c r="A795" s="42">
        <v>0</v>
      </c>
      <c r="B795" s="43">
        <v>0</v>
      </c>
      <c r="C795" s="78">
        <v>0</v>
      </c>
      <c r="D795" s="42"/>
    </row>
    <row r="796" spans="1:4" ht="14.4" x14ac:dyDescent="0.3">
      <c r="A796" s="42">
        <v>0</v>
      </c>
      <c r="B796" s="43">
        <v>0</v>
      </c>
      <c r="C796" s="78">
        <v>0</v>
      </c>
      <c r="D796" s="42"/>
    </row>
    <row r="797" spans="1:4" ht="14.4" x14ac:dyDescent="0.3">
      <c r="A797" s="42">
        <v>0</v>
      </c>
      <c r="B797" s="43">
        <v>0</v>
      </c>
      <c r="C797" s="78">
        <v>0</v>
      </c>
      <c r="D797" s="42"/>
    </row>
    <row r="798" spans="1:4" ht="14.4" x14ac:dyDescent="0.3">
      <c r="A798" s="42">
        <v>0</v>
      </c>
      <c r="B798" s="43">
        <v>0</v>
      </c>
      <c r="C798" s="78">
        <v>0</v>
      </c>
      <c r="D798" s="42"/>
    </row>
    <row r="799" spans="1:4" ht="14.4" x14ac:dyDescent="0.3">
      <c r="A799" s="42">
        <v>0</v>
      </c>
      <c r="B799" s="43">
        <v>0</v>
      </c>
      <c r="C799" s="78">
        <v>0</v>
      </c>
      <c r="D799" s="42"/>
    </row>
    <row r="800" spans="1:4" ht="14.4" x14ac:dyDescent="0.3">
      <c r="A800" s="42">
        <v>0</v>
      </c>
      <c r="B800" s="43">
        <v>0</v>
      </c>
      <c r="C800" s="78">
        <v>0</v>
      </c>
      <c r="D800" s="42"/>
    </row>
    <row r="801" spans="1:4" ht="14.4" x14ac:dyDescent="0.3">
      <c r="A801" s="42">
        <v>0</v>
      </c>
      <c r="B801" s="43">
        <v>0</v>
      </c>
      <c r="C801" s="78">
        <v>0</v>
      </c>
      <c r="D801" s="42"/>
    </row>
    <row r="802" spans="1:4" ht="14.4" x14ac:dyDescent="0.3">
      <c r="A802" s="42">
        <v>0</v>
      </c>
      <c r="B802" s="43">
        <v>0</v>
      </c>
      <c r="C802" s="78">
        <v>0</v>
      </c>
      <c r="D802" s="42"/>
    </row>
    <row r="803" spans="1:4" ht="14.4" x14ac:dyDescent="0.3">
      <c r="A803" s="42">
        <v>0</v>
      </c>
      <c r="B803" s="43">
        <v>0</v>
      </c>
      <c r="C803" s="78">
        <v>0</v>
      </c>
      <c r="D803" s="42"/>
    </row>
    <row r="804" spans="1:4" ht="14.4" x14ac:dyDescent="0.3">
      <c r="A804" s="42">
        <v>0</v>
      </c>
      <c r="B804" s="43">
        <v>0</v>
      </c>
      <c r="C804" s="78">
        <v>0</v>
      </c>
      <c r="D804" s="42"/>
    </row>
    <row r="805" spans="1:4" ht="14.4" x14ac:dyDescent="0.3">
      <c r="A805" s="42">
        <v>0</v>
      </c>
      <c r="B805" s="43">
        <v>0</v>
      </c>
      <c r="C805" s="78">
        <v>0</v>
      </c>
      <c r="D805" s="42"/>
    </row>
    <row r="806" spans="1:4" ht="14.4" x14ac:dyDescent="0.3">
      <c r="A806" s="42">
        <v>0</v>
      </c>
      <c r="B806" s="43">
        <v>0</v>
      </c>
      <c r="C806" s="78">
        <v>0</v>
      </c>
      <c r="D806" s="42"/>
    </row>
    <row r="807" spans="1:4" ht="14.4" x14ac:dyDescent="0.3">
      <c r="A807" s="42">
        <v>0</v>
      </c>
      <c r="B807" s="43">
        <v>0</v>
      </c>
      <c r="C807" s="78">
        <v>0</v>
      </c>
      <c r="D807" s="42"/>
    </row>
    <row r="808" spans="1:4" ht="14.4" x14ac:dyDescent="0.3">
      <c r="A808" s="42">
        <v>0</v>
      </c>
      <c r="B808" s="43">
        <v>0</v>
      </c>
      <c r="C808" s="78">
        <v>0</v>
      </c>
      <c r="D808" s="42"/>
    </row>
    <row r="809" spans="1:4" ht="14.4" x14ac:dyDescent="0.3">
      <c r="A809" s="42">
        <v>0</v>
      </c>
      <c r="B809" s="43">
        <v>0</v>
      </c>
      <c r="C809" s="78">
        <v>0</v>
      </c>
      <c r="D809" s="42"/>
    </row>
    <row r="810" spans="1:4" ht="14.4" x14ac:dyDescent="0.3">
      <c r="A810" s="42">
        <v>0</v>
      </c>
      <c r="B810" s="43">
        <v>0</v>
      </c>
      <c r="C810" s="78">
        <v>0</v>
      </c>
      <c r="D810" s="42"/>
    </row>
    <row r="811" spans="1:4" ht="14.4" x14ac:dyDescent="0.3">
      <c r="A811" s="42">
        <v>0</v>
      </c>
      <c r="B811" s="43">
        <v>0</v>
      </c>
      <c r="C811" s="78">
        <v>0</v>
      </c>
      <c r="D811" s="42"/>
    </row>
    <row r="812" spans="1:4" ht="14.4" x14ac:dyDescent="0.3">
      <c r="A812" s="42">
        <v>0</v>
      </c>
      <c r="B812" s="43">
        <v>0</v>
      </c>
      <c r="C812" s="78">
        <v>0</v>
      </c>
      <c r="D812" s="42"/>
    </row>
    <row r="813" spans="1:4" ht="14.4" x14ac:dyDescent="0.3">
      <c r="A813" s="42">
        <v>0</v>
      </c>
      <c r="B813" s="43">
        <v>0</v>
      </c>
      <c r="C813" s="78">
        <v>0</v>
      </c>
      <c r="D813" s="42"/>
    </row>
    <row r="814" spans="1:4" ht="14.4" x14ac:dyDescent="0.3">
      <c r="A814" s="42">
        <v>0</v>
      </c>
      <c r="B814" s="43">
        <v>0</v>
      </c>
      <c r="C814" s="78">
        <v>0</v>
      </c>
      <c r="D814" s="42"/>
    </row>
    <row r="815" spans="1:4" ht="14.4" x14ac:dyDescent="0.3">
      <c r="A815" s="42">
        <v>0</v>
      </c>
      <c r="B815" s="43">
        <v>0</v>
      </c>
      <c r="C815" s="78">
        <v>0</v>
      </c>
      <c r="D815" s="42"/>
    </row>
    <row r="816" spans="1:4" ht="14.4" x14ac:dyDescent="0.3">
      <c r="A816" s="42">
        <v>0</v>
      </c>
      <c r="B816" s="43">
        <v>0</v>
      </c>
      <c r="C816" s="78">
        <v>0</v>
      </c>
      <c r="D816" s="42"/>
    </row>
    <row r="817" spans="1:4" ht="14.4" x14ac:dyDescent="0.3">
      <c r="A817" s="42">
        <v>0</v>
      </c>
      <c r="B817" s="43">
        <v>0</v>
      </c>
      <c r="C817" s="78">
        <v>0</v>
      </c>
      <c r="D817" s="42"/>
    </row>
    <row r="818" spans="1:4" ht="14.4" x14ac:dyDescent="0.3">
      <c r="A818" s="42">
        <v>0</v>
      </c>
      <c r="B818" s="43">
        <v>0</v>
      </c>
      <c r="C818" s="78">
        <v>0</v>
      </c>
      <c r="D818" s="42"/>
    </row>
    <row r="819" spans="1:4" ht="14.4" x14ac:dyDescent="0.3">
      <c r="A819" s="42">
        <v>0</v>
      </c>
      <c r="B819" s="43">
        <v>0</v>
      </c>
      <c r="C819" s="78">
        <v>0</v>
      </c>
      <c r="D819" s="42"/>
    </row>
    <row r="820" spans="1:4" ht="14.4" x14ac:dyDescent="0.3">
      <c r="A820" s="42">
        <v>0</v>
      </c>
      <c r="B820" s="43">
        <v>0</v>
      </c>
      <c r="C820" s="78">
        <v>0</v>
      </c>
      <c r="D820" s="42"/>
    </row>
    <row r="821" spans="1:4" ht="14.4" x14ac:dyDescent="0.3">
      <c r="A821" s="42">
        <v>0</v>
      </c>
      <c r="B821" s="43">
        <v>0</v>
      </c>
      <c r="C821" s="78">
        <v>0</v>
      </c>
      <c r="D821" s="42"/>
    </row>
    <row r="822" spans="1:4" ht="14.4" x14ac:dyDescent="0.3">
      <c r="A822" s="42">
        <v>0</v>
      </c>
      <c r="B822" s="43">
        <v>0</v>
      </c>
      <c r="C822" s="78">
        <v>0</v>
      </c>
      <c r="D822" s="42"/>
    </row>
    <row r="823" spans="1:4" ht="14.4" x14ac:dyDescent="0.3">
      <c r="A823" s="42">
        <v>0</v>
      </c>
      <c r="B823" s="43">
        <v>0</v>
      </c>
      <c r="C823" s="78">
        <v>0</v>
      </c>
      <c r="D823" s="42"/>
    </row>
    <row r="824" spans="1:4" ht="14.4" x14ac:dyDescent="0.3">
      <c r="A824" s="42">
        <v>0</v>
      </c>
      <c r="B824" s="43">
        <v>0</v>
      </c>
      <c r="C824" s="78">
        <v>0</v>
      </c>
      <c r="D824" s="42"/>
    </row>
    <row r="825" spans="1:4" ht="14.4" x14ac:dyDescent="0.3">
      <c r="A825" s="42">
        <v>0</v>
      </c>
      <c r="B825" s="43">
        <v>0</v>
      </c>
      <c r="C825" s="78">
        <v>0</v>
      </c>
      <c r="D825" s="42"/>
    </row>
    <row r="826" spans="1:4" ht="14.4" x14ac:dyDescent="0.3">
      <c r="A826" s="42">
        <v>0</v>
      </c>
      <c r="B826" s="43">
        <v>0</v>
      </c>
      <c r="C826" s="78">
        <v>0</v>
      </c>
      <c r="D826" s="42"/>
    </row>
    <row r="827" spans="1:4" ht="14.4" x14ac:dyDescent="0.3">
      <c r="A827" s="42">
        <v>0</v>
      </c>
      <c r="B827" s="43">
        <v>0</v>
      </c>
      <c r="C827" s="78">
        <v>0</v>
      </c>
      <c r="D827" s="42"/>
    </row>
    <row r="828" spans="1:4" ht="14.4" x14ac:dyDescent="0.3">
      <c r="A828" s="42">
        <v>0</v>
      </c>
      <c r="B828" s="43">
        <v>0</v>
      </c>
      <c r="C828" s="78">
        <v>0</v>
      </c>
      <c r="D828" s="42"/>
    </row>
    <row r="829" spans="1:4" ht="14.4" x14ac:dyDescent="0.3">
      <c r="A829" s="42">
        <v>0</v>
      </c>
      <c r="B829" s="43">
        <v>0</v>
      </c>
      <c r="C829" s="78">
        <v>0</v>
      </c>
      <c r="D829" s="42"/>
    </row>
    <row r="830" spans="1:4" ht="14.4" x14ac:dyDescent="0.3">
      <c r="A830" s="42">
        <v>0</v>
      </c>
      <c r="B830" s="43">
        <v>0</v>
      </c>
      <c r="C830" s="78">
        <v>0</v>
      </c>
      <c r="D830" s="42"/>
    </row>
    <row r="831" spans="1:4" ht="14.4" x14ac:dyDescent="0.3">
      <c r="A831" s="42">
        <v>0</v>
      </c>
      <c r="B831" s="43">
        <v>0</v>
      </c>
      <c r="C831" s="78">
        <v>0</v>
      </c>
      <c r="D831" s="42"/>
    </row>
    <row r="832" spans="1:4" ht="14.4" x14ac:dyDescent="0.3">
      <c r="A832" s="42">
        <v>0</v>
      </c>
      <c r="B832" s="43">
        <v>0</v>
      </c>
      <c r="C832" s="78">
        <v>0</v>
      </c>
      <c r="D832" s="42"/>
    </row>
    <row r="833" spans="1:4" ht="14.4" x14ac:dyDescent="0.3">
      <c r="A833" s="42">
        <v>0</v>
      </c>
      <c r="B833" s="43">
        <v>0</v>
      </c>
      <c r="C833" s="78">
        <v>0</v>
      </c>
      <c r="D833" s="42"/>
    </row>
    <row r="834" spans="1:4" ht="14.4" x14ac:dyDescent="0.3">
      <c r="A834" s="42">
        <v>0</v>
      </c>
      <c r="B834" s="43">
        <v>0</v>
      </c>
      <c r="C834" s="78">
        <v>0</v>
      </c>
      <c r="D834" s="42"/>
    </row>
    <row r="835" spans="1:4" ht="14.4" x14ac:dyDescent="0.3">
      <c r="A835" s="42">
        <v>0</v>
      </c>
      <c r="B835" s="43">
        <v>0</v>
      </c>
      <c r="C835" s="78">
        <v>0</v>
      </c>
      <c r="D835" s="42"/>
    </row>
    <row r="836" spans="1:4" ht="14.4" x14ac:dyDescent="0.3">
      <c r="A836" s="42">
        <v>0</v>
      </c>
      <c r="B836" s="43">
        <v>0</v>
      </c>
      <c r="C836" s="78">
        <v>0</v>
      </c>
      <c r="D836" s="42"/>
    </row>
    <row r="837" spans="1:4" ht="14.4" x14ac:dyDescent="0.3">
      <c r="A837" s="42">
        <v>0</v>
      </c>
      <c r="B837" s="43">
        <v>0</v>
      </c>
      <c r="C837" s="78">
        <v>0</v>
      </c>
      <c r="D837" s="42"/>
    </row>
    <row r="838" spans="1:4" ht="14.4" x14ac:dyDescent="0.3">
      <c r="A838" s="42">
        <v>0</v>
      </c>
      <c r="B838" s="43">
        <v>0</v>
      </c>
      <c r="C838" s="78">
        <v>0</v>
      </c>
      <c r="D838" s="42"/>
    </row>
    <row r="839" spans="1:4" ht="14.4" x14ac:dyDescent="0.3">
      <c r="A839" s="42">
        <v>0</v>
      </c>
      <c r="B839" s="43">
        <v>0</v>
      </c>
      <c r="C839" s="78">
        <v>0</v>
      </c>
      <c r="D839" s="42"/>
    </row>
    <row r="840" spans="1:4" ht="14.4" x14ac:dyDescent="0.3">
      <c r="A840" s="42">
        <v>0</v>
      </c>
      <c r="B840" s="43">
        <v>0</v>
      </c>
      <c r="C840" s="78">
        <v>0</v>
      </c>
      <c r="D840" s="42"/>
    </row>
    <row r="841" spans="1:4" ht="14.4" x14ac:dyDescent="0.3">
      <c r="A841" s="42">
        <v>0</v>
      </c>
      <c r="B841" s="43">
        <v>0</v>
      </c>
      <c r="C841" s="78">
        <v>0</v>
      </c>
      <c r="D841" s="42"/>
    </row>
    <row r="842" spans="1:4" ht="14.4" x14ac:dyDescent="0.3">
      <c r="A842" s="42">
        <v>0</v>
      </c>
      <c r="B842" s="43">
        <v>0</v>
      </c>
      <c r="C842" s="78">
        <v>0</v>
      </c>
      <c r="D842" s="42"/>
    </row>
    <row r="843" spans="1:4" ht="14.4" x14ac:dyDescent="0.3">
      <c r="A843" s="42">
        <v>0</v>
      </c>
      <c r="B843" s="43">
        <v>0</v>
      </c>
      <c r="C843" s="78">
        <v>0</v>
      </c>
      <c r="D843" s="42"/>
    </row>
    <row r="844" spans="1:4" ht="14.4" x14ac:dyDescent="0.3">
      <c r="A844" s="42">
        <v>0</v>
      </c>
      <c r="B844" s="43">
        <v>0</v>
      </c>
      <c r="C844" s="78">
        <v>0</v>
      </c>
      <c r="D844" s="42"/>
    </row>
    <row r="845" spans="1:4" ht="14.4" x14ac:dyDescent="0.3">
      <c r="A845" s="42">
        <v>0</v>
      </c>
      <c r="B845" s="43">
        <v>0</v>
      </c>
      <c r="C845" s="78">
        <v>0</v>
      </c>
      <c r="D845" s="42"/>
    </row>
    <row r="846" spans="1:4" ht="14.4" x14ac:dyDescent="0.3">
      <c r="A846" s="42">
        <v>0</v>
      </c>
      <c r="B846" s="43">
        <v>0</v>
      </c>
      <c r="C846" s="78">
        <v>0</v>
      </c>
      <c r="D846" s="42"/>
    </row>
    <row r="847" spans="1:4" ht="14.4" x14ac:dyDescent="0.3">
      <c r="A847" s="42">
        <v>0</v>
      </c>
      <c r="B847" s="43">
        <v>0</v>
      </c>
      <c r="C847" s="78">
        <v>0</v>
      </c>
      <c r="D847" s="42"/>
    </row>
    <row r="848" spans="1:4" ht="14.4" x14ac:dyDescent="0.3">
      <c r="A848" s="42">
        <v>0</v>
      </c>
      <c r="B848" s="43">
        <v>0</v>
      </c>
      <c r="C848" s="78">
        <v>0</v>
      </c>
      <c r="D848" s="42"/>
    </row>
    <row r="849" spans="1:4" ht="14.4" x14ac:dyDescent="0.3">
      <c r="A849" s="42">
        <v>0</v>
      </c>
      <c r="B849" s="43">
        <v>0</v>
      </c>
      <c r="C849" s="78">
        <v>0</v>
      </c>
      <c r="D849" s="42"/>
    </row>
    <row r="850" spans="1:4" ht="14.4" x14ac:dyDescent="0.3">
      <c r="A850" s="42">
        <v>0</v>
      </c>
      <c r="B850" s="43">
        <v>0</v>
      </c>
      <c r="C850" s="78">
        <v>0</v>
      </c>
      <c r="D850" s="42"/>
    </row>
    <row r="851" spans="1:4" ht="14.4" x14ac:dyDescent="0.3">
      <c r="A851" s="42">
        <v>0</v>
      </c>
      <c r="B851" s="43">
        <v>0</v>
      </c>
      <c r="C851" s="78">
        <v>0</v>
      </c>
      <c r="D851" s="42"/>
    </row>
    <row r="852" spans="1:4" ht="14.4" x14ac:dyDescent="0.3">
      <c r="A852" s="42">
        <v>0</v>
      </c>
      <c r="B852" s="43">
        <v>0</v>
      </c>
      <c r="C852" s="78">
        <v>0</v>
      </c>
      <c r="D852" s="42"/>
    </row>
    <row r="853" spans="1:4" ht="14.4" x14ac:dyDescent="0.3">
      <c r="A853" s="42">
        <v>0</v>
      </c>
      <c r="B853" s="43">
        <v>0</v>
      </c>
      <c r="C853" s="78">
        <v>0</v>
      </c>
      <c r="D853" s="42"/>
    </row>
    <row r="854" spans="1:4" ht="14.4" x14ac:dyDescent="0.3">
      <c r="A854" s="42">
        <v>0</v>
      </c>
      <c r="B854" s="43">
        <v>0</v>
      </c>
      <c r="C854" s="78">
        <v>0</v>
      </c>
      <c r="D854" s="42"/>
    </row>
    <row r="855" spans="1:4" ht="14.4" x14ac:dyDescent="0.3">
      <c r="A855" s="42">
        <v>0</v>
      </c>
      <c r="B855" s="43">
        <v>0</v>
      </c>
      <c r="C855" s="78">
        <v>0</v>
      </c>
      <c r="D855" s="42"/>
    </row>
    <row r="856" spans="1:4" ht="14.4" x14ac:dyDescent="0.3">
      <c r="A856" s="42">
        <v>0</v>
      </c>
      <c r="B856" s="43">
        <v>0</v>
      </c>
      <c r="C856" s="78">
        <v>0</v>
      </c>
      <c r="D856" s="42"/>
    </row>
    <row r="857" spans="1:4" ht="14.4" x14ac:dyDescent="0.3">
      <c r="A857" s="42">
        <v>0</v>
      </c>
      <c r="B857" s="43">
        <v>0</v>
      </c>
      <c r="C857" s="78">
        <v>0</v>
      </c>
      <c r="D857" s="42"/>
    </row>
    <row r="858" spans="1:4" ht="14.4" x14ac:dyDescent="0.3">
      <c r="A858" s="42">
        <v>0</v>
      </c>
      <c r="B858" s="43">
        <v>0</v>
      </c>
      <c r="C858" s="78">
        <v>0</v>
      </c>
      <c r="D858" s="42"/>
    </row>
    <row r="859" spans="1:4" ht="14.4" x14ac:dyDescent="0.3">
      <c r="A859" s="42">
        <v>0</v>
      </c>
      <c r="B859" s="43">
        <v>0</v>
      </c>
      <c r="C859" s="78">
        <v>0</v>
      </c>
      <c r="D859" s="42"/>
    </row>
    <row r="860" spans="1:4" ht="14.4" x14ac:dyDescent="0.3">
      <c r="A860" s="42">
        <v>0</v>
      </c>
      <c r="B860" s="43">
        <v>0</v>
      </c>
      <c r="C860" s="78">
        <v>0</v>
      </c>
      <c r="D860" s="42"/>
    </row>
    <row r="861" spans="1:4" ht="14.4" x14ac:dyDescent="0.3">
      <c r="A861" s="42">
        <v>0</v>
      </c>
      <c r="B861" s="43">
        <v>0</v>
      </c>
      <c r="C861" s="78">
        <v>0</v>
      </c>
      <c r="D861" s="42"/>
    </row>
    <row r="862" spans="1:4" ht="14.4" x14ac:dyDescent="0.3">
      <c r="A862" s="42">
        <v>0</v>
      </c>
      <c r="B862" s="43">
        <v>0</v>
      </c>
      <c r="C862" s="78">
        <v>0</v>
      </c>
      <c r="D862" s="42"/>
    </row>
    <row r="863" spans="1:4" ht="14.4" x14ac:dyDescent="0.3">
      <c r="A863" s="42">
        <v>0</v>
      </c>
      <c r="B863" s="43">
        <v>0</v>
      </c>
      <c r="C863" s="78">
        <v>0</v>
      </c>
      <c r="D863" s="42"/>
    </row>
    <row r="864" spans="1:4" ht="14.4" x14ac:dyDescent="0.3">
      <c r="A864" s="42">
        <v>0</v>
      </c>
      <c r="B864" s="43">
        <v>0</v>
      </c>
      <c r="C864" s="78">
        <v>0</v>
      </c>
      <c r="D864" s="42"/>
    </row>
    <row r="865" spans="1:4" ht="14.4" x14ac:dyDescent="0.3">
      <c r="A865" s="42">
        <v>0</v>
      </c>
      <c r="B865" s="43">
        <v>0</v>
      </c>
      <c r="C865" s="78">
        <v>0</v>
      </c>
      <c r="D865" s="42"/>
    </row>
    <row r="866" spans="1:4" ht="14.4" x14ac:dyDescent="0.3">
      <c r="A866" s="42">
        <v>0</v>
      </c>
      <c r="B866" s="43">
        <v>0</v>
      </c>
      <c r="C866" s="78">
        <v>0</v>
      </c>
      <c r="D866" s="42"/>
    </row>
    <row r="867" spans="1:4" ht="14.4" x14ac:dyDescent="0.3">
      <c r="A867" s="42">
        <v>0</v>
      </c>
      <c r="B867" s="43">
        <v>0</v>
      </c>
      <c r="C867" s="78">
        <v>0</v>
      </c>
      <c r="D867" s="42"/>
    </row>
    <row r="868" spans="1:4" ht="14.4" x14ac:dyDescent="0.3">
      <c r="A868" s="42">
        <v>0</v>
      </c>
      <c r="B868" s="43">
        <v>0</v>
      </c>
      <c r="C868" s="78">
        <v>0</v>
      </c>
      <c r="D868" s="42"/>
    </row>
    <row r="869" spans="1:4" ht="14.4" x14ac:dyDescent="0.3">
      <c r="A869" s="42">
        <v>0</v>
      </c>
      <c r="B869" s="43">
        <v>0</v>
      </c>
      <c r="C869" s="78">
        <v>0</v>
      </c>
      <c r="D869" s="42"/>
    </row>
    <row r="870" spans="1:4" ht="14.4" x14ac:dyDescent="0.3">
      <c r="A870" s="42">
        <v>0</v>
      </c>
      <c r="B870" s="43">
        <v>0</v>
      </c>
      <c r="C870" s="78">
        <v>0</v>
      </c>
      <c r="D870" s="42"/>
    </row>
    <row r="871" spans="1:4" ht="14.4" x14ac:dyDescent="0.3">
      <c r="A871" s="42">
        <v>0</v>
      </c>
      <c r="B871" s="43">
        <v>0</v>
      </c>
      <c r="C871" s="78">
        <v>0</v>
      </c>
      <c r="D871" s="42"/>
    </row>
    <row r="872" spans="1:4" ht="14.4" x14ac:dyDescent="0.3">
      <c r="A872" s="42">
        <v>0</v>
      </c>
      <c r="B872" s="43">
        <v>0</v>
      </c>
      <c r="C872" s="78">
        <v>0</v>
      </c>
      <c r="D872" s="42"/>
    </row>
    <row r="873" spans="1:4" ht="14.4" x14ac:dyDescent="0.3">
      <c r="A873" s="42">
        <v>0</v>
      </c>
      <c r="B873" s="43">
        <v>0</v>
      </c>
      <c r="C873" s="78">
        <v>0</v>
      </c>
      <c r="D873" s="42"/>
    </row>
    <row r="874" spans="1:4" ht="14.4" x14ac:dyDescent="0.3">
      <c r="A874" s="42">
        <v>0</v>
      </c>
      <c r="B874" s="43">
        <v>0</v>
      </c>
      <c r="C874" s="78">
        <v>0</v>
      </c>
      <c r="D874" s="42"/>
    </row>
    <row r="875" spans="1:4" ht="14.4" x14ac:dyDescent="0.3">
      <c r="A875" s="42">
        <v>0</v>
      </c>
      <c r="B875" s="43">
        <v>0</v>
      </c>
      <c r="C875" s="78">
        <v>0</v>
      </c>
      <c r="D875" s="42"/>
    </row>
    <row r="876" spans="1:4" ht="14.4" x14ac:dyDescent="0.3">
      <c r="A876" s="42">
        <v>0</v>
      </c>
      <c r="B876" s="43">
        <v>0</v>
      </c>
      <c r="C876" s="78">
        <v>0</v>
      </c>
      <c r="D876" s="42"/>
    </row>
    <row r="877" spans="1:4" ht="14.4" x14ac:dyDescent="0.3">
      <c r="A877" s="42">
        <v>0</v>
      </c>
      <c r="B877" s="43">
        <v>0</v>
      </c>
      <c r="C877" s="78">
        <v>0</v>
      </c>
      <c r="D877" s="42"/>
    </row>
    <row r="878" spans="1:4" ht="14.4" x14ac:dyDescent="0.3">
      <c r="A878" s="42">
        <v>0</v>
      </c>
      <c r="B878" s="43">
        <v>0</v>
      </c>
      <c r="C878" s="78">
        <v>0</v>
      </c>
      <c r="D878" s="42"/>
    </row>
    <row r="879" spans="1:4" ht="14.4" x14ac:dyDescent="0.3">
      <c r="A879" s="42">
        <v>0</v>
      </c>
      <c r="B879" s="43">
        <v>0</v>
      </c>
      <c r="C879" s="78">
        <v>0</v>
      </c>
      <c r="D879" s="42"/>
    </row>
    <row r="880" spans="1:4" ht="14.4" x14ac:dyDescent="0.3">
      <c r="A880" s="42">
        <v>0</v>
      </c>
      <c r="B880" s="43">
        <v>0</v>
      </c>
      <c r="C880" s="78">
        <v>0</v>
      </c>
      <c r="D880" s="42"/>
    </row>
    <row r="881" spans="1:4" ht="14.4" x14ac:dyDescent="0.3">
      <c r="A881" s="42">
        <v>0</v>
      </c>
      <c r="B881" s="43">
        <v>0</v>
      </c>
      <c r="C881" s="78">
        <v>0</v>
      </c>
      <c r="D881" s="42"/>
    </row>
    <row r="882" spans="1:4" ht="14.4" x14ac:dyDescent="0.3">
      <c r="A882" s="42">
        <v>0</v>
      </c>
      <c r="B882" s="43">
        <v>0</v>
      </c>
      <c r="C882" s="78">
        <v>0</v>
      </c>
      <c r="D882" s="42"/>
    </row>
    <row r="883" spans="1:4" ht="14.4" x14ac:dyDescent="0.3">
      <c r="A883" s="42">
        <v>0</v>
      </c>
      <c r="B883" s="43">
        <v>0</v>
      </c>
      <c r="C883" s="78">
        <v>0</v>
      </c>
      <c r="D883" s="42"/>
    </row>
    <row r="884" spans="1:4" ht="14.4" x14ac:dyDescent="0.3">
      <c r="A884" s="42">
        <v>0</v>
      </c>
      <c r="B884" s="43">
        <v>0</v>
      </c>
      <c r="C884" s="78">
        <v>0</v>
      </c>
      <c r="D884" s="42"/>
    </row>
    <row r="885" spans="1:4" ht="14.4" x14ac:dyDescent="0.3">
      <c r="A885" s="42">
        <v>0</v>
      </c>
      <c r="B885" s="43">
        <v>0</v>
      </c>
      <c r="C885" s="78">
        <v>0</v>
      </c>
      <c r="D885" s="42"/>
    </row>
    <row r="886" spans="1:4" ht="14.4" x14ac:dyDescent="0.3">
      <c r="A886" s="42">
        <v>0</v>
      </c>
      <c r="B886" s="43">
        <v>0</v>
      </c>
      <c r="C886" s="78">
        <v>0</v>
      </c>
      <c r="D886" s="42"/>
    </row>
    <row r="887" spans="1:4" ht="14.4" x14ac:dyDescent="0.3">
      <c r="A887" s="42">
        <v>0</v>
      </c>
      <c r="B887" s="43">
        <v>0</v>
      </c>
      <c r="C887" s="78">
        <v>0</v>
      </c>
      <c r="D887" s="42"/>
    </row>
    <row r="888" spans="1:4" ht="14.4" x14ac:dyDescent="0.3">
      <c r="A888" s="42">
        <v>0</v>
      </c>
      <c r="B888" s="43">
        <v>0</v>
      </c>
      <c r="C888" s="78">
        <v>0</v>
      </c>
      <c r="D888" s="42"/>
    </row>
    <row r="889" spans="1:4" ht="14.4" x14ac:dyDescent="0.3">
      <c r="A889" s="42">
        <v>0</v>
      </c>
      <c r="B889" s="43">
        <v>0</v>
      </c>
      <c r="C889" s="78">
        <v>0</v>
      </c>
      <c r="D889" s="42"/>
    </row>
    <row r="890" spans="1:4" ht="14.4" x14ac:dyDescent="0.3">
      <c r="A890" s="42">
        <v>0</v>
      </c>
      <c r="B890" s="43">
        <v>0</v>
      </c>
      <c r="C890" s="78">
        <v>0</v>
      </c>
      <c r="D890" s="42"/>
    </row>
    <row r="891" spans="1:4" ht="14.4" x14ac:dyDescent="0.3">
      <c r="A891" s="42">
        <v>0</v>
      </c>
      <c r="B891" s="43">
        <v>0</v>
      </c>
      <c r="C891" s="78">
        <v>0</v>
      </c>
      <c r="D891" s="42"/>
    </row>
    <row r="892" spans="1:4" ht="14.4" x14ac:dyDescent="0.3">
      <c r="A892" s="42">
        <v>0</v>
      </c>
      <c r="B892" s="43">
        <v>0</v>
      </c>
      <c r="C892" s="78">
        <v>0</v>
      </c>
      <c r="D892" s="42"/>
    </row>
    <row r="893" spans="1:4" ht="14.4" x14ac:dyDescent="0.3">
      <c r="A893" s="42">
        <v>0</v>
      </c>
      <c r="B893" s="43">
        <v>0</v>
      </c>
      <c r="C893" s="78">
        <v>0</v>
      </c>
      <c r="D893" s="42"/>
    </row>
    <row r="894" spans="1:4" ht="14.4" x14ac:dyDescent="0.3">
      <c r="A894" s="42">
        <v>0</v>
      </c>
      <c r="B894" s="43">
        <v>0</v>
      </c>
      <c r="C894" s="78">
        <v>0</v>
      </c>
      <c r="D894" s="42"/>
    </row>
    <row r="895" spans="1:4" ht="14.4" x14ac:dyDescent="0.3">
      <c r="A895" s="42">
        <v>0</v>
      </c>
      <c r="B895" s="43">
        <v>0</v>
      </c>
      <c r="C895" s="78">
        <v>0</v>
      </c>
      <c r="D895" s="42"/>
    </row>
    <row r="896" spans="1:4" ht="14.4" x14ac:dyDescent="0.3">
      <c r="A896" s="42">
        <v>0</v>
      </c>
      <c r="B896" s="43">
        <v>0</v>
      </c>
      <c r="C896" s="78">
        <v>0</v>
      </c>
      <c r="D896" s="42"/>
    </row>
    <row r="897" spans="1:4" ht="14.4" x14ac:dyDescent="0.3">
      <c r="A897" s="42">
        <v>0</v>
      </c>
      <c r="B897" s="43">
        <v>0</v>
      </c>
      <c r="C897" s="78">
        <v>0</v>
      </c>
      <c r="D897" s="42"/>
    </row>
    <row r="898" spans="1:4" ht="14.4" x14ac:dyDescent="0.3">
      <c r="A898" s="42">
        <v>0</v>
      </c>
      <c r="B898" s="43">
        <v>0</v>
      </c>
      <c r="C898" s="78">
        <v>0</v>
      </c>
      <c r="D898" s="42"/>
    </row>
    <row r="899" spans="1:4" ht="14.4" x14ac:dyDescent="0.3">
      <c r="A899" s="42">
        <v>0</v>
      </c>
      <c r="B899" s="43">
        <v>0</v>
      </c>
      <c r="C899" s="78">
        <v>0</v>
      </c>
      <c r="D899" s="42"/>
    </row>
    <row r="900" spans="1:4" ht="14.4" x14ac:dyDescent="0.3">
      <c r="A900" s="42">
        <v>0</v>
      </c>
      <c r="B900" s="43">
        <v>0</v>
      </c>
      <c r="C900" s="78">
        <v>0</v>
      </c>
      <c r="D900" s="42"/>
    </row>
    <row r="901" spans="1:4" ht="14.4" x14ac:dyDescent="0.3">
      <c r="A901" s="42">
        <v>0</v>
      </c>
      <c r="B901" s="43">
        <v>0</v>
      </c>
      <c r="C901" s="78">
        <v>0</v>
      </c>
      <c r="D901" s="42"/>
    </row>
    <row r="902" spans="1:4" ht="14.4" x14ac:dyDescent="0.3">
      <c r="A902" s="42">
        <v>0</v>
      </c>
      <c r="B902" s="43">
        <v>0</v>
      </c>
      <c r="C902" s="78">
        <v>0</v>
      </c>
      <c r="D902" s="42"/>
    </row>
    <row r="903" spans="1:4" ht="14.4" x14ac:dyDescent="0.3">
      <c r="A903" s="42">
        <v>0</v>
      </c>
      <c r="B903" s="43">
        <v>0</v>
      </c>
      <c r="C903" s="78">
        <v>0</v>
      </c>
      <c r="D903" s="42"/>
    </row>
    <row r="904" spans="1:4" ht="14.4" x14ac:dyDescent="0.3">
      <c r="A904" s="42">
        <v>0</v>
      </c>
      <c r="B904" s="43">
        <v>0</v>
      </c>
      <c r="C904" s="78">
        <v>0</v>
      </c>
      <c r="D904" s="42"/>
    </row>
    <row r="905" spans="1:4" ht="14.4" x14ac:dyDescent="0.3">
      <c r="A905" s="42">
        <v>0</v>
      </c>
      <c r="B905" s="43">
        <v>0</v>
      </c>
      <c r="C905" s="78">
        <v>0</v>
      </c>
      <c r="D905" s="42"/>
    </row>
    <row r="906" spans="1:4" ht="14.4" x14ac:dyDescent="0.3">
      <c r="A906" s="42">
        <v>0</v>
      </c>
      <c r="B906" s="43">
        <v>0</v>
      </c>
      <c r="C906" s="78">
        <v>0</v>
      </c>
      <c r="D906" s="42"/>
    </row>
    <row r="907" spans="1:4" ht="14.4" x14ac:dyDescent="0.3">
      <c r="A907" s="42">
        <v>0</v>
      </c>
      <c r="B907" s="43">
        <v>0</v>
      </c>
      <c r="C907" s="78">
        <v>0</v>
      </c>
      <c r="D907" s="42"/>
    </row>
    <row r="908" spans="1:4" ht="14.4" x14ac:dyDescent="0.3">
      <c r="A908" s="42">
        <v>0</v>
      </c>
      <c r="B908" s="43">
        <v>0</v>
      </c>
      <c r="C908" s="78">
        <v>0</v>
      </c>
      <c r="D908" s="42"/>
    </row>
    <row r="909" spans="1:4" ht="14.4" x14ac:dyDescent="0.3">
      <c r="A909" s="42">
        <v>0</v>
      </c>
      <c r="B909" s="43">
        <v>0</v>
      </c>
      <c r="C909" s="78">
        <v>0</v>
      </c>
      <c r="D909" s="42"/>
    </row>
    <row r="910" spans="1:4" ht="14.4" x14ac:dyDescent="0.3">
      <c r="A910" s="42">
        <v>0</v>
      </c>
      <c r="B910" s="43">
        <v>0</v>
      </c>
      <c r="C910" s="78">
        <v>0</v>
      </c>
      <c r="D910" s="42"/>
    </row>
    <row r="911" spans="1:4" ht="14.4" x14ac:dyDescent="0.3">
      <c r="A911" s="42">
        <v>0</v>
      </c>
      <c r="B911" s="43">
        <v>0</v>
      </c>
      <c r="C911" s="78">
        <v>0</v>
      </c>
      <c r="D911" s="42"/>
    </row>
    <row r="912" spans="1:4" ht="14.4" x14ac:dyDescent="0.3">
      <c r="A912" s="42">
        <v>0</v>
      </c>
      <c r="B912" s="43">
        <v>0</v>
      </c>
      <c r="C912" s="78">
        <v>0</v>
      </c>
      <c r="D912" s="42"/>
    </row>
    <row r="913" spans="1:4" ht="14.4" x14ac:dyDescent="0.3">
      <c r="A913" s="42">
        <v>0</v>
      </c>
      <c r="B913" s="43">
        <v>0</v>
      </c>
      <c r="C913" s="78">
        <v>0</v>
      </c>
      <c r="D913" s="42"/>
    </row>
    <row r="914" spans="1:4" ht="14.4" x14ac:dyDescent="0.3">
      <c r="A914" s="42">
        <v>0</v>
      </c>
      <c r="B914" s="43">
        <v>0</v>
      </c>
      <c r="C914" s="78">
        <v>0</v>
      </c>
      <c r="D914" s="42"/>
    </row>
    <row r="915" spans="1:4" ht="14.4" x14ac:dyDescent="0.3">
      <c r="A915" s="42">
        <v>0</v>
      </c>
      <c r="B915" s="43">
        <v>0</v>
      </c>
      <c r="C915" s="78">
        <v>0</v>
      </c>
      <c r="D915" s="42"/>
    </row>
    <row r="916" spans="1:4" ht="14.4" x14ac:dyDescent="0.3">
      <c r="A916" s="42">
        <v>0</v>
      </c>
      <c r="B916" s="43">
        <v>0</v>
      </c>
      <c r="C916" s="78">
        <v>0</v>
      </c>
      <c r="D916" s="42"/>
    </row>
    <row r="917" spans="1:4" ht="14.4" x14ac:dyDescent="0.3">
      <c r="A917" s="42">
        <v>0</v>
      </c>
      <c r="B917" s="43">
        <v>0</v>
      </c>
      <c r="C917" s="78">
        <v>0</v>
      </c>
      <c r="D917" s="42"/>
    </row>
    <row r="918" spans="1:4" ht="14.4" x14ac:dyDescent="0.3">
      <c r="A918" s="42">
        <v>0</v>
      </c>
      <c r="B918" s="43">
        <v>0</v>
      </c>
      <c r="C918" s="78">
        <v>0</v>
      </c>
      <c r="D918" s="42"/>
    </row>
    <row r="919" spans="1:4" ht="14.4" x14ac:dyDescent="0.3">
      <c r="A919" s="42">
        <v>0</v>
      </c>
      <c r="B919" s="43">
        <v>0</v>
      </c>
      <c r="C919" s="78">
        <v>0</v>
      </c>
      <c r="D919" s="42"/>
    </row>
    <row r="920" spans="1:4" ht="14.4" x14ac:dyDescent="0.3">
      <c r="A920" s="42">
        <v>0</v>
      </c>
      <c r="B920" s="43">
        <v>0</v>
      </c>
      <c r="C920" s="78">
        <v>0</v>
      </c>
      <c r="D920" s="42"/>
    </row>
    <row r="921" spans="1:4" ht="14.4" x14ac:dyDescent="0.3">
      <c r="A921" s="42">
        <v>0</v>
      </c>
      <c r="B921" s="43">
        <v>0</v>
      </c>
      <c r="C921" s="78">
        <v>0</v>
      </c>
      <c r="D921" s="42"/>
    </row>
    <row r="922" spans="1:4" ht="14.4" x14ac:dyDescent="0.3">
      <c r="A922" s="42">
        <v>0</v>
      </c>
      <c r="B922" s="43">
        <v>0</v>
      </c>
      <c r="C922" s="78">
        <v>0</v>
      </c>
      <c r="D922" s="42"/>
    </row>
    <row r="923" spans="1:4" ht="14.4" x14ac:dyDescent="0.3">
      <c r="A923" s="42">
        <v>0</v>
      </c>
      <c r="B923" s="43">
        <v>0</v>
      </c>
      <c r="C923" s="78">
        <v>0</v>
      </c>
      <c r="D923" s="42"/>
    </row>
    <row r="924" spans="1:4" ht="14.4" x14ac:dyDescent="0.3">
      <c r="A924" s="42">
        <v>0</v>
      </c>
      <c r="B924" s="43">
        <v>0</v>
      </c>
      <c r="C924" s="78">
        <v>0</v>
      </c>
      <c r="D924" s="42"/>
    </row>
    <row r="925" spans="1:4" ht="14.4" x14ac:dyDescent="0.3">
      <c r="A925" s="42">
        <v>0</v>
      </c>
      <c r="B925" s="43">
        <v>0</v>
      </c>
      <c r="C925" s="78">
        <v>0</v>
      </c>
      <c r="D925" s="42"/>
    </row>
    <row r="926" spans="1:4" ht="14.4" x14ac:dyDescent="0.3">
      <c r="A926" s="42">
        <v>0</v>
      </c>
      <c r="B926" s="43">
        <v>0</v>
      </c>
      <c r="C926" s="78">
        <v>0</v>
      </c>
      <c r="D926" s="42"/>
    </row>
    <row r="927" spans="1:4" ht="14.4" x14ac:dyDescent="0.3">
      <c r="A927" s="42">
        <v>0</v>
      </c>
      <c r="B927" s="43">
        <v>0</v>
      </c>
      <c r="C927" s="78">
        <v>0</v>
      </c>
      <c r="D927" s="42"/>
    </row>
    <row r="928" spans="1:4" ht="14.4" x14ac:dyDescent="0.3">
      <c r="A928" s="42">
        <v>0</v>
      </c>
      <c r="B928" s="43">
        <v>0</v>
      </c>
      <c r="C928" s="78">
        <v>0</v>
      </c>
      <c r="D928" s="42"/>
    </row>
    <row r="929" spans="1:4" ht="14.4" x14ac:dyDescent="0.3">
      <c r="A929" s="42">
        <v>0</v>
      </c>
      <c r="B929" s="43">
        <v>0</v>
      </c>
      <c r="C929" s="78">
        <v>0</v>
      </c>
      <c r="D929" s="42"/>
    </row>
    <row r="930" spans="1:4" ht="14.4" x14ac:dyDescent="0.3">
      <c r="A930" s="42">
        <v>0</v>
      </c>
      <c r="B930" s="43">
        <v>0</v>
      </c>
      <c r="C930" s="78">
        <v>0</v>
      </c>
      <c r="D930" s="42"/>
    </row>
    <row r="931" spans="1:4" ht="14.4" x14ac:dyDescent="0.3">
      <c r="A931" s="42">
        <v>0</v>
      </c>
      <c r="B931" s="43">
        <v>0</v>
      </c>
      <c r="C931" s="78">
        <v>0</v>
      </c>
      <c r="D931" s="42"/>
    </row>
    <row r="932" spans="1:4" ht="14.4" x14ac:dyDescent="0.3">
      <c r="A932" s="42">
        <v>0</v>
      </c>
      <c r="B932" s="43">
        <v>0</v>
      </c>
      <c r="C932" s="78">
        <v>0</v>
      </c>
      <c r="D932" s="42"/>
    </row>
    <row r="933" spans="1:4" ht="14.4" x14ac:dyDescent="0.3">
      <c r="A933" s="42">
        <v>0</v>
      </c>
      <c r="B933" s="43">
        <v>0</v>
      </c>
      <c r="C933" s="78">
        <v>0</v>
      </c>
      <c r="D933" s="42"/>
    </row>
    <row r="934" spans="1:4" ht="14.4" x14ac:dyDescent="0.3">
      <c r="A934" s="42">
        <v>0</v>
      </c>
      <c r="B934" s="43">
        <v>0</v>
      </c>
      <c r="C934" s="78">
        <v>0</v>
      </c>
      <c r="D934" s="42"/>
    </row>
    <row r="935" spans="1:4" ht="14.4" x14ac:dyDescent="0.3">
      <c r="A935" s="42">
        <v>0</v>
      </c>
      <c r="B935" s="43">
        <v>0</v>
      </c>
      <c r="C935" s="78">
        <v>0</v>
      </c>
      <c r="D935" s="42"/>
    </row>
    <row r="936" spans="1:4" ht="14.4" x14ac:dyDescent="0.3">
      <c r="A936" s="42">
        <v>0</v>
      </c>
      <c r="B936" s="43">
        <v>0</v>
      </c>
      <c r="C936" s="78">
        <v>0</v>
      </c>
      <c r="D936" s="42"/>
    </row>
    <row r="937" spans="1:4" ht="14.4" x14ac:dyDescent="0.3">
      <c r="A937" s="42">
        <v>0</v>
      </c>
      <c r="B937" s="43">
        <v>0</v>
      </c>
      <c r="C937" s="78">
        <v>0</v>
      </c>
      <c r="D937" s="42"/>
    </row>
    <row r="938" spans="1:4" ht="14.4" x14ac:dyDescent="0.3">
      <c r="A938" s="42">
        <v>0</v>
      </c>
      <c r="B938" s="43">
        <v>0</v>
      </c>
      <c r="C938" s="78">
        <v>0</v>
      </c>
      <c r="D938" s="42"/>
    </row>
    <row r="939" spans="1:4" ht="14.4" x14ac:dyDescent="0.3">
      <c r="A939" s="42">
        <v>0</v>
      </c>
      <c r="B939" s="43">
        <v>0</v>
      </c>
      <c r="C939" s="78">
        <v>0</v>
      </c>
      <c r="D939" s="42"/>
    </row>
    <row r="940" spans="1:4" ht="14.4" x14ac:dyDescent="0.3">
      <c r="A940" s="42">
        <v>0</v>
      </c>
      <c r="B940" s="43">
        <v>0</v>
      </c>
      <c r="C940" s="78">
        <v>0</v>
      </c>
      <c r="D940" s="42"/>
    </row>
    <row r="941" spans="1:4" ht="14.4" x14ac:dyDescent="0.3">
      <c r="A941" s="42">
        <v>0</v>
      </c>
      <c r="B941" s="43">
        <v>0</v>
      </c>
      <c r="C941" s="78">
        <v>0</v>
      </c>
      <c r="D941" s="42"/>
    </row>
    <row r="942" spans="1:4" ht="14.4" x14ac:dyDescent="0.3">
      <c r="A942" s="42">
        <v>0</v>
      </c>
      <c r="B942" s="43">
        <v>0</v>
      </c>
      <c r="C942" s="78">
        <v>0</v>
      </c>
      <c r="D942" s="42"/>
    </row>
    <row r="943" spans="1:4" ht="14.4" x14ac:dyDescent="0.3">
      <c r="A943" s="42">
        <v>0</v>
      </c>
      <c r="B943" s="43">
        <v>0</v>
      </c>
      <c r="C943" s="78">
        <v>0</v>
      </c>
      <c r="D943" s="42"/>
    </row>
    <row r="944" spans="1:4" ht="14.4" x14ac:dyDescent="0.3">
      <c r="A944" s="42">
        <v>0</v>
      </c>
      <c r="B944" s="43">
        <v>0</v>
      </c>
      <c r="C944" s="78">
        <v>0</v>
      </c>
      <c r="D944" s="42"/>
    </row>
    <row r="945" spans="1:4" ht="14.4" x14ac:dyDescent="0.3">
      <c r="A945" s="42">
        <v>0</v>
      </c>
      <c r="B945" s="43">
        <v>0</v>
      </c>
      <c r="C945" s="78">
        <v>0</v>
      </c>
      <c r="D945" s="42"/>
    </row>
    <row r="946" spans="1:4" ht="14.4" x14ac:dyDescent="0.3">
      <c r="A946" s="42">
        <v>0</v>
      </c>
      <c r="B946" s="43">
        <v>0</v>
      </c>
      <c r="C946" s="78">
        <v>0</v>
      </c>
      <c r="D946" s="42"/>
    </row>
    <row r="947" spans="1:4" ht="14.4" x14ac:dyDescent="0.3">
      <c r="A947" s="42">
        <v>0</v>
      </c>
      <c r="B947" s="43">
        <v>0</v>
      </c>
      <c r="C947" s="78">
        <v>0</v>
      </c>
      <c r="D947" s="42"/>
    </row>
    <row r="948" spans="1:4" ht="14.4" x14ac:dyDescent="0.3">
      <c r="A948" s="42">
        <v>0</v>
      </c>
      <c r="B948" s="43">
        <v>0</v>
      </c>
      <c r="C948" s="78">
        <v>0</v>
      </c>
      <c r="D948" s="42"/>
    </row>
    <row r="949" spans="1:4" ht="14.4" x14ac:dyDescent="0.3">
      <c r="A949" s="42">
        <v>0</v>
      </c>
      <c r="B949" s="43">
        <v>0</v>
      </c>
      <c r="C949" s="78">
        <v>0</v>
      </c>
      <c r="D949" s="42"/>
    </row>
    <row r="950" spans="1:4" ht="14.4" x14ac:dyDescent="0.3">
      <c r="A950" s="42">
        <v>0</v>
      </c>
      <c r="B950" s="43">
        <v>0</v>
      </c>
      <c r="C950" s="78">
        <v>0</v>
      </c>
      <c r="D950" s="42"/>
    </row>
    <row r="951" spans="1:4" ht="14.4" x14ac:dyDescent="0.3">
      <c r="A951" s="42">
        <v>0</v>
      </c>
      <c r="B951" s="43">
        <v>0</v>
      </c>
      <c r="C951" s="78">
        <v>0</v>
      </c>
      <c r="D951" s="42"/>
    </row>
    <row r="952" spans="1:4" ht="14.4" x14ac:dyDescent="0.3">
      <c r="A952" s="42">
        <v>0</v>
      </c>
      <c r="B952" s="43">
        <v>0</v>
      </c>
      <c r="C952" s="78">
        <v>0</v>
      </c>
      <c r="D952" s="42"/>
    </row>
    <row r="953" spans="1:4" ht="14.4" x14ac:dyDescent="0.3">
      <c r="A953" s="42">
        <v>0</v>
      </c>
      <c r="B953" s="43">
        <v>0</v>
      </c>
      <c r="C953" s="78">
        <v>0</v>
      </c>
      <c r="D953" s="42"/>
    </row>
    <row r="954" spans="1:4" ht="14.4" x14ac:dyDescent="0.3">
      <c r="A954" s="42">
        <v>0</v>
      </c>
      <c r="B954" s="43">
        <v>0</v>
      </c>
      <c r="C954" s="78">
        <v>0</v>
      </c>
      <c r="D954" s="42"/>
    </row>
    <row r="955" spans="1:4" ht="14.4" x14ac:dyDescent="0.3">
      <c r="A955" s="42">
        <v>0</v>
      </c>
      <c r="B955" s="43">
        <v>0</v>
      </c>
      <c r="C955" s="78">
        <v>0</v>
      </c>
      <c r="D955" s="42"/>
    </row>
    <row r="956" spans="1:4" ht="14.4" x14ac:dyDescent="0.3">
      <c r="A956" s="42">
        <v>0</v>
      </c>
      <c r="B956" s="43">
        <v>0</v>
      </c>
      <c r="C956" s="78">
        <v>0</v>
      </c>
      <c r="D956" s="42"/>
    </row>
    <row r="957" spans="1:4" ht="14.4" x14ac:dyDescent="0.3">
      <c r="A957" s="42">
        <v>0</v>
      </c>
      <c r="B957" s="43">
        <v>0</v>
      </c>
      <c r="C957" s="78">
        <v>0</v>
      </c>
      <c r="D957" s="42"/>
    </row>
    <row r="958" spans="1:4" ht="14.4" x14ac:dyDescent="0.3">
      <c r="A958" s="42">
        <v>0</v>
      </c>
      <c r="B958" s="43">
        <v>0</v>
      </c>
      <c r="C958" s="78">
        <v>0</v>
      </c>
      <c r="D958" s="42"/>
    </row>
    <row r="959" spans="1:4" ht="14.4" x14ac:dyDescent="0.3">
      <c r="A959" s="42">
        <v>0</v>
      </c>
      <c r="B959" s="43">
        <v>0</v>
      </c>
      <c r="C959" s="78">
        <v>0</v>
      </c>
      <c r="D959" s="42"/>
    </row>
    <row r="960" spans="1:4" ht="14.4" x14ac:dyDescent="0.3">
      <c r="A960" s="42">
        <v>0</v>
      </c>
      <c r="B960" s="43">
        <v>0</v>
      </c>
      <c r="C960" s="78">
        <v>0</v>
      </c>
      <c r="D960" s="42"/>
    </row>
    <row r="961" spans="1:4" ht="14.4" x14ac:dyDescent="0.3">
      <c r="A961" s="42">
        <v>0</v>
      </c>
      <c r="B961" s="43">
        <v>0</v>
      </c>
      <c r="C961" s="78">
        <v>0</v>
      </c>
      <c r="D961" s="42"/>
    </row>
    <row r="962" spans="1:4" ht="14.4" x14ac:dyDescent="0.3">
      <c r="A962" s="42">
        <v>0</v>
      </c>
      <c r="B962" s="43">
        <v>0</v>
      </c>
      <c r="C962" s="78">
        <v>0</v>
      </c>
      <c r="D962" s="42"/>
    </row>
    <row r="963" spans="1:4" ht="14.4" x14ac:dyDescent="0.3">
      <c r="A963" s="42">
        <v>0</v>
      </c>
      <c r="B963" s="43">
        <v>0</v>
      </c>
      <c r="C963" s="78">
        <v>0</v>
      </c>
      <c r="D963" s="42"/>
    </row>
    <row r="964" spans="1:4" ht="14.4" x14ac:dyDescent="0.3">
      <c r="A964" s="42">
        <v>0</v>
      </c>
      <c r="B964" s="43">
        <v>0</v>
      </c>
      <c r="C964" s="78">
        <v>0</v>
      </c>
      <c r="D964" s="42"/>
    </row>
    <row r="965" spans="1:4" ht="14.4" x14ac:dyDescent="0.3">
      <c r="A965" s="42">
        <v>0</v>
      </c>
      <c r="B965" s="43">
        <v>0</v>
      </c>
      <c r="C965" s="78">
        <v>0</v>
      </c>
      <c r="D965" s="42"/>
    </row>
    <row r="966" spans="1:4" ht="14.4" x14ac:dyDescent="0.3">
      <c r="A966" s="42">
        <v>0</v>
      </c>
      <c r="B966" s="43">
        <v>0</v>
      </c>
      <c r="C966" s="78">
        <v>0</v>
      </c>
      <c r="D966" s="42"/>
    </row>
    <row r="967" spans="1:4" ht="14.4" x14ac:dyDescent="0.3">
      <c r="A967" s="42">
        <v>0</v>
      </c>
      <c r="B967" s="43">
        <v>0</v>
      </c>
      <c r="C967" s="78">
        <v>0</v>
      </c>
      <c r="D967" s="42"/>
    </row>
    <row r="968" spans="1:4" ht="14.4" x14ac:dyDescent="0.3">
      <c r="A968" s="42">
        <v>0</v>
      </c>
      <c r="B968" s="43">
        <v>0</v>
      </c>
      <c r="C968" s="78">
        <v>0</v>
      </c>
      <c r="D968" s="42"/>
    </row>
    <row r="969" spans="1:4" ht="14.4" x14ac:dyDescent="0.3">
      <c r="A969" s="42">
        <v>0</v>
      </c>
      <c r="B969" s="43">
        <v>0</v>
      </c>
      <c r="C969" s="78">
        <v>0</v>
      </c>
      <c r="D969" s="42"/>
    </row>
    <row r="970" spans="1:4" ht="14.4" x14ac:dyDescent="0.3">
      <c r="A970" s="42">
        <v>0</v>
      </c>
      <c r="B970" s="43">
        <v>0</v>
      </c>
      <c r="C970" s="78">
        <v>0</v>
      </c>
      <c r="D970" s="42"/>
    </row>
    <row r="971" spans="1:4" ht="14.4" x14ac:dyDescent="0.3">
      <c r="A971" s="42">
        <v>0</v>
      </c>
      <c r="B971" s="43">
        <v>0</v>
      </c>
      <c r="C971" s="78">
        <v>0</v>
      </c>
      <c r="D971" s="42"/>
    </row>
    <row r="972" spans="1:4" ht="14.4" x14ac:dyDescent="0.3">
      <c r="A972" s="42">
        <v>0</v>
      </c>
      <c r="B972" s="43">
        <v>0</v>
      </c>
      <c r="C972" s="78">
        <v>0</v>
      </c>
      <c r="D972" s="42"/>
    </row>
    <row r="973" spans="1:4" ht="14.4" x14ac:dyDescent="0.3">
      <c r="A973" s="42">
        <v>0</v>
      </c>
      <c r="B973" s="43">
        <v>0</v>
      </c>
      <c r="C973" s="78">
        <v>0</v>
      </c>
      <c r="D973" s="42"/>
    </row>
    <row r="974" spans="1:4" ht="14.4" x14ac:dyDescent="0.3">
      <c r="A974" s="42">
        <v>0</v>
      </c>
      <c r="B974" s="43">
        <v>0</v>
      </c>
      <c r="C974" s="78">
        <v>0</v>
      </c>
      <c r="D974" s="42"/>
    </row>
    <row r="975" spans="1:4" ht="14.4" x14ac:dyDescent="0.3">
      <c r="A975" s="42">
        <v>0</v>
      </c>
      <c r="B975" s="43">
        <v>0</v>
      </c>
      <c r="C975" s="78">
        <v>0</v>
      </c>
      <c r="D975" s="42"/>
    </row>
    <row r="976" spans="1:4" ht="14.4" x14ac:dyDescent="0.3">
      <c r="A976" s="42">
        <v>0</v>
      </c>
      <c r="B976" s="43">
        <v>0</v>
      </c>
      <c r="C976" s="78">
        <v>0</v>
      </c>
      <c r="D976" s="42"/>
    </row>
    <row r="977" spans="1:4" ht="14.4" x14ac:dyDescent="0.3">
      <c r="A977" s="42">
        <v>0</v>
      </c>
      <c r="B977" s="43">
        <v>0</v>
      </c>
      <c r="C977" s="78">
        <v>0</v>
      </c>
      <c r="D977" s="42"/>
    </row>
    <row r="978" spans="1:4" ht="14.4" x14ac:dyDescent="0.3">
      <c r="A978" s="42">
        <v>0</v>
      </c>
      <c r="B978" s="43">
        <v>0</v>
      </c>
      <c r="C978" s="78">
        <v>0</v>
      </c>
      <c r="D978" s="42"/>
    </row>
    <row r="979" spans="1:4" ht="14.4" x14ac:dyDescent="0.3">
      <c r="A979" s="42">
        <v>0</v>
      </c>
      <c r="B979" s="43">
        <v>0</v>
      </c>
      <c r="C979" s="78">
        <v>0</v>
      </c>
      <c r="D979" s="42"/>
    </row>
    <row r="980" spans="1:4" ht="14.4" x14ac:dyDescent="0.3">
      <c r="A980" s="42">
        <v>0</v>
      </c>
      <c r="B980" s="43">
        <v>0</v>
      </c>
      <c r="C980" s="78">
        <v>0</v>
      </c>
      <c r="D980" s="42"/>
    </row>
    <row r="981" spans="1:4" ht="14.4" x14ac:dyDescent="0.3">
      <c r="A981" s="42">
        <v>0</v>
      </c>
      <c r="B981" s="43">
        <v>0</v>
      </c>
      <c r="C981" s="78">
        <v>0</v>
      </c>
      <c r="D981" s="42"/>
    </row>
    <row r="982" spans="1:4" ht="14.4" x14ac:dyDescent="0.3">
      <c r="A982" s="42">
        <v>0</v>
      </c>
      <c r="B982" s="43">
        <v>0</v>
      </c>
      <c r="C982" s="78">
        <v>0</v>
      </c>
      <c r="D982" s="42"/>
    </row>
    <row r="983" spans="1:4" ht="14.4" x14ac:dyDescent="0.3">
      <c r="A983" s="42">
        <v>0</v>
      </c>
      <c r="B983" s="43">
        <v>0</v>
      </c>
      <c r="C983" s="78">
        <v>0</v>
      </c>
      <c r="D983" s="42"/>
    </row>
    <row r="984" spans="1:4" ht="14.4" x14ac:dyDescent="0.3">
      <c r="A984" s="42">
        <v>0</v>
      </c>
      <c r="B984" s="43">
        <v>0</v>
      </c>
      <c r="C984" s="78">
        <v>0</v>
      </c>
      <c r="D984" s="42"/>
    </row>
    <row r="985" spans="1:4" ht="14.4" x14ac:dyDescent="0.3">
      <c r="A985" s="42">
        <v>0</v>
      </c>
      <c r="B985" s="43">
        <v>0</v>
      </c>
      <c r="C985" s="78">
        <v>0</v>
      </c>
      <c r="D985" s="42"/>
    </row>
    <row r="986" spans="1:4" ht="14.4" x14ac:dyDescent="0.3">
      <c r="A986" s="42">
        <v>0</v>
      </c>
      <c r="B986" s="43">
        <v>0</v>
      </c>
      <c r="C986" s="78">
        <v>0</v>
      </c>
      <c r="D986" s="42"/>
    </row>
    <row r="987" spans="1:4" ht="14.4" x14ac:dyDescent="0.3">
      <c r="A987" s="42">
        <v>0</v>
      </c>
      <c r="B987" s="43">
        <v>0</v>
      </c>
      <c r="C987" s="78">
        <v>0</v>
      </c>
      <c r="D987" s="42"/>
    </row>
    <row r="988" spans="1:4" ht="14.4" x14ac:dyDescent="0.3">
      <c r="A988" s="42">
        <v>0</v>
      </c>
      <c r="B988" s="43">
        <v>0</v>
      </c>
      <c r="C988" s="78">
        <v>0</v>
      </c>
      <c r="D988" s="42"/>
    </row>
    <row r="989" spans="1:4" ht="14.4" x14ac:dyDescent="0.3">
      <c r="A989" s="42">
        <v>0</v>
      </c>
      <c r="B989" s="43">
        <v>0</v>
      </c>
      <c r="C989" s="78">
        <v>0</v>
      </c>
      <c r="D989" s="42"/>
    </row>
    <row r="990" spans="1:4" ht="14.4" x14ac:dyDescent="0.3">
      <c r="A990" s="42">
        <v>0</v>
      </c>
      <c r="B990" s="43">
        <v>0</v>
      </c>
      <c r="C990" s="78">
        <v>0</v>
      </c>
      <c r="D990" s="42"/>
    </row>
    <row r="991" spans="1:4" ht="14.4" x14ac:dyDescent="0.3">
      <c r="A991" s="42">
        <v>0</v>
      </c>
      <c r="B991" s="43">
        <v>0</v>
      </c>
      <c r="C991" s="78">
        <v>0</v>
      </c>
      <c r="D991" s="42"/>
    </row>
    <row r="992" spans="1:4" ht="14.4" x14ac:dyDescent="0.3">
      <c r="A992" s="42">
        <v>0</v>
      </c>
      <c r="B992" s="43">
        <v>0</v>
      </c>
      <c r="C992" s="78">
        <v>0</v>
      </c>
      <c r="D992" s="42"/>
    </row>
    <row r="993" spans="1:4" ht="14.4" x14ac:dyDescent="0.3">
      <c r="A993" s="42">
        <v>0</v>
      </c>
      <c r="B993" s="43">
        <v>0</v>
      </c>
      <c r="C993" s="78">
        <v>0</v>
      </c>
      <c r="D993" s="42"/>
    </row>
    <row r="994" spans="1:4" ht="14.4" x14ac:dyDescent="0.3">
      <c r="A994" s="42">
        <v>0</v>
      </c>
      <c r="B994" s="43">
        <v>0</v>
      </c>
      <c r="C994" s="78">
        <v>0</v>
      </c>
      <c r="D994" s="42"/>
    </row>
    <row r="995" spans="1:4" ht="14.4" x14ac:dyDescent="0.3">
      <c r="A995" s="42">
        <v>0</v>
      </c>
      <c r="B995" s="43">
        <v>0</v>
      </c>
      <c r="C995" s="78">
        <v>0</v>
      </c>
      <c r="D995" s="42"/>
    </row>
    <row r="996" spans="1:4" ht="14.4" x14ac:dyDescent="0.3">
      <c r="A996" s="42">
        <v>0</v>
      </c>
      <c r="B996" s="43">
        <v>0</v>
      </c>
      <c r="C996" s="78">
        <v>0</v>
      </c>
      <c r="D996" s="42"/>
    </row>
    <row r="997" spans="1:4" ht="14.4" x14ac:dyDescent="0.3">
      <c r="A997" s="42">
        <v>0</v>
      </c>
      <c r="B997" s="43">
        <v>0</v>
      </c>
      <c r="C997" s="78">
        <v>0</v>
      </c>
      <c r="D997" s="42"/>
    </row>
    <row r="998" spans="1:4" ht="14.4" x14ac:dyDescent="0.3">
      <c r="A998" s="42">
        <v>0</v>
      </c>
      <c r="B998" s="43">
        <v>0</v>
      </c>
      <c r="C998" s="78">
        <v>0</v>
      </c>
      <c r="D998" s="42"/>
    </row>
    <row r="999" spans="1:4" ht="14.4" x14ac:dyDescent="0.3">
      <c r="A999" s="42">
        <v>0</v>
      </c>
      <c r="B999" s="43">
        <v>0</v>
      </c>
      <c r="C999" s="78">
        <v>0</v>
      </c>
      <c r="D999" s="42"/>
    </row>
    <row r="1000" spans="1:4" ht="14.4" x14ac:dyDescent="0.3">
      <c r="A1000" s="42">
        <v>0</v>
      </c>
      <c r="B1000" s="43">
        <v>0</v>
      </c>
      <c r="C1000" s="78">
        <v>0</v>
      </c>
      <c r="D1000" s="42"/>
    </row>
    <row r="1001" spans="1:4" x14ac:dyDescent="0.25">
      <c r="A1001" s="2">
        <v>0</v>
      </c>
      <c r="B1001" s="38">
        <v>0</v>
      </c>
      <c r="C1001" s="79">
        <v>0</v>
      </c>
    </row>
    <row r="1002" spans="1:4" x14ac:dyDescent="0.25">
      <c r="A1002" s="2">
        <v>0</v>
      </c>
      <c r="B1002" s="38">
        <v>0</v>
      </c>
      <c r="C1002" s="79">
        <v>0</v>
      </c>
    </row>
    <row r="1003" spans="1:4" x14ac:dyDescent="0.25">
      <c r="A1003" s="2">
        <v>0</v>
      </c>
      <c r="B1003" s="38">
        <v>0</v>
      </c>
      <c r="C1003" s="79">
        <v>0</v>
      </c>
    </row>
    <row r="1004" spans="1:4" x14ac:dyDescent="0.25">
      <c r="A1004" s="2">
        <v>0</v>
      </c>
      <c r="B1004" s="38">
        <v>0</v>
      </c>
      <c r="C1004" s="79">
        <v>0</v>
      </c>
    </row>
    <row r="1005" spans="1:4" x14ac:dyDescent="0.25">
      <c r="A1005" s="2">
        <v>0</v>
      </c>
      <c r="B1005" s="38">
        <v>0</v>
      </c>
      <c r="C1005" s="79">
        <v>0</v>
      </c>
    </row>
    <row r="1006" spans="1:4" x14ac:dyDescent="0.25">
      <c r="A1006" s="2">
        <v>0</v>
      </c>
      <c r="B1006" s="38">
        <v>0</v>
      </c>
      <c r="C1006" s="79">
        <v>0</v>
      </c>
    </row>
    <row r="1007" spans="1:4" x14ac:dyDescent="0.25">
      <c r="A1007" s="2">
        <v>0</v>
      </c>
      <c r="B1007" s="38">
        <v>0</v>
      </c>
      <c r="C1007" s="79">
        <v>0</v>
      </c>
    </row>
    <row r="1008" spans="1:4" x14ac:dyDescent="0.25">
      <c r="A1008" s="2">
        <v>0</v>
      </c>
      <c r="B1008" s="38">
        <v>0</v>
      </c>
      <c r="C1008" s="79">
        <v>0</v>
      </c>
    </row>
    <row r="1009" spans="1:3" x14ac:dyDescent="0.25">
      <c r="A1009" s="2">
        <v>0</v>
      </c>
      <c r="B1009" s="38">
        <v>0</v>
      </c>
      <c r="C1009" s="79">
        <v>0</v>
      </c>
    </row>
    <row r="1010" spans="1:3" x14ac:dyDescent="0.25">
      <c r="A1010" s="2">
        <v>0</v>
      </c>
      <c r="B1010" s="38">
        <v>0</v>
      </c>
      <c r="C1010" s="79">
        <v>0</v>
      </c>
    </row>
    <row r="1011" spans="1:3" x14ac:dyDescent="0.25">
      <c r="A1011" s="2">
        <v>0</v>
      </c>
      <c r="B1011" s="38">
        <v>0</v>
      </c>
      <c r="C1011" s="79">
        <v>0</v>
      </c>
    </row>
    <row r="1012" spans="1:3" x14ac:dyDescent="0.25">
      <c r="A1012" s="2">
        <v>0</v>
      </c>
      <c r="B1012" s="38">
        <v>0</v>
      </c>
      <c r="C1012" s="79">
        <v>0</v>
      </c>
    </row>
    <row r="1013" spans="1:3" x14ac:dyDescent="0.25">
      <c r="A1013" s="2">
        <v>0</v>
      </c>
      <c r="B1013" s="38">
        <v>0</v>
      </c>
      <c r="C1013" s="79">
        <v>0</v>
      </c>
    </row>
    <row r="1014" spans="1:3" x14ac:dyDescent="0.25">
      <c r="A1014" s="2">
        <v>0</v>
      </c>
      <c r="B1014" s="38">
        <v>0</v>
      </c>
      <c r="C1014" s="79">
        <v>0</v>
      </c>
    </row>
    <row r="1015" spans="1:3" x14ac:dyDescent="0.25">
      <c r="A1015" s="2">
        <v>0</v>
      </c>
      <c r="B1015" s="38">
        <v>0</v>
      </c>
      <c r="C1015" s="79">
        <v>0</v>
      </c>
    </row>
    <row r="1016" spans="1:3" x14ac:dyDescent="0.25">
      <c r="A1016" s="2">
        <v>0</v>
      </c>
      <c r="B1016" s="38">
        <v>0</v>
      </c>
      <c r="C1016" s="79">
        <v>0</v>
      </c>
    </row>
    <row r="1017" spans="1:3" x14ac:dyDescent="0.25">
      <c r="A1017" s="2">
        <v>0</v>
      </c>
      <c r="B1017" s="38">
        <v>0</v>
      </c>
      <c r="C1017" s="79">
        <v>0</v>
      </c>
    </row>
    <row r="1018" spans="1:3" x14ac:dyDescent="0.25">
      <c r="A1018" s="2">
        <v>0</v>
      </c>
      <c r="B1018" s="38">
        <v>0</v>
      </c>
      <c r="C1018" s="79">
        <v>0</v>
      </c>
    </row>
    <row r="1019" spans="1:3" x14ac:dyDescent="0.25">
      <c r="A1019" s="2">
        <v>0</v>
      </c>
      <c r="B1019" s="38">
        <v>0</v>
      </c>
      <c r="C1019" s="79">
        <v>0</v>
      </c>
    </row>
    <row r="1020" spans="1:3" x14ac:dyDescent="0.25">
      <c r="A1020" s="2">
        <v>0</v>
      </c>
      <c r="B1020" s="38">
        <v>0</v>
      </c>
      <c r="C1020" s="79">
        <v>0</v>
      </c>
    </row>
    <row r="1021" spans="1:3" x14ac:dyDescent="0.25">
      <c r="A1021" s="2">
        <v>0</v>
      </c>
      <c r="B1021" s="38">
        <v>0</v>
      </c>
      <c r="C1021" s="79">
        <v>0</v>
      </c>
    </row>
    <row r="1022" spans="1:3" x14ac:dyDescent="0.25">
      <c r="A1022" s="2">
        <v>0</v>
      </c>
      <c r="B1022" s="38">
        <v>0</v>
      </c>
      <c r="C1022" s="79">
        <v>0</v>
      </c>
    </row>
    <row r="1023" spans="1:3" x14ac:dyDescent="0.25">
      <c r="A1023" s="2">
        <v>0</v>
      </c>
      <c r="B1023" s="38">
        <v>0</v>
      </c>
      <c r="C1023" s="79">
        <v>0</v>
      </c>
    </row>
    <row r="1024" spans="1:3" x14ac:dyDescent="0.25">
      <c r="A1024" s="2">
        <v>0</v>
      </c>
      <c r="B1024" s="38">
        <v>0</v>
      </c>
      <c r="C1024" s="79">
        <v>0</v>
      </c>
    </row>
    <row r="1025" spans="1:3" x14ac:dyDescent="0.25">
      <c r="A1025" s="2">
        <v>0</v>
      </c>
      <c r="B1025" s="38">
        <v>0</v>
      </c>
      <c r="C1025" s="79">
        <v>0</v>
      </c>
    </row>
    <row r="1026" spans="1:3" x14ac:dyDescent="0.25">
      <c r="A1026" s="2">
        <v>0</v>
      </c>
      <c r="B1026" s="38">
        <v>0</v>
      </c>
      <c r="C1026" s="79">
        <v>0</v>
      </c>
    </row>
    <row r="1027" spans="1:3" x14ac:dyDescent="0.25">
      <c r="A1027" s="2">
        <v>0</v>
      </c>
      <c r="B1027" s="38">
        <v>0</v>
      </c>
      <c r="C1027" s="79">
        <v>0</v>
      </c>
    </row>
    <row r="1028" spans="1:3" x14ac:dyDescent="0.25">
      <c r="A1028" s="2">
        <v>0</v>
      </c>
      <c r="B1028" s="38">
        <v>0</v>
      </c>
      <c r="C1028" s="79">
        <v>0</v>
      </c>
    </row>
    <row r="1029" spans="1:3" x14ac:dyDescent="0.25">
      <c r="A1029" s="2">
        <v>0</v>
      </c>
      <c r="B1029" s="38">
        <v>0</v>
      </c>
      <c r="C1029" s="79">
        <v>0</v>
      </c>
    </row>
    <row r="1030" spans="1:3" x14ac:dyDescent="0.25">
      <c r="A1030" s="2">
        <v>0</v>
      </c>
      <c r="B1030" s="38">
        <v>0</v>
      </c>
      <c r="C1030" s="79">
        <v>0</v>
      </c>
    </row>
    <row r="1031" spans="1:3" x14ac:dyDescent="0.25">
      <c r="A1031" s="2">
        <v>0</v>
      </c>
      <c r="B1031" s="38">
        <v>0</v>
      </c>
      <c r="C1031" s="79">
        <v>0</v>
      </c>
    </row>
    <row r="1032" spans="1:3" x14ac:dyDescent="0.25">
      <c r="A1032" s="2">
        <v>0</v>
      </c>
      <c r="B1032" s="38">
        <v>0</v>
      </c>
      <c r="C1032" s="79">
        <v>0</v>
      </c>
    </row>
    <row r="1033" spans="1:3" x14ac:dyDescent="0.25">
      <c r="A1033" s="2">
        <v>0</v>
      </c>
      <c r="B1033" s="38">
        <v>0</v>
      </c>
      <c r="C1033" s="79">
        <v>0</v>
      </c>
    </row>
    <row r="1034" spans="1:3" x14ac:dyDescent="0.25">
      <c r="A1034" s="2">
        <v>0</v>
      </c>
      <c r="B1034" s="38">
        <v>0</v>
      </c>
      <c r="C1034" s="79">
        <v>0</v>
      </c>
    </row>
    <row r="1035" spans="1:3" x14ac:dyDescent="0.25">
      <c r="A1035" s="2">
        <v>0</v>
      </c>
      <c r="B1035" s="38">
        <v>0</v>
      </c>
      <c r="C1035" s="79">
        <v>0</v>
      </c>
    </row>
    <row r="1036" spans="1:3" x14ac:dyDescent="0.25">
      <c r="A1036" s="2">
        <v>0</v>
      </c>
      <c r="B1036" s="38">
        <v>0</v>
      </c>
      <c r="C1036" s="79">
        <v>0</v>
      </c>
    </row>
    <row r="1037" spans="1:3" x14ac:dyDescent="0.25">
      <c r="A1037" s="2">
        <v>0</v>
      </c>
      <c r="B1037" s="38">
        <v>0</v>
      </c>
      <c r="C1037" s="79">
        <v>0</v>
      </c>
    </row>
    <row r="1038" spans="1:3" x14ac:dyDescent="0.25">
      <c r="A1038" s="2">
        <v>0</v>
      </c>
      <c r="B1038" s="38">
        <v>0</v>
      </c>
      <c r="C1038" s="79">
        <v>0</v>
      </c>
    </row>
    <row r="1039" spans="1:3" x14ac:dyDescent="0.25">
      <c r="A1039" s="2">
        <v>0</v>
      </c>
      <c r="B1039" s="38">
        <v>0</v>
      </c>
      <c r="C1039" s="79">
        <v>0</v>
      </c>
    </row>
    <row r="1040" spans="1:3" x14ac:dyDescent="0.25">
      <c r="A1040" s="2">
        <v>0</v>
      </c>
      <c r="B1040" s="38">
        <v>0</v>
      </c>
      <c r="C1040" s="79">
        <v>0</v>
      </c>
    </row>
    <row r="1041" spans="1:3" x14ac:dyDescent="0.25">
      <c r="A1041" s="2">
        <v>0</v>
      </c>
      <c r="B1041" s="38">
        <v>0</v>
      </c>
      <c r="C1041" s="79">
        <v>0</v>
      </c>
    </row>
    <row r="1042" spans="1:3" x14ac:dyDescent="0.25">
      <c r="A1042" s="2">
        <v>0</v>
      </c>
      <c r="B1042" s="38">
        <v>0</v>
      </c>
      <c r="C1042" s="79">
        <v>0</v>
      </c>
    </row>
    <row r="1043" spans="1:3" x14ac:dyDescent="0.25">
      <c r="A1043" s="2">
        <v>0</v>
      </c>
      <c r="B1043" s="38">
        <v>0</v>
      </c>
      <c r="C1043" s="79">
        <v>0</v>
      </c>
    </row>
    <row r="1044" spans="1:3" x14ac:dyDescent="0.25">
      <c r="A1044" s="2">
        <v>0</v>
      </c>
      <c r="B1044" s="38">
        <v>0</v>
      </c>
      <c r="C1044" s="79">
        <v>0</v>
      </c>
    </row>
    <row r="1045" spans="1:3" x14ac:dyDescent="0.25">
      <c r="A1045" s="2">
        <v>0</v>
      </c>
      <c r="B1045" s="38">
        <v>0</v>
      </c>
      <c r="C1045" s="79">
        <v>0</v>
      </c>
    </row>
    <row r="1046" spans="1:3" x14ac:dyDescent="0.25">
      <c r="A1046" s="2">
        <v>0</v>
      </c>
      <c r="B1046" s="38">
        <v>0</v>
      </c>
      <c r="C1046" s="79">
        <v>0</v>
      </c>
    </row>
    <row r="1047" spans="1:3" x14ac:dyDescent="0.25">
      <c r="A1047" s="2">
        <v>0</v>
      </c>
      <c r="B1047" s="38">
        <v>0</v>
      </c>
      <c r="C1047" s="79">
        <v>0</v>
      </c>
    </row>
    <row r="1048" spans="1:3" x14ac:dyDescent="0.25">
      <c r="A1048" s="2">
        <v>0</v>
      </c>
      <c r="B1048" s="38">
        <v>0</v>
      </c>
      <c r="C1048" s="79">
        <v>0</v>
      </c>
    </row>
    <row r="1049" spans="1:3" x14ac:dyDescent="0.25">
      <c r="A1049" s="2">
        <v>0</v>
      </c>
      <c r="B1049" s="38">
        <v>0</v>
      </c>
      <c r="C1049" s="79">
        <v>0</v>
      </c>
    </row>
    <row r="1050" spans="1:3" x14ac:dyDescent="0.25">
      <c r="A1050" s="2">
        <v>0</v>
      </c>
      <c r="B1050" s="38">
        <v>0</v>
      </c>
      <c r="C1050" s="79">
        <v>0</v>
      </c>
    </row>
    <row r="1051" spans="1:3" x14ac:dyDescent="0.25">
      <c r="A1051" s="2">
        <v>0</v>
      </c>
      <c r="B1051" s="38">
        <v>0</v>
      </c>
      <c r="C1051" s="79">
        <v>0</v>
      </c>
    </row>
    <row r="1052" spans="1:3" x14ac:dyDescent="0.25">
      <c r="A1052" s="2">
        <v>0</v>
      </c>
      <c r="B1052" s="38">
        <v>0</v>
      </c>
      <c r="C1052" s="79">
        <v>0</v>
      </c>
    </row>
    <row r="1053" spans="1:3" x14ac:dyDescent="0.25">
      <c r="A1053" s="2">
        <v>0</v>
      </c>
      <c r="B1053" s="38">
        <v>0</v>
      </c>
      <c r="C1053" s="79">
        <v>0</v>
      </c>
    </row>
    <row r="1054" spans="1:3" x14ac:dyDescent="0.25">
      <c r="A1054" s="2">
        <v>0</v>
      </c>
      <c r="B1054" s="38">
        <v>0</v>
      </c>
      <c r="C1054" s="79">
        <v>0</v>
      </c>
    </row>
    <row r="1055" spans="1:3" x14ac:dyDescent="0.25">
      <c r="A1055" s="2">
        <v>0</v>
      </c>
      <c r="B1055" s="38">
        <v>0</v>
      </c>
      <c r="C1055" s="79">
        <v>0</v>
      </c>
    </row>
    <row r="1056" spans="1:3" x14ac:dyDescent="0.25">
      <c r="A1056" s="2">
        <v>0</v>
      </c>
      <c r="B1056" s="38">
        <v>0</v>
      </c>
      <c r="C1056" s="79">
        <v>0</v>
      </c>
    </row>
    <row r="1057" spans="1:3" x14ac:dyDescent="0.25">
      <c r="A1057" s="2">
        <v>0</v>
      </c>
      <c r="B1057" s="38">
        <v>0</v>
      </c>
      <c r="C1057" s="79">
        <v>0</v>
      </c>
    </row>
    <row r="1058" spans="1:3" x14ac:dyDescent="0.25">
      <c r="A1058" s="2">
        <v>0</v>
      </c>
      <c r="B1058" s="38">
        <v>0</v>
      </c>
      <c r="C1058" s="79">
        <v>0</v>
      </c>
    </row>
    <row r="1059" spans="1:3" x14ac:dyDescent="0.25">
      <c r="A1059" s="2">
        <v>0</v>
      </c>
      <c r="B1059" s="38">
        <v>0</v>
      </c>
      <c r="C1059" s="79">
        <v>0</v>
      </c>
    </row>
    <row r="1060" spans="1:3" x14ac:dyDescent="0.25">
      <c r="A1060" s="2">
        <v>0</v>
      </c>
      <c r="B1060" s="38">
        <v>0</v>
      </c>
      <c r="C1060" s="79">
        <v>0</v>
      </c>
    </row>
    <row r="1061" spans="1:3" x14ac:dyDescent="0.25">
      <c r="A1061" s="2">
        <v>0</v>
      </c>
      <c r="B1061" s="38">
        <v>0</v>
      </c>
      <c r="C1061" s="79">
        <v>0</v>
      </c>
    </row>
    <row r="1062" spans="1:3" x14ac:dyDescent="0.25">
      <c r="A1062" s="2">
        <v>0</v>
      </c>
      <c r="B1062" s="38">
        <v>0</v>
      </c>
      <c r="C1062" s="79">
        <v>0</v>
      </c>
    </row>
    <row r="1063" spans="1:3" x14ac:dyDescent="0.25">
      <c r="A1063" s="2">
        <v>0</v>
      </c>
      <c r="B1063" s="38">
        <v>0</v>
      </c>
      <c r="C1063" s="79">
        <v>0</v>
      </c>
    </row>
    <row r="1064" spans="1:3" x14ac:dyDescent="0.25">
      <c r="A1064" s="2">
        <v>0</v>
      </c>
      <c r="B1064" s="38">
        <v>0</v>
      </c>
      <c r="C1064" s="79">
        <v>0</v>
      </c>
    </row>
    <row r="1065" spans="1:3" x14ac:dyDescent="0.25">
      <c r="A1065" s="2">
        <v>0</v>
      </c>
      <c r="B1065" s="38">
        <v>0</v>
      </c>
      <c r="C1065" s="79">
        <v>0</v>
      </c>
    </row>
    <row r="1066" spans="1:3" x14ac:dyDescent="0.25">
      <c r="A1066" s="2">
        <v>0</v>
      </c>
      <c r="B1066" s="38">
        <v>0</v>
      </c>
      <c r="C1066" s="79">
        <v>0</v>
      </c>
    </row>
    <row r="1067" spans="1:3" x14ac:dyDescent="0.25">
      <c r="A1067" s="2">
        <v>0</v>
      </c>
      <c r="B1067" s="38">
        <v>0</v>
      </c>
      <c r="C1067" s="79">
        <v>0</v>
      </c>
    </row>
    <row r="1068" spans="1:3" x14ac:dyDescent="0.25">
      <c r="A1068" s="2">
        <v>0</v>
      </c>
      <c r="B1068" s="38">
        <v>0</v>
      </c>
      <c r="C1068" s="79">
        <v>0</v>
      </c>
    </row>
    <row r="1069" spans="1:3" x14ac:dyDescent="0.25">
      <c r="A1069" s="2">
        <v>0</v>
      </c>
      <c r="B1069" s="38">
        <v>0</v>
      </c>
      <c r="C1069" s="79">
        <v>0</v>
      </c>
    </row>
    <row r="1070" spans="1:3" x14ac:dyDescent="0.25">
      <c r="A1070" s="2">
        <v>0</v>
      </c>
      <c r="B1070" s="38">
        <v>0</v>
      </c>
      <c r="C1070" s="79">
        <v>0</v>
      </c>
    </row>
    <row r="1071" spans="1:3" x14ac:dyDescent="0.25">
      <c r="A1071" s="2">
        <v>0</v>
      </c>
      <c r="B1071" s="38">
        <v>0</v>
      </c>
      <c r="C1071" s="79">
        <v>0</v>
      </c>
    </row>
    <row r="1072" spans="1:3" x14ac:dyDescent="0.25">
      <c r="A1072" s="2">
        <v>0</v>
      </c>
      <c r="B1072" s="38">
        <v>0</v>
      </c>
      <c r="C1072" s="79">
        <v>0</v>
      </c>
    </row>
    <row r="1073" spans="1:3" x14ac:dyDescent="0.25">
      <c r="A1073" s="2">
        <v>0</v>
      </c>
      <c r="B1073" s="38">
        <v>0</v>
      </c>
      <c r="C1073" s="79">
        <v>0</v>
      </c>
    </row>
    <row r="1074" spans="1:3" x14ac:dyDescent="0.25">
      <c r="A1074" s="2">
        <v>0</v>
      </c>
      <c r="B1074" s="38">
        <v>0</v>
      </c>
      <c r="C1074" s="79">
        <v>0</v>
      </c>
    </row>
    <row r="1075" spans="1:3" x14ac:dyDescent="0.25">
      <c r="A1075" s="2">
        <v>0</v>
      </c>
      <c r="B1075" s="38">
        <v>0</v>
      </c>
      <c r="C1075" s="79">
        <v>0</v>
      </c>
    </row>
    <row r="1076" spans="1:3" x14ac:dyDescent="0.25">
      <c r="A1076" s="2">
        <v>0</v>
      </c>
      <c r="B1076" s="38">
        <v>0</v>
      </c>
      <c r="C1076" s="79">
        <v>0</v>
      </c>
    </row>
    <row r="1077" spans="1:3" x14ac:dyDescent="0.25">
      <c r="A1077" s="2">
        <v>0</v>
      </c>
      <c r="B1077" s="38">
        <v>0</v>
      </c>
      <c r="C1077" s="79">
        <v>0</v>
      </c>
    </row>
    <row r="1078" spans="1:3" x14ac:dyDescent="0.25">
      <c r="A1078" s="2">
        <v>0</v>
      </c>
      <c r="B1078" s="38">
        <v>0</v>
      </c>
      <c r="C1078" s="79">
        <v>0</v>
      </c>
    </row>
    <row r="1079" spans="1:3" x14ac:dyDescent="0.25">
      <c r="A1079" s="2">
        <v>0</v>
      </c>
      <c r="B1079" s="38">
        <v>0</v>
      </c>
      <c r="C1079" s="79">
        <v>0</v>
      </c>
    </row>
    <row r="1080" spans="1:3" x14ac:dyDescent="0.25">
      <c r="A1080" s="2">
        <v>0</v>
      </c>
      <c r="B1080" s="38">
        <v>0</v>
      </c>
      <c r="C1080" s="79">
        <v>0</v>
      </c>
    </row>
    <row r="1081" spans="1:3" x14ac:dyDescent="0.25">
      <c r="A1081" s="2">
        <v>0</v>
      </c>
      <c r="B1081" s="38">
        <v>0</v>
      </c>
      <c r="C1081" s="79">
        <v>0</v>
      </c>
    </row>
    <row r="1082" spans="1:3" x14ac:dyDescent="0.25">
      <c r="A1082" s="2">
        <v>0</v>
      </c>
      <c r="B1082" s="38">
        <v>0</v>
      </c>
      <c r="C1082" s="79">
        <v>0</v>
      </c>
    </row>
    <row r="1083" spans="1:3" x14ac:dyDescent="0.25">
      <c r="A1083" s="2">
        <v>0</v>
      </c>
      <c r="B1083" s="38">
        <v>0</v>
      </c>
      <c r="C1083" s="79">
        <v>0</v>
      </c>
    </row>
    <row r="1084" spans="1:3" x14ac:dyDescent="0.25">
      <c r="A1084" s="2">
        <v>0</v>
      </c>
      <c r="B1084" s="38">
        <v>0</v>
      </c>
      <c r="C1084" s="79">
        <v>0</v>
      </c>
    </row>
    <row r="1085" spans="1:3" x14ac:dyDescent="0.25">
      <c r="A1085" s="2">
        <v>0</v>
      </c>
      <c r="B1085" s="38">
        <v>0</v>
      </c>
      <c r="C1085" s="79">
        <v>0</v>
      </c>
    </row>
    <row r="1086" spans="1:3" x14ac:dyDescent="0.25">
      <c r="A1086" s="2">
        <v>0</v>
      </c>
      <c r="B1086" s="38">
        <v>0</v>
      </c>
      <c r="C1086" s="79">
        <v>0</v>
      </c>
    </row>
    <row r="1087" spans="1:3" x14ac:dyDescent="0.25">
      <c r="A1087" s="2">
        <v>0</v>
      </c>
      <c r="B1087" s="38">
        <v>0</v>
      </c>
      <c r="C1087" s="79">
        <v>0</v>
      </c>
    </row>
    <row r="1088" spans="1:3" x14ac:dyDescent="0.25">
      <c r="A1088" s="2">
        <v>0</v>
      </c>
      <c r="B1088" s="38">
        <v>0</v>
      </c>
      <c r="C1088" s="79">
        <v>0</v>
      </c>
    </row>
    <row r="1089" spans="1:3" x14ac:dyDescent="0.25">
      <c r="A1089" s="2">
        <v>0</v>
      </c>
      <c r="B1089" s="38">
        <v>0</v>
      </c>
      <c r="C1089" s="79">
        <v>0</v>
      </c>
    </row>
    <row r="1090" spans="1:3" x14ac:dyDescent="0.25">
      <c r="A1090" s="2">
        <v>0</v>
      </c>
      <c r="B1090" s="38">
        <v>0</v>
      </c>
      <c r="C1090" s="79">
        <v>0</v>
      </c>
    </row>
    <row r="1091" spans="1:3" x14ac:dyDescent="0.25">
      <c r="A1091" s="2">
        <v>0</v>
      </c>
      <c r="B1091" s="38">
        <v>0</v>
      </c>
      <c r="C1091" s="79">
        <v>0</v>
      </c>
    </row>
    <row r="1092" spans="1:3" x14ac:dyDescent="0.25">
      <c r="A1092" s="2">
        <v>0</v>
      </c>
      <c r="B1092" s="38">
        <v>0</v>
      </c>
      <c r="C1092" s="79">
        <v>0</v>
      </c>
    </row>
    <row r="1093" spans="1:3" x14ac:dyDescent="0.25">
      <c r="A1093" s="2">
        <v>0</v>
      </c>
      <c r="B1093" s="38">
        <v>0</v>
      </c>
      <c r="C1093" s="79">
        <v>0</v>
      </c>
    </row>
    <row r="1094" spans="1:3" x14ac:dyDescent="0.25">
      <c r="A1094" s="2">
        <v>0</v>
      </c>
      <c r="B1094" s="38">
        <v>0</v>
      </c>
      <c r="C1094" s="79">
        <v>0</v>
      </c>
    </row>
    <row r="1095" spans="1:3" x14ac:dyDescent="0.25">
      <c r="A1095" s="2">
        <v>0</v>
      </c>
      <c r="B1095" s="38">
        <v>0</v>
      </c>
      <c r="C1095" s="79">
        <v>0</v>
      </c>
    </row>
    <row r="1096" spans="1:3" x14ac:dyDescent="0.25">
      <c r="A1096" s="2">
        <v>0</v>
      </c>
      <c r="B1096" s="38">
        <v>0</v>
      </c>
      <c r="C1096" s="79">
        <v>0</v>
      </c>
    </row>
    <row r="1097" spans="1:3" x14ac:dyDescent="0.25">
      <c r="A1097" s="2">
        <v>0</v>
      </c>
      <c r="B1097" s="38">
        <v>0</v>
      </c>
      <c r="C1097" s="79">
        <v>0</v>
      </c>
    </row>
    <row r="1098" spans="1:3" x14ac:dyDescent="0.25">
      <c r="A1098" s="2">
        <v>0</v>
      </c>
      <c r="B1098" s="38">
        <v>0</v>
      </c>
      <c r="C1098" s="79">
        <v>0</v>
      </c>
    </row>
    <row r="1099" spans="1:3" x14ac:dyDescent="0.25">
      <c r="A1099" s="2">
        <v>0</v>
      </c>
      <c r="B1099" s="38">
        <v>0</v>
      </c>
      <c r="C1099" s="79">
        <v>0</v>
      </c>
    </row>
    <row r="1100" spans="1:3" x14ac:dyDescent="0.25">
      <c r="A1100" s="2">
        <v>0</v>
      </c>
      <c r="B1100" s="38">
        <v>0</v>
      </c>
      <c r="C1100" s="79">
        <v>0</v>
      </c>
    </row>
    <row r="1101" spans="1:3" x14ac:dyDescent="0.25">
      <c r="A1101" s="2">
        <v>0</v>
      </c>
      <c r="B1101" s="38">
        <v>0</v>
      </c>
      <c r="C1101" s="79">
        <v>0</v>
      </c>
    </row>
    <row r="1102" spans="1:3" x14ac:dyDescent="0.25">
      <c r="A1102" s="2">
        <v>0</v>
      </c>
      <c r="B1102" s="38">
        <v>0</v>
      </c>
      <c r="C1102" s="79">
        <v>0</v>
      </c>
    </row>
    <row r="1103" spans="1:3" x14ac:dyDescent="0.25">
      <c r="A1103" s="2">
        <v>0</v>
      </c>
      <c r="B1103" s="38">
        <v>0</v>
      </c>
      <c r="C1103" s="79">
        <v>0</v>
      </c>
    </row>
    <row r="1104" spans="1:3" x14ac:dyDescent="0.25">
      <c r="A1104" s="2">
        <v>0</v>
      </c>
      <c r="B1104" s="38">
        <v>0</v>
      </c>
      <c r="C1104" s="79">
        <v>0</v>
      </c>
    </row>
    <row r="1105" spans="1:3" x14ac:dyDescent="0.25">
      <c r="A1105" s="2">
        <v>0</v>
      </c>
      <c r="B1105" s="38">
        <v>0</v>
      </c>
      <c r="C1105" s="79">
        <v>0</v>
      </c>
    </row>
    <row r="1106" spans="1:3" x14ac:dyDescent="0.25">
      <c r="A1106" s="2">
        <v>0</v>
      </c>
      <c r="B1106" s="38">
        <v>0</v>
      </c>
      <c r="C1106" s="79">
        <v>0</v>
      </c>
    </row>
    <row r="1107" spans="1:3" x14ac:dyDescent="0.25">
      <c r="A1107" s="2">
        <v>0</v>
      </c>
      <c r="B1107" s="38">
        <v>0</v>
      </c>
      <c r="C1107" s="79">
        <v>0</v>
      </c>
    </row>
    <row r="1108" spans="1:3" x14ac:dyDescent="0.25">
      <c r="A1108" s="2">
        <v>0</v>
      </c>
      <c r="B1108" s="38">
        <v>0</v>
      </c>
      <c r="C1108" s="79">
        <v>0</v>
      </c>
    </row>
    <row r="1109" spans="1:3" x14ac:dyDescent="0.25">
      <c r="A1109" s="2">
        <v>0</v>
      </c>
      <c r="B1109" s="38">
        <v>0</v>
      </c>
      <c r="C1109" s="79">
        <v>0</v>
      </c>
    </row>
    <row r="1110" spans="1:3" x14ac:dyDescent="0.25">
      <c r="A1110" s="2">
        <v>0</v>
      </c>
      <c r="B1110" s="38">
        <v>0</v>
      </c>
      <c r="C1110" s="79">
        <v>0</v>
      </c>
    </row>
    <row r="1111" spans="1:3" x14ac:dyDescent="0.25">
      <c r="A1111" s="2">
        <v>0</v>
      </c>
      <c r="B1111" s="38">
        <v>0</v>
      </c>
      <c r="C1111" s="79">
        <v>0</v>
      </c>
    </row>
    <row r="1112" spans="1:3" x14ac:dyDescent="0.25">
      <c r="A1112" s="2">
        <v>0</v>
      </c>
      <c r="B1112" s="38">
        <v>0</v>
      </c>
      <c r="C1112" s="79">
        <v>0</v>
      </c>
    </row>
    <row r="1113" spans="1:3" x14ac:dyDescent="0.25">
      <c r="A1113" s="2">
        <v>0</v>
      </c>
      <c r="B1113" s="38">
        <v>0</v>
      </c>
      <c r="C1113" s="79">
        <v>0</v>
      </c>
    </row>
    <row r="1114" spans="1:3" x14ac:dyDescent="0.25">
      <c r="A1114" s="2">
        <v>0</v>
      </c>
      <c r="B1114" s="38">
        <v>0</v>
      </c>
      <c r="C1114" s="79">
        <v>0</v>
      </c>
    </row>
    <row r="1115" spans="1:3" x14ac:dyDescent="0.25">
      <c r="A1115" s="2">
        <v>0</v>
      </c>
      <c r="B1115" s="38">
        <v>0</v>
      </c>
      <c r="C1115" s="79">
        <v>0</v>
      </c>
    </row>
    <row r="1116" spans="1:3" x14ac:dyDescent="0.25">
      <c r="A1116" s="2">
        <v>0</v>
      </c>
      <c r="B1116" s="38">
        <v>0</v>
      </c>
      <c r="C1116" s="79">
        <v>0</v>
      </c>
    </row>
    <row r="1117" spans="1:3" x14ac:dyDescent="0.25">
      <c r="A1117" s="2">
        <v>0</v>
      </c>
      <c r="B1117" s="38">
        <v>0</v>
      </c>
      <c r="C1117" s="79">
        <v>0</v>
      </c>
    </row>
    <row r="1118" spans="1:3" x14ac:dyDescent="0.25">
      <c r="A1118" s="2">
        <v>0</v>
      </c>
      <c r="B1118" s="38">
        <v>0</v>
      </c>
      <c r="C1118" s="79">
        <v>0</v>
      </c>
    </row>
    <row r="1119" spans="1:3" x14ac:dyDescent="0.25">
      <c r="A1119" s="2">
        <v>0</v>
      </c>
      <c r="B1119" s="38">
        <v>0</v>
      </c>
      <c r="C1119" s="79">
        <v>0</v>
      </c>
    </row>
    <row r="1120" spans="1:3" x14ac:dyDescent="0.25">
      <c r="A1120" s="2">
        <v>0</v>
      </c>
      <c r="B1120" s="38">
        <v>0</v>
      </c>
      <c r="C1120" s="79">
        <v>0</v>
      </c>
    </row>
    <row r="1121" spans="1:3" x14ac:dyDescent="0.25">
      <c r="A1121" s="2">
        <v>0</v>
      </c>
      <c r="B1121" s="38">
        <v>0</v>
      </c>
      <c r="C1121" s="79">
        <v>0</v>
      </c>
    </row>
    <row r="1122" spans="1:3" x14ac:dyDescent="0.25">
      <c r="A1122" s="2">
        <v>0</v>
      </c>
      <c r="B1122" s="38">
        <v>0</v>
      </c>
      <c r="C1122" s="79">
        <v>0</v>
      </c>
    </row>
    <row r="1123" spans="1:3" x14ac:dyDescent="0.25">
      <c r="A1123" s="2">
        <v>0</v>
      </c>
      <c r="B1123" s="38">
        <v>0</v>
      </c>
      <c r="C1123" s="79">
        <v>0</v>
      </c>
    </row>
    <row r="1124" spans="1:3" x14ac:dyDescent="0.25">
      <c r="A1124" s="2">
        <v>0</v>
      </c>
      <c r="B1124" s="38">
        <v>0</v>
      </c>
      <c r="C1124" s="79">
        <v>0</v>
      </c>
    </row>
    <row r="1125" spans="1:3" x14ac:dyDescent="0.25">
      <c r="A1125" s="2">
        <v>0</v>
      </c>
      <c r="B1125" s="38">
        <v>0</v>
      </c>
      <c r="C1125" s="79">
        <v>0</v>
      </c>
    </row>
    <row r="1126" spans="1:3" x14ac:dyDescent="0.25">
      <c r="A1126" s="2">
        <v>0</v>
      </c>
      <c r="B1126" s="38">
        <v>0</v>
      </c>
      <c r="C1126" s="79">
        <v>0</v>
      </c>
    </row>
    <row r="1127" spans="1:3" x14ac:dyDescent="0.25">
      <c r="A1127" s="2">
        <v>0</v>
      </c>
      <c r="B1127" s="38">
        <v>0</v>
      </c>
      <c r="C1127" s="79">
        <v>0</v>
      </c>
    </row>
    <row r="1128" spans="1:3" x14ac:dyDescent="0.25">
      <c r="A1128" s="2">
        <v>0</v>
      </c>
      <c r="B1128" s="38">
        <v>0</v>
      </c>
      <c r="C1128" s="79">
        <v>0</v>
      </c>
    </row>
    <row r="1129" spans="1:3" x14ac:dyDescent="0.25">
      <c r="A1129" s="2">
        <v>0</v>
      </c>
      <c r="B1129" s="38">
        <v>0</v>
      </c>
      <c r="C1129" s="79">
        <v>0</v>
      </c>
    </row>
    <row r="1130" spans="1:3" x14ac:dyDescent="0.25">
      <c r="A1130" s="2">
        <v>0</v>
      </c>
      <c r="B1130" s="38">
        <v>0</v>
      </c>
      <c r="C1130" s="79">
        <v>0</v>
      </c>
    </row>
    <row r="1131" spans="1:3" x14ac:dyDescent="0.25">
      <c r="A1131" s="2">
        <v>0</v>
      </c>
      <c r="B1131" s="38">
        <v>0</v>
      </c>
      <c r="C1131" s="79">
        <v>0</v>
      </c>
    </row>
    <row r="1132" spans="1:3" x14ac:dyDescent="0.25">
      <c r="A1132" s="2">
        <v>0</v>
      </c>
      <c r="B1132" s="38">
        <v>0</v>
      </c>
      <c r="C1132" s="79">
        <v>0</v>
      </c>
    </row>
    <row r="1133" spans="1:3" x14ac:dyDescent="0.25">
      <c r="A1133" s="2">
        <v>0</v>
      </c>
      <c r="B1133" s="38">
        <v>0</v>
      </c>
      <c r="C1133" s="79">
        <v>0</v>
      </c>
    </row>
    <row r="1134" spans="1:3" x14ac:dyDescent="0.25">
      <c r="A1134" s="2">
        <v>0</v>
      </c>
      <c r="B1134" s="38">
        <v>0</v>
      </c>
      <c r="C1134" s="79">
        <v>0</v>
      </c>
    </row>
    <row r="1135" spans="1:3" x14ac:dyDescent="0.25">
      <c r="A1135" s="2">
        <v>0</v>
      </c>
      <c r="B1135" s="38">
        <v>0</v>
      </c>
      <c r="C1135" s="79">
        <v>0</v>
      </c>
    </row>
    <row r="1136" spans="1:3" x14ac:dyDescent="0.25">
      <c r="A1136" s="2">
        <v>0</v>
      </c>
      <c r="B1136" s="38">
        <v>0</v>
      </c>
      <c r="C1136" s="79">
        <v>0</v>
      </c>
    </row>
    <row r="1137" spans="1:3" x14ac:dyDescent="0.25">
      <c r="A1137" s="2">
        <v>0</v>
      </c>
      <c r="B1137" s="38">
        <v>0</v>
      </c>
      <c r="C1137" s="79">
        <v>0</v>
      </c>
    </row>
    <row r="1138" spans="1:3" x14ac:dyDescent="0.25">
      <c r="A1138" s="2">
        <v>0</v>
      </c>
      <c r="B1138" s="38">
        <v>0</v>
      </c>
      <c r="C1138" s="79">
        <v>0</v>
      </c>
    </row>
    <row r="1139" spans="1:3" x14ac:dyDescent="0.25">
      <c r="A1139" s="2">
        <v>0</v>
      </c>
      <c r="B1139" s="38">
        <v>0</v>
      </c>
      <c r="C1139" s="79">
        <v>0</v>
      </c>
    </row>
    <row r="1140" spans="1:3" x14ac:dyDescent="0.25">
      <c r="A1140" s="2">
        <v>0</v>
      </c>
      <c r="B1140" s="38">
        <v>0</v>
      </c>
      <c r="C1140" s="79">
        <v>0</v>
      </c>
    </row>
    <row r="1141" spans="1:3" x14ac:dyDescent="0.25">
      <c r="A1141" s="2">
        <v>0</v>
      </c>
      <c r="B1141" s="38">
        <v>0</v>
      </c>
      <c r="C1141" s="79">
        <v>0</v>
      </c>
    </row>
    <row r="1142" spans="1:3" x14ac:dyDescent="0.25">
      <c r="A1142" s="2">
        <v>0</v>
      </c>
      <c r="B1142" s="38">
        <v>0</v>
      </c>
      <c r="C1142" s="79">
        <v>0</v>
      </c>
    </row>
    <row r="1143" spans="1:3" x14ac:dyDescent="0.25">
      <c r="A1143" s="2">
        <v>0</v>
      </c>
      <c r="B1143" s="38">
        <v>0</v>
      </c>
      <c r="C1143" s="79">
        <v>0</v>
      </c>
    </row>
    <row r="1144" spans="1:3" x14ac:dyDescent="0.25">
      <c r="A1144" s="2">
        <v>0</v>
      </c>
      <c r="B1144" s="38">
        <v>0</v>
      </c>
      <c r="C1144" s="79">
        <v>0</v>
      </c>
    </row>
    <row r="1145" spans="1:3" x14ac:dyDescent="0.25">
      <c r="A1145" s="2">
        <v>0</v>
      </c>
      <c r="B1145" s="38">
        <v>0</v>
      </c>
      <c r="C1145" s="79">
        <v>0</v>
      </c>
    </row>
    <row r="1146" spans="1:3" x14ac:dyDescent="0.25">
      <c r="A1146" s="2">
        <v>0</v>
      </c>
      <c r="B1146" s="38">
        <v>0</v>
      </c>
      <c r="C1146" s="79">
        <v>0</v>
      </c>
    </row>
    <row r="1147" spans="1:3" x14ac:dyDescent="0.25">
      <c r="A1147" s="2">
        <v>0</v>
      </c>
      <c r="B1147" s="38">
        <v>0</v>
      </c>
      <c r="C1147" s="79">
        <v>0</v>
      </c>
    </row>
    <row r="1148" spans="1:3" x14ac:dyDescent="0.25">
      <c r="A1148" s="2">
        <v>0</v>
      </c>
      <c r="B1148" s="38">
        <v>0</v>
      </c>
      <c r="C1148" s="79">
        <v>0</v>
      </c>
    </row>
    <row r="1149" spans="1:3" x14ac:dyDescent="0.25">
      <c r="A1149" s="2">
        <v>0</v>
      </c>
      <c r="B1149" s="38">
        <v>0</v>
      </c>
      <c r="C1149" s="79">
        <v>0</v>
      </c>
    </row>
    <row r="1150" spans="1:3" x14ac:dyDescent="0.25">
      <c r="A1150" s="2">
        <v>0</v>
      </c>
      <c r="B1150" s="38">
        <v>0</v>
      </c>
      <c r="C1150" s="79">
        <v>0</v>
      </c>
    </row>
    <row r="1151" spans="1:3" x14ac:dyDescent="0.25">
      <c r="A1151" s="2">
        <v>0</v>
      </c>
      <c r="B1151" s="38">
        <v>0</v>
      </c>
      <c r="C1151" s="79">
        <v>0</v>
      </c>
    </row>
    <row r="1152" spans="1:3" x14ac:dyDescent="0.25">
      <c r="A1152" s="2">
        <v>0</v>
      </c>
      <c r="B1152" s="38">
        <v>0</v>
      </c>
      <c r="C1152" s="79">
        <v>0</v>
      </c>
    </row>
    <row r="1153" spans="1:3" x14ac:dyDescent="0.25">
      <c r="A1153" s="2">
        <v>0</v>
      </c>
      <c r="B1153" s="38">
        <v>0</v>
      </c>
      <c r="C1153" s="79">
        <v>0</v>
      </c>
    </row>
    <row r="1154" spans="1:3" x14ac:dyDescent="0.25">
      <c r="A1154" s="2">
        <v>0</v>
      </c>
      <c r="B1154" s="38">
        <v>0</v>
      </c>
      <c r="C1154" s="79">
        <v>0</v>
      </c>
    </row>
    <row r="1155" spans="1:3" x14ac:dyDescent="0.25">
      <c r="A1155" s="2">
        <v>0</v>
      </c>
      <c r="B1155" s="38">
        <v>0</v>
      </c>
      <c r="C1155" s="79">
        <v>0</v>
      </c>
    </row>
    <row r="1156" spans="1:3" x14ac:dyDescent="0.25">
      <c r="A1156" s="2">
        <v>0</v>
      </c>
      <c r="B1156" s="38">
        <v>0</v>
      </c>
      <c r="C1156" s="79">
        <v>0</v>
      </c>
    </row>
    <row r="1157" spans="1:3" x14ac:dyDescent="0.25">
      <c r="A1157" s="2">
        <v>0</v>
      </c>
      <c r="B1157" s="38">
        <v>0</v>
      </c>
      <c r="C1157" s="79">
        <v>0</v>
      </c>
    </row>
    <row r="1158" spans="1:3" x14ac:dyDescent="0.25">
      <c r="A1158" s="2">
        <v>0</v>
      </c>
      <c r="B1158" s="38">
        <v>0</v>
      </c>
      <c r="C1158" s="79">
        <v>0</v>
      </c>
    </row>
    <row r="1159" spans="1:3" x14ac:dyDescent="0.25">
      <c r="A1159" s="2">
        <v>0</v>
      </c>
      <c r="B1159" s="38">
        <v>0</v>
      </c>
      <c r="C1159" s="79">
        <v>0</v>
      </c>
    </row>
    <row r="1160" spans="1:3" x14ac:dyDescent="0.25">
      <c r="A1160" s="2">
        <v>0</v>
      </c>
      <c r="B1160" s="38">
        <v>0</v>
      </c>
      <c r="C1160" s="79">
        <v>0</v>
      </c>
    </row>
    <row r="1161" spans="1:3" x14ac:dyDescent="0.25">
      <c r="A1161" s="2">
        <v>0</v>
      </c>
      <c r="B1161" s="38">
        <v>0</v>
      </c>
      <c r="C1161" s="79">
        <v>0</v>
      </c>
    </row>
    <row r="1162" spans="1:3" x14ac:dyDescent="0.25">
      <c r="A1162" s="2">
        <v>0</v>
      </c>
      <c r="B1162" s="38">
        <v>0</v>
      </c>
      <c r="C1162" s="79">
        <v>0</v>
      </c>
    </row>
    <row r="1163" spans="1:3" x14ac:dyDescent="0.25">
      <c r="A1163" s="2">
        <v>0</v>
      </c>
      <c r="B1163" s="38">
        <v>0</v>
      </c>
      <c r="C1163" s="79">
        <v>0</v>
      </c>
    </row>
    <row r="1164" spans="1:3" x14ac:dyDescent="0.25">
      <c r="A1164" s="2">
        <v>0</v>
      </c>
      <c r="B1164" s="38">
        <v>0</v>
      </c>
      <c r="C1164" s="79">
        <v>0</v>
      </c>
    </row>
    <row r="1165" spans="1:3" x14ac:dyDescent="0.25">
      <c r="A1165" s="2">
        <v>0</v>
      </c>
      <c r="B1165" s="38">
        <v>0</v>
      </c>
      <c r="C1165" s="79">
        <v>0</v>
      </c>
    </row>
    <row r="1166" spans="1:3" x14ac:dyDescent="0.25">
      <c r="A1166" s="2">
        <v>0</v>
      </c>
      <c r="B1166" s="38">
        <v>0</v>
      </c>
      <c r="C1166" s="79">
        <v>0</v>
      </c>
    </row>
    <row r="1167" spans="1:3" x14ac:dyDescent="0.25">
      <c r="A1167" s="2">
        <v>0</v>
      </c>
      <c r="B1167" s="38">
        <v>0</v>
      </c>
      <c r="C1167" s="79">
        <v>0</v>
      </c>
    </row>
    <row r="1168" spans="1:3" x14ac:dyDescent="0.25">
      <c r="A1168" s="2">
        <v>0</v>
      </c>
      <c r="B1168" s="38">
        <v>0</v>
      </c>
      <c r="C1168" s="79">
        <v>0</v>
      </c>
    </row>
    <row r="1169" spans="1:3" x14ac:dyDescent="0.25">
      <c r="A1169" s="2">
        <v>0</v>
      </c>
      <c r="B1169" s="38">
        <v>0</v>
      </c>
      <c r="C1169" s="79">
        <v>0</v>
      </c>
    </row>
    <row r="1170" spans="1:3" x14ac:dyDescent="0.25">
      <c r="A1170" s="2">
        <v>0</v>
      </c>
      <c r="B1170" s="38">
        <v>0</v>
      </c>
      <c r="C1170" s="79">
        <v>0</v>
      </c>
    </row>
    <row r="1171" spans="1:3" x14ac:dyDescent="0.25">
      <c r="A1171" s="2">
        <v>0</v>
      </c>
      <c r="B1171" s="38">
        <v>0</v>
      </c>
      <c r="C1171" s="79">
        <v>0</v>
      </c>
    </row>
    <row r="1172" spans="1:3" x14ac:dyDescent="0.25">
      <c r="A1172" s="2">
        <v>0</v>
      </c>
      <c r="B1172" s="38">
        <v>0</v>
      </c>
      <c r="C1172" s="79">
        <v>0</v>
      </c>
    </row>
    <row r="1173" spans="1:3" x14ac:dyDescent="0.25">
      <c r="A1173" s="2">
        <v>0</v>
      </c>
      <c r="B1173" s="38">
        <v>0</v>
      </c>
      <c r="C1173" s="79">
        <v>0</v>
      </c>
    </row>
    <row r="1174" spans="1:3" x14ac:dyDescent="0.25">
      <c r="A1174" s="2">
        <v>0</v>
      </c>
      <c r="B1174" s="38">
        <v>0</v>
      </c>
      <c r="C1174" s="79">
        <v>0</v>
      </c>
    </row>
    <row r="1175" spans="1:3" x14ac:dyDescent="0.25">
      <c r="A1175" s="2">
        <v>0</v>
      </c>
      <c r="B1175" s="38">
        <v>0</v>
      </c>
      <c r="C1175" s="79">
        <v>0</v>
      </c>
    </row>
    <row r="1176" spans="1:3" x14ac:dyDescent="0.25">
      <c r="A1176" s="2">
        <v>0</v>
      </c>
      <c r="B1176" s="38">
        <v>0</v>
      </c>
      <c r="C1176" s="79">
        <v>0</v>
      </c>
    </row>
    <row r="1177" spans="1:3" x14ac:dyDescent="0.25">
      <c r="A1177" s="2">
        <v>0</v>
      </c>
      <c r="B1177" s="38">
        <v>0</v>
      </c>
      <c r="C1177" s="79">
        <v>0</v>
      </c>
    </row>
    <row r="1178" spans="1:3" x14ac:dyDescent="0.25">
      <c r="A1178" s="2">
        <v>0</v>
      </c>
      <c r="B1178" s="38">
        <v>0</v>
      </c>
      <c r="C1178" s="79">
        <v>0</v>
      </c>
    </row>
    <row r="1179" spans="1:3" x14ac:dyDescent="0.25">
      <c r="A1179" s="2">
        <v>0</v>
      </c>
      <c r="B1179" s="38">
        <v>0</v>
      </c>
      <c r="C1179" s="79">
        <v>0</v>
      </c>
    </row>
    <row r="1180" spans="1:3" x14ac:dyDescent="0.25">
      <c r="A1180" s="2">
        <v>0</v>
      </c>
      <c r="B1180" s="38">
        <v>0</v>
      </c>
      <c r="C1180" s="79">
        <v>0</v>
      </c>
    </row>
    <row r="1181" spans="1:3" x14ac:dyDescent="0.25">
      <c r="A1181" s="2">
        <v>0</v>
      </c>
      <c r="B1181" s="38">
        <v>0</v>
      </c>
      <c r="C1181" s="79">
        <v>0</v>
      </c>
    </row>
    <row r="1182" spans="1:3" x14ac:dyDescent="0.25">
      <c r="A1182" s="2">
        <v>0</v>
      </c>
      <c r="B1182" s="38">
        <v>0</v>
      </c>
      <c r="C1182" s="79">
        <v>0</v>
      </c>
    </row>
    <row r="1183" spans="1:3" x14ac:dyDescent="0.25">
      <c r="A1183" s="2">
        <v>0</v>
      </c>
      <c r="B1183" s="38">
        <v>0</v>
      </c>
      <c r="C1183" s="79">
        <v>0</v>
      </c>
    </row>
    <row r="1184" spans="1:3" x14ac:dyDescent="0.25">
      <c r="A1184" s="2">
        <v>0</v>
      </c>
      <c r="B1184" s="38">
        <v>0</v>
      </c>
      <c r="C1184" s="79">
        <v>0</v>
      </c>
    </row>
    <row r="1185" spans="1:3" x14ac:dyDescent="0.25">
      <c r="A1185" s="2">
        <v>0</v>
      </c>
      <c r="B1185" s="38">
        <v>0</v>
      </c>
      <c r="C1185" s="79">
        <v>0</v>
      </c>
    </row>
    <row r="1186" spans="1:3" x14ac:dyDescent="0.25">
      <c r="A1186" s="2">
        <v>0</v>
      </c>
      <c r="B1186" s="38">
        <v>0</v>
      </c>
      <c r="C1186" s="79">
        <v>0</v>
      </c>
    </row>
    <row r="1187" spans="1:3" x14ac:dyDescent="0.25">
      <c r="A1187" s="2">
        <v>0</v>
      </c>
      <c r="B1187" s="38">
        <v>0</v>
      </c>
      <c r="C1187" s="79">
        <v>0</v>
      </c>
    </row>
    <row r="1188" spans="1:3" x14ac:dyDescent="0.25">
      <c r="A1188" s="2">
        <v>0</v>
      </c>
      <c r="B1188" s="38">
        <v>0</v>
      </c>
      <c r="C1188" s="79">
        <v>0</v>
      </c>
    </row>
    <row r="1189" spans="1:3" x14ac:dyDescent="0.25">
      <c r="A1189" s="2">
        <v>0</v>
      </c>
      <c r="B1189" s="38">
        <v>0</v>
      </c>
      <c r="C1189" s="79">
        <v>0</v>
      </c>
    </row>
    <row r="1190" spans="1:3" x14ac:dyDescent="0.25">
      <c r="A1190" s="2">
        <v>0</v>
      </c>
      <c r="B1190" s="38">
        <v>0</v>
      </c>
      <c r="C1190" s="79">
        <v>0</v>
      </c>
    </row>
    <row r="1191" spans="1:3" x14ac:dyDescent="0.25">
      <c r="A1191" s="2">
        <v>0</v>
      </c>
      <c r="B1191" s="38">
        <v>0</v>
      </c>
      <c r="C1191" s="79">
        <v>0</v>
      </c>
    </row>
    <row r="1192" spans="1:3" x14ac:dyDescent="0.25">
      <c r="A1192" s="2">
        <v>0</v>
      </c>
      <c r="B1192" s="38">
        <v>0</v>
      </c>
      <c r="C1192" s="79">
        <v>0</v>
      </c>
    </row>
    <row r="1193" spans="1:3" x14ac:dyDescent="0.25">
      <c r="A1193" s="2">
        <v>0</v>
      </c>
      <c r="B1193" s="38">
        <v>0</v>
      </c>
      <c r="C1193" s="79">
        <v>0</v>
      </c>
    </row>
    <row r="1194" spans="1:3" x14ac:dyDescent="0.25">
      <c r="A1194" s="2">
        <v>0</v>
      </c>
      <c r="B1194" s="38">
        <v>0</v>
      </c>
      <c r="C1194" s="79">
        <v>0</v>
      </c>
    </row>
    <row r="1195" spans="1:3" x14ac:dyDescent="0.25">
      <c r="A1195" s="2">
        <v>0</v>
      </c>
      <c r="B1195" s="38">
        <v>0</v>
      </c>
      <c r="C1195" s="79">
        <v>0</v>
      </c>
    </row>
    <row r="1196" spans="1:3" x14ac:dyDescent="0.25">
      <c r="A1196" s="2">
        <v>0</v>
      </c>
      <c r="B1196" s="38">
        <v>0</v>
      </c>
      <c r="C1196" s="79">
        <v>0</v>
      </c>
    </row>
    <row r="1197" spans="1:3" x14ac:dyDescent="0.25">
      <c r="A1197" s="2">
        <v>0</v>
      </c>
      <c r="B1197" s="38">
        <v>0</v>
      </c>
      <c r="C1197" s="79">
        <v>0</v>
      </c>
    </row>
    <row r="1198" spans="1:3" x14ac:dyDescent="0.25">
      <c r="A1198" s="2">
        <v>0</v>
      </c>
      <c r="B1198" s="38">
        <v>0</v>
      </c>
      <c r="C1198" s="79">
        <v>0</v>
      </c>
    </row>
    <row r="1199" spans="1:3" x14ac:dyDescent="0.25">
      <c r="A1199" s="2">
        <v>0</v>
      </c>
      <c r="B1199" s="38">
        <v>0</v>
      </c>
      <c r="C1199" s="79">
        <v>0</v>
      </c>
    </row>
    <row r="1200" spans="1:3" x14ac:dyDescent="0.25">
      <c r="A1200" s="2">
        <v>0</v>
      </c>
      <c r="B1200" s="38">
        <v>0</v>
      </c>
      <c r="C1200" s="79">
        <v>0</v>
      </c>
    </row>
    <row r="1201" spans="1:3" x14ac:dyDescent="0.25">
      <c r="A1201" s="2">
        <v>0</v>
      </c>
      <c r="B1201" s="38">
        <v>0</v>
      </c>
      <c r="C1201" s="79">
        <v>0</v>
      </c>
    </row>
    <row r="1202" spans="1:3" x14ac:dyDescent="0.25">
      <c r="A1202" s="2">
        <v>0</v>
      </c>
      <c r="B1202" s="38">
        <v>0</v>
      </c>
      <c r="C1202" s="79">
        <v>0</v>
      </c>
    </row>
    <row r="1203" spans="1:3" x14ac:dyDescent="0.25">
      <c r="A1203" s="2">
        <v>0</v>
      </c>
      <c r="B1203" s="38">
        <v>0</v>
      </c>
      <c r="C1203" s="79">
        <v>0</v>
      </c>
    </row>
    <row r="1204" spans="1:3" x14ac:dyDescent="0.25">
      <c r="A1204" s="2">
        <v>0</v>
      </c>
      <c r="B1204" s="38">
        <v>0</v>
      </c>
      <c r="C1204" s="79">
        <v>0</v>
      </c>
    </row>
    <row r="1205" spans="1:3" x14ac:dyDescent="0.25">
      <c r="A1205" s="2">
        <v>0</v>
      </c>
      <c r="B1205" s="38">
        <v>0</v>
      </c>
      <c r="C1205" s="79">
        <v>0</v>
      </c>
    </row>
    <row r="1206" spans="1:3" x14ac:dyDescent="0.25">
      <c r="A1206" s="2">
        <v>0</v>
      </c>
      <c r="B1206" s="38">
        <v>0</v>
      </c>
      <c r="C1206" s="79">
        <v>0</v>
      </c>
    </row>
    <row r="1207" spans="1:3" x14ac:dyDescent="0.25">
      <c r="A1207" s="2">
        <v>0</v>
      </c>
      <c r="B1207" s="38">
        <v>0</v>
      </c>
      <c r="C1207" s="79">
        <v>0</v>
      </c>
    </row>
    <row r="1208" spans="1:3" x14ac:dyDescent="0.25">
      <c r="A1208" s="2">
        <v>0</v>
      </c>
      <c r="B1208" s="38">
        <v>0</v>
      </c>
      <c r="C1208" s="79">
        <v>0</v>
      </c>
    </row>
    <row r="1209" spans="1:3" x14ac:dyDescent="0.25">
      <c r="A1209" s="2">
        <v>0</v>
      </c>
      <c r="B1209" s="38">
        <v>0</v>
      </c>
      <c r="C1209" s="79">
        <v>0</v>
      </c>
    </row>
    <row r="1210" spans="1:3" x14ac:dyDescent="0.25">
      <c r="A1210" s="2">
        <v>0</v>
      </c>
      <c r="B1210" s="38">
        <v>0</v>
      </c>
      <c r="C1210" s="79">
        <v>0</v>
      </c>
    </row>
    <row r="1211" spans="1:3" x14ac:dyDescent="0.25">
      <c r="A1211" s="2">
        <v>0</v>
      </c>
      <c r="B1211" s="38">
        <v>0</v>
      </c>
      <c r="C1211" s="79">
        <v>0</v>
      </c>
    </row>
    <row r="1212" spans="1:3" x14ac:dyDescent="0.25">
      <c r="A1212" s="2">
        <v>0</v>
      </c>
      <c r="B1212" s="38">
        <v>0</v>
      </c>
      <c r="C1212" s="79">
        <v>0</v>
      </c>
    </row>
    <row r="1213" spans="1:3" x14ac:dyDescent="0.25">
      <c r="A1213" s="2">
        <v>0</v>
      </c>
      <c r="B1213" s="38">
        <v>0</v>
      </c>
      <c r="C1213" s="79">
        <v>0</v>
      </c>
    </row>
    <row r="1214" spans="1:3" x14ac:dyDescent="0.25">
      <c r="A1214" s="2">
        <v>0</v>
      </c>
      <c r="B1214" s="38">
        <v>0</v>
      </c>
      <c r="C1214" s="79">
        <v>0</v>
      </c>
    </row>
    <row r="1215" spans="1:3" x14ac:dyDescent="0.25">
      <c r="A1215" s="2">
        <v>0</v>
      </c>
      <c r="B1215" s="38">
        <v>0</v>
      </c>
      <c r="C1215" s="79">
        <v>0</v>
      </c>
    </row>
    <row r="1216" spans="1:3" x14ac:dyDescent="0.25">
      <c r="A1216" s="2">
        <v>0</v>
      </c>
      <c r="B1216" s="38">
        <v>0</v>
      </c>
      <c r="C1216" s="79">
        <v>0</v>
      </c>
    </row>
    <row r="1217" spans="1:3" x14ac:dyDescent="0.25">
      <c r="A1217" s="2">
        <v>0</v>
      </c>
      <c r="B1217" s="38">
        <v>0</v>
      </c>
      <c r="C1217" s="79">
        <v>0</v>
      </c>
    </row>
    <row r="1218" spans="1:3" x14ac:dyDescent="0.25">
      <c r="A1218" s="2">
        <v>0</v>
      </c>
      <c r="B1218" s="38">
        <v>0</v>
      </c>
      <c r="C1218" s="79">
        <v>0</v>
      </c>
    </row>
    <row r="1219" spans="1:3" x14ac:dyDescent="0.25">
      <c r="A1219" s="2">
        <v>0</v>
      </c>
      <c r="B1219" s="38">
        <v>0</v>
      </c>
      <c r="C1219" s="79">
        <v>0</v>
      </c>
    </row>
    <row r="1220" spans="1:3" x14ac:dyDescent="0.25">
      <c r="A1220" s="2">
        <v>0</v>
      </c>
      <c r="B1220" s="38">
        <v>0</v>
      </c>
      <c r="C1220" s="79">
        <v>0</v>
      </c>
    </row>
    <row r="1221" spans="1:3" x14ac:dyDescent="0.25">
      <c r="A1221" s="2">
        <v>0</v>
      </c>
      <c r="B1221" s="38">
        <v>0</v>
      </c>
      <c r="C1221" s="79">
        <v>0</v>
      </c>
    </row>
    <row r="1222" spans="1:3" x14ac:dyDescent="0.25">
      <c r="A1222" s="2">
        <v>0</v>
      </c>
      <c r="B1222" s="38">
        <v>0</v>
      </c>
      <c r="C1222" s="79">
        <v>0</v>
      </c>
    </row>
    <row r="1223" spans="1:3" x14ac:dyDescent="0.25">
      <c r="A1223" s="2">
        <v>0</v>
      </c>
      <c r="B1223" s="38">
        <v>0</v>
      </c>
      <c r="C1223" s="79">
        <v>0</v>
      </c>
    </row>
    <row r="1224" spans="1:3" x14ac:dyDescent="0.25">
      <c r="A1224" s="2">
        <v>0</v>
      </c>
      <c r="B1224" s="38">
        <v>0</v>
      </c>
      <c r="C1224" s="79">
        <v>0</v>
      </c>
    </row>
    <row r="1225" spans="1:3" x14ac:dyDescent="0.25">
      <c r="A1225" s="2">
        <v>0</v>
      </c>
      <c r="B1225" s="38">
        <v>0</v>
      </c>
      <c r="C1225" s="79">
        <v>0</v>
      </c>
    </row>
    <row r="1226" spans="1:3" x14ac:dyDescent="0.25">
      <c r="A1226" s="2">
        <v>0</v>
      </c>
      <c r="B1226" s="38">
        <v>0</v>
      </c>
      <c r="C1226" s="79">
        <v>0</v>
      </c>
    </row>
    <row r="1227" spans="1:3" x14ac:dyDescent="0.25">
      <c r="A1227" s="2">
        <v>0</v>
      </c>
      <c r="B1227" s="38">
        <v>0</v>
      </c>
      <c r="C1227" s="79">
        <v>0</v>
      </c>
    </row>
    <row r="1228" spans="1:3" x14ac:dyDescent="0.25">
      <c r="A1228" s="2">
        <v>0</v>
      </c>
      <c r="B1228" s="38">
        <v>0</v>
      </c>
      <c r="C1228" s="79">
        <v>0</v>
      </c>
    </row>
    <row r="1229" spans="1:3" x14ac:dyDescent="0.25">
      <c r="A1229" s="2">
        <v>0</v>
      </c>
      <c r="B1229" s="38">
        <v>0</v>
      </c>
      <c r="C1229" s="79">
        <v>0</v>
      </c>
    </row>
    <row r="1230" spans="1:3" x14ac:dyDescent="0.25">
      <c r="A1230" s="2">
        <v>0</v>
      </c>
      <c r="B1230" s="38">
        <v>0</v>
      </c>
      <c r="C1230" s="79">
        <v>0</v>
      </c>
    </row>
    <row r="1231" spans="1:3" x14ac:dyDescent="0.25">
      <c r="A1231" s="2">
        <v>0</v>
      </c>
      <c r="B1231" s="38">
        <v>0</v>
      </c>
      <c r="C1231" s="79">
        <v>0</v>
      </c>
    </row>
    <row r="1232" spans="1:3" x14ac:dyDescent="0.25">
      <c r="A1232" s="2">
        <v>0</v>
      </c>
      <c r="B1232" s="38">
        <v>0</v>
      </c>
      <c r="C1232" s="79">
        <v>0</v>
      </c>
    </row>
    <row r="1233" spans="1:3" x14ac:dyDescent="0.25">
      <c r="A1233" s="2">
        <v>0</v>
      </c>
      <c r="B1233" s="38">
        <v>0</v>
      </c>
      <c r="C1233" s="79">
        <v>0</v>
      </c>
    </row>
    <row r="1234" spans="1:3" x14ac:dyDescent="0.25">
      <c r="A1234" s="2">
        <v>0</v>
      </c>
      <c r="B1234" s="38">
        <v>0</v>
      </c>
      <c r="C1234" s="79">
        <v>0</v>
      </c>
    </row>
    <row r="1235" spans="1:3" x14ac:dyDescent="0.25">
      <c r="A1235" s="2">
        <v>0</v>
      </c>
      <c r="B1235" s="38">
        <v>0</v>
      </c>
      <c r="C1235" s="79">
        <v>0</v>
      </c>
    </row>
    <row r="1236" spans="1:3" x14ac:dyDescent="0.25">
      <c r="A1236" s="2">
        <v>0</v>
      </c>
      <c r="B1236" s="38">
        <v>0</v>
      </c>
      <c r="C1236" s="79">
        <v>0</v>
      </c>
    </row>
    <row r="1237" spans="1:3" x14ac:dyDescent="0.25">
      <c r="A1237" s="2">
        <v>0</v>
      </c>
      <c r="B1237" s="38">
        <v>0</v>
      </c>
      <c r="C1237" s="79">
        <v>0</v>
      </c>
    </row>
    <row r="1238" spans="1:3" x14ac:dyDescent="0.25">
      <c r="A1238" s="2">
        <v>0</v>
      </c>
      <c r="B1238" s="38">
        <v>0</v>
      </c>
      <c r="C1238" s="79">
        <v>0</v>
      </c>
    </row>
    <row r="1239" spans="1:3" x14ac:dyDescent="0.25">
      <c r="A1239" s="2">
        <v>0</v>
      </c>
      <c r="B1239" s="38">
        <v>0</v>
      </c>
      <c r="C1239" s="79">
        <v>0</v>
      </c>
    </row>
    <row r="1240" spans="1:3" x14ac:dyDescent="0.25">
      <c r="A1240" s="2">
        <v>0</v>
      </c>
      <c r="B1240" s="38">
        <v>0</v>
      </c>
      <c r="C1240" s="79">
        <v>0</v>
      </c>
    </row>
    <row r="1241" spans="1:3" x14ac:dyDescent="0.25">
      <c r="A1241" s="2">
        <v>0</v>
      </c>
      <c r="B1241" s="38">
        <v>0</v>
      </c>
      <c r="C1241" s="79">
        <v>0</v>
      </c>
    </row>
    <row r="1242" spans="1:3" x14ac:dyDescent="0.25">
      <c r="A1242" s="2">
        <v>0</v>
      </c>
      <c r="B1242" s="38">
        <v>0</v>
      </c>
      <c r="C1242" s="79">
        <v>0</v>
      </c>
    </row>
    <row r="1243" spans="1:3" x14ac:dyDescent="0.25">
      <c r="A1243" s="2">
        <v>0</v>
      </c>
      <c r="B1243" s="38">
        <v>0</v>
      </c>
      <c r="C1243" s="79">
        <v>0</v>
      </c>
    </row>
    <row r="1244" spans="1:3" x14ac:dyDescent="0.25">
      <c r="A1244" s="2">
        <v>0</v>
      </c>
      <c r="B1244" s="38">
        <v>0</v>
      </c>
      <c r="C1244" s="79">
        <v>0</v>
      </c>
    </row>
    <row r="1245" spans="1:3" x14ac:dyDescent="0.25">
      <c r="A1245" s="2">
        <v>0</v>
      </c>
      <c r="B1245" s="38">
        <v>0</v>
      </c>
      <c r="C1245" s="79">
        <v>0</v>
      </c>
    </row>
    <row r="1246" spans="1:3" x14ac:dyDescent="0.25">
      <c r="A1246" s="2">
        <v>0</v>
      </c>
      <c r="B1246" s="38">
        <v>0</v>
      </c>
      <c r="C1246" s="79">
        <v>0</v>
      </c>
    </row>
    <row r="1247" spans="1:3" x14ac:dyDescent="0.25">
      <c r="A1247" s="2">
        <v>0</v>
      </c>
      <c r="B1247" s="38">
        <v>0</v>
      </c>
      <c r="C1247" s="79">
        <v>0</v>
      </c>
    </row>
    <row r="1248" spans="1:3" x14ac:dyDescent="0.25">
      <c r="A1248" s="2">
        <v>0</v>
      </c>
      <c r="B1248" s="38">
        <v>0</v>
      </c>
      <c r="C1248" s="79">
        <v>0</v>
      </c>
    </row>
    <row r="1249" spans="1:3" x14ac:dyDescent="0.25">
      <c r="A1249" s="2">
        <v>0</v>
      </c>
      <c r="B1249" s="38">
        <v>0</v>
      </c>
      <c r="C1249" s="79">
        <v>0</v>
      </c>
    </row>
    <row r="1250" spans="1:3" x14ac:dyDescent="0.25">
      <c r="A1250" s="2">
        <v>0</v>
      </c>
      <c r="B1250" s="38">
        <v>0</v>
      </c>
      <c r="C1250" s="79">
        <v>0</v>
      </c>
    </row>
    <row r="1251" spans="1:3" x14ac:dyDescent="0.25">
      <c r="A1251" s="2">
        <v>0</v>
      </c>
      <c r="B1251" s="38">
        <v>0</v>
      </c>
      <c r="C1251" s="79">
        <v>0</v>
      </c>
    </row>
    <row r="1252" spans="1:3" x14ac:dyDescent="0.25">
      <c r="A1252" s="2">
        <v>0</v>
      </c>
      <c r="B1252" s="38">
        <v>0</v>
      </c>
      <c r="C1252" s="79">
        <v>0</v>
      </c>
    </row>
    <row r="1253" spans="1:3" x14ac:dyDescent="0.25">
      <c r="A1253" s="2">
        <v>0</v>
      </c>
      <c r="B1253" s="38">
        <v>0</v>
      </c>
      <c r="C1253" s="79">
        <v>0</v>
      </c>
    </row>
    <row r="1254" spans="1:3" x14ac:dyDescent="0.25">
      <c r="A1254" s="2">
        <v>0</v>
      </c>
      <c r="B1254" s="38">
        <v>0</v>
      </c>
      <c r="C1254" s="79">
        <v>0</v>
      </c>
    </row>
    <row r="1255" spans="1:3" x14ac:dyDescent="0.25">
      <c r="A1255" s="2">
        <v>0</v>
      </c>
      <c r="B1255" s="38">
        <v>0</v>
      </c>
      <c r="C1255" s="79">
        <v>0</v>
      </c>
    </row>
    <row r="1256" spans="1:3" x14ac:dyDescent="0.25">
      <c r="A1256" s="2">
        <v>0</v>
      </c>
      <c r="B1256" s="38">
        <v>0</v>
      </c>
      <c r="C1256" s="79">
        <v>0</v>
      </c>
    </row>
    <row r="1257" spans="1:3" x14ac:dyDescent="0.25">
      <c r="A1257" s="2">
        <v>0</v>
      </c>
      <c r="B1257" s="38">
        <v>0</v>
      </c>
      <c r="C1257" s="79">
        <v>0</v>
      </c>
    </row>
    <row r="1258" spans="1:3" x14ac:dyDescent="0.25">
      <c r="A1258" s="2">
        <v>0</v>
      </c>
      <c r="B1258" s="38">
        <v>0</v>
      </c>
      <c r="C1258" s="79">
        <v>0</v>
      </c>
    </row>
    <row r="1259" spans="1:3" x14ac:dyDescent="0.25">
      <c r="A1259" s="2">
        <v>0</v>
      </c>
      <c r="B1259" s="38">
        <v>0</v>
      </c>
      <c r="C1259" s="79">
        <v>0</v>
      </c>
    </row>
    <row r="1260" spans="1:3" x14ac:dyDescent="0.25">
      <c r="A1260" s="2">
        <v>0</v>
      </c>
      <c r="B1260" s="38">
        <v>0</v>
      </c>
      <c r="C1260" s="79">
        <v>0</v>
      </c>
    </row>
    <row r="1261" spans="1:3" x14ac:dyDescent="0.25">
      <c r="A1261" s="2">
        <v>0</v>
      </c>
      <c r="B1261" s="38">
        <v>0</v>
      </c>
      <c r="C1261" s="79">
        <v>0</v>
      </c>
    </row>
    <row r="1262" spans="1:3" x14ac:dyDescent="0.25">
      <c r="A1262" s="2">
        <v>0</v>
      </c>
      <c r="B1262" s="38">
        <v>0</v>
      </c>
      <c r="C1262" s="79">
        <v>0</v>
      </c>
    </row>
    <row r="1263" spans="1:3" x14ac:dyDescent="0.25">
      <c r="A1263" s="2">
        <v>0</v>
      </c>
      <c r="B1263" s="38">
        <v>0</v>
      </c>
      <c r="C1263" s="79">
        <v>0</v>
      </c>
    </row>
    <row r="1264" spans="1:3" x14ac:dyDescent="0.25">
      <c r="A1264" s="2">
        <v>0</v>
      </c>
      <c r="B1264" s="38">
        <v>0</v>
      </c>
      <c r="C1264" s="79">
        <v>0</v>
      </c>
    </row>
    <row r="1265" spans="1:3" x14ac:dyDescent="0.25">
      <c r="A1265" s="2">
        <v>0</v>
      </c>
      <c r="B1265" s="38">
        <v>0</v>
      </c>
      <c r="C1265" s="79">
        <v>0</v>
      </c>
    </row>
    <row r="1266" spans="1:3" x14ac:dyDescent="0.25">
      <c r="A1266" s="2">
        <v>0</v>
      </c>
      <c r="B1266" s="38">
        <v>0</v>
      </c>
      <c r="C1266" s="79">
        <v>0</v>
      </c>
    </row>
    <row r="1267" spans="1:3" x14ac:dyDescent="0.25">
      <c r="A1267" s="2">
        <v>0</v>
      </c>
      <c r="B1267" s="38">
        <v>0</v>
      </c>
      <c r="C1267" s="79">
        <v>0</v>
      </c>
    </row>
    <row r="1268" spans="1:3" x14ac:dyDescent="0.25">
      <c r="A1268" s="2">
        <v>0</v>
      </c>
      <c r="B1268" s="38">
        <v>0</v>
      </c>
      <c r="C1268" s="79">
        <v>0</v>
      </c>
    </row>
    <row r="1269" spans="1:3" x14ac:dyDescent="0.25">
      <c r="A1269" s="2">
        <v>0</v>
      </c>
      <c r="B1269" s="38">
        <v>0</v>
      </c>
      <c r="C1269" s="79">
        <v>0</v>
      </c>
    </row>
    <row r="1270" spans="1:3" x14ac:dyDescent="0.25">
      <c r="A1270" s="2">
        <v>0</v>
      </c>
      <c r="B1270" s="38">
        <v>0</v>
      </c>
      <c r="C1270" s="79">
        <v>0</v>
      </c>
    </row>
    <row r="1271" spans="1:3" x14ac:dyDescent="0.25">
      <c r="A1271" s="2">
        <v>0</v>
      </c>
      <c r="B1271" s="38">
        <v>0</v>
      </c>
      <c r="C1271" s="79">
        <v>0</v>
      </c>
    </row>
    <row r="1272" spans="1:3" x14ac:dyDescent="0.25">
      <c r="A1272" s="2">
        <v>0</v>
      </c>
      <c r="B1272" s="38">
        <v>0</v>
      </c>
      <c r="C1272" s="79">
        <v>0</v>
      </c>
    </row>
    <row r="1273" spans="1:3" x14ac:dyDescent="0.25">
      <c r="A1273" s="2">
        <v>0</v>
      </c>
      <c r="B1273" s="38">
        <v>0</v>
      </c>
      <c r="C1273" s="79">
        <v>0</v>
      </c>
    </row>
    <row r="1274" spans="1:3" x14ac:dyDescent="0.25">
      <c r="A1274" s="2">
        <v>0</v>
      </c>
      <c r="B1274" s="38">
        <v>0</v>
      </c>
      <c r="C1274" s="79">
        <v>0</v>
      </c>
    </row>
    <row r="1275" spans="1:3" x14ac:dyDescent="0.25">
      <c r="A1275" s="2">
        <v>0</v>
      </c>
      <c r="B1275" s="38">
        <v>0</v>
      </c>
      <c r="C1275" s="79">
        <v>0</v>
      </c>
    </row>
    <row r="1276" spans="1:3" x14ac:dyDescent="0.25">
      <c r="A1276" s="2">
        <v>0</v>
      </c>
      <c r="B1276" s="38">
        <v>0</v>
      </c>
      <c r="C1276" s="79">
        <v>0</v>
      </c>
    </row>
    <row r="1277" spans="1:3" x14ac:dyDescent="0.25">
      <c r="A1277" s="2">
        <v>0</v>
      </c>
      <c r="B1277" s="38">
        <v>0</v>
      </c>
      <c r="C1277" s="79">
        <v>0</v>
      </c>
    </row>
    <row r="1278" spans="1:3" x14ac:dyDescent="0.25">
      <c r="A1278" s="2">
        <v>0</v>
      </c>
      <c r="B1278" s="38">
        <v>0</v>
      </c>
      <c r="C1278" s="79">
        <v>0</v>
      </c>
    </row>
    <row r="1279" spans="1:3" x14ac:dyDescent="0.25">
      <c r="A1279" s="2">
        <v>0</v>
      </c>
      <c r="B1279" s="38">
        <v>0</v>
      </c>
      <c r="C1279" s="79">
        <v>0</v>
      </c>
    </row>
    <row r="1280" spans="1:3" x14ac:dyDescent="0.25">
      <c r="A1280" s="2">
        <v>0</v>
      </c>
      <c r="B1280" s="38">
        <v>0</v>
      </c>
      <c r="C1280" s="79">
        <v>0</v>
      </c>
    </row>
    <row r="1281" spans="1:3" x14ac:dyDescent="0.25">
      <c r="A1281" s="2">
        <v>0</v>
      </c>
      <c r="B1281" s="38">
        <v>0</v>
      </c>
      <c r="C1281" s="79">
        <v>0</v>
      </c>
    </row>
    <row r="1282" spans="1:3" x14ac:dyDescent="0.25">
      <c r="A1282" s="2">
        <v>0</v>
      </c>
      <c r="B1282" s="38">
        <v>0</v>
      </c>
      <c r="C1282" s="79">
        <v>0</v>
      </c>
    </row>
    <row r="1283" spans="1:3" x14ac:dyDescent="0.25">
      <c r="A1283" s="2">
        <v>0</v>
      </c>
      <c r="B1283" s="38">
        <v>0</v>
      </c>
      <c r="C1283" s="79">
        <v>0</v>
      </c>
    </row>
    <row r="1284" spans="1:3" x14ac:dyDescent="0.25">
      <c r="A1284" s="2">
        <v>0</v>
      </c>
      <c r="B1284" s="38">
        <v>0</v>
      </c>
      <c r="C1284" s="79">
        <v>0</v>
      </c>
    </row>
    <row r="1285" spans="1:3" x14ac:dyDescent="0.25">
      <c r="A1285" s="2">
        <v>0</v>
      </c>
      <c r="B1285" s="38">
        <v>0</v>
      </c>
      <c r="C1285" s="79">
        <v>0</v>
      </c>
    </row>
    <row r="1286" spans="1:3" x14ac:dyDescent="0.25">
      <c r="A1286" s="2">
        <v>0</v>
      </c>
      <c r="B1286" s="38">
        <v>0</v>
      </c>
      <c r="C1286" s="79">
        <v>0</v>
      </c>
    </row>
    <row r="1287" spans="1:3" x14ac:dyDescent="0.25">
      <c r="A1287" s="2">
        <v>0</v>
      </c>
      <c r="B1287" s="38">
        <v>0</v>
      </c>
      <c r="C1287" s="79">
        <v>0</v>
      </c>
    </row>
    <row r="1288" spans="1:3" x14ac:dyDescent="0.25">
      <c r="A1288" s="2">
        <v>0</v>
      </c>
      <c r="B1288" s="38">
        <v>0</v>
      </c>
      <c r="C1288" s="79">
        <v>0</v>
      </c>
    </row>
    <row r="1289" spans="1:3" x14ac:dyDescent="0.25">
      <c r="A1289" s="2">
        <v>0</v>
      </c>
      <c r="B1289" s="38">
        <v>0</v>
      </c>
      <c r="C1289" s="79">
        <v>0</v>
      </c>
    </row>
    <row r="1290" spans="1:3" x14ac:dyDescent="0.25">
      <c r="A1290" s="2">
        <v>0</v>
      </c>
      <c r="B1290" s="38">
        <v>0</v>
      </c>
      <c r="C1290" s="79">
        <v>0</v>
      </c>
    </row>
    <row r="1291" spans="1:3" x14ac:dyDescent="0.25">
      <c r="A1291" s="2">
        <v>0</v>
      </c>
      <c r="B1291" s="38">
        <v>0</v>
      </c>
      <c r="C1291" s="79">
        <v>0</v>
      </c>
    </row>
    <row r="1292" spans="1:3" x14ac:dyDescent="0.25">
      <c r="A1292" s="2">
        <v>0</v>
      </c>
      <c r="B1292" s="38">
        <v>0</v>
      </c>
      <c r="C1292" s="79">
        <v>0</v>
      </c>
    </row>
    <row r="1293" spans="1:3" x14ac:dyDescent="0.25">
      <c r="A1293" s="2">
        <v>0</v>
      </c>
      <c r="B1293" s="38">
        <v>0</v>
      </c>
      <c r="C1293" s="79">
        <v>0</v>
      </c>
    </row>
    <row r="1294" spans="1:3" x14ac:dyDescent="0.25">
      <c r="A1294" s="2">
        <v>0</v>
      </c>
      <c r="B1294" s="38">
        <v>0</v>
      </c>
      <c r="C1294" s="79">
        <v>0</v>
      </c>
    </row>
    <row r="1295" spans="1:3" x14ac:dyDescent="0.25">
      <c r="A1295" s="2">
        <v>0</v>
      </c>
      <c r="B1295" s="38">
        <v>0</v>
      </c>
      <c r="C1295" s="79">
        <v>0</v>
      </c>
    </row>
    <row r="1296" spans="1:3" x14ac:dyDescent="0.25">
      <c r="A1296" s="2">
        <v>0</v>
      </c>
      <c r="B1296" s="38">
        <v>0</v>
      </c>
      <c r="C1296" s="79">
        <v>0</v>
      </c>
    </row>
    <row r="1297" spans="1:3" x14ac:dyDescent="0.25">
      <c r="A1297" s="2">
        <v>0</v>
      </c>
      <c r="B1297" s="38">
        <v>0</v>
      </c>
      <c r="C1297" s="79">
        <v>0</v>
      </c>
    </row>
    <row r="1298" spans="1:3" x14ac:dyDescent="0.25">
      <c r="A1298" s="2">
        <v>0</v>
      </c>
      <c r="B1298" s="38">
        <v>0</v>
      </c>
      <c r="C1298" s="79">
        <v>0</v>
      </c>
    </row>
    <row r="1299" spans="1:3" x14ac:dyDescent="0.25">
      <c r="A1299" s="2">
        <v>0</v>
      </c>
      <c r="B1299" s="38">
        <v>0</v>
      </c>
      <c r="C1299" s="79">
        <v>0</v>
      </c>
    </row>
    <row r="1300" spans="1:3" x14ac:dyDescent="0.25">
      <c r="A1300" s="2">
        <v>0</v>
      </c>
      <c r="B1300" s="38">
        <v>0</v>
      </c>
      <c r="C1300" s="79">
        <v>0</v>
      </c>
    </row>
    <row r="1301" spans="1:3" x14ac:dyDescent="0.25">
      <c r="A1301" s="2">
        <v>0</v>
      </c>
      <c r="B1301" s="38">
        <v>0</v>
      </c>
      <c r="C1301" s="79">
        <v>0</v>
      </c>
    </row>
    <row r="1302" spans="1:3" x14ac:dyDescent="0.25">
      <c r="A1302" s="2">
        <v>0</v>
      </c>
      <c r="B1302" s="38">
        <v>0</v>
      </c>
      <c r="C1302" s="79">
        <v>0</v>
      </c>
    </row>
    <row r="1303" spans="1:3" x14ac:dyDescent="0.25">
      <c r="A1303" s="2">
        <v>0</v>
      </c>
      <c r="B1303" s="38">
        <v>0</v>
      </c>
      <c r="C1303" s="79">
        <v>0</v>
      </c>
    </row>
    <row r="1304" spans="1:3" x14ac:dyDescent="0.25">
      <c r="A1304" s="2">
        <v>0</v>
      </c>
      <c r="B1304" s="38">
        <v>0</v>
      </c>
      <c r="C1304" s="79">
        <v>0</v>
      </c>
    </row>
    <row r="1305" spans="1:3" x14ac:dyDescent="0.25">
      <c r="A1305" s="2">
        <v>0</v>
      </c>
      <c r="B1305" s="38">
        <v>0</v>
      </c>
      <c r="C1305" s="79">
        <v>0</v>
      </c>
    </row>
    <row r="1306" spans="1:3" x14ac:dyDescent="0.25">
      <c r="A1306" s="2">
        <v>0</v>
      </c>
      <c r="B1306" s="38">
        <v>0</v>
      </c>
      <c r="C1306" s="79">
        <v>0</v>
      </c>
    </row>
    <row r="1307" spans="1:3" x14ac:dyDescent="0.25">
      <c r="A1307" s="2">
        <v>0</v>
      </c>
      <c r="B1307" s="38">
        <v>0</v>
      </c>
      <c r="C1307" s="79">
        <v>0</v>
      </c>
    </row>
    <row r="1308" spans="1:3" x14ac:dyDescent="0.25">
      <c r="A1308" s="2">
        <v>0</v>
      </c>
      <c r="B1308" s="38">
        <v>0</v>
      </c>
      <c r="C1308" s="79">
        <v>0</v>
      </c>
    </row>
    <row r="1309" spans="1:3" x14ac:dyDescent="0.25">
      <c r="A1309" s="2">
        <v>0</v>
      </c>
      <c r="B1309" s="38">
        <v>0</v>
      </c>
      <c r="C1309" s="79">
        <v>0</v>
      </c>
    </row>
    <row r="1310" spans="1:3" x14ac:dyDescent="0.25">
      <c r="A1310" s="2">
        <v>0</v>
      </c>
      <c r="B1310" s="38">
        <v>0</v>
      </c>
      <c r="C1310" s="79">
        <v>0</v>
      </c>
    </row>
    <row r="1311" spans="1:3" x14ac:dyDescent="0.25">
      <c r="A1311" s="2">
        <v>0</v>
      </c>
      <c r="B1311" s="38">
        <v>0</v>
      </c>
      <c r="C1311" s="79">
        <v>0</v>
      </c>
    </row>
    <row r="1312" spans="1:3" x14ac:dyDescent="0.25">
      <c r="A1312" s="2">
        <v>0</v>
      </c>
      <c r="B1312" s="38">
        <v>0</v>
      </c>
      <c r="C1312" s="79">
        <v>0</v>
      </c>
    </row>
    <row r="1313" spans="1:3" x14ac:dyDescent="0.25">
      <c r="A1313" s="2">
        <v>0</v>
      </c>
      <c r="B1313" s="38">
        <v>0</v>
      </c>
      <c r="C1313" s="79">
        <v>0</v>
      </c>
    </row>
    <row r="1314" spans="1:3" x14ac:dyDescent="0.25">
      <c r="A1314" s="2">
        <v>0</v>
      </c>
      <c r="B1314" s="38">
        <v>0</v>
      </c>
      <c r="C1314" s="79">
        <v>0</v>
      </c>
    </row>
    <row r="1315" spans="1:3" x14ac:dyDescent="0.25">
      <c r="A1315" s="2">
        <v>0</v>
      </c>
      <c r="B1315" s="38">
        <v>0</v>
      </c>
      <c r="C1315" s="79">
        <v>0</v>
      </c>
    </row>
    <row r="1316" spans="1:3" x14ac:dyDescent="0.25">
      <c r="A1316" s="2">
        <v>0</v>
      </c>
      <c r="B1316" s="38">
        <v>0</v>
      </c>
      <c r="C1316" s="79">
        <v>0</v>
      </c>
    </row>
    <row r="1317" spans="1:3" x14ac:dyDescent="0.25">
      <c r="A1317" s="2">
        <v>0</v>
      </c>
      <c r="B1317" s="38">
        <v>0</v>
      </c>
      <c r="C1317" s="79">
        <v>0</v>
      </c>
    </row>
    <row r="1318" spans="1:3" x14ac:dyDescent="0.25">
      <c r="A1318" s="2">
        <v>0</v>
      </c>
      <c r="B1318" s="38">
        <v>0</v>
      </c>
      <c r="C1318" s="79">
        <v>0</v>
      </c>
    </row>
    <row r="1319" spans="1:3" x14ac:dyDescent="0.25">
      <c r="A1319" s="2">
        <v>0</v>
      </c>
      <c r="B1319" s="38">
        <v>0</v>
      </c>
      <c r="C1319" s="79">
        <v>0</v>
      </c>
    </row>
    <row r="1320" spans="1:3" x14ac:dyDescent="0.25">
      <c r="A1320" s="2">
        <v>0</v>
      </c>
      <c r="B1320" s="38">
        <v>0</v>
      </c>
      <c r="C1320" s="79">
        <v>0</v>
      </c>
    </row>
    <row r="1321" spans="1:3" x14ac:dyDescent="0.25">
      <c r="A1321" s="2">
        <v>0</v>
      </c>
      <c r="B1321" s="38">
        <v>0</v>
      </c>
      <c r="C1321" s="79">
        <v>0</v>
      </c>
    </row>
    <row r="1322" spans="1:3" x14ac:dyDescent="0.25">
      <c r="A1322" s="2">
        <v>0</v>
      </c>
      <c r="B1322" s="38">
        <v>0</v>
      </c>
      <c r="C1322" s="79">
        <v>0</v>
      </c>
    </row>
    <row r="1323" spans="1:3" x14ac:dyDescent="0.25">
      <c r="A1323" s="2">
        <v>0</v>
      </c>
      <c r="B1323" s="38">
        <v>0</v>
      </c>
      <c r="C1323" s="79">
        <v>0</v>
      </c>
    </row>
    <row r="1324" spans="1:3" x14ac:dyDescent="0.25">
      <c r="A1324" s="2">
        <v>0</v>
      </c>
      <c r="B1324" s="38">
        <v>0</v>
      </c>
      <c r="C1324" s="79">
        <v>0</v>
      </c>
    </row>
    <row r="1325" spans="1:3" x14ac:dyDescent="0.25">
      <c r="A1325" s="2">
        <v>0</v>
      </c>
      <c r="B1325" s="38">
        <v>0</v>
      </c>
      <c r="C1325" s="79">
        <v>0</v>
      </c>
    </row>
    <row r="1326" spans="1:3" x14ac:dyDescent="0.25">
      <c r="A1326" s="2">
        <v>0</v>
      </c>
      <c r="B1326" s="38">
        <v>0</v>
      </c>
      <c r="C1326" s="79">
        <v>0</v>
      </c>
    </row>
    <row r="1327" spans="1:3" x14ac:dyDescent="0.25">
      <c r="A1327" s="2">
        <v>0</v>
      </c>
      <c r="B1327" s="38">
        <v>0</v>
      </c>
      <c r="C1327" s="79">
        <v>0</v>
      </c>
    </row>
    <row r="1328" spans="1:3" x14ac:dyDescent="0.25">
      <c r="A1328" s="2">
        <v>0</v>
      </c>
      <c r="B1328" s="38">
        <v>0</v>
      </c>
      <c r="C1328" s="79">
        <v>0</v>
      </c>
    </row>
    <row r="1329" spans="1:3" x14ac:dyDescent="0.25">
      <c r="A1329" s="2">
        <v>0</v>
      </c>
      <c r="B1329" s="38">
        <v>0</v>
      </c>
      <c r="C1329" s="79">
        <v>0</v>
      </c>
    </row>
    <row r="1330" spans="1:3" x14ac:dyDescent="0.25">
      <c r="A1330" s="2">
        <v>0</v>
      </c>
      <c r="B1330" s="38">
        <v>0</v>
      </c>
      <c r="C1330" s="79">
        <v>0</v>
      </c>
    </row>
    <row r="1331" spans="1:3" x14ac:dyDescent="0.25">
      <c r="A1331" s="2">
        <v>0</v>
      </c>
      <c r="B1331" s="38">
        <v>0</v>
      </c>
      <c r="C1331" s="79">
        <v>0</v>
      </c>
    </row>
    <row r="1332" spans="1:3" x14ac:dyDescent="0.25">
      <c r="A1332" s="2">
        <v>0</v>
      </c>
      <c r="B1332" s="38">
        <v>0</v>
      </c>
      <c r="C1332" s="79">
        <v>0</v>
      </c>
    </row>
    <row r="1333" spans="1:3" x14ac:dyDescent="0.25">
      <c r="A1333" s="2">
        <v>0</v>
      </c>
      <c r="B1333" s="38">
        <v>0</v>
      </c>
      <c r="C1333" s="79">
        <v>0</v>
      </c>
    </row>
    <row r="1334" spans="1:3" x14ac:dyDescent="0.25">
      <c r="A1334" s="2">
        <v>0</v>
      </c>
      <c r="B1334" s="38">
        <v>0</v>
      </c>
      <c r="C1334" s="79">
        <v>0</v>
      </c>
    </row>
    <row r="1335" spans="1:3" x14ac:dyDescent="0.25">
      <c r="A1335" s="2">
        <v>0</v>
      </c>
      <c r="B1335" s="38">
        <v>0</v>
      </c>
      <c r="C1335" s="79">
        <v>0</v>
      </c>
    </row>
    <row r="1336" spans="1:3" x14ac:dyDescent="0.25">
      <c r="A1336" s="2">
        <v>0</v>
      </c>
      <c r="B1336" s="38">
        <v>0</v>
      </c>
      <c r="C1336" s="79">
        <v>0</v>
      </c>
    </row>
    <row r="1337" spans="1:3" x14ac:dyDescent="0.25">
      <c r="A1337" s="2">
        <v>0</v>
      </c>
      <c r="B1337" s="38">
        <v>0</v>
      </c>
      <c r="C1337" s="79">
        <v>0</v>
      </c>
    </row>
    <row r="1338" spans="1:3" x14ac:dyDescent="0.25">
      <c r="A1338" s="2">
        <v>0</v>
      </c>
      <c r="B1338" s="38">
        <v>0</v>
      </c>
      <c r="C1338" s="79">
        <v>0</v>
      </c>
    </row>
    <row r="1339" spans="1:3" x14ac:dyDescent="0.25">
      <c r="A1339" s="2">
        <v>0</v>
      </c>
      <c r="B1339" s="38">
        <v>0</v>
      </c>
      <c r="C1339" s="79">
        <v>0</v>
      </c>
    </row>
    <row r="1340" spans="1:3" x14ac:dyDescent="0.25">
      <c r="A1340" s="2">
        <v>0</v>
      </c>
      <c r="B1340" s="38">
        <v>0</v>
      </c>
      <c r="C1340" s="79">
        <v>0</v>
      </c>
    </row>
    <row r="1341" spans="1:3" x14ac:dyDescent="0.25">
      <c r="A1341" s="2">
        <v>0</v>
      </c>
      <c r="B1341" s="38">
        <v>0</v>
      </c>
      <c r="C1341" s="79">
        <v>0</v>
      </c>
    </row>
    <row r="1342" spans="1:3" x14ac:dyDescent="0.25">
      <c r="A1342" s="2">
        <v>0</v>
      </c>
      <c r="B1342" s="38">
        <v>0</v>
      </c>
      <c r="C1342" s="79">
        <v>0</v>
      </c>
    </row>
    <row r="1343" spans="1:3" x14ac:dyDescent="0.25">
      <c r="A1343" s="2">
        <v>0</v>
      </c>
      <c r="B1343" s="38">
        <v>0</v>
      </c>
      <c r="C1343" s="79">
        <v>0</v>
      </c>
    </row>
    <row r="1344" spans="1:3" x14ac:dyDescent="0.25">
      <c r="A1344" s="2">
        <v>0</v>
      </c>
      <c r="B1344" s="38">
        <v>0</v>
      </c>
      <c r="C1344" s="79">
        <v>0</v>
      </c>
    </row>
    <row r="1345" spans="1:3" x14ac:dyDescent="0.25">
      <c r="A1345" s="2">
        <v>0</v>
      </c>
      <c r="B1345" s="38">
        <v>0</v>
      </c>
      <c r="C1345" s="79">
        <v>0</v>
      </c>
    </row>
    <row r="1346" spans="1:3" x14ac:dyDescent="0.25">
      <c r="A1346" s="2">
        <v>0</v>
      </c>
      <c r="B1346" s="38">
        <v>0</v>
      </c>
      <c r="C1346" s="79">
        <v>0</v>
      </c>
    </row>
    <row r="1347" spans="1:3" x14ac:dyDescent="0.25">
      <c r="A1347" s="2">
        <v>0</v>
      </c>
      <c r="B1347" s="38">
        <v>0</v>
      </c>
      <c r="C1347" s="79">
        <v>0</v>
      </c>
    </row>
    <row r="1348" spans="1:3" x14ac:dyDescent="0.25">
      <c r="A1348" s="2">
        <v>0</v>
      </c>
      <c r="B1348" s="38">
        <v>0</v>
      </c>
      <c r="C1348" s="79">
        <v>0</v>
      </c>
    </row>
    <row r="1349" spans="1:3" x14ac:dyDescent="0.25">
      <c r="A1349" s="2">
        <v>0</v>
      </c>
      <c r="B1349" s="38">
        <v>0</v>
      </c>
      <c r="C1349" s="79">
        <v>0</v>
      </c>
    </row>
    <row r="1350" spans="1:3" x14ac:dyDescent="0.25">
      <c r="A1350" s="2">
        <v>0</v>
      </c>
      <c r="B1350" s="38">
        <v>0</v>
      </c>
      <c r="C1350" s="79">
        <v>0</v>
      </c>
    </row>
    <row r="1351" spans="1:3" x14ac:dyDescent="0.25">
      <c r="A1351" s="2">
        <v>0</v>
      </c>
      <c r="B1351" s="38">
        <v>0</v>
      </c>
      <c r="C1351" s="79">
        <v>0</v>
      </c>
    </row>
    <row r="1352" spans="1:3" x14ac:dyDescent="0.25">
      <c r="A1352" s="2">
        <v>0</v>
      </c>
      <c r="B1352" s="38">
        <v>0</v>
      </c>
      <c r="C1352" s="79">
        <v>0</v>
      </c>
    </row>
    <row r="1353" spans="1:3" x14ac:dyDescent="0.25">
      <c r="A1353" s="2">
        <v>0</v>
      </c>
      <c r="B1353" s="38">
        <v>0</v>
      </c>
      <c r="C1353" s="79">
        <v>0</v>
      </c>
    </row>
    <row r="1354" spans="1:3" x14ac:dyDescent="0.25">
      <c r="A1354" s="2">
        <v>0</v>
      </c>
      <c r="B1354" s="38">
        <v>0</v>
      </c>
      <c r="C1354" s="79">
        <v>0</v>
      </c>
    </row>
    <row r="1355" spans="1:3" x14ac:dyDescent="0.25">
      <c r="A1355" s="2">
        <v>0</v>
      </c>
      <c r="B1355" s="38">
        <v>0</v>
      </c>
      <c r="C1355" s="79">
        <v>0</v>
      </c>
    </row>
    <row r="1356" spans="1:3" x14ac:dyDescent="0.25">
      <c r="A1356" s="2">
        <v>0</v>
      </c>
      <c r="B1356" s="38">
        <v>0</v>
      </c>
      <c r="C1356" s="79">
        <v>0</v>
      </c>
    </row>
    <row r="1357" spans="1:3" x14ac:dyDescent="0.25">
      <c r="A1357" s="2">
        <v>0</v>
      </c>
      <c r="B1357" s="38">
        <v>0</v>
      </c>
      <c r="C1357" s="79">
        <v>0</v>
      </c>
    </row>
    <row r="1358" spans="1:3" x14ac:dyDescent="0.25">
      <c r="A1358" s="2">
        <v>0</v>
      </c>
      <c r="B1358" s="38">
        <v>0</v>
      </c>
      <c r="C1358" s="79">
        <v>0</v>
      </c>
    </row>
    <row r="1359" spans="1:3" x14ac:dyDescent="0.25">
      <c r="A1359" s="2">
        <v>0</v>
      </c>
      <c r="B1359" s="38">
        <v>0</v>
      </c>
      <c r="C1359" s="79">
        <v>0</v>
      </c>
    </row>
    <row r="1360" spans="1:3" x14ac:dyDescent="0.25">
      <c r="A1360" s="2">
        <v>0</v>
      </c>
      <c r="B1360" s="38">
        <v>0</v>
      </c>
      <c r="C1360" s="79">
        <v>0</v>
      </c>
    </row>
    <row r="1361" spans="1:3" x14ac:dyDescent="0.25">
      <c r="A1361" s="2">
        <v>0</v>
      </c>
      <c r="B1361" s="38">
        <v>0</v>
      </c>
      <c r="C1361" s="79">
        <v>0</v>
      </c>
    </row>
    <row r="1362" spans="1:3" x14ac:dyDescent="0.25">
      <c r="A1362" s="2">
        <v>0</v>
      </c>
      <c r="B1362" s="38">
        <v>0</v>
      </c>
      <c r="C1362" s="79">
        <v>0</v>
      </c>
    </row>
    <row r="1363" spans="1:3" x14ac:dyDescent="0.25">
      <c r="A1363" s="2">
        <v>0</v>
      </c>
      <c r="B1363" s="38">
        <v>0</v>
      </c>
      <c r="C1363" s="79">
        <v>0</v>
      </c>
    </row>
    <row r="1364" spans="1:3" x14ac:dyDescent="0.25">
      <c r="A1364" s="2">
        <v>0</v>
      </c>
      <c r="B1364" s="38">
        <v>0</v>
      </c>
      <c r="C1364" s="79">
        <v>0</v>
      </c>
    </row>
    <row r="1365" spans="1:3" x14ac:dyDescent="0.25">
      <c r="A1365" s="2">
        <v>0</v>
      </c>
      <c r="B1365" s="38">
        <v>0</v>
      </c>
      <c r="C1365" s="79">
        <v>0</v>
      </c>
    </row>
    <row r="1366" spans="1:3" x14ac:dyDescent="0.25">
      <c r="A1366" s="2">
        <v>0</v>
      </c>
      <c r="B1366" s="38">
        <v>0</v>
      </c>
      <c r="C1366" s="79">
        <v>0</v>
      </c>
    </row>
    <row r="1367" spans="1:3" x14ac:dyDescent="0.25">
      <c r="A1367" s="2">
        <v>0</v>
      </c>
      <c r="B1367" s="38">
        <v>0</v>
      </c>
      <c r="C1367" s="79">
        <v>0</v>
      </c>
    </row>
    <row r="1368" spans="1:3" x14ac:dyDescent="0.25">
      <c r="A1368" s="2">
        <v>0</v>
      </c>
      <c r="B1368" s="38">
        <v>0</v>
      </c>
      <c r="C1368" s="79">
        <v>0</v>
      </c>
    </row>
    <row r="1369" spans="1:3" x14ac:dyDescent="0.25">
      <c r="A1369" s="2">
        <v>0</v>
      </c>
      <c r="B1369" s="38">
        <v>0</v>
      </c>
      <c r="C1369" s="79">
        <v>0</v>
      </c>
    </row>
    <row r="1370" spans="1:3" x14ac:dyDescent="0.25">
      <c r="A1370" s="2">
        <v>0</v>
      </c>
      <c r="B1370" s="38">
        <v>0</v>
      </c>
      <c r="C1370" s="79">
        <v>0</v>
      </c>
    </row>
    <row r="1371" spans="1:3" x14ac:dyDescent="0.25">
      <c r="A1371" s="2">
        <v>0</v>
      </c>
      <c r="B1371" s="38">
        <v>0</v>
      </c>
      <c r="C1371" s="79">
        <v>0</v>
      </c>
    </row>
    <row r="1372" spans="1:3" x14ac:dyDescent="0.25">
      <c r="A1372" s="2">
        <v>0</v>
      </c>
      <c r="B1372" s="38">
        <v>0</v>
      </c>
      <c r="C1372" s="79">
        <v>0</v>
      </c>
    </row>
    <row r="1373" spans="1:3" x14ac:dyDescent="0.25">
      <c r="A1373" s="2">
        <v>0</v>
      </c>
      <c r="B1373" s="38">
        <v>0</v>
      </c>
      <c r="C1373" s="79">
        <v>0</v>
      </c>
    </row>
    <row r="1374" spans="1:3" x14ac:dyDescent="0.25">
      <c r="A1374" s="2">
        <v>0</v>
      </c>
      <c r="B1374" s="38">
        <v>0</v>
      </c>
      <c r="C1374" s="79">
        <v>0</v>
      </c>
    </row>
    <row r="1375" spans="1:3" x14ac:dyDescent="0.25">
      <c r="A1375" s="2">
        <v>0</v>
      </c>
      <c r="B1375" s="38">
        <v>0</v>
      </c>
      <c r="C1375" s="79">
        <v>0</v>
      </c>
    </row>
    <row r="1376" spans="1:3" x14ac:dyDescent="0.25">
      <c r="A1376" s="2">
        <v>0</v>
      </c>
      <c r="B1376" s="38">
        <v>0</v>
      </c>
      <c r="C1376" s="79">
        <v>0</v>
      </c>
    </row>
    <row r="1377" spans="1:3" x14ac:dyDescent="0.25">
      <c r="A1377" s="2">
        <v>0</v>
      </c>
      <c r="B1377" s="38">
        <v>0</v>
      </c>
      <c r="C1377" s="79">
        <v>0</v>
      </c>
    </row>
    <row r="1378" spans="1:3" x14ac:dyDescent="0.25">
      <c r="A1378" s="2">
        <v>0</v>
      </c>
      <c r="B1378" s="38">
        <v>0</v>
      </c>
      <c r="C1378" s="79">
        <v>0</v>
      </c>
    </row>
    <row r="1379" spans="1:3" x14ac:dyDescent="0.25">
      <c r="A1379" s="2">
        <v>0</v>
      </c>
      <c r="B1379" s="38">
        <v>0</v>
      </c>
      <c r="C1379" s="79">
        <v>0</v>
      </c>
    </row>
    <row r="1380" spans="1:3" x14ac:dyDescent="0.25">
      <c r="A1380" s="2">
        <v>0</v>
      </c>
      <c r="B1380" s="38">
        <v>0</v>
      </c>
      <c r="C1380" s="79">
        <v>0</v>
      </c>
    </row>
    <row r="1381" spans="1:3" x14ac:dyDescent="0.25">
      <c r="A1381" s="2">
        <v>0</v>
      </c>
      <c r="B1381" s="38">
        <v>0</v>
      </c>
      <c r="C1381" s="79">
        <v>0</v>
      </c>
    </row>
    <row r="1382" spans="1:3" x14ac:dyDescent="0.25">
      <c r="A1382" s="2">
        <v>0</v>
      </c>
      <c r="B1382" s="38">
        <v>0</v>
      </c>
      <c r="C1382" s="79">
        <v>0</v>
      </c>
    </row>
    <row r="1383" spans="1:3" x14ac:dyDescent="0.25">
      <c r="A1383" s="2">
        <v>0</v>
      </c>
      <c r="B1383" s="38">
        <v>0</v>
      </c>
      <c r="C1383" s="79">
        <v>0</v>
      </c>
    </row>
    <row r="1384" spans="1:3" x14ac:dyDescent="0.25">
      <c r="A1384" s="2">
        <v>0</v>
      </c>
      <c r="B1384" s="38">
        <v>0</v>
      </c>
      <c r="C1384" s="79">
        <v>0</v>
      </c>
    </row>
    <row r="1385" spans="1:3" x14ac:dyDescent="0.25">
      <c r="A1385" s="2">
        <v>0</v>
      </c>
      <c r="B1385" s="38">
        <v>0</v>
      </c>
      <c r="C1385" s="79">
        <v>0</v>
      </c>
    </row>
    <row r="1386" spans="1:3" x14ac:dyDescent="0.25">
      <c r="A1386" s="2">
        <v>0</v>
      </c>
      <c r="B1386" s="38">
        <v>0</v>
      </c>
      <c r="C1386" s="79">
        <v>0</v>
      </c>
    </row>
    <row r="1387" spans="1:3" x14ac:dyDescent="0.25">
      <c r="A1387" s="2">
        <v>0</v>
      </c>
      <c r="B1387" s="38">
        <v>0</v>
      </c>
      <c r="C1387" s="79">
        <v>0</v>
      </c>
    </row>
    <row r="1388" spans="1:3" x14ac:dyDescent="0.25">
      <c r="A1388" s="2">
        <v>0</v>
      </c>
      <c r="B1388" s="38">
        <v>0</v>
      </c>
      <c r="C1388" s="79">
        <v>0</v>
      </c>
    </row>
    <row r="1389" spans="1:3" x14ac:dyDescent="0.25">
      <c r="A1389" s="2">
        <v>0</v>
      </c>
      <c r="B1389" s="38">
        <v>0</v>
      </c>
      <c r="C1389" s="79">
        <v>0</v>
      </c>
    </row>
    <row r="1390" spans="1:3" x14ac:dyDescent="0.25">
      <c r="A1390" s="2">
        <v>0</v>
      </c>
      <c r="B1390" s="38">
        <v>0</v>
      </c>
      <c r="C1390" s="79">
        <v>0</v>
      </c>
    </row>
    <row r="1391" spans="1:3" x14ac:dyDescent="0.25">
      <c r="A1391" s="2">
        <v>0</v>
      </c>
      <c r="B1391" s="38">
        <v>0</v>
      </c>
      <c r="C1391" s="79">
        <v>0</v>
      </c>
    </row>
    <row r="1392" spans="1:3" x14ac:dyDescent="0.25">
      <c r="A1392" s="2">
        <v>0</v>
      </c>
      <c r="B1392" s="38">
        <v>0</v>
      </c>
      <c r="C1392" s="79">
        <v>0</v>
      </c>
    </row>
    <row r="1393" spans="1:3" x14ac:dyDescent="0.25">
      <c r="A1393" s="2">
        <v>0</v>
      </c>
      <c r="B1393" s="38">
        <v>0</v>
      </c>
      <c r="C1393" s="79">
        <v>0</v>
      </c>
    </row>
    <row r="1394" spans="1:3" x14ac:dyDescent="0.25">
      <c r="A1394" s="2">
        <v>0</v>
      </c>
      <c r="B1394" s="38">
        <v>0</v>
      </c>
      <c r="C1394" s="79">
        <v>0</v>
      </c>
    </row>
    <row r="1395" spans="1:3" x14ac:dyDescent="0.25">
      <c r="A1395" s="2">
        <v>0</v>
      </c>
      <c r="B1395" s="38">
        <v>0</v>
      </c>
      <c r="C1395" s="79">
        <v>0</v>
      </c>
    </row>
    <row r="1396" spans="1:3" x14ac:dyDescent="0.25">
      <c r="A1396" s="2">
        <v>0</v>
      </c>
      <c r="B1396" s="38">
        <v>0</v>
      </c>
      <c r="C1396" s="79">
        <v>0</v>
      </c>
    </row>
    <row r="1397" spans="1:3" x14ac:dyDescent="0.25">
      <c r="A1397" s="2">
        <v>0</v>
      </c>
      <c r="B1397" s="38">
        <v>0</v>
      </c>
      <c r="C1397" s="79">
        <v>0</v>
      </c>
    </row>
    <row r="1398" spans="1:3" x14ac:dyDescent="0.25">
      <c r="A1398" s="2">
        <v>0</v>
      </c>
      <c r="B1398" s="38">
        <v>0</v>
      </c>
      <c r="C1398" s="79">
        <v>0</v>
      </c>
    </row>
    <row r="1399" spans="1:3" x14ac:dyDescent="0.25">
      <c r="A1399" s="2">
        <v>0</v>
      </c>
      <c r="B1399" s="38">
        <v>0</v>
      </c>
      <c r="C1399" s="79">
        <v>0</v>
      </c>
    </row>
    <row r="1400" spans="1:3" x14ac:dyDescent="0.25">
      <c r="A1400" s="2">
        <v>0</v>
      </c>
      <c r="B1400" s="38">
        <v>0</v>
      </c>
      <c r="C1400" s="79">
        <v>0</v>
      </c>
    </row>
    <row r="1401" spans="1:3" x14ac:dyDescent="0.25">
      <c r="A1401" s="2">
        <v>0</v>
      </c>
      <c r="B1401" s="38">
        <v>0</v>
      </c>
      <c r="C1401" s="79">
        <v>0</v>
      </c>
    </row>
    <row r="1402" spans="1:3" x14ac:dyDescent="0.25">
      <c r="A1402" s="2">
        <v>0</v>
      </c>
      <c r="B1402" s="38">
        <v>0</v>
      </c>
      <c r="C1402" s="79">
        <v>0</v>
      </c>
    </row>
    <row r="1403" spans="1:3" x14ac:dyDescent="0.25">
      <c r="A1403" s="2">
        <v>0</v>
      </c>
      <c r="B1403" s="38">
        <v>0</v>
      </c>
      <c r="C1403" s="79">
        <v>0</v>
      </c>
    </row>
    <row r="1404" spans="1:3" x14ac:dyDescent="0.25">
      <c r="A1404" s="2">
        <v>0</v>
      </c>
      <c r="B1404" s="38">
        <v>0</v>
      </c>
      <c r="C1404" s="79">
        <v>0</v>
      </c>
    </row>
    <row r="1405" spans="1:3" x14ac:dyDescent="0.25">
      <c r="A1405" s="2">
        <v>0</v>
      </c>
      <c r="B1405" s="38">
        <v>0</v>
      </c>
      <c r="C1405" s="79">
        <v>0</v>
      </c>
    </row>
    <row r="1406" spans="1:3" x14ac:dyDescent="0.25">
      <c r="A1406" s="2">
        <v>0</v>
      </c>
      <c r="B1406" s="38">
        <v>0</v>
      </c>
      <c r="C1406" s="79">
        <v>0</v>
      </c>
    </row>
    <row r="1407" spans="1:3" x14ac:dyDescent="0.25">
      <c r="A1407" s="2">
        <v>0</v>
      </c>
      <c r="B1407" s="38">
        <v>0</v>
      </c>
      <c r="C1407" s="79">
        <v>0</v>
      </c>
    </row>
    <row r="1408" spans="1:3" x14ac:dyDescent="0.25">
      <c r="A1408" s="2">
        <v>0</v>
      </c>
      <c r="B1408" s="38">
        <v>0</v>
      </c>
      <c r="C1408" s="79">
        <v>0</v>
      </c>
    </row>
    <row r="1409" spans="1:3" x14ac:dyDescent="0.25">
      <c r="A1409" s="2">
        <v>0</v>
      </c>
      <c r="B1409" s="38">
        <v>0</v>
      </c>
      <c r="C1409" s="79">
        <v>0</v>
      </c>
    </row>
    <row r="1410" spans="1:3" x14ac:dyDescent="0.25">
      <c r="A1410" s="2">
        <v>0</v>
      </c>
      <c r="B1410" s="38">
        <v>0</v>
      </c>
      <c r="C1410" s="79">
        <v>0</v>
      </c>
    </row>
    <row r="1411" spans="1:3" x14ac:dyDescent="0.25">
      <c r="A1411" s="2">
        <v>0</v>
      </c>
      <c r="B1411" s="38">
        <v>0</v>
      </c>
      <c r="C1411" s="79">
        <v>0</v>
      </c>
    </row>
    <row r="1412" spans="1:3" x14ac:dyDescent="0.25">
      <c r="A1412" s="2">
        <v>0</v>
      </c>
      <c r="B1412" s="38">
        <v>0</v>
      </c>
      <c r="C1412" s="79">
        <v>0</v>
      </c>
    </row>
    <row r="1413" spans="1:3" x14ac:dyDescent="0.25">
      <c r="A1413" s="2">
        <v>0</v>
      </c>
      <c r="B1413" s="38">
        <v>0</v>
      </c>
      <c r="C1413" s="79">
        <v>0</v>
      </c>
    </row>
    <row r="1414" spans="1:3" x14ac:dyDescent="0.25">
      <c r="A1414" s="2">
        <v>0</v>
      </c>
      <c r="B1414" s="38">
        <v>0</v>
      </c>
      <c r="C1414" s="79">
        <v>0</v>
      </c>
    </row>
    <row r="1415" spans="1:3" x14ac:dyDescent="0.25">
      <c r="A1415" s="2">
        <v>0</v>
      </c>
      <c r="B1415" s="38">
        <v>0</v>
      </c>
      <c r="C1415" s="79">
        <v>0</v>
      </c>
    </row>
    <row r="1416" spans="1:3" x14ac:dyDescent="0.25">
      <c r="A1416" s="2">
        <v>0</v>
      </c>
      <c r="B1416" s="38">
        <v>0</v>
      </c>
      <c r="C1416" s="79">
        <v>0</v>
      </c>
    </row>
    <row r="1417" spans="1:3" x14ac:dyDescent="0.25">
      <c r="A1417" s="2">
        <v>0</v>
      </c>
      <c r="B1417" s="38">
        <v>0</v>
      </c>
      <c r="C1417" s="79">
        <v>0</v>
      </c>
    </row>
    <row r="1418" spans="1:3" x14ac:dyDescent="0.25">
      <c r="A1418" s="2">
        <v>0</v>
      </c>
      <c r="B1418" s="38">
        <v>0</v>
      </c>
      <c r="C1418" s="79">
        <v>0</v>
      </c>
    </row>
    <row r="1419" spans="1:3" x14ac:dyDescent="0.25">
      <c r="A1419" s="2">
        <v>0</v>
      </c>
      <c r="B1419" s="38">
        <v>0</v>
      </c>
      <c r="C1419" s="79">
        <v>0</v>
      </c>
    </row>
    <row r="1420" spans="1:3" x14ac:dyDescent="0.25">
      <c r="A1420" s="2">
        <v>0</v>
      </c>
      <c r="B1420" s="38">
        <v>0</v>
      </c>
      <c r="C1420" s="79">
        <v>0</v>
      </c>
    </row>
    <row r="1421" spans="1:3" x14ac:dyDescent="0.25">
      <c r="A1421" s="2">
        <v>0</v>
      </c>
      <c r="B1421" s="38">
        <v>0</v>
      </c>
      <c r="C1421" s="79">
        <v>0</v>
      </c>
    </row>
    <row r="1422" spans="1:3" x14ac:dyDescent="0.25">
      <c r="A1422" s="2">
        <v>0</v>
      </c>
      <c r="B1422" s="38">
        <v>0</v>
      </c>
      <c r="C1422" s="79">
        <v>0</v>
      </c>
    </row>
    <row r="1423" spans="1:3" x14ac:dyDescent="0.25">
      <c r="A1423" s="2">
        <v>0</v>
      </c>
      <c r="B1423" s="38">
        <v>0</v>
      </c>
      <c r="C1423" s="79">
        <v>0</v>
      </c>
    </row>
    <row r="1424" spans="1:3" x14ac:dyDescent="0.25">
      <c r="A1424" s="2">
        <v>0</v>
      </c>
      <c r="B1424" s="38">
        <v>0</v>
      </c>
      <c r="C1424" s="79">
        <v>0</v>
      </c>
    </row>
    <row r="1425" spans="1:3" x14ac:dyDescent="0.25">
      <c r="A1425" s="2">
        <v>0</v>
      </c>
      <c r="B1425" s="38">
        <v>0</v>
      </c>
      <c r="C1425" s="79">
        <v>0</v>
      </c>
    </row>
    <row r="1426" spans="1:3" x14ac:dyDescent="0.25">
      <c r="A1426" s="2">
        <v>0</v>
      </c>
      <c r="B1426" s="38">
        <v>0</v>
      </c>
      <c r="C1426" s="79">
        <v>0</v>
      </c>
    </row>
    <row r="1427" spans="1:3" x14ac:dyDescent="0.25">
      <c r="A1427" s="2">
        <v>0</v>
      </c>
      <c r="B1427" s="38">
        <v>0</v>
      </c>
      <c r="C1427" s="79">
        <v>0</v>
      </c>
    </row>
    <row r="1428" spans="1:3" x14ac:dyDescent="0.25">
      <c r="A1428" s="2">
        <v>0</v>
      </c>
      <c r="B1428" s="38">
        <v>0</v>
      </c>
      <c r="C1428" s="79">
        <v>0</v>
      </c>
    </row>
    <row r="1429" spans="1:3" x14ac:dyDescent="0.25">
      <c r="A1429" s="2">
        <v>0</v>
      </c>
      <c r="B1429" s="38">
        <v>0</v>
      </c>
      <c r="C1429" s="79">
        <v>0</v>
      </c>
    </row>
    <row r="1430" spans="1:3" x14ac:dyDescent="0.25">
      <c r="A1430" s="2">
        <v>0</v>
      </c>
      <c r="B1430" s="38">
        <v>0</v>
      </c>
      <c r="C1430" s="79">
        <v>0</v>
      </c>
    </row>
    <row r="1431" spans="1:3" x14ac:dyDescent="0.25">
      <c r="A1431" s="2">
        <v>0</v>
      </c>
      <c r="B1431" s="38">
        <v>0</v>
      </c>
      <c r="C1431" s="79">
        <v>0</v>
      </c>
    </row>
    <row r="1432" spans="1:3" x14ac:dyDescent="0.25">
      <c r="A1432" s="2">
        <v>0</v>
      </c>
      <c r="B1432" s="38">
        <v>0</v>
      </c>
      <c r="C1432" s="79">
        <v>0</v>
      </c>
    </row>
    <row r="1433" spans="1:3" x14ac:dyDescent="0.25">
      <c r="A1433" s="2">
        <v>0</v>
      </c>
      <c r="B1433" s="38">
        <v>0</v>
      </c>
      <c r="C1433" s="79">
        <v>0</v>
      </c>
    </row>
    <row r="1434" spans="1:3" x14ac:dyDescent="0.25">
      <c r="A1434" s="2">
        <v>0</v>
      </c>
      <c r="B1434" s="38">
        <v>0</v>
      </c>
      <c r="C1434" s="79">
        <v>0</v>
      </c>
    </row>
    <row r="1435" spans="1:3" x14ac:dyDescent="0.25">
      <c r="A1435" s="2">
        <v>0</v>
      </c>
      <c r="B1435" s="38">
        <v>0</v>
      </c>
      <c r="C1435" s="79">
        <v>0</v>
      </c>
    </row>
    <row r="1436" spans="1:3" x14ac:dyDescent="0.25">
      <c r="A1436" s="2">
        <v>0</v>
      </c>
      <c r="B1436" s="38">
        <v>0</v>
      </c>
      <c r="C1436" s="79">
        <v>0</v>
      </c>
    </row>
    <row r="1437" spans="1:3" x14ac:dyDescent="0.25">
      <c r="A1437" s="2">
        <v>0</v>
      </c>
      <c r="B1437" s="38">
        <v>0</v>
      </c>
      <c r="C1437" s="79">
        <v>0</v>
      </c>
    </row>
    <row r="1438" spans="1:3" x14ac:dyDescent="0.25">
      <c r="A1438" s="2">
        <v>0</v>
      </c>
      <c r="B1438" s="38">
        <v>0</v>
      </c>
      <c r="C1438" s="79">
        <v>0</v>
      </c>
    </row>
    <row r="1439" spans="1:3" x14ac:dyDescent="0.25">
      <c r="A1439" s="2">
        <v>0</v>
      </c>
      <c r="B1439" s="38">
        <v>0</v>
      </c>
      <c r="C1439" s="79">
        <v>0</v>
      </c>
    </row>
    <row r="1440" spans="1:3" x14ac:dyDescent="0.25">
      <c r="A1440" s="2">
        <v>0</v>
      </c>
      <c r="B1440" s="38">
        <v>0</v>
      </c>
      <c r="C1440" s="79">
        <v>0</v>
      </c>
    </row>
    <row r="1441" spans="1:3" x14ac:dyDescent="0.25">
      <c r="A1441" s="2">
        <v>0</v>
      </c>
      <c r="B1441" s="38">
        <v>0</v>
      </c>
      <c r="C1441" s="79">
        <v>0</v>
      </c>
    </row>
    <row r="1442" spans="1:3" x14ac:dyDescent="0.25">
      <c r="A1442" s="2">
        <v>0</v>
      </c>
      <c r="B1442" s="38">
        <v>0</v>
      </c>
      <c r="C1442" s="79">
        <v>0</v>
      </c>
    </row>
    <row r="1443" spans="1:3" x14ac:dyDescent="0.25">
      <c r="A1443" s="2">
        <v>0</v>
      </c>
      <c r="B1443" s="38">
        <v>0</v>
      </c>
      <c r="C1443" s="79">
        <v>0</v>
      </c>
    </row>
    <row r="1444" spans="1:3" x14ac:dyDescent="0.25">
      <c r="A1444" s="2">
        <v>0</v>
      </c>
      <c r="B1444" s="38">
        <v>0</v>
      </c>
      <c r="C1444" s="79">
        <v>0</v>
      </c>
    </row>
    <row r="1445" spans="1:3" x14ac:dyDescent="0.25">
      <c r="A1445" s="2">
        <v>0</v>
      </c>
      <c r="B1445" s="38">
        <v>0</v>
      </c>
      <c r="C1445" s="79">
        <v>0</v>
      </c>
    </row>
    <row r="1446" spans="1:3" x14ac:dyDescent="0.25">
      <c r="A1446" s="2">
        <v>0</v>
      </c>
      <c r="B1446" s="38">
        <v>0</v>
      </c>
      <c r="C1446" s="79">
        <v>0</v>
      </c>
    </row>
    <row r="1447" spans="1:3" x14ac:dyDescent="0.25">
      <c r="A1447" s="2">
        <v>0</v>
      </c>
      <c r="B1447" s="38">
        <v>0</v>
      </c>
      <c r="C1447" s="79">
        <v>0</v>
      </c>
    </row>
    <row r="1448" spans="1:3" x14ac:dyDescent="0.25">
      <c r="A1448" s="2">
        <v>0</v>
      </c>
      <c r="B1448" s="38">
        <v>0</v>
      </c>
      <c r="C1448" s="79">
        <v>0</v>
      </c>
    </row>
    <row r="1449" spans="1:3" x14ac:dyDescent="0.25">
      <c r="A1449" s="2">
        <v>0</v>
      </c>
      <c r="B1449" s="38">
        <v>0</v>
      </c>
      <c r="C1449" s="79">
        <v>0</v>
      </c>
    </row>
    <row r="1450" spans="1:3" x14ac:dyDescent="0.25">
      <c r="A1450" s="2">
        <v>0</v>
      </c>
      <c r="B1450" s="38">
        <v>0</v>
      </c>
      <c r="C1450" s="79">
        <v>0</v>
      </c>
    </row>
    <row r="1451" spans="1:3" x14ac:dyDescent="0.25">
      <c r="A1451" s="2">
        <v>0</v>
      </c>
      <c r="B1451" s="38">
        <v>0</v>
      </c>
      <c r="C1451" s="79">
        <v>0</v>
      </c>
    </row>
    <row r="1452" spans="1:3" x14ac:dyDescent="0.25">
      <c r="A1452" s="2">
        <v>0</v>
      </c>
      <c r="B1452" s="38">
        <v>0</v>
      </c>
      <c r="C1452" s="79">
        <v>0</v>
      </c>
    </row>
    <row r="1453" spans="1:3" x14ac:dyDescent="0.25">
      <c r="A1453" s="2">
        <v>0</v>
      </c>
      <c r="B1453" s="38">
        <v>0</v>
      </c>
      <c r="C1453" s="79">
        <v>0</v>
      </c>
    </row>
    <row r="1454" spans="1:3" x14ac:dyDescent="0.25">
      <c r="A1454" s="2">
        <v>0</v>
      </c>
      <c r="B1454" s="38">
        <v>0</v>
      </c>
      <c r="C1454" s="79">
        <v>0</v>
      </c>
    </row>
    <row r="1455" spans="1:3" x14ac:dyDescent="0.25">
      <c r="A1455" s="2">
        <v>0</v>
      </c>
      <c r="B1455" s="38">
        <v>0</v>
      </c>
      <c r="C1455" s="79">
        <v>0</v>
      </c>
    </row>
    <row r="1456" spans="1:3" x14ac:dyDescent="0.25">
      <c r="A1456" s="2">
        <v>0</v>
      </c>
      <c r="B1456" s="38">
        <v>0</v>
      </c>
      <c r="C1456" s="79">
        <v>0</v>
      </c>
    </row>
    <row r="1457" spans="1:3" x14ac:dyDescent="0.25">
      <c r="A1457" s="2">
        <v>0</v>
      </c>
      <c r="B1457" s="38">
        <v>0</v>
      </c>
      <c r="C1457" s="79">
        <v>0</v>
      </c>
    </row>
    <row r="1458" spans="1:3" x14ac:dyDescent="0.25">
      <c r="A1458" s="2">
        <v>0</v>
      </c>
      <c r="B1458" s="38">
        <v>0</v>
      </c>
      <c r="C1458" s="79">
        <v>0</v>
      </c>
    </row>
    <row r="1459" spans="1:3" x14ac:dyDescent="0.25">
      <c r="A1459" s="2">
        <v>0</v>
      </c>
      <c r="B1459" s="38">
        <v>0</v>
      </c>
      <c r="C1459" s="79">
        <v>0</v>
      </c>
    </row>
    <row r="1460" spans="1:3" x14ac:dyDescent="0.25">
      <c r="A1460" s="2">
        <v>0</v>
      </c>
      <c r="B1460" s="38">
        <v>0</v>
      </c>
      <c r="C1460" s="79">
        <v>0</v>
      </c>
    </row>
    <row r="1461" spans="1:3" x14ac:dyDescent="0.25">
      <c r="A1461" s="2">
        <v>0</v>
      </c>
      <c r="B1461" s="38">
        <v>0</v>
      </c>
      <c r="C1461" s="79">
        <v>0</v>
      </c>
    </row>
    <row r="1462" spans="1:3" x14ac:dyDescent="0.25">
      <c r="A1462" s="2">
        <v>0</v>
      </c>
      <c r="B1462" s="38">
        <v>0</v>
      </c>
      <c r="C1462" s="79">
        <v>0</v>
      </c>
    </row>
    <row r="1463" spans="1:3" x14ac:dyDescent="0.25">
      <c r="A1463" s="2">
        <v>0</v>
      </c>
      <c r="B1463" s="38">
        <v>0</v>
      </c>
      <c r="C1463" s="79">
        <v>0</v>
      </c>
    </row>
    <row r="1464" spans="1:3" x14ac:dyDescent="0.25">
      <c r="A1464" s="2">
        <v>0</v>
      </c>
      <c r="B1464" s="38">
        <v>0</v>
      </c>
      <c r="C1464" s="79">
        <v>0</v>
      </c>
    </row>
    <row r="1465" spans="1:3" x14ac:dyDescent="0.25">
      <c r="A1465" s="2">
        <v>0</v>
      </c>
      <c r="B1465" s="38">
        <v>0</v>
      </c>
      <c r="C1465" s="79">
        <v>0</v>
      </c>
    </row>
    <row r="1466" spans="1:3" x14ac:dyDescent="0.25">
      <c r="A1466" s="2">
        <v>0</v>
      </c>
      <c r="B1466" s="38">
        <v>0</v>
      </c>
      <c r="C1466" s="79">
        <v>0</v>
      </c>
    </row>
    <row r="1467" spans="1:3" x14ac:dyDescent="0.25">
      <c r="A1467" s="2">
        <v>0</v>
      </c>
      <c r="B1467" s="38">
        <v>0</v>
      </c>
      <c r="C1467" s="79">
        <v>0</v>
      </c>
    </row>
    <row r="1468" spans="1:3" x14ac:dyDescent="0.25">
      <c r="A1468" s="2">
        <v>0</v>
      </c>
      <c r="B1468" s="38">
        <v>0</v>
      </c>
      <c r="C1468" s="79">
        <v>0</v>
      </c>
    </row>
    <row r="1469" spans="1:3" x14ac:dyDescent="0.25">
      <c r="A1469" s="2">
        <v>0</v>
      </c>
      <c r="B1469" s="38">
        <v>0</v>
      </c>
      <c r="C1469" s="79">
        <v>0</v>
      </c>
    </row>
    <row r="1470" spans="1:3" x14ac:dyDescent="0.25">
      <c r="A1470" s="2">
        <v>0</v>
      </c>
      <c r="B1470" s="38">
        <v>0</v>
      </c>
      <c r="C1470" s="79">
        <v>0</v>
      </c>
    </row>
    <row r="1471" spans="1:3" x14ac:dyDescent="0.25">
      <c r="A1471" s="2">
        <v>0</v>
      </c>
      <c r="B1471" s="38">
        <v>0</v>
      </c>
      <c r="C1471" s="79">
        <v>0</v>
      </c>
    </row>
    <row r="1472" spans="1:3" x14ac:dyDescent="0.25">
      <c r="A1472" s="2">
        <v>0</v>
      </c>
      <c r="B1472" s="38">
        <v>0</v>
      </c>
      <c r="C1472" s="79">
        <v>0</v>
      </c>
    </row>
    <row r="1473" spans="1:3" x14ac:dyDescent="0.25">
      <c r="A1473" s="2">
        <v>0</v>
      </c>
      <c r="B1473" s="38">
        <v>0</v>
      </c>
      <c r="C1473" s="79">
        <v>0</v>
      </c>
    </row>
    <row r="1474" spans="1:3" x14ac:dyDescent="0.25">
      <c r="A1474" s="2">
        <v>0</v>
      </c>
      <c r="B1474" s="38">
        <v>0</v>
      </c>
      <c r="C1474" s="79">
        <v>0</v>
      </c>
    </row>
    <row r="1475" spans="1:3" x14ac:dyDescent="0.25">
      <c r="A1475" s="2">
        <v>0</v>
      </c>
      <c r="B1475" s="38">
        <v>0</v>
      </c>
      <c r="C1475" s="79">
        <v>0</v>
      </c>
    </row>
    <row r="1476" spans="1:3" x14ac:dyDescent="0.25">
      <c r="A1476" s="2">
        <v>0</v>
      </c>
      <c r="B1476" s="38">
        <v>0</v>
      </c>
      <c r="C1476" s="79">
        <v>0</v>
      </c>
    </row>
    <row r="1477" spans="1:3" x14ac:dyDescent="0.25">
      <c r="A1477" s="2">
        <v>0</v>
      </c>
      <c r="B1477" s="38">
        <v>0</v>
      </c>
      <c r="C1477" s="79">
        <v>0</v>
      </c>
    </row>
    <row r="1478" spans="1:3" x14ac:dyDescent="0.25">
      <c r="A1478" s="2">
        <v>0</v>
      </c>
      <c r="B1478" s="38">
        <v>0</v>
      </c>
      <c r="C1478" s="79">
        <v>0</v>
      </c>
    </row>
    <row r="1479" spans="1:3" x14ac:dyDescent="0.25">
      <c r="A1479" s="2">
        <v>0</v>
      </c>
      <c r="B1479" s="38">
        <v>0</v>
      </c>
      <c r="C1479" s="79">
        <v>0</v>
      </c>
    </row>
    <row r="1480" spans="1:3" x14ac:dyDescent="0.25">
      <c r="A1480" s="2">
        <v>0</v>
      </c>
      <c r="B1480" s="38">
        <v>0</v>
      </c>
      <c r="C1480" s="79">
        <v>0</v>
      </c>
    </row>
    <row r="1481" spans="1:3" x14ac:dyDescent="0.25">
      <c r="A1481" s="2">
        <v>0</v>
      </c>
      <c r="B1481" s="38">
        <v>0</v>
      </c>
      <c r="C1481" s="79">
        <v>0</v>
      </c>
    </row>
    <row r="1482" spans="1:3" x14ac:dyDescent="0.25">
      <c r="A1482" s="2">
        <v>0</v>
      </c>
      <c r="B1482" s="38">
        <v>0</v>
      </c>
      <c r="C1482" s="79">
        <v>0</v>
      </c>
    </row>
    <row r="1483" spans="1:3" x14ac:dyDescent="0.25">
      <c r="A1483" s="2">
        <v>0</v>
      </c>
      <c r="B1483" s="38">
        <v>0</v>
      </c>
      <c r="C1483" s="79">
        <v>0</v>
      </c>
    </row>
    <row r="1484" spans="1:3" x14ac:dyDescent="0.25">
      <c r="A1484" s="2">
        <v>0</v>
      </c>
      <c r="B1484" s="38">
        <v>0</v>
      </c>
      <c r="C1484" s="79">
        <v>0</v>
      </c>
    </row>
    <row r="1485" spans="1:3" x14ac:dyDescent="0.25">
      <c r="A1485" s="2">
        <v>0</v>
      </c>
      <c r="B1485" s="38">
        <v>0</v>
      </c>
      <c r="C1485" s="79">
        <v>0</v>
      </c>
    </row>
    <row r="1486" spans="1:3" x14ac:dyDescent="0.25">
      <c r="A1486" s="2">
        <v>0</v>
      </c>
      <c r="B1486" s="38">
        <v>0</v>
      </c>
      <c r="C1486" s="79">
        <v>0</v>
      </c>
    </row>
    <row r="1487" spans="1:3" x14ac:dyDescent="0.25">
      <c r="A1487" s="2">
        <v>0</v>
      </c>
      <c r="B1487" s="38">
        <v>0</v>
      </c>
      <c r="C1487" s="79">
        <v>0</v>
      </c>
    </row>
    <row r="1488" spans="1:3" x14ac:dyDescent="0.25">
      <c r="A1488" s="2">
        <v>0</v>
      </c>
      <c r="B1488" s="38">
        <v>0</v>
      </c>
      <c r="C1488" s="79">
        <v>0</v>
      </c>
    </row>
    <row r="1489" spans="1:3" x14ac:dyDescent="0.25">
      <c r="A1489" s="2">
        <v>0</v>
      </c>
      <c r="B1489" s="38">
        <v>0</v>
      </c>
      <c r="C1489" s="79">
        <v>0</v>
      </c>
    </row>
    <row r="1490" spans="1:3" x14ac:dyDescent="0.25">
      <c r="A1490" s="2">
        <v>0</v>
      </c>
      <c r="B1490" s="38">
        <v>0</v>
      </c>
      <c r="C1490" s="79">
        <v>0</v>
      </c>
    </row>
    <row r="1491" spans="1:3" x14ac:dyDescent="0.25">
      <c r="A1491" s="2">
        <v>0</v>
      </c>
      <c r="B1491" s="38">
        <v>0</v>
      </c>
      <c r="C1491" s="79">
        <v>0</v>
      </c>
    </row>
    <row r="1492" spans="1:3" x14ac:dyDescent="0.25">
      <c r="A1492" s="2">
        <v>0</v>
      </c>
      <c r="B1492" s="38">
        <v>0</v>
      </c>
      <c r="C1492" s="79">
        <v>0</v>
      </c>
    </row>
    <row r="1493" spans="1:3" x14ac:dyDescent="0.25">
      <c r="A1493" s="2">
        <v>0</v>
      </c>
      <c r="B1493" s="38">
        <v>0</v>
      </c>
      <c r="C1493" s="79">
        <v>0</v>
      </c>
    </row>
    <row r="1494" spans="1:3" x14ac:dyDescent="0.25">
      <c r="A1494" s="2">
        <v>0</v>
      </c>
      <c r="B1494" s="38">
        <v>0</v>
      </c>
      <c r="C1494" s="79">
        <v>0</v>
      </c>
    </row>
    <row r="1495" spans="1:3" x14ac:dyDescent="0.25">
      <c r="A1495" s="2">
        <v>0</v>
      </c>
      <c r="B1495" s="38">
        <v>0</v>
      </c>
      <c r="C1495" s="79">
        <v>0</v>
      </c>
    </row>
    <row r="1496" spans="1:3" x14ac:dyDescent="0.25">
      <c r="A1496" s="2">
        <v>0</v>
      </c>
      <c r="B1496" s="38">
        <v>0</v>
      </c>
      <c r="C1496" s="79">
        <v>0</v>
      </c>
    </row>
    <row r="1497" spans="1:3" x14ac:dyDescent="0.25">
      <c r="A1497" s="2">
        <v>0</v>
      </c>
      <c r="B1497" s="38">
        <v>0</v>
      </c>
      <c r="C1497" s="79">
        <v>0</v>
      </c>
    </row>
    <row r="1498" spans="1:3" x14ac:dyDescent="0.25">
      <c r="A1498" s="2">
        <v>0</v>
      </c>
      <c r="B1498" s="38">
        <v>0</v>
      </c>
      <c r="C1498" s="79">
        <v>0</v>
      </c>
    </row>
    <row r="1499" spans="1:3" x14ac:dyDescent="0.25">
      <c r="A1499" s="2">
        <v>0</v>
      </c>
      <c r="B1499" s="38">
        <v>0</v>
      </c>
      <c r="C1499" s="79">
        <v>0</v>
      </c>
    </row>
    <row r="1500" spans="1:3" x14ac:dyDescent="0.25">
      <c r="A1500" s="2">
        <v>0</v>
      </c>
      <c r="B1500" s="38">
        <v>0</v>
      </c>
      <c r="C1500" s="79">
        <v>0</v>
      </c>
    </row>
    <row r="1501" spans="1:3" x14ac:dyDescent="0.25">
      <c r="A1501" s="2">
        <v>0</v>
      </c>
      <c r="B1501" s="38">
        <v>0</v>
      </c>
      <c r="C1501" s="79">
        <v>0</v>
      </c>
    </row>
    <row r="1502" spans="1:3" x14ac:dyDescent="0.25">
      <c r="A1502" s="2">
        <v>0</v>
      </c>
      <c r="B1502" s="38">
        <v>0</v>
      </c>
      <c r="C1502" s="79">
        <v>0</v>
      </c>
    </row>
    <row r="1503" spans="1:3" x14ac:dyDescent="0.25">
      <c r="A1503" s="2">
        <v>0</v>
      </c>
      <c r="B1503" s="38">
        <v>0</v>
      </c>
      <c r="C1503" s="79">
        <v>0</v>
      </c>
    </row>
    <row r="1504" spans="1:3" x14ac:dyDescent="0.25">
      <c r="A1504" s="2">
        <v>0</v>
      </c>
      <c r="B1504" s="38">
        <v>0</v>
      </c>
      <c r="C1504" s="79">
        <v>0</v>
      </c>
    </row>
    <row r="1505" spans="1:3" x14ac:dyDescent="0.25">
      <c r="A1505" s="2">
        <v>0</v>
      </c>
      <c r="B1505" s="38">
        <v>0</v>
      </c>
      <c r="C1505" s="79">
        <v>0</v>
      </c>
    </row>
    <row r="1506" spans="1:3" x14ac:dyDescent="0.25">
      <c r="A1506" s="2">
        <v>0</v>
      </c>
      <c r="B1506" s="38">
        <v>0</v>
      </c>
      <c r="C1506" s="79">
        <v>0</v>
      </c>
    </row>
    <row r="1507" spans="1:3" x14ac:dyDescent="0.25">
      <c r="A1507" s="2">
        <v>0</v>
      </c>
      <c r="B1507" s="38">
        <v>0</v>
      </c>
      <c r="C1507" s="79">
        <v>0</v>
      </c>
    </row>
    <row r="1508" spans="1:3" x14ac:dyDescent="0.25">
      <c r="A1508" s="2">
        <v>0</v>
      </c>
      <c r="B1508" s="38">
        <v>0</v>
      </c>
      <c r="C1508" s="79">
        <v>0</v>
      </c>
    </row>
    <row r="1509" spans="1:3" x14ac:dyDescent="0.25">
      <c r="A1509" s="2">
        <v>0</v>
      </c>
      <c r="B1509" s="38">
        <v>0</v>
      </c>
      <c r="C1509" s="79">
        <v>0</v>
      </c>
    </row>
    <row r="1510" spans="1:3" x14ac:dyDescent="0.25">
      <c r="A1510" s="2">
        <v>0</v>
      </c>
      <c r="B1510" s="38">
        <v>0</v>
      </c>
      <c r="C1510" s="79">
        <v>0</v>
      </c>
    </row>
    <row r="1511" spans="1:3" x14ac:dyDescent="0.25">
      <c r="A1511" s="2">
        <v>0</v>
      </c>
      <c r="B1511" s="38">
        <v>0</v>
      </c>
      <c r="C1511" s="79">
        <v>0</v>
      </c>
    </row>
    <row r="1512" spans="1:3" x14ac:dyDescent="0.25">
      <c r="A1512" s="2">
        <v>0</v>
      </c>
      <c r="B1512" s="38">
        <v>0</v>
      </c>
      <c r="C1512" s="79">
        <v>0</v>
      </c>
    </row>
    <row r="1513" spans="1:3" x14ac:dyDescent="0.25">
      <c r="A1513" s="2">
        <v>0</v>
      </c>
      <c r="B1513" s="38">
        <v>0</v>
      </c>
      <c r="C1513" s="79">
        <v>0</v>
      </c>
    </row>
    <row r="1514" spans="1:3" x14ac:dyDescent="0.25">
      <c r="A1514" s="2">
        <v>0</v>
      </c>
      <c r="B1514" s="38">
        <v>0</v>
      </c>
      <c r="C1514" s="79">
        <v>0</v>
      </c>
    </row>
    <row r="1515" spans="1:3" x14ac:dyDescent="0.25">
      <c r="A1515" s="2">
        <v>0</v>
      </c>
      <c r="B1515" s="38">
        <v>0</v>
      </c>
      <c r="C1515" s="79">
        <v>0</v>
      </c>
    </row>
    <row r="1516" spans="1:3" x14ac:dyDescent="0.25">
      <c r="A1516" s="2">
        <v>0</v>
      </c>
      <c r="B1516" s="38">
        <v>0</v>
      </c>
      <c r="C1516" s="79">
        <v>0</v>
      </c>
    </row>
    <row r="1517" spans="1:3" x14ac:dyDescent="0.25">
      <c r="A1517" s="2">
        <v>0</v>
      </c>
      <c r="B1517" s="38">
        <v>0</v>
      </c>
      <c r="C1517" s="79">
        <v>0</v>
      </c>
    </row>
    <row r="1518" spans="1:3" x14ac:dyDescent="0.25">
      <c r="A1518" s="2">
        <v>0</v>
      </c>
      <c r="B1518" s="38">
        <v>0</v>
      </c>
      <c r="C1518" s="79">
        <v>0</v>
      </c>
    </row>
    <row r="1519" spans="1:3" x14ac:dyDescent="0.25">
      <c r="A1519" s="2">
        <v>0</v>
      </c>
      <c r="B1519" s="38">
        <v>0</v>
      </c>
      <c r="C1519" s="79">
        <v>0</v>
      </c>
    </row>
    <row r="1520" spans="1:3" x14ac:dyDescent="0.25">
      <c r="A1520" s="2">
        <v>0</v>
      </c>
      <c r="B1520" s="38">
        <v>0</v>
      </c>
      <c r="C1520" s="79">
        <v>0</v>
      </c>
    </row>
    <row r="1521" spans="1:3" x14ac:dyDescent="0.25">
      <c r="A1521" s="2">
        <v>0</v>
      </c>
      <c r="B1521" s="38">
        <v>0</v>
      </c>
      <c r="C1521" s="79">
        <v>0</v>
      </c>
    </row>
    <row r="1522" spans="1:3" x14ac:dyDescent="0.25">
      <c r="A1522" s="2">
        <v>0</v>
      </c>
      <c r="B1522" s="38">
        <v>0</v>
      </c>
      <c r="C1522" s="79">
        <v>0</v>
      </c>
    </row>
    <row r="1523" spans="1:3" x14ac:dyDescent="0.25">
      <c r="A1523" s="2">
        <v>0</v>
      </c>
      <c r="B1523" s="38">
        <v>0</v>
      </c>
      <c r="C1523" s="79">
        <v>0</v>
      </c>
    </row>
    <row r="1524" spans="1:3" x14ac:dyDescent="0.25">
      <c r="A1524" s="2">
        <v>0</v>
      </c>
      <c r="B1524" s="38">
        <v>0</v>
      </c>
      <c r="C1524" s="79">
        <v>0</v>
      </c>
    </row>
    <row r="1525" spans="1:3" x14ac:dyDescent="0.25">
      <c r="A1525" s="2">
        <v>0</v>
      </c>
      <c r="B1525" s="38">
        <v>0</v>
      </c>
      <c r="C1525" s="79">
        <v>0</v>
      </c>
    </row>
    <row r="1526" spans="1:3" x14ac:dyDescent="0.25">
      <c r="A1526" s="2">
        <v>0</v>
      </c>
      <c r="B1526" s="38">
        <v>0</v>
      </c>
      <c r="C1526" s="79">
        <v>0</v>
      </c>
    </row>
    <row r="1527" spans="1:3" x14ac:dyDescent="0.25">
      <c r="A1527" s="2">
        <v>0</v>
      </c>
      <c r="B1527" s="38">
        <v>0</v>
      </c>
      <c r="C1527" s="79">
        <v>0</v>
      </c>
    </row>
    <row r="1528" spans="1:3" x14ac:dyDescent="0.25">
      <c r="A1528" s="2">
        <v>0</v>
      </c>
      <c r="B1528" s="38">
        <v>0</v>
      </c>
      <c r="C1528" s="79">
        <v>0</v>
      </c>
    </row>
    <row r="1529" spans="1:3" x14ac:dyDescent="0.25">
      <c r="A1529" s="2">
        <v>0</v>
      </c>
      <c r="B1529" s="38">
        <v>0</v>
      </c>
      <c r="C1529" s="79">
        <v>0</v>
      </c>
    </row>
    <row r="1530" spans="1:3" x14ac:dyDescent="0.25">
      <c r="A1530" s="2">
        <v>0</v>
      </c>
      <c r="B1530" s="38">
        <v>0</v>
      </c>
      <c r="C1530" s="79">
        <v>0</v>
      </c>
    </row>
    <row r="1531" spans="1:3" x14ac:dyDescent="0.25">
      <c r="A1531" s="2">
        <v>0</v>
      </c>
      <c r="B1531" s="38">
        <v>0</v>
      </c>
      <c r="C1531" s="79">
        <v>0</v>
      </c>
    </row>
    <row r="1532" spans="1:3" x14ac:dyDescent="0.25">
      <c r="A1532" s="2">
        <v>0</v>
      </c>
      <c r="B1532" s="38">
        <v>0</v>
      </c>
      <c r="C1532" s="79">
        <v>0</v>
      </c>
    </row>
    <row r="1533" spans="1:3" x14ac:dyDescent="0.25">
      <c r="A1533" s="2">
        <v>0</v>
      </c>
      <c r="B1533" s="38">
        <v>0</v>
      </c>
      <c r="C1533" s="79">
        <v>0</v>
      </c>
    </row>
    <row r="1534" spans="1:3" x14ac:dyDescent="0.25">
      <c r="A1534" s="2">
        <v>0</v>
      </c>
      <c r="B1534" s="38">
        <v>0</v>
      </c>
      <c r="C1534" s="79">
        <v>0</v>
      </c>
    </row>
    <row r="1535" spans="1:3" x14ac:dyDescent="0.25">
      <c r="A1535" s="2">
        <v>0</v>
      </c>
      <c r="B1535" s="38">
        <v>0</v>
      </c>
      <c r="C1535" s="79">
        <v>0</v>
      </c>
    </row>
    <row r="1536" spans="1:3" x14ac:dyDescent="0.25">
      <c r="A1536" s="2">
        <v>0</v>
      </c>
      <c r="B1536" s="38">
        <v>0</v>
      </c>
      <c r="C1536" s="79">
        <v>0</v>
      </c>
    </row>
    <row r="1537" spans="1:3" x14ac:dyDescent="0.25">
      <c r="A1537" s="2">
        <v>0</v>
      </c>
      <c r="B1537" s="38">
        <v>0</v>
      </c>
      <c r="C1537" s="79">
        <v>0</v>
      </c>
    </row>
    <row r="1538" spans="1:3" x14ac:dyDescent="0.25">
      <c r="A1538" s="2">
        <v>0</v>
      </c>
      <c r="B1538" s="38">
        <v>0</v>
      </c>
      <c r="C1538" s="79">
        <v>0</v>
      </c>
    </row>
    <row r="1539" spans="1:3" x14ac:dyDescent="0.25">
      <c r="A1539" s="2">
        <v>0</v>
      </c>
      <c r="B1539" s="38">
        <v>0</v>
      </c>
      <c r="C1539" s="79">
        <v>0</v>
      </c>
    </row>
    <row r="1540" spans="1:3" x14ac:dyDescent="0.25">
      <c r="A1540" s="2">
        <v>0</v>
      </c>
      <c r="B1540" s="38">
        <v>0</v>
      </c>
      <c r="C1540" s="79">
        <v>0</v>
      </c>
    </row>
    <row r="1541" spans="1:3" x14ac:dyDescent="0.25">
      <c r="A1541" s="2">
        <v>0</v>
      </c>
      <c r="B1541" s="38">
        <v>0</v>
      </c>
      <c r="C1541" s="79">
        <v>0</v>
      </c>
    </row>
    <row r="1542" spans="1:3" x14ac:dyDescent="0.25">
      <c r="A1542" s="2">
        <v>0</v>
      </c>
      <c r="B1542" s="38">
        <v>0</v>
      </c>
      <c r="C1542" s="79">
        <v>0</v>
      </c>
    </row>
    <row r="1543" spans="1:3" x14ac:dyDescent="0.25">
      <c r="A1543" s="2">
        <v>0</v>
      </c>
      <c r="B1543" s="38">
        <v>0</v>
      </c>
      <c r="C1543" s="79">
        <v>0</v>
      </c>
    </row>
    <row r="1544" spans="1:3" x14ac:dyDescent="0.25">
      <c r="A1544" s="2">
        <v>0</v>
      </c>
      <c r="B1544" s="38">
        <v>0</v>
      </c>
      <c r="C1544" s="79">
        <v>0</v>
      </c>
    </row>
    <row r="1545" spans="1:3" x14ac:dyDescent="0.25">
      <c r="A1545" s="2">
        <v>0</v>
      </c>
      <c r="B1545" s="38">
        <v>0</v>
      </c>
      <c r="C1545" s="79">
        <v>0</v>
      </c>
    </row>
    <row r="1546" spans="1:3" x14ac:dyDescent="0.25">
      <c r="A1546" s="2">
        <v>0</v>
      </c>
      <c r="B1546" s="38">
        <v>0</v>
      </c>
      <c r="C1546" s="79">
        <v>0</v>
      </c>
    </row>
    <row r="1547" spans="1:3" x14ac:dyDescent="0.25">
      <c r="A1547" s="2">
        <v>0</v>
      </c>
      <c r="B1547" s="38">
        <v>0</v>
      </c>
      <c r="C1547" s="79">
        <v>0</v>
      </c>
    </row>
    <row r="1548" spans="1:3" x14ac:dyDescent="0.25">
      <c r="A1548" s="2">
        <v>0</v>
      </c>
      <c r="B1548" s="38">
        <v>0</v>
      </c>
      <c r="C1548" s="79">
        <v>0</v>
      </c>
    </row>
    <row r="1549" spans="1:3" x14ac:dyDescent="0.25">
      <c r="A1549" s="2">
        <v>0</v>
      </c>
      <c r="B1549" s="38">
        <v>0</v>
      </c>
      <c r="C1549" s="79">
        <v>0</v>
      </c>
    </row>
    <row r="1550" spans="1:3" x14ac:dyDescent="0.25">
      <c r="A1550" s="2">
        <v>0</v>
      </c>
      <c r="B1550" s="38">
        <v>0</v>
      </c>
      <c r="C1550" s="79">
        <v>0</v>
      </c>
    </row>
    <row r="1551" spans="1:3" x14ac:dyDescent="0.25">
      <c r="A1551" s="2">
        <v>0</v>
      </c>
      <c r="B1551" s="38">
        <v>0</v>
      </c>
      <c r="C1551" s="79">
        <v>0</v>
      </c>
    </row>
    <row r="1552" spans="1:3" x14ac:dyDescent="0.25">
      <c r="A1552" s="2">
        <v>0</v>
      </c>
      <c r="B1552" s="38">
        <v>0</v>
      </c>
      <c r="C1552" s="79">
        <v>0</v>
      </c>
    </row>
    <row r="1553" spans="1:3" x14ac:dyDescent="0.25">
      <c r="A1553" s="2">
        <v>0</v>
      </c>
      <c r="B1553" s="38">
        <v>0</v>
      </c>
      <c r="C1553" s="79">
        <v>0</v>
      </c>
    </row>
    <row r="1554" spans="1:3" x14ac:dyDescent="0.25">
      <c r="A1554" s="2">
        <v>0</v>
      </c>
      <c r="B1554" s="38">
        <v>0</v>
      </c>
      <c r="C1554" s="79">
        <v>0</v>
      </c>
    </row>
    <row r="1555" spans="1:3" x14ac:dyDescent="0.25">
      <c r="A1555" s="2">
        <v>0</v>
      </c>
      <c r="B1555" s="38">
        <v>0</v>
      </c>
      <c r="C1555" s="79">
        <v>0</v>
      </c>
    </row>
    <row r="1556" spans="1:3" x14ac:dyDescent="0.25">
      <c r="A1556" s="2">
        <v>0</v>
      </c>
      <c r="B1556" s="38">
        <v>0</v>
      </c>
      <c r="C1556" s="79">
        <v>0</v>
      </c>
    </row>
    <row r="1557" spans="1:3" x14ac:dyDescent="0.25">
      <c r="A1557" s="2">
        <v>0</v>
      </c>
      <c r="B1557" s="38">
        <v>0</v>
      </c>
      <c r="C1557" s="79">
        <v>0</v>
      </c>
    </row>
    <row r="1558" spans="1:3" x14ac:dyDescent="0.25">
      <c r="A1558" s="2">
        <v>0</v>
      </c>
      <c r="B1558" s="38">
        <v>0</v>
      </c>
      <c r="C1558" s="79">
        <v>0</v>
      </c>
    </row>
    <row r="1559" spans="1:3" x14ac:dyDescent="0.25">
      <c r="A1559" s="2">
        <v>0</v>
      </c>
      <c r="B1559" s="38">
        <v>0</v>
      </c>
      <c r="C1559" s="79">
        <v>0</v>
      </c>
    </row>
    <row r="1560" spans="1:3" x14ac:dyDescent="0.25">
      <c r="A1560" s="2">
        <v>0</v>
      </c>
      <c r="B1560" s="38">
        <v>0</v>
      </c>
      <c r="C1560" s="79">
        <v>0</v>
      </c>
    </row>
    <row r="1561" spans="1:3" x14ac:dyDescent="0.25">
      <c r="A1561" s="2">
        <v>0</v>
      </c>
      <c r="B1561" s="38">
        <v>0</v>
      </c>
      <c r="C1561" s="79">
        <v>0</v>
      </c>
    </row>
    <row r="1562" spans="1:3" x14ac:dyDescent="0.25">
      <c r="A1562" s="2">
        <v>0</v>
      </c>
      <c r="B1562" s="38">
        <v>0</v>
      </c>
      <c r="C1562" s="79">
        <v>0</v>
      </c>
    </row>
    <row r="1563" spans="1:3" x14ac:dyDescent="0.25">
      <c r="A1563" s="2">
        <v>0</v>
      </c>
      <c r="B1563" s="38">
        <v>0</v>
      </c>
      <c r="C1563" s="79">
        <v>0</v>
      </c>
    </row>
    <row r="1564" spans="1:3" x14ac:dyDescent="0.25">
      <c r="A1564" s="2">
        <v>0</v>
      </c>
      <c r="B1564" s="38">
        <v>0</v>
      </c>
      <c r="C1564" s="79">
        <v>0</v>
      </c>
    </row>
    <row r="1565" spans="1:3" x14ac:dyDescent="0.25">
      <c r="A1565" s="2">
        <v>0</v>
      </c>
      <c r="B1565" s="38">
        <v>0</v>
      </c>
      <c r="C1565" s="79">
        <v>0</v>
      </c>
    </row>
    <row r="1566" spans="1:3" x14ac:dyDescent="0.25">
      <c r="A1566" s="2">
        <v>0</v>
      </c>
      <c r="B1566" s="38">
        <v>0</v>
      </c>
      <c r="C1566" s="79">
        <v>0</v>
      </c>
    </row>
    <row r="1567" spans="1:3" x14ac:dyDescent="0.25">
      <c r="A1567" s="2">
        <v>0</v>
      </c>
      <c r="B1567" s="38">
        <v>0</v>
      </c>
      <c r="C1567" s="79">
        <v>0</v>
      </c>
    </row>
    <row r="1568" spans="1:3" x14ac:dyDescent="0.25">
      <c r="A1568" s="2">
        <v>0</v>
      </c>
      <c r="B1568" s="38">
        <v>0</v>
      </c>
      <c r="C1568" s="79">
        <v>0</v>
      </c>
    </row>
    <row r="1569" spans="1:3" x14ac:dyDescent="0.25">
      <c r="A1569" s="2">
        <v>0</v>
      </c>
      <c r="B1569" s="38">
        <v>0</v>
      </c>
      <c r="C1569" s="79">
        <v>0</v>
      </c>
    </row>
    <row r="1570" spans="1:3" x14ac:dyDescent="0.25">
      <c r="A1570" s="2">
        <v>0</v>
      </c>
      <c r="B1570" s="38">
        <v>0</v>
      </c>
      <c r="C1570" s="79">
        <v>0</v>
      </c>
    </row>
    <row r="1571" spans="1:3" x14ac:dyDescent="0.25">
      <c r="A1571" s="2">
        <v>0</v>
      </c>
      <c r="B1571" s="38">
        <v>0</v>
      </c>
      <c r="C1571" s="79">
        <v>0</v>
      </c>
    </row>
    <row r="1572" spans="1:3" x14ac:dyDescent="0.25">
      <c r="A1572" s="2">
        <v>0</v>
      </c>
      <c r="B1572" s="38">
        <v>0</v>
      </c>
      <c r="C1572" s="79">
        <v>0</v>
      </c>
    </row>
    <row r="1573" spans="1:3" x14ac:dyDescent="0.25">
      <c r="A1573" s="2">
        <v>0</v>
      </c>
      <c r="B1573" s="38">
        <v>0</v>
      </c>
      <c r="C1573" s="79">
        <v>0</v>
      </c>
    </row>
    <row r="1574" spans="1:3" x14ac:dyDescent="0.25">
      <c r="A1574" s="2">
        <v>0</v>
      </c>
      <c r="B1574" s="38">
        <v>0</v>
      </c>
      <c r="C1574" s="79">
        <v>0</v>
      </c>
    </row>
    <row r="1575" spans="1:3" x14ac:dyDescent="0.25">
      <c r="A1575" s="2">
        <v>0</v>
      </c>
      <c r="B1575" s="38">
        <v>0</v>
      </c>
      <c r="C1575" s="79">
        <v>0</v>
      </c>
    </row>
    <row r="1576" spans="1:3" x14ac:dyDescent="0.25">
      <c r="A1576" s="2">
        <v>0</v>
      </c>
      <c r="B1576" s="38">
        <v>0</v>
      </c>
      <c r="C1576" s="79">
        <v>0</v>
      </c>
    </row>
    <row r="1577" spans="1:3" x14ac:dyDescent="0.25">
      <c r="A1577" s="2">
        <v>0</v>
      </c>
      <c r="B1577" s="38">
        <v>0</v>
      </c>
      <c r="C1577" s="79">
        <v>0</v>
      </c>
    </row>
    <row r="1578" spans="1:3" x14ac:dyDescent="0.25">
      <c r="A1578" s="2">
        <v>0</v>
      </c>
      <c r="B1578" s="38">
        <v>0</v>
      </c>
      <c r="C1578" s="79">
        <v>0</v>
      </c>
    </row>
    <row r="1579" spans="1:3" x14ac:dyDescent="0.25">
      <c r="A1579" s="2">
        <v>0</v>
      </c>
      <c r="B1579" s="38">
        <v>0</v>
      </c>
      <c r="C1579" s="79">
        <v>0</v>
      </c>
    </row>
    <row r="1580" spans="1:3" x14ac:dyDescent="0.25">
      <c r="A1580" s="2">
        <v>0</v>
      </c>
      <c r="B1580" s="38">
        <v>0</v>
      </c>
      <c r="C1580" s="79">
        <v>0</v>
      </c>
    </row>
    <row r="1581" spans="1:3" x14ac:dyDescent="0.25">
      <c r="A1581" s="2">
        <v>0</v>
      </c>
      <c r="B1581" s="38">
        <v>0</v>
      </c>
      <c r="C1581" s="79">
        <v>0</v>
      </c>
    </row>
    <row r="1582" spans="1:3" x14ac:dyDescent="0.25">
      <c r="A1582" s="2">
        <v>0</v>
      </c>
      <c r="B1582" s="38">
        <v>0</v>
      </c>
      <c r="C1582" s="79">
        <v>0</v>
      </c>
    </row>
    <row r="1583" spans="1:3" x14ac:dyDescent="0.25">
      <c r="A1583" s="2">
        <v>0</v>
      </c>
      <c r="B1583" s="38">
        <v>0</v>
      </c>
      <c r="C1583" s="79">
        <v>0</v>
      </c>
    </row>
    <row r="1584" spans="1:3" x14ac:dyDescent="0.25">
      <c r="A1584" s="2">
        <v>0</v>
      </c>
      <c r="B1584" s="38">
        <v>0</v>
      </c>
      <c r="C1584" s="79">
        <v>0</v>
      </c>
    </row>
    <row r="1585" spans="1:3" x14ac:dyDescent="0.25">
      <c r="A1585" s="2">
        <v>0</v>
      </c>
      <c r="B1585" s="38">
        <v>0</v>
      </c>
      <c r="C1585" s="79">
        <v>0</v>
      </c>
    </row>
    <row r="1586" spans="1:3" x14ac:dyDescent="0.25">
      <c r="A1586" s="2">
        <v>0</v>
      </c>
      <c r="B1586" s="38">
        <v>0</v>
      </c>
      <c r="C1586" s="79">
        <v>0</v>
      </c>
    </row>
    <row r="1587" spans="1:3" x14ac:dyDescent="0.25">
      <c r="A1587" s="2">
        <v>0</v>
      </c>
      <c r="B1587" s="38">
        <v>0</v>
      </c>
      <c r="C1587" s="79">
        <v>0</v>
      </c>
    </row>
    <row r="1588" spans="1:3" x14ac:dyDescent="0.25">
      <c r="A1588" s="2">
        <v>0</v>
      </c>
      <c r="B1588" s="38">
        <v>0</v>
      </c>
      <c r="C1588" s="79">
        <v>0</v>
      </c>
    </row>
    <row r="1589" spans="1:3" x14ac:dyDescent="0.25">
      <c r="A1589" s="2">
        <v>0</v>
      </c>
      <c r="B1589" s="38">
        <v>0</v>
      </c>
      <c r="C1589" s="79">
        <v>0</v>
      </c>
    </row>
    <row r="1590" spans="1:3" x14ac:dyDescent="0.25">
      <c r="A1590" s="2">
        <v>0</v>
      </c>
      <c r="B1590" s="38">
        <v>0</v>
      </c>
      <c r="C1590" s="79">
        <v>0</v>
      </c>
    </row>
    <row r="1591" spans="1:3" x14ac:dyDescent="0.25">
      <c r="A1591" s="2">
        <v>0</v>
      </c>
      <c r="B1591" s="38">
        <v>0</v>
      </c>
      <c r="C1591" s="79">
        <v>0</v>
      </c>
    </row>
    <row r="1592" spans="1:3" x14ac:dyDescent="0.25">
      <c r="A1592" s="2">
        <v>0</v>
      </c>
      <c r="B1592" s="38">
        <v>0</v>
      </c>
      <c r="C1592" s="79">
        <v>0</v>
      </c>
    </row>
    <row r="1593" spans="1:3" x14ac:dyDescent="0.25">
      <c r="A1593" s="2">
        <v>0</v>
      </c>
      <c r="B1593" s="38">
        <v>0</v>
      </c>
      <c r="C1593" s="79">
        <v>0</v>
      </c>
    </row>
    <row r="1594" spans="1:3" x14ac:dyDescent="0.25">
      <c r="A1594" s="2">
        <v>0</v>
      </c>
      <c r="B1594" s="38">
        <v>0</v>
      </c>
      <c r="C1594" s="79">
        <v>0</v>
      </c>
    </row>
    <row r="1595" spans="1:3" x14ac:dyDescent="0.25">
      <c r="A1595" s="2">
        <v>0</v>
      </c>
      <c r="B1595" s="38">
        <v>0</v>
      </c>
      <c r="C1595" s="79">
        <v>0</v>
      </c>
    </row>
    <row r="1596" spans="1:3" x14ac:dyDescent="0.25">
      <c r="A1596" s="2">
        <v>0</v>
      </c>
      <c r="B1596" s="38">
        <v>0</v>
      </c>
      <c r="C1596" s="79">
        <v>0</v>
      </c>
    </row>
    <row r="1597" spans="1:3" x14ac:dyDescent="0.25">
      <c r="A1597" s="2">
        <v>0</v>
      </c>
      <c r="B1597" s="38">
        <v>0</v>
      </c>
      <c r="C1597" s="79">
        <v>0</v>
      </c>
    </row>
    <row r="1598" spans="1:3" x14ac:dyDescent="0.25">
      <c r="A1598" s="2">
        <v>0</v>
      </c>
      <c r="B1598" s="38">
        <v>0</v>
      </c>
      <c r="C1598" s="79">
        <v>0</v>
      </c>
    </row>
    <row r="1599" spans="1:3" x14ac:dyDescent="0.25">
      <c r="A1599" s="2">
        <v>0</v>
      </c>
      <c r="B1599" s="38">
        <v>0</v>
      </c>
      <c r="C1599" s="79">
        <v>0</v>
      </c>
    </row>
    <row r="1600" spans="1:3" x14ac:dyDescent="0.25">
      <c r="A1600" s="2">
        <v>0</v>
      </c>
      <c r="B1600" s="38">
        <v>0</v>
      </c>
      <c r="C1600" s="79">
        <v>0</v>
      </c>
    </row>
    <row r="1601" spans="1:3" x14ac:dyDescent="0.25">
      <c r="A1601" s="2">
        <v>0</v>
      </c>
      <c r="B1601" s="38">
        <v>0</v>
      </c>
      <c r="C1601" s="79">
        <v>0</v>
      </c>
    </row>
    <row r="1602" spans="1:3" x14ac:dyDescent="0.25">
      <c r="A1602" s="2">
        <v>0</v>
      </c>
      <c r="B1602" s="38">
        <v>0</v>
      </c>
      <c r="C1602" s="79">
        <v>0</v>
      </c>
    </row>
    <row r="1603" spans="1:3" x14ac:dyDescent="0.25">
      <c r="A1603" s="2">
        <v>0</v>
      </c>
      <c r="B1603" s="38">
        <v>0</v>
      </c>
      <c r="C1603" s="79">
        <v>0</v>
      </c>
    </row>
    <row r="1604" spans="1:3" x14ac:dyDescent="0.25">
      <c r="A1604" s="2">
        <v>0</v>
      </c>
      <c r="B1604" s="38">
        <v>0</v>
      </c>
      <c r="C1604" s="79">
        <v>0</v>
      </c>
    </row>
    <row r="1605" spans="1:3" x14ac:dyDescent="0.25">
      <c r="A1605" s="2">
        <v>0</v>
      </c>
      <c r="B1605" s="38">
        <v>0</v>
      </c>
      <c r="C1605" s="79">
        <v>0</v>
      </c>
    </row>
    <row r="1606" spans="1:3" x14ac:dyDescent="0.25">
      <c r="A1606" s="2">
        <v>0</v>
      </c>
      <c r="B1606" s="38">
        <v>0</v>
      </c>
      <c r="C1606" s="79">
        <v>0</v>
      </c>
    </row>
    <row r="1607" spans="1:3" x14ac:dyDescent="0.25">
      <c r="A1607" s="2">
        <v>0</v>
      </c>
      <c r="B1607" s="38">
        <v>0</v>
      </c>
      <c r="C1607" s="79">
        <v>0</v>
      </c>
    </row>
    <row r="1608" spans="1:3" x14ac:dyDescent="0.25">
      <c r="A1608" s="2">
        <v>0</v>
      </c>
      <c r="B1608" s="38">
        <v>0</v>
      </c>
      <c r="C1608" s="79">
        <v>0</v>
      </c>
    </row>
    <row r="1609" spans="1:3" x14ac:dyDescent="0.25">
      <c r="A1609" s="2">
        <v>0</v>
      </c>
      <c r="B1609" s="38">
        <v>0</v>
      </c>
      <c r="C1609" s="79">
        <v>0</v>
      </c>
    </row>
    <row r="1610" spans="1:3" x14ac:dyDescent="0.25">
      <c r="A1610" s="2">
        <v>0</v>
      </c>
      <c r="B1610" s="38">
        <v>0</v>
      </c>
      <c r="C1610" s="79">
        <v>0</v>
      </c>
    </row>
    <row r="1611" spans="1:3" x14ac:dyDescent="0.25">
      <c r="A1611" s="2">
        <v>0</v>
      </c>
      <c r="B1611" s="38">
        <v>0</v>
      </c>
      <c r="C1611" s="79">
        <v>0</v>
      </c>
    </row>
    <row r="1612" spans="1:3" x14ac:dyDescent="0.25">
      <c r="A1612" s="2">
        <v>0</v>
      </c>
      <c r="B1612" s="38">
        <v>0</v>
      </c>
      <c r="C1612" s="79">
        <v>0</v>
      </c>
    </row>
    <row r="1613" spans="1:3" x14ac:dyDescent="0.25">
      <c r="A1613" s="2">
        <v>0</v>
      </c>
      <c r="B1613" s="38">
        <v>0</v>
      </c>
      <c r="C1613" s="79">
        <v>0</v>
      </c>
    </row>
    <row r="1614" spans="1:3" x14ac:dyDescent="0.25">
      <c r="A1614" s="2">
        <v>0</v>
      </c>
      <c r="B1614" s="38">
        <v>0</v>
      </c>
      <c r="C1614" s="79">
        <v>0</v>
      </c>
    </row>
    <row r="1615" spans="1:3" x14ac:dyDescent="0.25">
      <c r="A1615" s="2">
        <v>0</v>
      </c>
      <c r="B1615" s="38">
        <v>0</v>
      </c>
      <c r="C1615" s="79">
        <v>0</v>
      </c>
    </row>
    <row r="1616" spans="1:3" x14ac:dyDescent="0.25">
      <c r="A1616" s="2">
        <v>0</v>
      </c>
      <c r="B1616" s="38">
        <v>0</v>
      </c>
      <c r="C1616" s="79">
        <v>0</v>
      </c>
    </row>
    <row r="1617" spans="1:3" x14ac:dyDescent="0.25">
      <c r="A1617" s="2">
        <v>0</v>
      </c>
      <c r="B1617" s="38">
        <v>0</v>
      </c>
      <c r="C1617" s="79">
        <v>0</v>
      </c>
    </row>
    <row r="1618" spans="1:3" x14ac:dyDescent="0.25">
      <c r="A1618" s="2">
        <v>0</v>
      </c>
      <c r="B1618" s="38">
        <v>0</v>
      </c>
      <c r="C1618" s="79">
        <v>0</v>
      </c>
    </row>
    <row r="1619" spans="1:3" x14ac:dyDescent="0.25">
      <c r="A1619" s="2">
        <v>0</v>
      </c>
      <c r="B1619" s="38">
        <v>0</v>
      </c>
      <c r="C1619" s="79">
        <v>0</v>
      </c>
    </row>
    <row r="1620" spans="1:3" x14ac:dyDescent="0.25">
      <c r="A1620" s="2">
        <v>0</v>
      </c>
      <c r="B1620" s="38">
        <v>0</v>
      </c>
      <c r="C1620" s="79">
        <v>0</v>
      </c>
    </row>
    <row r="1621" spans="1:3" x14ac:dyDescent="0.25">
      <c r="A1621" s="2">
        <v>0</v>
      </c>
      <c r="B1621" s="38">
        <v>0</v>
      </c>
      <c r="C1621" s="79">
        <v>0</v>
      </c>
    </row>
    <row r="1622" spans="1:3" x14ac:dyDescent="0.25">
      <c r="A1622" s="2">
        <v>0</v>
      </c>
      <c r="B1622" s="38">
        <v>0</v>
      </c>
      <c r="C1622" s="79">
        <v>0</v>
      </c>
    </row>
    <row r="1623" spans="1:3" x14ac:dyDescent="0.25">
      <c r="A1623" s="2">
        <v>0</v>
      </c>
      <c r="B1623" s="38">
        <v>0</v>
      </c>
      <c r="C1623" s="79">
        <v>0</v>
      </c>
    </row>
    <row r="1624" spans="1:3" x14ac:dyDescent="0.25">
      <c r="A1624" s="2">
        <v>0</v>
      </c>
      <c r="B1624" s="38">
        <v>0</v>
      </c>
      <c r="C1624" s="79">
        <v>0</v>
      </c>
    </row>
    <row r="1625" spans="1:3" x14ac:dyDescent="0.25">
      <c r="A1625" s="2">
        <v>0</v>
      </c>
      <c r="B1625" s="38">
        <v>0</v>
      </c>
      <c r="C1625" s="79">
        <v>0</v>
      </c>
    </row>
    <row r="1626" spans="1:3" x14ac:dyDescent="0.25">
      <c r="A1626" s="2">
        <v>0</v>
      </c>
      <c r="B1626" s="38">
        <v>0</v>
      </c>
      <c r="C1626" s="79">
        <v>0</v>
      </c>
    </row>
    <row r="1627" spans="1:3" x14ac:dyDescent="0.25">
      <c r="A1627" s="2">
        <v>0</v>
      </c>
      <c r="B1627" s="38">
        <v>0</v>
      </c>
      <c r="C1627" s="79">
        <v>0</v>
      </c>
    </row>
    <row r="1628" spans="1:3" x14ac:dyDescent="0.25">
      <c r="A1628" s="2">
        <v>0</v>
      </c>
      <c r="B1628" s="38">
        <v>0</v>
      </c>
      <c r="C1628" s="79">
        <v>0</v>
      </c>
    </row>
    <row r="1629" spans="1:3" x14ac:dyDescent="0.25">
      <c r="A1629" s="2">
        <v>0</v>
      </c>
      <c r="B1629" s="38">
        <v>0</v>
      </c>
      <c r="C1629" s="79">
        <v>0</v>
      </c>
    </row>
    <row r="1630" spans="1:3" x14ac:dyDescent="0.25">
      <c r="A1630" s="2">
        <v>0</v>
      </c>
      <c r="B1630" s="38">
        <v>0</v>
      </c>
      <c r="C1630" s="79">
        <v>0</v>
      </c>
    </row>
    <row r="1631" spans="1:3" x14ac:dyDescent="0.25">
      <c r="A1631" s="2">
        <v>0</v>
      </c>
      <c r="B1631" s="38">
        <v>0</v>
      </c>
      <c r="C1631" s="79">
        <v>0</v>
      </c>
    </row>
    <row r="1632" spans="1:3" x14ac:dyDescent="0.25">
      <c r="A1632" s="2">
        <v>0</v>
      </c>
      <c r="B1632" s="38">
        <v>0</v>
      </c>
      <c r="C1632" s="79">
        <v>0</v>
      </c>
    </row>
    <row r="1633" spans="1:3" x14ac:dyDescent="0.25">
      <c r="A1633" s="2">
        <v>0</v>
      </c>
      <c r="B1633" s="38">
        <v>0</v>
      </c>
      <c r="C1633" s="79">
        <v>0</v>
      </c>
    </row>
    <row r="1634" spans="1:3" x14ac:dyDescent="0.25">
      <c r="A1634" s="2">
        <v>0</v>
      </c>
      <c r="B1634" s="38">
        <v>0</v>
      </c>
      <c r="C1634" s="79">
        <v>0</v>
      </c>
    </row>
    <row r="1635" spans="1:3" x14ac:dyDescent="0.25">
      <c r="A1635" s="2">
        <v>0</v>
      </c>
      <c r="B1635" s="38">
        <v>0</v>
      </c>
      <c r="C1635" s="79">
        <v>0</v>
      </c>
    </row>
    <row r="1636" spans="1:3" x14ac:dyDescent="0.25">
      <c r="A1636" s="2">
        <v>0</v>
      </c>
      <c r="B1636" s="38">
        <v>0</v>
      </c>
      <c r="C1636" s="79">
        <v>0</v>
      </c>
    </row>
    <row r="1637" spans="1:3" x14ac:dyDescent="0.25">
      <c r="A1637" s="2">
        <v>0</v>
      </c>
      <c r="B1637" s="38">
        <v>0</v>
      </c>
      <c r="C1637" s="79">
        <v>0</v>
      </c>
    </row>
    <row r="1638" spans="1:3" x14ac:dyDescent="0.25">
      <c r="A1638" s="2">
        <v>0</v>
      </c>
      <c r="B1638" s="38">
        <v>0</v>
      </c>
      <c r="C1638" s="79">
        <v>0</v>
      </c>
    </row>
    <row r="1639" spans="1:3" x14ac:dyDescent="0.25">
      <c r="A1639" s="2">
        <v>0</v>
      </c>
      <c r="B1639" s="38">
        <v>0</v>
      </c>
      <c r="C1639" s="79">
        <v>0</v>
      </c>
    </row>
    <row r="1640" spans="1:3" x14ac:dyDescent="0.25">
      <c r="A1640" s="2">
        <v>0</v>
      </c>
      <c r="B1640" s="38">
        <v>0</v>
      </c>
      <c r="C1640" s="79">
        <v>0</v>
      </c>
    </row>
    <row r="1641" spans="1:3" x14ac:dyDescent="0.25">
      <c r="A1641" s="2">
        <v>0</v>
      </c>
      <c r="B1641" s="38">
        <v>0</v>
      </c>
      <c r="C1641" s="79">
        <v>0</v>
      </c>
    </row>
    <row r="1642" spans="1:3" x14ac:dyDescent="0.25">
      <c r="A1642" s="2">
        <v>0</v>
      </c>
      <c r="B1642" s="38">
        <v>0</v>
      </c>
      <c r="C1642" s="79">
        <v>0</v>
      </c>
    </row>
    <row r="1643" spans="1:3" x14ac:dyDescent="0.25">
      <c r="A1643" s="2">
        <v>0</v>
      </c>
      <c r="B1643" s="38">
        <v>0</v>
      </c>
      <c r="C1643" s="79">
        <v>0</v>
      </c>
    </row>
    <row r="1644" spans="1:3" x14ac:dyDescent="0.25">
      <c r="A1644" s="2">
        <v>0</v>
      </c>
      <c r="B1644" s="38">
        <v>0</v>
      </c>
      <c r="C1644" s="79">
        <v>0</v>
      </c>
    </row>
    <row r="1645" spans="1:3" x14ac:dyDescent="0.25">
      <c r="A1645" s="2">
        <v>0</v>
      </c>
      <c r="B1645" s="38">
        <v>0</v>
      </c>
      <c r="C1645" s="79">
        <v>0</v>
      </c>
    </row>
    <row r="1646" spans="1:3" x14ac:dyDescent="0.25">
      <c r="A1646" s="2">
        <v>0</v>
      </c>
      <c r="B1646" s="38">
        <v>0</v>
      </c>
      <c r="C1646" s="79">
        <v>0</v>
      </c>
    </row>
    <row r="1647" spans="1:3" x14ac:dyDescent="0.25">
      <c r="A1647" s="2">
        <v>0</v>
      </c>
      <c r="B1647" s="38">
        <v>0</v>
      </c>
      <c r="C1647" s="79">
        <v>0</v>
      </c>
    </row>
    <row r="1648" spans="1:3" x14ac:dyDescent="0.25">
      <c r="A1648" s="2">
        <v>0</v>
      </c>
      <c r="B1648" s="38">
        <v>0</v>
      </c>
      <c r="C1648" s="79">
        <v>0</v>
      </c>
    </row>
    <row r="1649" spans="1:3" x14ac:dyDescent="0.25">
      <c r="A1649" s="2">
        <v>0</v>
      </c>
      <c r="B1649" s="38">
        <v>0</v>
      </c>
      <c r="C1649" s="79">
        <v>0</v>
      </c>
    </row>
    <row r="1650" spans="1:3" x14ac:dyDescent="0.25">
      <c r="A1650" s="2">
        <v>0</v>
      </c>
      <c r="B1650" s="38">
        <v>0</v>
      </c>
      <c r="C1650" s="79">
        <v>0</v>
      </c>
    </row>
    <row r="1651" spans="1:3" x14ac:dyDescent="0.25">
      <c r="A1651" s="2">
        <v>0</v>
      </c>
      <c r="B1651" s="38">
        <v>0</v>
      </c>
      <c r="C1651" s="79">
        <v>0</v>
      </c>
    </row>
    <row r="1652" spans="1:3" x14ac:dyDescent="0.25">
      <c r="A1652" s="2">
        <v>0</v>
      </c>
      <c r="B1652" s="38">
        <v>0</v>
      </c>
      <c r="C1652" s="79">
        <v>0</v>
      </c>
    </row>
    <row r="1653" spans="1:3" x14ac:dyDescent="0.25">
      <c r="A1653" s="2">
        <v>0</v>
      </c>
      <c r="B1653" s="38">
        <v>0</v>
      </c>
      <c r="C1653" s="79">
        <v>0</v>
      </c>
    </row>
    <row r="1654" spans="1:3" x14ac:dyDescent="0.25">
      <c r="A1654" s="2">
        <v>0</v>
      </c>
      <c r="B1654" s="38">
        <v>0</v>
      </c>
      <c r="C1654" s="79">
        <v>0</v>
      </c>
    </row>
    <row r="1655" spans="1:3" x14ac:dyDescent="0.25">
      <c r="A1655" s="2">
        <v>0</v>
      </c>
      <c r="B1655" s="38">
        <v>0</v>
      </c>
      <c r="C1655" s="79">
        <v>0</v>
      </c>
    </row>
    <row r="1656" spans="1:3" x14ac:dyDescent="0.25">
      <c r="A1656" s="2">
        <v>0</v>
      </c>
      <c r="B1656" s="38">
        <v>0</v>
      </c>
      <c r="C1656" s="79">
        <v>0</v>
      </c>
    </row>
    <row r="1657" spans="1:3" x14ac:dyDescent="0.25">
      <c r="A1657" s="2">
        <v>0</v>
      </c>
      <c r="B1657" s="38">
        <v>0</v>
      </c>
      <c r="C1657" s="79">
        <v>0</v>
      </c>
    </row>
    <row r="1658" spans="1:3" x14ac:dyDescent="0.25">
      <c r="A1658" s="2">
        <v>0</v>
      </c>
      <c r="B1658" s="38">
        <v>0</v>
      </c>
      <c r="C1658" s="79">
        <v>0</v>
      </c>
    </row>
    <row r="1659" spans="1:3" x14ac:dyDescent="0.25">
      <c r="A1659" s="2">
        <v>0</v>
      </c>
      <c r="B1659" s="38">
        <v>0</v>
      </c>
      <c r="C1659" s="79">
        <v>0</v>
      </c>
    </row>
    <row r="1660" spans="1:3" x14ac:dyDescent="0.25">
      <c r="A1660" s="2">
        <v>0</v>
      </c>
      <c r="B1660" s="38">
        <v>0</v>
      </c>
      <c r="C1660" s="79">
        <v>0</v>
      </c>
    </row>
    <row r="1661" spans="1:3" x14ac:dyDescent="0.25">
      <c r="A1661" s="2">
        <v>0</v>
      </c>
      <c r="B1661" s="38">
        <v>0</v>
      </c>
      <c r="C1661" s="79">
        <v>0</v>
      </c>
    </row>
    <row r="1662" spans="1:3" x14ac:dyDescent="0.25">
      <c r="A1662" s="2">
        <v>0</v>
      </c>
      <c r="B1662" s="38">
        <v>0</v>
      </c>
      <c r="C1662" s="79">
        <v>0</v>
      </c>
    </row>
    <row r="1663" spans="1:3" x14ac:dyDescent="0.25">
      <c r="A1663" s="2">
        <v>0</v>
      </c>
      <c r="B1663" s="38">
        <v>0</v>
      </c>
      <c r="C1663" s="79">
        <v>0</v>
      </c>
    </row>
    <row r="1664" spans="1:3" x14ac:dyDescent="0.25">
      <c r="A1664" s="2">
        <v>0</v>
      </c>
      <c r="B1664" s="38">
        <v>0</v>
      </c>
      <c r="C1664" s="79">
        <v>0</v>
      </c>
    </row>
    <row r="1665" spans="1:3" x14ac:dyDescent="0.25">
      <c r="A1665" s="2">
        <v>0</v>
      </c>
      <c r="B1665" s="38">
        <v>0</v>
      </c>
      <c r="C1665" s="79">
        <v>0</v>
      </c>
    </row>
    <row r="1666" spans="1:3" x14ac:dyDescent="0.25">
      <c r="A1666" s="2">
        <v>0</v>
      </c>
      <c r="B1666" s="38">
        <v>0</v>
      </c>
      <c r="C1666" s="79">
        <v>0</v>
      </c>
    </row>
    <row r="1667" spans="1:3" x14ac:dyDescent="0.25">
      <c r="A1667" s="2">
        <v>0</v>
      </c>
      <c r="B1667" s="38">
        <v>0</v>
      </c>
      <c r="C1667" s="79">
        <v>0</v>
      </c>
    </row>
    <row r="1668" spans="1:3" x14ac:dyDescent="0.25">
      <c r="A1668" s="2">
        <v>0</v>
      </c>
      <c r="B1668" s="38">
        <v>0</v>
      </c>
      <c r="C1668" s="79">
        <v>0</v>
      </c>
    </row>
    <row r="1669" spans="1:3" x14ac:dyDescent="0.25">
      <c r="A1669" s="2">
        <v>0</v>
      </c>
      <c r="B1669" s="38">
        <v>0</v>
      </c>
      <c r="C1669" s="79">
        <v>0</v>
      </c>
    </row>
    <row r="1670" spans="1:3" x14ac:dyDescent="0.25">
      <c r="A1670" s="2">
        <v>0</v>
      </c>
      <c r="B1670" s="38">
        <v>0</v>
      </c>
      <c r="C1670" s="79">
        <v>0</v>
      </c>
    </row>
    <row r="1671" spans="1:3" x14ac:dyDescent="0.25">
      <c r="A1671" s="2">
        <v>0</v>
      </c>
      <c r="B1671" s="38">
        <v>0</v>
      </c>
      <c r="C1671" s="79">
        <v>0</v>
      </c>
    </row>
    <row r="1672" spans="1:3" x14ac:dyDescent="0.25">
      <c r="A1672" s="2">
        <v>0</v>
      </c>
      <c r="B1672" s="38">
        <v>0</v>
      </c>
      <c r="C1672" s="79">
        <v>0</v>
      </c>
    </row>
    <row r="1673" spans="1:3" x14ac:dyDescent="0.25">
      <c r="A1673" s="2">
        <v>0</v>
      </c>
      <c r="B1673" s="38">
        <v>0</v>
      </c>
      <c r="C1673" s="79">
        <v>0</v>
      </c>
    </row>
    <row r="1674" spans="1:3" x14ac:dyDescent="0.25">
      <c r="A1674" s="2">
        <v>0</v>
      </c>
      <c r="B1674" s="38">
        <v>0</v>
      </c>
      <c r="C1674" s="79">
        <v>0</v>
      </c>
    </row>
    <row r="1675" spans="1:3" x14ac:dyDescent="0.25">
      <c r="A1675" s="2">
        <v>0</v>
      </c>
      <c r="B1675" s="38">
        <v>0</v>
      </c>
      <c r="C1675" s="79">
        <v>0</v>
      </c>
    </row>
    <row r="1676" spans="1:3" x14ac:dyDescent="0.25">
      <c r="A1676" s="2">
        <v>0</v>
      </c>
      <c r="B1676" s="38">
        <v>0</v>
      </c>
      <c r="C1676" s="79">
        <v>0</v>
      </c>
    </row>
    <row r="1677" spans="1:3" x14ac:dyDescent="0.25">
      <c r="A1677" s="2">
        <v>0</v>
      </c>
      <c r="B1677" s="38">
        <v>0</v>
      </c>
      <c r="C1677" s="79">
        <v>0</v>
      </c>
    </row>
    <row r="1678" spans="1:3" x14ac:dyDescent="0.25">
      <c r="A1678" s="2">
        <v>0</v>
      </c>
      <c r="B1678" s="38">
        <v>0</v>
      </c>
      <c r="C1678" s="79">
        <v>0</v>
      </c>
    </row>
    <row r="1679" spans="1:3" x14ac:dyDescent="0.25">
      <c r="A1679" s="2">
        <v>0</v>
      </c>
      <c r="B1679" s="38">
        <v>0</v>
      </c>
      <c r="C1679" s="79">
        <v>0</v>
      </c>
    </row>
    <row r="1680" spans="1:3" x14ac:dyDescent="0.25">
      <c r="A1680" s="2">
        <v>0</v>
      </c>
      <c r="B1680" s="38">
        <v>0</v>
      </c>
      <c r="C1680" s="79">
        <v>0</v>
      </c>
    </row>
    <row r="1681" spans="1:3" x14ac:dyDescent="0.25">
      <c r="A1681" s="2">
        <v>0</v>
      </c>
      <c r="B1681" s="38">
        <v>0</v>
      </c>
      <c r="C1681" s="79">
        <v>0</v>
      </c>
    </row>
    <row r="1682" spans="1:3" x14ac:dyDescent="0.25">
      <c r="A1682" s="2">
        <v>0</v>
      </c>
      <c r="B1682" s="38">
        <v>0</v>
      </c>
      <c r="C1682" s="79">
        <v>0</v>
      </c>
    </row>
    <row r="1683" spans="1:3" x14ac:dyDescent="0.25">
      <c r="A1683" s="2">
        <v>0</v>
      </c>
      <c r="B1683" s="38">
        <v>0</v>
      </c>
      <c r="C1683" s="79">
        <v>0</v>
      </c>
    </row>
    <row r="1684" spans="1:3" x14ac:dyDescent="0.25">
      <c r="A1684" s="2">
        <v>0</v>
      </c>
      <c r="B1684" s="38">
        <v>0</v>
      </c>
      <c r="C1684" s="79">
        <v>0</v>
      </c>
    </row>
    <row r="1685" spans="1:3" x14ac:dyDescent="0.25">
      <c r="A1685" s="2">
        <v>0</v>
      </c>
      <c r="B1685" s="38">
        <v>0</v>
      </c>
      <c r="C1685" s="79">
        <v>0</v>
      </c>
    </row>
    <row r="1686" spans="1:3" x14ac:dyDescent="0.25">
      <c r="A1686" s="2">
        <v>0</v>
      </c>
      <c r="B1686" s="38">
        <v>0</v>
      </c>
      <c r="C1686" s="79">
        <v>0</v>
      </c>
    </row>
    <row r="1687" spans="1:3" x14ac:dyDescent="0.25">
      <c r="A1687" s="2">
        <v>0</v>
      </c>
      <c r="B1687" s="38">
        <v>0</v>
      </c>
      <c r="C1687" s="79">
        <v>0</v>
      </c>
    </row>
    <row r="1688" spans="1:3" x14ac:dyDescent="0.25">
      <c r="A1688" s="2">
        <v>0</v>
      </c>
      <c r="B1688" s="38">
        <v>0</v>
      </c>
      <c r="C1688" s="79">
        <v>0</v>
      </c>
    </row>
    <row r="1689" spans="1:3" x14ac:dyDescent="0.25">
      <c r="A1689" s="2">
        <v>0</v>
      </c>
      <c r="B1689" s="38">
        <v>0</v>
      </c>
      <c r="C1689" s="79">
        <v>0</v>
      </c>
    </row>
    <row r="1690" spans="1:3" x14ac:dyDescent="0.25">
      <c r="A1690" s="2">
        <v>0</v>
      </c>
      <c r="B1690" s="38">
        <v>0</v>
      </c>
      <c r="C1690" s="79">
        <v>0</v>
      </c>
    </row>
    <row r="1691" spans="1:3" x14ac:dyDescent="0.25">
      <c r="A1691" s="2">
        <v>0</v>
      </c>
      <c r="B1691" s="38">
        <v>0</v>
      </c>
      <c r="C1691" s="79">
        <v>0</v>
      </c>
    </row>
    <row r="1692" spans="1:3" x14ac:dyDescent="0.25">
      <c r="A1692" s="2">
        <v>0</v>
      </c>
      <c r="B1692" s="38">
        <v>0</v>
      </c>
      <c r="C1692" s="79">
        <v>0</v>
      </c>
    </row>
    <row r="1693" spans="1:3" x14ac:dyDescent="0.25">
      <c r="A1693" s="2">
        <v>0</v>
      </c>
      <c r="B1693" s="38">
        <v>0</v>
      </c>
      <c r="C1693" s="79">
        <v>0</v>
      </c>
    </row>
    <row r="1694" spans="1:3" x14ac:dyDescent="0.25">
      <c r="A1694" s="2">
        <v>0</v>
      </c>
      <c r="B1694" s="38">
        <v>0</v>
      </c>
      <c r="C1694" s="79">
        <v>0</v>
      </c>
    </row>
    <row r="1695" spans="1:3" x14ac:dyDescent="0.25">
      <c r="A1695" s="2">
        <v>0</v>
      </c>
      <c r="B1695" s="38">
        <v>0</v>
      </c>
      <c r="C1695" s="79">
        <v>0</v>
      </c>
    </row>
    <row r="1696" spans="1:3" x14ac:dyDescent="0.25">
      <c r="A1696" s="2">
        <v>0</v>
      </c>
      <c r="B1696" s="38">
        <v>0</v>
      </c>
      <c r="C1696" s="79">
        <v>0</v>
      </c>
    </row>
    <row r="1697" spans="1:3" x14ac:dyDescent="0.25">
      <c r="A1697" s="2">
        <v>0</v>
      </c>
      <c r="B1697" s="38">
        <v>0</v>
      </c>
      <c r="C1697" s="79">
        <v>0</v>
      </c>
    </row>
    <row r="1698" spans="1:3" x14ac:dyDescent="0.25">
      <c r="A1698" s="2">
        <v>0</v>
      </c>
      <c r="B1698" s="38">
        <v>0</v>
      </c>
      <c r="C1698" s="79">
        <v>0</v>
      </c>
    </row>
    <row r="1699" spans="1:3" x14ac:dyDescent="0.25">
      <c r="A1699" s="2">
        <v>0</v>
      </c>
      <c r="B1699" s="38">
        <v>0</v>
      </c>
      <c r="C1699" s="79">
        <v>0</v>
      </c>
    </row>
    <row r="1700" spans="1:3" x14ac:dyDescent="0.25">
      <c r="A1700" s="2">
        <v>0</v>
      </c>
      <c r="B1700" s="38">
        <v>0</v>
      </c>
      <c r="C1700" s="79">
        <v>0</v>
      </c>
    </row>
    <row r="1701" spans="1:3" x14ac:dyDescent="0.25">
      <c r="A1701" s="2">
        <v>0</v>
      </c>
      <c r="B1701" s="38">
        <v>0</v>
      </c>
      <c r="C1701" s="79">
        <v>0</v>
      </c>
    </row>
    <row r="1702" spans="1:3" x14ac:dyDescent="0.25">
      <c r="A1702" s="2">
        <v>0</v>
      </c>
      <c r="B1702" s="38">
        <v>0</v>
      </c>
      <c r="C1702" s="79">
        <v>0</v>
      </c>
    </row>
    <row r="1703" spans="1:3" x14ac:dyDescent="0.25">
      <c r="A1703" s="2">
        <v>0</v>
      </c>
      <c r="B1703" s="38">
        <v>0</v>
      </c>
      <c r="C1703" s="79">
        <v>0</v>
      </c>
    </row>
    <row r="1704" spans="1:3" x14ac:dyDescent="0.25">
      <c r="A1704" s="2">
        <v>0</v>
      </c>
      <c r="B1704" s="38">
        <v>0</v>
      </c>
      <c r="C1704" s="79">
        <v>0</v>
      </c>
    </row>
    <row r="1705" spans="1:3" x14ac:dyDescent="0.25">
      <c r="A1705" s="2">
        <v>0</v>
      </c>
      <c r="B1705" s="38">
        <v>0</v>
      </c>
      <c r="C1705" s="79">
        <v>0</v>
      </c>
    </row>
    <row r="1706" spans="1:3" x14ac:dyDescent="0.25">
      <c r="A1706" s="2">
        <v>0</v>
      </c>
      <c r="B1706" s="38">
        <v>0</v>
      </c>
      <c r="C1706" s="79">
        <v>0</v>
      </c>
    </row>
    <row r="1707" spans="1:3" x14ac:dyDescent="0.25">
      <c r="A1707" s="2">
        <v>0</v>
      </c>
      <c r="B1707" s="38">
        <v>0</v>
      </c>
      <c r="C1707" s="79">
        <v>0</v>
      </c>
    </row>
    <row r="1708" spans="1:3" x14ac:dyDescent="0.25">
      <c r="A1708" s="2">
        <v>0</v>
      </c>
      <c r="B1708" s="38">
        <v>0</v>
      </c>
      <c r="C1708" s="79">
        <v>0</v>
      </c>
    </row>
    <row r="1709" spans="1:3" x14ac:dyDescent="0.25">
      <c r="A1709" s="2">
        <v>0</v>
      </c>
      <c r="B1709" s="38">
        <v>0</v>
      </c>
      <c r="C1709" s="79">
        <v>0</v>
      </c>
    </row>
    <row r="1710" spans="1:3" x14ac:dyDescent="0.25">
      <c r="A1710" s="2">
        <v>0</v>
      </c>
      <c r="B1710" s="38">
        <v>0</v>
      </c>
      <c r="C1710" s="79">
        <v>0</v>
      </c>
    </row>
    <row r="1711" spans="1:3" x14ac:dyDescent="0.25">
      <c r="A1711" s="2">
        <v>0</v>
      </c>
      <c r="B1711" s="38">
        <v>0</v>
      </c>
      <c r="C1711" s="79">
        <v>0</v>
      </c>
    </row>
    <row r="1712" spans="1:3" x14ac:dyDescent="0.25">
      <c r="A1712" s="2">
        <v>0</v>
      </c>
      <c r="B1712" s="38">
        <v>0</v>
      </c>
      <c r="C1712" s="79">
        <v>0</v>
      </c>
    </row>
    <row r="1713" spans="1:3" x14ac:dyDescent="0.25">
      <c r="A1713" s="2">
        <v>0</v>
      </c>
      <c r="B1713" s="38">
        <v>0</v>
      </c>
      <c r="C1713" s="79">
        <v>0</v>
      </c>
    </row>
    <row r="1714" spans="1:3" x14ac:dyDescent="0.25">
      <c r="A1714" s="2">
        <v>0</v>
      </c>
      <c r="B1714" s="38">
        <v>0</v>
      </c>
      <c r="C1714" s="79">
        <v>0</v>
      </c>
    </row>
    <row r="1715" spans="1:3" x14ac:dyDescent="0.25">
      <c r="A1715" s="2">
        <v>0</v>
      </c>
      <c r="B1715" s="38">
        <v>0</v>
      </c>
      <c r="C1715" s="79">
        <v>0</v>
      </c>
    </row>
    <row r="1716" spans="1:3" x14ac:dyDescent="0.25">
      <c r="A1716" s="2">
        <v>0</v>
      </c>
      <c r="B1716" s="38">
        <v>0</v>
      </c>
      <c r="C1716" s="79">
        <v>0</v>
      </c>
    </row>
    <row r="1717" spans="1:3" x14ac:dyDescent="0.25">
      <c r="A1717" s="2">
        <v>0</v>
      </c>
      <c r="B1717" s="38">
        <v>0</v>
      </c>
      <c r="C1717" s="79">
        <v>0</v>
      </c>
    </row>
    <row r="1718" spans="1:3" x14ac:dyDescent="0.25">
      <c r="A1718" s="2">
        <v>0</v>
      </c>
      <c r="B1718" s="38">
        <v>0</v>
      </c>
      <c r="C1718" s="79">
        <v>0</v>
      </c>
    </row>
    <row r="1719" spans="1:3" x14ac:dyDescent="0.25">
      <c r="A1719" s="2">
        <v>0</v>
      </c>
      <c r="B1719" s="38">
        <v>0</v>
      </c>
      <c r="C1719" s="79">
        <v>0</v>
      </c>
    </row>
    <row r="1720" spans="1:3" x14ac:dyDescent="0.25">
      <c r="A1720" s="2">
        <v>0</v>
      </c>
      <c r="B1720" s="38">
        <v>0</v>
      </c>
      <c r="C1720" s="79">
        <v>0</v>
      </c>
    </row>
    <row r="1721" spans="1:3" x14ac:dyDescent="0.25">
      <c r="A1721" s="2">
        <v>0</v>
      </c>
      <c r="B1721" s="38">
        <v>0</v>
      </c>
      <c r="C1721" s="79">
        <v>0</v>
      </c>
    </row>
    <row r="1722" spans="1:3" x14ac:dyDescent="0.25">
      <c r="A1722" s="2">
        <v>0</v>
      </c>
      <c r="B1722" s="38">
        <v>0</v>
      </c>
      <c r="C1722" s="79">
        <v>0</v>
      </c>
    </row>
    <row r="1723" spans="1:3" x14ac:dyDescent="0.25">
      <c r="A1723" s="2">
        <v>0</v>
      </c>
      <c r="B1723" s="38">
        <v>0</v>
      </c>
      <c r="C1723" s="79">
        <v>0</v>
      </c>
    </row>
    <row r="1724" spans="1:3" x14ac:dyDescent="0.25">
      <c r="A1724" s="2">
        <v>0</v>
      </c>
      <c r="B1724" s="38">
        <v>0</v>
      </c>
      <c r="C1724" s="79">
        <v>0</v>
      </c>
    </row>
    <row r="1725" spans="1:3" x14ac:dyDescent="0.25">
      <c r="A1725" s="2">
        <v>0</v>
      </c>
      <c r="B1725" s="38">
        <v>0</v>
      </c>
      <c r="C1725" s="79">
        <v>0</v>
      </c>
    </row>
    <row r="1726" spans="1:3" x14ac:dyDescent="0.25">
      <c r="A1726" s="2">
        <v>0</v>
      </c>
      <c r="B1726" s="38">
        <v>0</v>
      </c>
      <c r="C1726" s="79">
        <v>0</v>
      </c>
    </row>
    <row r="1727" spans="1:3" x14ac:dyDescent="0.25">
      <c r="A1727" s="2">
        <v>0</v>
      </c>
      <c r="B1727" s="38">
        <v>0</v>
      </c>
      <c r="C1727" s="79">
        <v>0</v>
      </c>
    </row>
    <row r="1728" spans="1:3" x14ac:dyDescent="0.25">
      <c r="A1728" s="2">
        <v>0</v>
      </c>
      <c r="B1728" s="38">
        <v>0</v>
      </c>
      <c r="C1728" s="79">
        <v>0</v>
      </c>
    </row>
    <row r="1729" spans="1:3" x14ac:dyDescent="0.25">
      <c r="A1729" s="2">
        <v>0</v>
      </c>
      <c r="B1729" s="38">
        <v>0</v>
      </c>
      <c r="C1729" s="79">
        <v>0</v>
      </c>
    </row>
    <row r="1730" spans="1:3" x14ac:dyDescent="0.25">
      <c r="A1730" s="2">
        <v>0</v>
      </c>
      <c r="B1730" s="38">
        <v>0</v>
      </c>
      <c r="C1730" s="79">
        <v>0</v>
      </c>
    </row>
    <row r="1731" spans="1:3" x14ac:dyDescent="0.25">
      <c r="A1731" s="2">
        <v>0</v>
      </c>
      <c r="B1731" s="38">
        <v>0</v>
      </c>
      <c r="C1731" s="79">
        <v>0</v>
      </c>
    </row>
    <row r="1732" spans="1:3" x14ac:dyDescent="0.25">
      <c r="A1732" s="2">
        <v>0</v>
      </c>
      <c r="B1732" s="38">
        <v>0</v>
      </c>
      <c r="C1732" s="79">
        <v>0</v>
      </c>
    </row>
    <row r="1733" spans="1:3" x14ac:dyDescent="0.25">
      <c r="A1733" s="2">
        <v>0</v>
      </c>
      <c r="B1733" s="38">
        <v>0</v>
      </c>
      <c r="C1733" s="79">
        <v>0</v>
      </c>
    </row>
    <row r="1734" spans="1:3" x14ac:dyDescent="0.25">
      <c r="A1734" s="2">
        <v>0</v>
      </c>
      <c r="B1734" s="38">
        <v>0</v>
      </c>
      <c r="C1734" s="79">
        <v>0</v>
      </c>
    </row>
    <row r="1735" spans="1:3" x14ac:dyDescent="0.25">
      <c r="A1735" s="2">
        <v>0</v>
      </c>
      <c r="B1735" s="38">
        <v>0</v>
      </c>
      <c r="C1735" s="79">
        <v>0</v>
      </c>
    </row>
    <row r="1736" spans="1:3" x14ac:dyDescent="0.25">
      <c r="A1736" s="2">
        <v>0</v>
      </c>
      <c r="B1736" s="38">
        <v>0</v>
      </c>
      <c r="C1736" s="79">
        <v>0</v>
      </c>
    </row>
    <row r="1737" spans="1:3" x14ac:dyDescent="0.25">
      <c r="A1737" s="2">
        <v>0</v>
      </c>
      <c r="B1737" s="38">
        <v>0</v>
      </c>
      <c r="C1737" s="79">
        <v>0</v>
      </c>
    </row>
    <row r="1738" spans="1:3" x14ac:dyDescent="0.25">
      <c r="A1738" s="2">
        <v>0</v>
      </c>
      <c r="B1738" s="38">
        <v>0</v>
      </c>
      <c r="C1738" s="79">
        <v>0</v>
      </c>
    </row>
    <row r="1739" spans="1:3" x14ac:dyDescent="0.25">
      <c r="A1739" s="2">
        <v>0</v>
      </c>
      <c r="B1739" s="38">
        <v>0</v>
      </c>
      <c r="C1739" s="79">
        <v>0</v>
      </c>
    </row>
    <row r="1740" spans="1:3" x14ac:dyDescent="0.25">
      <c r="A1740" s="2">
        <v>0</v>
      </c>
      <c r="B1740" s="38">
        <v>0</v>
      </c>
      <c r="C1740" s="79">
        <v>0</v>
      </c>
    </row>
    <row r="1741" spans="1:3" x14ac:dyDescent="0.25">
      <c r="A1741" s="2">
        <v>0</v>
      </c>
      <c r="B1741" s="38">
        <v>0</v>
      </c>
      <c r="C1741" s="79">
        <v>0</v>
      </c>
    </row>
    <row r="1742" spans="1:3" x14ac:dyDescent="0.25">
      <c r="A1742" s="2">
        <v>0</v>
      </c>
      <c r="B1742" s="38">
        <v>0</v>
      </c>
      <c r="C1742" s="79">
        <v>0</v>
      </c>
    </row>
    <row r="1743" spans="1:3" x14ac:dyDescent="0.25">
      <c r="A1743" s="2">
        <v>0</v>
      </c>
      <c r="B1743" s="38">
        <v>0</v>
      </c>
      <c r="C1743" s="79">
        <v>0</v>
      </c>
    </row>
    <row r="1744" spans="1:3" x14ac:dyDescent="0.25">
      <c r="A1744" s="2">
        <v>0</v>
      </c>
      <c r="B1744" s="38">
        <v>0</v>
      </c>
      <c r="C1744" s="79">
        <v>0</v>
      </c>
    </row>
    <row r="1745" spans="1:3" x14ac:dyDescent="0.25">
      <c r="A1745" s="2">
        <v>0</v>
      </c>
      <c r="B1745" s="38">
        <v>0</v>
      </c>
      <c r="C1745" s="79">
        <v>0</v>
      </c>
    </row>
    <row r="1746" spans="1:3" x14ac:dyDescent="0.25">
      <c r="A1746" s="2">
        <v>0</v>
      </c>
      <c r="B1746" s="38">
        <v>0</v>
      </c>
      <c r="C1746" s="79">
        <v>0</v>
      </c>
    </row>
    <row r="1747" spans="1:3" x14ac:dyDescent="0.25">
      <c r="A1747" s="2">
        <v>0</v>
      </c>
      <c r="B1747" s="38">
        <v>0</v>
      </c>
      <c r="C1747" s="79">
        <v>0</v>
      </c>
    </row>
    <row r="1748" spans="1:3" x14ac:dyDescent="0.25">
      <c r="A1748" s="2">
        <v>0</v>
      </c>
      <c r="B1748" s="38">
        <v>0</v>
      </c>
      <c r="C1748" s="79">
        <v>0</v>
      </c>
    </row>
    <row r="1749" spans="1:3" x14ac:dyDescent="0.25">
      <c r="A1749" s="2">
        <v>0</v>
      </c>
      <c r="B1749" s="38">
        <v>0</v>
      </c>
      <c r="C1749" s="79">
        <v>0</v>
      </c>
    </row>
    <row r="1750" spans="1:3" x14ac:dyDescent="0.25">
      <c r="A1750" s="2">
        <v>0</v>
      </c>
      <c r="B1750" s="38">
        <v>0</v>
      </c>
      <c r="C1750" s="79">
        <v>0</v>
      </c>
    </row>
    <row r="1751" spans="1:3" x14ac:dyDescent="0.25">
      <c r="A1751" s="2">
        <v>0</v>
      </c>
      <c r="B1751" s="38">
        <v>0</v>
      </c>
      <c r="C1751" s="79">
        <v>0</v>
      </c>
    </row>
    <row r="1752" spans="1:3" x14ac:dyDescent="0.25">
      <c r="A1752" s="2">
        <v>0</v>
      </c>
      <c r="B1752" s="38">
        <v>0</v>
      </c>
      <c r="C1752" s="79">
        <v>0</v>
      </c>
    </row>
    <row r="1753" spans="1:3" x14ac:dyDescent="0.25">
      <c r="A1753" s="2">
        <v>0</v>
      </c>
      <c r="B1753" s="38">
        <v>0</v>
      </c>
      <c r="C1753" s="79">
        <v>0</v>
      </c>
    </row>
    <row r="1754" spans="1:3" x14ac:dyDescent="0.25">
      <c r="A1754" s="2">
        <v>0</v>
      </c>
      <c r="B1754" s="38">
        <v>0</v>
      </c>
      <c r="C1754" s="79">
        <v>0</v>
      </c>
    </row>
    <row r="1755" spans="1:3" x14ac:dyDescent="0.25">
      <c r="A1755" s="2">
        <v>0</v>
      </c>
      <c r="B1755" s="38">
        <v>0</v>
      </c>
      <c r="C1755" s="79">
        <v>0</v>
      </c>
    </row>
    <row r="1756" spans="1:3" x14ac:dyDescent="0.25">
      <c r="A1756" s="2">
        <v>0</v>
      </c>
      <c r="B1756" s="38">
        <v>0</v>
      </c>
      <c r="C1756" s="79">
        <v>0</v>
      </c>
    </row>
    <row r="1757" spans="1:3" x14ac:dyDescent="0.25">
      <c r="A1757" s="2">
        <v>0</v>
      </c>
      <c r="B1757" s="38">
        <v>0</v>
      </c>
      <c r="C1757" s="79">
        <v>0</v>
      </c>
    </row>
    <row r="1758" spans="1:3" x14ac:dyDescent="0.25">
      <c r="A1758" s="2">
        <v>0</v>
      </c>
      <c r="B1758" s="38">
        <v>0</v>
      </c>
      <c r="C1758" s="79">
        <v>0</v>
      </c>
    </row>
    <row r="1759" spans="1:3" x14ac:dyDescent="0.25">
      <c r="A1759" s="2">
        <v>0</v>
      </c>
      <c r="B1759" s="38">
        <v>0</v>
      </c>
      <c r="C1759" s="79">
        <v>0</v>
      </c>
    </row>
    <row r="1760" spans="1:3" x14ac:dyDescent="0.25">
      <c r="A1760" s="2">
        <v>0</v>
      </c>
      <c r="B1760" s="38">
        <v>0</v>
      </c>
      <c r="C1760" s="79">
        <v>0</v>
      </c>
    </row>
    <row r="1761" spans="1:3" x14ac:dyDescent="0.25">
      <c r="A1761" s="2">
        <v>0</v>
      </c>
      <c r="B1761" s="38">
        <v>0</v>
      </c>
      <c r="C1761" s="79">
        <v>0</v>
      </c>
    </row>
    <row r="1762" spans="1:3" x14ac:dyDescent="0.25">
      <c r="A1762" s="2">
        <v>0</v>
      </c>
      <c r="B1762" s="38">
        <v>0</v>
      </c>
      <c r="C1762" s="79">
        <v>0</v>
      </c>
    </row>
    <row r="1763" spans="1:3" x14ac:dyDescent="0.25">
      <c r="A1763" s="2">
        <v>0</v>
      </c>
      <c r="B1763" s="38">
        <v>0</v>
      </c>
      <c r="C1763" s="79">
        <v>0</v>
      </c>
    </row>
    <row r="1764" spans="1:3" x14ac:dyDescent="0.25">
      <c r="A1764" s="2">
        <v>0</v>
      </c>
      <c r="B1764" s="38">
        <v>0</v>
      </c>
      <c r="C1764" s="79">
        <v>0</v>
      </c>
    </row>
    <row r="1765" spans="1:3" x14ac:dyDescent="0.25">
      <c r="A1765" s="2">
        <v>0</v>
      </c>
      <c r="B1765" s="38">
        <v>0</v>
      </c>
      <c r="C1765" s="79">
        <v>0</v>
      </c>
    </row>
    <row r="1766" spans="1:3" x14ac:dyDescent="0.25">
      <c r="A1766" s="2">
        <v>0</v>
      </c>
      <c r="B1766" s="38">
        <v>0</v>
      </c>
      <c r="C1766" s="79">
        <v>0</v>
      </c>
    </row>
    <row r="1767" spans="1:3" x14ac:dyDescent="0.25">
      <c r="A1767" s="2">
        <v>0</v>
      </c>
      <c r="B1767" s="38">
        <v>0</v>
      </c>
      <c r="C1767" s="79">
        <v>0</v>
      </c>
    </row>
    <row r="1768" spans="1:3" x14ac:dyDescent="0.25">
      <c r="A1768" s="2">
        <v>0</v>
      </c>
      <c r="B1768" s="38">
        <v>0</v>
      </c>
      <c r="C1768" s="79">
        <v>0</v>
      </c>
    </row>
    <row r="1769" spans="1:3" x14ac:dyDescent="0.25">
      <c r="A1769" s="2">
        <v>0</v>
      </c>
      <c r="B1769" s="38">
        <v>0</v>
      </c>
      <c r="C1769" s="79">
        <v>0</v>
      </c>
    </row>
    <row r="1770" spans="1:3" x14ac:dyDescent="0.25">
      <c r="A1770" s="2">
        <v>0</v>
      </c>
      <c r="B1770" s="38">
        <v>0</v>
      </c>
      <c r="C1770" s="79">
        <v>0</v>
      </c>
    </row>
    <row r="1771" spans="1:3" x14ac:dyDescent="0.25">
      <c r="A1771" s="2">
        <v>0</v>
      </c>
      <c r="B1771" s="38">
        <v>0</v>
      </c>
      <c r="C1771" s="79">
        <v>0</v>
      </c>
    </row>
    <row r="1772" spans="1:3" x14ac:dyDescent="0.25">
      <c r="A1772" s="2">
        <v>0</v>
      </c>
      <c r="B1772" s="38">
        <v>0</v>
      </c>
      <c r="C1772" s="79">
        <v>0</v>
      </c>
    </row>
    <row r="1773" spans="1:3" x14ac:dyDescent="0.25">
      <c r="A1773" s="2">
        <v>0</v>
      </c>
      <c r="B1773" s="38">
        <v>0</v>
      </c>
      <c r="C1773" s="79">
        <v>0</v>
      </c>
    </row>
    <row r="1774" spans="1:3" x14ac:dyDescent="0.25">
      <c r="A1774" s="2">
        <v>0</v>
      </c>
      <c r="B1774" s="38">
        <v>0</v>
      </c>
      <c r="C1774" s="79">
        <v>0</v>
      </c>
    </row>
    <row r="1775" spans="1:3" x14ac:dyDescent="0.25">
      <c r="A1775" s="2">
        <v>0</v>
      </c>
      <c r="B1775" s="38">
        <v>0</v>
      </c>
      <c r="C1775" s="79">
        <v>0</v>
      </c>
    </row>
    <row r="1776" spans="1:3" x14ac:dyDescent="0.25">
      <c r="A1776" s="2">
        <v>0</v>
      </c>
      <c r="B1776" s="38">
        <v>0</v>
      </c>
      <c r="C1776" s="79">
        <v>0</v>
      </c>
    </row>
    <row r="1777" spans="1:3" x14ac:dyDescent="0.25">
      <c r="A1777" s="2">
        <v>0</v>
      </c>
      <c r="B1777" s="38">
        <v>0</v>
      </c>
      <c r="C1777" s="79">
        <v>0</v>
      </c>
    </row>
    <row r="1778" spans="1:3" x14ac:dyDescent="0.25">
      <c r="A1778" s="2">
        <v>0</v>
      </c>
      <c r="B1778" s="38">
        <v>0</v>
      </c>
      <c r="C1778" s="79">
        <v>0</v>
      </c>
    </row>
    <row r="1779" spans="1:3" x14ac:dyDescent="0.25">
      <c r="A1779" s="2">
        <v>0</v>
      </c>
      <c r="B1779" s="38">
        <v>0</v>
      </c>
      <c r="C1779" s="79">
        <v>0</v>
      </c>
    </row>
    <row r="1780" spans="1:3" x14ac:dyDescent="0.25">
      <c r="A1780" s="2">
        <v>0</v>
      </c>
      <c r="B1780" s="38">
        <v>0</v>
      </c>
      <c r="C1780" s="79">
        <v>0</v>
      </c>
    </row>
    <row r="1781" spans="1:3" x14ac:dyDescent="0.25">
      <c r="A1781" s="2">
        <v>0</v>
      </c>
      <c r="B1781" s="38">
        <v>0</v>
      </c>
      <c r="C1781" s="79">
        <v>0</v>
      </c>
    </row>
    <row r="1782" spans="1:3" x14ac:dyDescent="0.25">
      <c r="A1782" s="2">
        <v>0</v>
      </c>
      <c r="B1782" s="38">
        <v>0</v>
      </c>
      <c r="C1782" s="79">
        <v>0</v>
      </c>
    </row>
    <row r="1783" spans="1:3" x14ac:dyDescent="0.25">
      <c r="A1783" s="2">
        <v>0</v>
      </c>
      <c r="B1783" s="38">
        <v>0</v>
      </c>
      <c r="C1783" s="79">
        <v>0</v>
      </c>
    </row>
    <row r="1784" spans="1:3" x14ac:dyDescent="0.25">
      <c r="A1784" s="2">
        <v>0</v>
      </c>
      <c r="B1784" s="38">
        <v>0</v>
      </c>
      <c r="C1784" s="79">
        <v>0</v>
      </c>
    </row>
    <row r="1785" spans="1:3" x14ac:dyDescent="0.25">
      <c r="A1785" s="2">
        <v>0</v>
      </c>
      <c r="B1785" s="38">
        <v>0</v>
      </c>
      <c r="C1785" s="79">
        <v>0</v>
      </c>
    </row>
    <row r="1786" spans="1:3" x14ac:dyDescent="0.25">
      <c r="A1786" s="2">
        <v>0</v>
      </c>
      <c r="B1786" s="38">
        <v>0</v>
      </c>
      <c r="C1786" s="79">
        <v>0</v>
      </c>
    </row>
    <row r="1787" spans="1:3" x14ac:dyDescent="0.25">
      <c r="A1787" s="2">
        <v>0</v>
      </c>
      <c r="B1787" s="38">
        <v>0</v>
      </c>
      <c r="C1787" s="79">
        <v>0</v>
      </c>
    </row>
    <row r="1788" spans="1:3" x14ac:dyDescent="0.25">
      <c r="A1788" s="2">
        <v>0</v>
      </c>
      <c r="B1788" s="38">
        <v>0</v>
      </c>
      <c r="C1788" s="79">
        <v>0</v>
      </c>
    </row>
    <row r="1789" spans="1:3" x14ac:dyDescent="0.25">
      <c r="A1789" s="2">
        <v>0</v>
      </c>
      <c r="B1789" s="38">
        <v>0</v>
      </c>
      <c r="C1789" s="79">
        <v>0</v>
      </c>
    </row>
    <row r="1790" spans="1:3" x14ac:dyDescent="0.25">
      <c r="A1790" s="2">
        <v>0</v>
      </c>
      <c r="B1790" s="38">
        <v>0</v>
      </c>
      <c r="C1790" s="79">
        <v>0</v>
      </c>
    </row>
    <row r="1791" spans="1:3" x14ac:dyDescent="0.25">
      <c r="A1791" s="2">
        <v>0</v>
      </c>
      <c r="B1791" s="38">
        <v>0</v>
      </c>
      <c r="C1791" s="79">
        <v>0</v>
      </c>
    </row>
    <row r="1792" spans="1:3" x14ac:dyDescent="0.25">
      <c r="A1792" s="2">
        <v>0</v>
      </c>
      <c r="B1792" s="38">
        <v>0</v>
      </c>
      <c r="C1792" s="79">
        <v>0</v>
      </c>
    </row>
    <row r="1793" spans="1:3" x14ac:dyDescent="0.25">
      <c r="A1793" s="2">
        <v>0</v>
      </c>
      <c r="B1793" s="38">
        <v>0</v>
      </c>
      <c r="C1793" s="79">
        <v>0</v>
      </c>
    </row>
    <row r="1794" spans="1:3" x14ac:dyDescent="0.25">
      <c r="A1794" s="2">
        <v>0</v>
      </c>
      <c r="B1794" s="38">
        <v>0</v>
      </c>
      <c r="C1794" s="79">
        <v>0</v>
      </c>
    </row>
    <row r="1795" spans="1:3" x14ac:dyDescent="0.25">
      <c r="A1795" s="2">
        <v>0</v>
      </c>
      <c r="B1795" s="38">
        <v>0</v>
      </c>
      <c r="C1795" s="79">
        <v>0</v>
      </c>
    </row>
    <row r="1796" spans="1:3" x14ac:dyDescent="0.25">
      <c r="A1796" s="2">
        <v>0</v>
      </c>
      <c r="B1796" s="38">
        <v>0</v>
      </c>
      <c r="C1796" s="79">
        <v>0</v>
      </c>
    </row>
    <row r="1797" spans="1:3" x14ac:dyDescent="0.25">
      <c r="A1797" s="2">
        <v>0</v>
      </c>
      <c r="B1797" s="38">
        <v>0</v>
      </c>
      <c r="C1797" s="79">
        <v>0</v>
      </c>
    </row>
    <row r="1798" spans="1:3" x14ac:dyDescent="0.25">
      <c r="A1798" s="2">
        <v>0</v>
      </c>
      <c r="B1798" s="38">
        <v>0</v>
      </c>
      <c r="C1798" s="79">
        <v>0</v>
      </c>
    </row>
    <row r="1799" spans="1:3" x14ac:dyDescent="0.25">
      <c r="A1799" s="2">
        <v>0</v>
      </c>
      <c r="B1799" s="38">
        <v>0</v>
      </c>
      <c r="C1799" s="79">
        <v>0</v>
      </c>
    </row>
    <row r="1800" spans="1:3" x14ac:dyDescent="0.25">
      <c r="A1800" s="2">
        <v>0</v>
      </c>
      <c r="B1800" s="38">
        <v>0</v>
      </c>
      <c r="C1800" s="79">
        <v>0</v>
      </c>
    </row>
    <row r="1801" spans="1:3" x14ac:dyDescent="0.25">
      <c r="A1801" s="2">
        <v>0</v>
      </c>
      <c r="B1801" s="38">
        <v>0</v>
      </c>
      <c r="C1801" s="79">
        <v>0</v>
      </c>
    </row>
    <row r="1802" spans="1:3" x14ac:dyDescent="0.25">
      <c r="A1802" s="2">
        <v>0</v>
      </c>
      <c r="B1802" s="38">
        <v>0</v>
      </c>
      <c r="C1802" s="79">
        <v>0</v>
      </c>
    </row>
    <row r="1803" spans="1:3" x14ac:dyDescent="0.25">
      <c r="A1803" s="2">
        <v>0</v>
      </c>
      <c r="B1803" s="38">
        <v>0</v>
      </c>
      <c r="C1803" s="79">
        <v>0</v>
      </c>
    </row>
    <row r="1804" spans="1:3" x14ac:dyDescent="0.25">
      <c r="A1804" s="2">
        <v>0</v>
      </c>
      <c r="B1804" s="38">
        <v>0</v>
      </c>
      <c r="C1804" s="79">
        <v>0</v>
      </c>
    </row>
    <row r="1805" spans="1:3" x14ac:dyDescent="0.25">
      <c r="A1805" s="2">
        <v>0</v>
      </c>
      <c r="B1805" s="38">
        <v>0</v>
      </c>
      <c r="C1805" s="79">
        <v>0</v>
      </c>
    </row>
    <row r="1806" spans="1:3" x14ac:dyDescent="0.25">
      <c r="A1806" s="2">
        <v>0</v>
      </c>
      <c r="B1806" s="38">
        <v>0</v>
      </c>
      <c r="C1806" s="79">
        <v>0</v>
      </c>
    </row>
    <row r="1807" spans="1:3" x14ac:dyDescent="0.25">
      <c r="A1807" s="2">
        <v>0</v>
      </c>
      <c r="B1807" s="38">
        <v>0</v>
      </c>
      <c r="C1807" s="79">
        <v>0</v>
      </c>
    </row>
    <row r="1808" spans="1:3" x14ac:dyDescent="0.25">
      <c r="A1808" s="2">
        <v>0</v>
      </c>
      <c r="B1808" s="38">
        <v>0</v>
      </c>
      <c r="C1808" s="79">
        <v>0</v>
      </c>
    </row>
    <row r="1809" spans="1:3" x14ac:dyDescent="0.25">
      <c r="A1809" s="2">
        <v>0</v>
      </c>
      <c r="B1809" s="38">
        <v>0</v>
      </c>
      <c r="C1809" s="79">
        <v>0</v>
      </c>
    </row>
    <row r="1810" spans="1:3" x14ac:dyDescent="0.25">
      <c r="A1810" s="2">
        <v>0</v>
      </c>
      <c r="B1810" s="38">
        <v>0</v>
      </c>
      <c r="C1810" s="79">
        <v>0</v>
      </c>
    </row>
    <row r="1811" spans="1:3" x14ac:dyDescent="0.25">
      <c r="A1811" s="2">
        <v>0</v>
      </c>
      <c r="B1811" s="38">
        <v>0</v>
      </c>
      <c r="C1811" s="79">
        <v>0</v>
      </c>
    </row>
    <row r="1812" spans="1:3" x14ac:dyDescent="0.25">
      <c r="A1812" s="2">
        <v>0</v>
      </c>
      <c r="B1812" s="38">
        <v>0</v>
      </c>
      <c r="C1812" s="79">
        <v>0</v>
      </c>
    </row>
    <row r="1813" spans="1:3" x14ac:dyDescent="0.25">
      <c r="A1813" s="2">
        <v>0</v>
      </c>
      <c r="B1813" s="38">
        <v>0</v>
      </c>
      <c r="C1813" s="79">
        <v>0</v>
      </c>
    </row>
    <row r="1814" spans="1:3" x14ac:dyDescent="0.25">
      <c r="A1814" s="2">
        <v>0</v>
      </c>
      <c r="B1814" s="38">
        <v>0</v>
      </c>
      <c r="C1814" s="79">
        <v>0</v>
      </c>
    </row>
    <row r="1815" spans="1:3" x14ac:dyDescent="0.25">
      <c r="A1815" s="2">
        <v>0</v>
      </c>
      <c r="B1815" s="38">
        <v>0</v>
      </c>
      <c r="C1815" s="79">
        <v>0</v>
      </c>
    </row>
    <row r="1816" spans="1:3" x14ac:dyDescent="0.25">
      <c r="A1816" s="2">
        <v>0</v>
      </c>
      <c r="B1816" s="38">
        <v>0</v>
      </c>
      <c r="C1816" s="79">
        <v>0</v>
      </c>
    </row>
    <row r="1817" spans="1:3" x14ac:dyDescent="0.25">
      <c r="A1817" s="2">
        <v>0</v>
      </c>
      <c r="B1817" s="38">
        <v>0</v>
      </c>
      <c r="C1817" s="79">
        <v>0</v>
      </c>
    </row>
    <row r="1818" spans="1:3" x14ac:dyDescent="0.25">
      <c r="A1818" s="2">
        <v>0</v>
      </c>
      <c r="B1818" s="38">
        <v>0</v>
      </c>
      <c r="C1818" s="79">
        <v>0</v>
      </c>
    </row>
    <row r="1819" spans="1:3" x14ac:dyDescent="0.25">
      <c r="A1819" s="2">
        <v>0</v>
      </c>
      <c r="B1819" s="38">
        <v>0</v>
      </c>
      <c r="C1819" s="79">
        <v>0</v>
      </c>
    </row>
    <row r="1820" spans="1:3" x14ac:dyDescent="0.25">
      <c r="A1820" s="2">
        <v>0</v>
      </c>
      <c r="B1820" s="38">
        <v>0</v>
      </c>
      <c r="C1820" s="79">
        <v>0</v>
      </c>
    </row>
    <row r="1821" spans="1:3" x14ac:dyDescent="0.25">
      <c r="A1821" s="2">
        <v>0</v>
      </c>
      <c r="B1821" s="38">
        <v>0</v>
      </c>
      <c r="C1821" s="79">
        <v>0</v>
      </c>
    </row>
    <row r="1822" spans="1:3" x14ac:dyDescent="0.25">
      <c r="A1822" s="2">
        <v>0</v>
      </c>
      <c r="B1822" s="38">
        <v>0</v>
      </c>
      <c r="C1822" s="79">
        <v>0</v>
      </c>
    </row>
    <row r="1823" spans="1:3" x14ac:dyDescent="0.25">
      <c r="A1823" s="2">
        <v>0</v>
      </c>
      <c r="B1823" s="38">
        <v>0</v>
      </c>
      <c r="C1823" s="79">
        <v>0</v>
      </c>
    </row>
    <row r="1824" spans="1:3" x14ac:dyDescent="0.25">
      <c r="A1824" s="2">
        <v>0</v>
      </c>
      <c r="B1824" s="38">
        <v>0</v>
      </c>
      <c r="C1824" s="79">
        <v>0</v>
      </c>
    </row>
    <row r="1825" spans="1:3" x14ac:dyDescent="0.25">
      <c r="A1825" s="2">
        <v>0</v>
      </c>
      <c r="B1825" s="38">
        <v>0</v>
      </c>
      <c r="C1825" s="79">
        <v>0</v>
      </c>
    </row>
    <row r="1826" spans="1:3" x14ac:dyDescent="0.25">
      <c r="A1826" s="2">
        <v>0</v>
      </c>
      <c r="B1826" s="38">
        <v>0</v>
      </c>
      <c r="C1826" s="79">
        <v>0</v>
      </c>
    </row>
    <row r="1827" spans="1:3" x14ac:dyDescent="0.25">
      <c r="A1827" s="2">
        <v>0</v>
      </c>
      <c r="B1827" s="38">
        <v>0</v>
      </c>
      <c r="C1827" s="79">
        <v>0</v>
      </c>
    </row>
    <row r="1828" spans="1:3" x14ac:dyDescent="0.25">
      <c r="A1828" s="2">
        <v>0</v>
      </c>
      <c r="B1828" s="38">
        <v>0</v>
      </c>
      <c r="C1828" s="79">
        <v>0</v>
      </c>
    </row>
    <row r="1829" spans="1:3" x14ac:dyDescent="0.25">
      <c r="A1829" s="2">
        <v>0</v>
      </c>
      <c r="B1829" s="38">
        <v>0</v>
      </c>
      <c r="C1829" s="79">
        <v>0</v>
      </c>
    </row>
    <row r="1830" spans="1:3" x14ac:dyDescent="0.25">
      <c r="A1830" s="2">
        <v>0</v>
      </c>
      <c r="B1830" s="38">
        <v>0</v>
      </c>
      <c r="C1830" s="79">
        <v>0</v>
      </c>
    </row>
    <row r="1831" spans="1:3" x14ac:dyDescent="0.25">
      <c r="A1831" s="2">
        <v>0</v>
      </c>
      <c r="B1831" s="38">
        <v>0</v>
      </c>
      <c r="C1831" s="79">
        <v>0</v>
      </c>
    </row>
    <row r="1832" spans="1:3" x14ac:dyDescent="0.25">
      <c r="A1832" s="2">
        <v>0</v>
      </c>
      <c r="B1832" s="38">
        <v>0</v>
      </c>
      <c r="C1832" s="79">
        <v>0</v>
      </c>
    </row>
    <row r="1833" spans="1:3" x14ac:dyDescent="0.25">
      <c r="A1833" s="2">
        <v>0</v>
      </c>
      <c r="B1833" s="38">
        <v>0</v>
      </c>
      <c r="C1833" s="79">
        <v>0</v>
      </c>
    </row>
    <row r="1834" spans="1:3" x14ac:dyDescent="0.25">
      <c r="A1834" s="2">
        <v>0</v>
      </c>
      <c r="B1834" s="38">
        <v>0</v>
      </c>
      <c r="C1834" s="79">
        <v>0</v>
      </c>
    </row>
    <row r="1835" spans="1:3" x14ac:dyDescent="0.25">
      <c r="A1835" s="2">
        <v>0</v>
      </c>
      <c r="B1835" s="38">
        <v>0</v>
      </c>
      <c r="C1835" s="79">
        <v>0</v>
      </c>
    </row>
    <row r="1836" spans="1:3" x14ac:dyDescent="0.25">
      <c r="A1836" s="2">
        <v>0</v>
      </c>
      <c r="B1836" s="38">
        <v>0</v>
      </c>
      <c r="C1836" s="79">
        <v>0</v>
      </c>
    </row>
    <row r="1837" spans="1:3" x14ac:dyDescent="0.25">
      <c r="A1837" s="2">
        <v>0</v>
      </c>
      <c r="B1837" s="38">
        <v>0</v>
      </c>
      <c r="C1837" s="79">
        <v>0</v>
      </c>
    </row>
    <row r="1838" spans="1:3" x14ac:dyDescent="0.25">
      <c r="A1838" s="2">
        <v>0</v>
      </c>
      <c r="B1838" s="38">
        <v>0</v>
      </c>
      <c r="C1838" s="79">
        <v>0</v>
      </c>
    </row>
    <row r="1839" spans="1:3" x14ac:dyDescent="0.25">
      <c r="A1839" s="2">
        <v>0</v>
      </c>
      <c r="B1839" s="38">
        <v>0</v>
      </c>
      <c r="C1839" s="79">
        <v>0</v>
      </c>
    </row>
    <row r="1840" spans="1:3" x14ac:dyDescent="0.25">
      <c r="A1840" s="2">
        <v>0</v>
      </c>
      <c r="B1840" s="38">
        <v>0</v>
      </c>
      <c r="C1840" s="79">
        <v>0</v>
      </c>
    </row>
    <row r="1841" spans="1:3" x14ac:dyDescent="0.25">
      <c r="A1841" s="2">
        <v>0</v>
      </c>
      <c r="B1841" s="38">
        <v>0</v>
      </c>
      <c r="C1841" s="79">
        <v>0</v>
      </c>
    </row>
    <row r="1842" spans="1:3" x14ac:dyDescent="0.25">
      <c r="A1842" s="2">
        <v>0</v>
      </c>
      <c r="B1842" s="38">
        <v>0</v>
      </c>
      <c r="C1842" s="79">
        <v>0</v>
      </c>
    </row>
    <row r="1843" spans="1:3" x14ac:dyDescent="0.25">
      <c r="A1843" s="2">
        <v>0</v>
      </c>
      <c r="B1843" s="38">
        <v>0</v>
      </c>
      <c r="C1843" s="79">
        <v>0</v>
      </c>
    </row>
    <row r="1844" spans="1:3" x14ac:dyDescent="0.25">
      <c r="A1844" s="2">
        <v>0</v>
      </c>
      <c r="B1844" s="38">
        <v>0</v>
      </c>
      <c r="C1844" s="79">
        <v>0</v>
      </c>
    </row>
    <row r="1845" spans="1:3" x14ac:dyDescent="0.25">
      <c r="A1845" s="2">
        <v>0</v>
      </c>
      <c r="B1845" s="38">
        <v>0</v>
      </c>
      <c r="C1845" s="79">
        <v>0</v>
      </c>
    </row>
    <row r="1846" spans="1:3" x14ac:dyDescent="0.25">
      <c r="A1846" s="2">
        <v>0</v>
      </c>
      <c r="B1846" s="38">
        <v>0</v>
      </c>
      <c r="C1846" s="79">
        <v>0</v>
      </c>
    </row>
    <row r="1847" spans="1:3" x14ac:dyDescent="0.25">
      <c r="A1847" s="2">
        <v>0</v>
      </c>
      <c r="B1847" s="38">
        <v>0</v>
      </c>
      <c r="C1847" s="79">
        <v>0</v>
      </c>
    </row>
    <row r="1848" spans="1:3" x14ac:dyDescent="0.25">
      <c r="A1848" s="2">
        <v>0</v>
      </c>
      <c r="B1848" s="38">
        <v>0</v>
      </c>
      <c r="C1848" s="79">
        <v>0</v>
      </c>
    </row>
    <row r="1849" spans="1:3" x14ac:dyDescent="0.25">
      <c r="A1849" s="2">
        <v>0</v>
      </c>
      <c r="B1849" s="38">
        <v>0</v>
      </c>
      <c r="C1849" s="79">
        <v>0</v>
      </c>
    </row>
    <row r="1850" spans="1:3" x14ac:dyDescent="0.25">
      <c r="A1850" s="2">
        <v>0</v>
      </c>
      <c r="B1850" s="38">
        <v>0</v>
      </c>
      <c r="C1850" s="79">
        <v>0</v>
      </c>
    </row>
    <row r="1851" spans="1:3" x14ac:dyDescent="0.25">
      <c r="A1851" s="2">
        <v>0</v>
      </c>
      <c r="B1851" s="38">
        <v>0</v>
      </c>
      <c r="C1851" s="79">
        <v>0</v>
      </c>
    </row>
    <row r="1852" spans="1:3" x14ac:dyDescent="0.25">
      <c r="A1852" s="2">
        <v>0</v>
      </c>
      <c r="B1852" s="38">
        <v>0</v>
      </c>
      <c r="C1852" s="79">
        <v>0</v>
      </c>
    </row>
    <row r="1853" spans="1:3" x14ac:dyDescent="0.25">
      <c r="A1853" s="2">
        <v>0</v>
      </c>
      <c r="B1853" s="38">
        <v>0</v>
      </c>
      <c r="C1853" s="79">
        <v>0</v>
      </c>
    </row>
    <row r="1854" spans="1:3" x14ac:dyDescent="0.25">
      <c r="A1854" s="2">
        <v>0</v>
      </c>
      <c r="B1854" s="38">
        <v>0</v>
      </c>
      <c r="C1854" s="79">
        <v>0</v>
      </c>
    </row>
    <row r="1855" spans="1:3" x14ac:dyDescent="0.25">
      <c r="A1855" s="2">
        <v>0</v>
      </c>
      <c r="B1855" s="38">
        <v>0</v>
      </c>
      <c r="C1855" s="79">
        <v>0</v>
      </c>
    </row>
    <row r="1856" spans="1:3" x14ac:dyDescent="0.25">
      <c r="A1856" s="2">
        <v>0</v>
      </c>
      <c r="B1856" s="38">
        <v>0</v>
      </c>
      <c r="C1856" s="79">
        <v>0</v>
      </c>
    </row>
    <row r="1857" spans="1:3" x14ac:dyDescent="0.25">
      <c r="A1857" s="2">
        <v>0</v>
      </c>
      <c r="B1857" s="38">
        <v>0</v>
      </c>
      <c r="C1857" s="79">
        <v>0</v>
      </c>
    </row>
    <row r="1858" spans="1:3" x14ac:dyDescent="0.25">
      <c r="A1858" s="2">
        <v>0</v>
      </c>
      <c r="B1858" s="38">
        <v>0</v>
      </c>
      <c r="C1858" s="79">
        <v>0</v>
      </c>
    </row>
    <row r="1859" spans="1:3" x14ac:dyDescent="0.25">
      <c r="A1859" s="2">
        <v>0</v>
      </c>
      <c r="B1859" s="38">
        <v>0</v>
      </c>
      <c r="C1859" s="79">
        <v>0</v>
      </c>
    </row>
    <row r="1860" spans="1:3" x14ac:dyDescent="0.25">
      <c r="A1860" s="2">
        <v>0</v>
      </c>
      <c r="B1860" s="38">
        <v>0</v>
      </c>
      <c r="C1860" s="79">
        <v>0</v>
      </c>
    </row>
    <row r="1861" spans="1:3" x14ac:dyDescent="0.25">
      <c r="A1861" s="2">
        <v>0</v>
      </c>
      <c r="B1861" s="38">
        <v>0</v>
      </c>
      <c r="C1861" s="79">
        <v>0</v>
      </c>
    </row>
    <row r="1862" spans="1:3" x14ac:dyDescent="0.25">
      <c r="A1862" s="2">
        <v>0</v>
      </c>
      <c r="B1862" s="38">
        <v>0</v>
      </c>
      <c r="C1862" s="79">
        <v>0</v>
      </c>
    </row>
    <row r="1863" spans="1:3" x14ac:dyDescent="0.25">
      <c r="A1863" s="2">
        <v>0</v>
      </c>
      <c r="B1863" s="38">
        <v>0</v>
      </c>
      <c r="C1863" s="79">
        <v>0</v>
      </c>
    </row>
    <row r="1864" spans="1:3" x14ac:dyDescent="0.25">
      <c r="A1864" s="2">
        <v>0</v>
      </c>
      <c r="B1864" s="38">
        <v>0</v>
      </c>
      <c r="C1864" s="79">
        <v>0</v>
      </c>
    </row>
    <row r="1865" spans="1:3" x14ac:dyDescent="0.25">
      <c r="A1865" s="2">
        <v>0</v>
      </c>
      <c r="B1865" s="38">
        <v>0</v>
      </c>
      <c r="C1865" s="79">
        <v>0</v>
      </c>
    </row>
    <row r="1866" spans="1:3" x14ac:dyDescent="0.25">
      <c r="A1866" s="2">
        <v>0</v>
      </c>
      <c r="B1866" s="38">
        <v>0</v>
      </c>
      <c r="C1866" s="79">
        <v>0</v>
      </c>
    </row>
    <row r="1867" spans="1:3" x14ac:dyDescent="0.25">
      <c r="A1867" s="2">
        <v>0</v>
      </c>
      <c r="B1867" s="38">
        <v>0</v>
      </c>
      <c r="C1867" s="79">
        <v>0</v>
      </c>
    </row>
    <row r="1868" spans="1:3" x14ac:dyDescent="0.25">
      <c r="A1868" s="2">
        <v>0</v>
      </c>
      <c r="B1868" s="38">
        <v>0</v>
      </c>
      <c r="C1868" s="79">
        <v>0</v>
      </c>
    </row>
    <row r="1869" spans="1:3" x14ac:dyDescent="0.25">
      <c r="A1869" s="2">
        <v>0</v>
      </c>
      <c r="B1869" s="38">
        <v>0</v>
      </c>
      <c r="C1869" s="79">
        <v>0</v>
      </c>
    </row>
    <row r="1870" spans="1:3" x14ac:dyDescent="0.25">
      <c r="A1870" s="2">
        <v>0</v>
      </c>
      <c r="B1870" s="38">
        <v>0</v>
      </c>
      <c r="C1870" s="79">
        <v>0</v>
      </c>
    </row>
    <row r="1871" spans="1:3" x14ac:dyDescent="0.25">
      <c r="A1871" s="2">
        <v>0</v>
      </c>
      <c r="B1871" s="38">
        <v>0</v>
      </c>
      <c r="C1871" s="79">
        <v>0</v>
      </c>
    </row>
    <row r="1872" spans="1:3" x14ac:dyDescent="0.25">
      <c r="A1872" s="2">
        <v>0</v>
      </c>
      <c r="B1872" s="38">
        <v>0</v>
      </c>
      <c r="C1872" s="79">
        <v>0</v>
      </c>
    </row>
    <row r="1873" spans="1:3" x14ac:dyDescent="0.25">
      <c r="A1873" s="2">
        <v>0</v>
      </c>
      <c r="B1873" s="38">
        <v>0</v>
      </c>
      <c r="C1873" s="79">
        <v>0</v>
      </c>
    </row>
    <row r="1874" spans="1:3" x14ac:dyDescent="0.25">
      <c r="A1874" s="2">
        <v>0</v>
      </c>
      <c r="B1874" s="38">
        <v>0</v>
      </c>
      <c r="C1874" s="79">
        <v>0</v>
      </c>
    </row>
    <row r="1875" spans="1:3" x14ac:dyDescent="0.25">
      <c r="A1875" s="2">
        <v>0</v>
      </c>
      <c r="B1875" s="38">
        <v>0</v>
      </c>
      <c r="C1875" s="79">
        <v>0</v>
      </c>
    </row>
    <row r="1876" spans="1:3" x14ac:dyDescent="0.25">
      <c r="A1876" s="2">
        <v>0</v>
      </c>
      <c r="B1876" s="38">
        <v>0</v>
      </c>
      <c r="C1876" s="79">
        <v>0</v>
      </c>
    </row>
    <row r="1877" spans="1:3" x14ac:dyDescent="0.25">
      <c r="A1877" s="2">
        <v>0</v>
      </c>
      <c r="B1877" s="38">
        <v>0</v>
      </c>
      <c r="C1877" s="79">
        <v>0</v>
      </c>
    </row>
    <row r="1878" spans="1:3" x14ac:dyDescent="0.25">
      <c r="A1878" s="2">
        <v>0</v>
      </c>
      <c r="B1878" s="38">
        <v>0</v>
      </c>
      <c r="C1878" s="79">
        <v>0</v>
      </c>
    </row>
    <row r="1879" spans="1:3" x14ac:dyDescent="0.25">
      <c r="A1879" s="2">
        <v>0</v>
      </c>
      <c r="B1879" s="38">
        <v>0</v>
      </c>
      <c r="C1879" s="79">
        <v>0</v>
      </c>
    </row>
    <row r="1880" spans="1:3" x14ac:dyDescent="0.25">
      <c r="A1880" s="2">
        <v>0</v>
      </c>
      <c r="B1880" s="38">
        <v>0</v>
      </c>
      <c r="C1880" s="79">
        <v>0</v>
      </c>
    </row>
    <row r="1881" spans="1:3" x14ac:dyDescent="0.25">
      <c r="A1881" s="2">
        <v>0</v>
      </c>
      <c r="B1881" s="38">
        <v>0</v>
      </c>
      <c r="C1881" s="79">
        <v>0</v>
      </c>
    </row>
    <row r="1882" spans="1:3" x14ac:dyDescent="0.25">
      <c r="A1882" s="2">
        <v>0</v>
      </c>
      <c r="B1882" s="38">
        <v>0</v>
      </c>
      <c r="C1882" s="79">
        <v>0</v>
      </c>
    </row>
    <row r="1883" spans="1:3" x14ac:dyDescent="0.25">
      <c r="A1883" s="2">
        <v>0</v>
      </c>
      <c r="B1883" s="38">
        <v>0</v>
      </c>
      <c r="C1883" s="79">
        <v>0</v>
      </c>
    </row>
    <row r="1884" spans="1:3" x14ac:dyDescent="0.25">
      <c r="A1884" s="2">
        <v>0</v>
      </c>
      <c r="B1884" s="38">
        <v>0</v>
      </c>
      <c r="C1884" s="79">
        <v>0</v>
      </c>
    </row>
    <row r="1885" spans="1:3" x14ac:dyDescent="0.25">
      <c r="A1885" s="2">
        <v>0</v>
      </c>
      <c r="B1885" s="38">
        <v>0</v>
      </c>
      <c r="C1885" s="79">
        <v>0</v>
      </c>
    </row>
    <row r="1886" spans="1:3" x14ac:dyDescent="0.25">
      <c r="A1886" s="2">
        <v>0</v>
      </c>
      <c r="B1886" s="38">
        <v>0</v>
      </c>
      <c r="C1886" s="79">
        <v>0</v>
      </c>
    </row>
    <row r="1887" spans="1:3" x14ac:dyDescent="0.25">
      <c r="A1887" s="2">
        <v>0</v>
      </c>
      <c r="B1887" s="38">
        <v>0</v>
      </c>
      <c r="C1887" s="79">
        <v>0</v>
      </c>
    </row>
    <row r="1888" spans="1:3" x14ac:dyDescent="0.25">
      <c r="A1888" s="2">
        <v>0</v>
      </c>
      <c r="B1888" s="38">
        <v>0</v>
      </c>
      <c r="C1888" s="79">
        <v>0</v>
      </c>
    </row>
    <row r="1889" spans="1:3" x14ac:dyDescent="0.25">
      <c r="A1889" s="2">
        <v>0</v>
      </c>
      <c r="B1889" s="38">
        <v>0</v>
      </c>
      <c r="C1889" s="79">
        <v>0</v>
      </c>
    </row>
    <row r="1890" spans="1:3" x14ac:dyDescent="0.25">
      <c r="A1890" s="2">
        <v>0</v>
      </c>
      <c r="B1890" s="38">
        <v>0</v>
      </c>
      <c r="C1890" s="79">
        <v>0</v>
      </c>
    </row>
    <row r="1891" spans="1:3" x14ac:dyDescent="0.25">
      <c r="A1891" s="2">
        <v>0</v>
      </c>
      <c r="B1891" s="38">
        <v>0</v>
      </c>
      <c r="C1891" s="79">
        <v>0</v>
      </c>
    </row>
    <row r="1892" spans="1:3" x14ac:dyDescent="0.25">
      <c r="A1892" s="2">
        <v>0</v>
      </c>
      <c r="B1892" s="38">
        <v>0</v>
      </c>
      <c r="C1892" s="79">
        <v>0</v>
      </c>
    </row>
    <row r="1893" spans="1:3" x14ac:dyDescent="0.25">
      <c r="A1893" s="2">
        <v>0</v>
      </c>
      <c r="B1893" s="38">
        <v>0</v>
      </c>
      <c r="C1893" s="79">
        <v>0</v>
      </c>
    </row>
    <row r="1894" spans="1:3" x14ac:dyDescent="0.25">
      <c r="A1894" s="2">
        <v>0</v>
      </c>
      <c r="B1894" s="38">
        <v>0</v>
      </c>
      <c r="C1894" s="79">
        <v>0</v>
      </c>
    </row>
    <row r="1895" spans="1:3" x14ac:dyDescent="0.25">
      <c r="A1895" s="2">
        <v>0</v>
      </c>
      <c r="B1895" s="38">
        <v>0</v>
      </c>
      <c r="C1895" s="79">
        <v>0</v>
      </c>
    </row>
    <row r="1896" spans="1:3" x14ac:dyDescent="0.25">
      <c r="A1896" s="2">
        <v>0</v>
      </c>
      <c r="B1896" s="38">
        <v>0</v>
      </c>
      <c r="C1896" s="79">
        <v>0</v>
      </c>
    </row>
    <row r="1897" spans="1:3" x14ac:dyDescent="0.25">
      <c r="A1897" s="2">
        <v>0</v>
      </c>
      <c r="B1897" s="38">
        <v>0</v>
      </c>
      <c r="C1897" s="79">
        <v>0</v>
      </c>
    </row>
    <row r="1898" spans="1:3" x14ac:dyDescent="0.25">
      <c r="A1898" s="2">
        <v>0</v>
      </c>
      <c r="B1898" s="38">
        <v>0</v>
      </c>
      <c r="C1898" s="79">
        <v>0</v>
      </c>
    </row>
    <row r="1899" spans="1:3" x14ac:dyDescent="0.25">
      <c r="A1899" s="2">
        <v>0</v>
      </c>
      <c r="B1899" s="38">
        <v>0</v>
      </c>
      <c r="C1899" s="79">
        <v>0</v>
      </c>
    </row>
    <row r="1900" spans="1:3" x14ac:dyDescent="0.25">
      <c r="A1900" s="2">
        <v>0</v>
      </c>
      <c r="B1900" s="38">
        <v>0</v>
      </c>
      <c r="C1900" s="79">
        <v>0</v>
      </c>
    </row>
    <row r="1901" spans="1:3" x14ac:dyDescent="0.25">
      <c r="A1901" s="2">
        <v>0</v>
      </c>
      <c r="B1901" s="38">
        <v>0</v>
      </c>
      <c r="C1901" s="79">
        <v>0</v>
      </c>
    </row>
    <row r="1902" spans="1:3" x14ac:dyDescent="0.25">
      <c r="A1902" s="2">
        <v>0</v>
      </c>
      <c r="B1902" s="38">
        <v>0</v>
      </c>
      <c r="C1902" s="79">
        <v>0</v>
      </c>
    </row>
    <row r="1903" spans="1:3" x14ac:dyDescent="0.25">
      <c r="A1903" s="2">
        <v>0</v>
      </c>
      <c r="B1903" s="38">
        <v>0</v>
      </c>
      <c r="C1903" s="79">
        <v>0</v>
      </c>
    </row>
    <row r="1904" spans="1:3" x14ac:dyDescent="0.25">
      <c r="A1904" s="2">
        <v>0</v>
      </c>
      <c r="B1904" s="38">
        <v>0</v>
      </c>
      <c r="C1904" s="79">
        <v>0</v>
      </c>
    </row>
    <row r="1905" spans="1:3" x14ac:dyDescent="0.25">
      <c r="A1905" s="2">
        <v>0</v>
      </c>
      <c r="B1905" s="38">
        <v>0</v>
      </c>
      <c r="C1905" s="79">
        <v>0</v>
      </c>
    </row>
    <row r="1906" spans="1:3" x14ac:dyDescent="0.25">
      <c r="A1906" s="2">
        <v>0</v>
      </c>
      <c r="B1906" s="38">
        <v>0</v>
      </c>
      <c r="C1906" s="79">
        <v>0</v>
      </c>
    </row>
    <row r="1907" spans="1:3" x14ac:dyDescent="0.25">
      <c r="A1907" s="2">
        <v>0</v>
      </c>
      <c r="B1907" s="38">
        <v>0</v>
      </c>
      <c r="C1907" s="79">
        <v>0</v>
      </c>
    </row>
    <row r="1908" spans="1:3" x14ac:dyDescent="0.25">
      <c r="A1908" s="2">
        <v>0</v>
      </c>
      <c r="B1908" s="38">
        <v>0</v>
      </c>
      <c r="C1908" s="79">
        <v>0</v>
      </c>
    </row>
    <row r="1909" spans="1:3" x14ac:dyDescent="0.25">
      <c r="A1909" s="2">
        <v>0</v>
      </c>
      <c r="B1909" s="38">
        <v>0</v>
      </c>
      <c r="C1909" s="79">
        <v>0</v>
      </c>
    </row>
    <row r="1910" spans="1:3" x14ac:dyDescent="0.25">
      <c r="A1910" s="2">
        <v>0</v>
      </c>
      <c r="B1910" s="38">
        <v>0</v>
      </c>
      <c r="C1910" s="79">
        <v>0</v>
      </c>
    </row>
    <row r="1911" spans="1:3" x14ac:dyDescent="0.25">
      <c r="A1911" s="2">
        <v>0</v>
      </c>
      <c r="B1911" s="38">
        <v>0</v>
      </c>
      <c r="C1911" s="79">
        <v>0</v>
      </c>
    </row>
    <row r="1912" spans="1:3" x14ac:dyDescent="0.25">
      <c r="A1912" s="2">
        <v>0</v>
      </c>
      <c r="B1912" s="38">
        <v>0</v>
      </c>
      <c r="C1912" s="79">
        <v>0</v>
      </c>
    </row>
    <row r="1913" spans="1:3" x14ac:dyDescent="0.25">
      <c r="A1913" s="2">
        <v>0</v>
      </c>
      <c r="B1913" s="38">
        <v>0</v>
      </c>
      <c r="C1913" s="79">
        <v>0</v>
      </c>
    </row>
    <row r="1914" spans="1:3" x14ac:dyDescent="0.25">
      <c r="A1914" s="2">
        <v>0</v>
      </c>
      <c r="B1914" s="38">
        <v>0</v>
      </c>
      <c r="C1914" s="79">
        <v>0</v>
      </c>
    </row>
    <row r="1915" spans="1:3" x14ac:dyDescent="0.25">
      <c r="A1915" s="2">
        <v>0</v>
      </c>
      <c r="B1915" s="38">
        <v>0</v>
      </c>
      <c r="C1915" s="79">
        <v>0</v>
      </c>
    </row>
    <row r="1916" spans="1:3" x14ac:dyDescent="0.25">
      <c r="A1916" s="2">
        <v>0</v>
      </c>
      <c r="B1916" s="38">
        <v>0</v>
      </c>
      <c r="C1916" s="79">
        <v>0</v>
      </c>
    </row>
    <row r="1917" spans="1:3" x14ac:dyDescent="0.25">
      <c r="A1917" s="2">
        <v>0</v>
      </c>
      <c r="B1917" s="38">
        <v>0</v>
      </c>
      <c r="C1917" s="79">
        <v>0</v>
      </c>
    </row>
    <row r="1918" spans="1:3" x14ac:dyDescent="0.25">
      <c r="A1918" s="2">
        <v>0</v>
      </c>
      <c r="B1918" s="38">
        <v>0</v>
      </c>
      <c r="C1918" s="79">
        <v>0</v>
      </c>
    </row>
    <row r="1919" spans="1:3" x14ac:dyDescent="0.25">
      <c r="A1919" s="2">
        <v>0</v>
      </c>
      <c r="B1919" s="38">
        <v>0</v>
      </c>
      <c r="C1919" s="79">
        <v>0</v>
      </c>
    </row>
    <row r="1920" spans="1:3" x14ac:dyDescent="0.25">
      <c r="A1920" s="2">
        <v>0</v>
      </c>
      <c r="B1920" s="38">
        <v>0</v>
      </c>
      <c r="C1920" s="79">
        <v>0</v>
      </c>
    </row>
    <row r="1921" spans="1:3" x14ac:dyDescent="0.25">
      <c r="A1921" s="2">
        <v>0</v>
      </c>
      <c r="B1921" s="38">
        <v>0</v>
      </c>
      <c r="C1921" s="79">
        <v>0</v>
      </c>
    </row>
    <row r="1922" spans="1:3" x14ac:dyDescent="0.25">
      <c r="A1922" s="2">
        <v>0</v>
      </c>
      <c r="B1922" s="38">
        <v>0</v>
      </c>
      <c r="C1922" s="79">
        <v>0</v>
      </c>
    </row>
    <row r="1923" spans="1:3" x14ac:dyDescent="0.25">
      <c r="A1923" s="2">
        <v>0</v>
      </c>
      <c r="B1923" s="38">
        <v>0</v>
      </c>
      <c r="C1923" s="79">
        <v>0</v>
      </c>
    </row>
    <row r="1924" spans="1:3" x14ac:dyDescent="0.25">
      <c r="A1924" s="2">
        <v>0</v>
      </c>
      <c r="B1924" s="38">
        <v>0</v>
      </c>
      <c r="C1924" s="79">
        <v>0</v>
      </c>
    </row>
    <row r="1925" spans="1:3" x14ac:dyDescent="0.25">
      <c r="A1925" s="2">
        <v>0</v>
      </c>
      <c r="B1925" s="38">
        <v>0</v>
      </c>
      <c r="C1925" s="79">
        <v>0</v>
      </c>
    </row>
    <row r="1926" spans="1:3" x14ac:dyDescent="0.25">
      <c r="A1926" s="2">
        <v>0</v>
      </c>
      <c r="B1926" s="38">
        <v>0</v>
      </c>
      <c r="C1926" s="79">
        <v>0</v>
      </c>
    </row>
    <row r="1927" spans="1:3" x14ac:dyDescent="0.25">
      <c r="A1927" s="2">
        <v>0</v>
      </c>
      <c r="B1927" s="38">
        <v>0</v>
      </c>
      <c r="C1927" s="79">
        <v>0</v>
      </c>
    </row>
    <row r="1928" spans="1:3" x14ac:dyDescent="0.25">
      <c r="A1928" s="2">
        <v>0</v>
      </c>
      <c r="B1928" s="38">
        <v>0</v>
      </c>
      <c r="C1928" s="79">
        <v>0</v>
      </c>
    </row>
    <row r="1929" spans="1:3" x14ac:dyDescent="0.25">
      <c r="A1929" s="2">
        <v>0</v>
      </c>
      <c r="B1929" s="38">
        <v>0</v>
      </c>
      <c r="C1929" s="79">
        <v>0</v>
      </c>
    </row>
    <row r="1930" spans="1:3" x14ac:dyDescent="0.25">
      <c r="A1930" s="2">
        <v>0</v>
      </c>
      <c r="B1930" s="38">
        <v>0</v>
      </c>
      <c r="C1930" s="79">
        <v>0</v>
      </c>
    </row>
    <row r="1931" spans="1:3" x14ac:dyDescent="0.25">
      <c r="A1931" s="2">
        <v>0</v>
      </c>
      <c r="B1931" s="38">
        <v>0</v>
      </c>
      <c r="C1931" s="79">
        <v>0</v>
      </c>
    </row>
    <row r="1932" spans="1:3" x14ac:dyDescent="0.25">
      <c r="A1932" s="2">
        <v>0</v>
      </c>
      <c r="B1932" s="38">
        <v>0</v>
      </c>
      <c r="C1932" s="79">
        <v>0</v>
      </c>
    </row>
    <row r="1933" spans="1:3" x14ac:dyDescent="0.25">
      <c r="A1933" s="2">
        <v>0</v>
      </c>
      <c r="B1933" s="38">
        <v>0</v>
      </c>
      <c r="C1933" s="79">
        <v>0</v>
      </c>
    </row>
    <row r="1934" spans="1:3" x14ac:dyDescent="0.25">
      <c r="A1934" s="2">
        <v>0</v>
      </c>
      <c r="B1934" s="38">
        <v>0</v>
      </c>
      <c r="C1934" s="79">
        <v>0</v>
      </c>
    </row>
    <row r="1935" spans="1:3" x14ac:dyDescent="0.25">
      <c r="A1935" s="2">
        <v>0</v>
      </c>
      <c r="B1935" s="38">
        <v>0</v>
      </c>
      <c r="C1935" s="79">
        <v>0</v>
      </c>
    </row>
    <row r="1936" spans="1:3" x14ac:dyDescent="0.25">
      <c r="A1936" s="2">
        <v>0</v>
      </c>
      <c r="B1936" s="38">
        <v>0</v>
      </c>
      <c r="C1936" s="79">
        <v>0</v>
      </c>
    </row>
    <row r="1937" spans="1:3" x14ac:dyDescent="0.25">
      <c r="A1937" s="2">
        <v>0</v>
      </c>
      <c r="B1937" s="38">
        <v>0</v>
      </c>
      <c r="C1937" s="79">
        <v>0</v>
      </c>
    </row>
    <row r="1938" spans="1:3" x14ac:dyDescent="0.25">
      <c r="A1938" s="2">
        <v>0</v>
      </c>
      <c r="B1938" s="38">
        <v>0</v>
      </c>
      <c r="C1938" s="79">
        <v>0</v>
      </c>
    </row>
    <row r="1939" spans="1:3" x14ac:dyDescent="0.25">
      <c r="A1939" s="2">
        <v>0</v>
      </c>
      <c r="B1939" s="38">
        <v>0</v>
      </c>
      <c r="C1939" s="79">
        <v>0</v>
      </c>
    </row>
    <row r="1940" spans="1:3" x14ac:dyDescent="0.25">
      <c r="A1940" s="2">
        <v>0</v>
      </c>
      <c r="B1940" s="38">
        <v>0</v>
      </c>
      <c r="C1940" s="79">
        <v>0</v>
      </c>
    </row>
    <row r="1941" spans="1:3" x14ac:dyDescent="0.25">
      <c r="A1941" s="2">
        <v>0</v>
      </c>
      <c r="B1941" s="38">
        <v>0</v>
      </c>
      <c r="C1941" s="79">
        <v>0</v>
      </c>
    </row>
    <row r="1942" spans="1:3" x14ac:dyDescent="0.25">
      <c r="A1942" s="2">
        <v>0</v>
      </c>
      <c r="B1942" s="38">
        <v>0</v>
      </c>
      <c r="C1942" s="79">
        <v>0</v>
      </c>
    </row>
    <row r="1943" spans="1:3" x14ac:dyDescent="0.25">
      <c r="A1943" s="2">
        <v>0</v>
      </c>
      <c r="B1943" s="38">
        <v>0</v>
      </c>
      <c r="C1943" s="79">
        <v>0</v>
      </c>
    </row>
    <row r="1944" spans="1:3" x14ac:dyDescent="0.25">
      <c r="A1944" s="2">
        <v>0</v>
      </c>
      <c r="B1944" s="38">
        <v>0</v>
      </c>
      <c r="C1944" s="79">
        <v>0</v>
      </c>
    </row>
    <row r="1945" spans="1:3" x14ac:dyDescent="0.25">
      <c r="A1945" s="2">
        <v>0</v>
      </c>
      <c r="B1945" s="38">
        <v>0</v>
      </c>
      <c r="C1945" s="79">
        <v>0</v>
      </c>
    </row>
    <row r="1946" spans="1:3" x14ac:dyDescent="0.25">
      <c r="A1946" s="2">
        <v>0</v>
      </c>
      <c r="B1946" s="38">
        <v>0</v>
      </c>
      <c r="C1946" s="79">
        <v>0</v>
      </c>
    </row>
    <row r="1947" spans="1:3" x14ac:dyDescent="0.25">
      <c r="A1947" s="2">
        <v>0</v>
      </c>
      <c r="B1947" s="38">
        <v>0</v>
      </c>
      <c r="C1947" s="79">
        <v>0</v>
      </c>
    </row>
    <row r="1948" spans="1:3" x14ac:dyDescent="0.25">
      <c r="A1948" s="2">
        <v>0</v>
      </c>
      <c r="B1948" s="38">
        <v>0</v>
      </c>
      <c r="C1948" s="79">
        <v>0</v>
      </c>
    </row>
    <row r="1949" spans="1:3" x14ac:dyDescent="0.25">
      <c r="A1949" s="2">
        <v>0</v>
      </c>
      <c r="B1949" s="38">
        <v>0</v>
      </c>
      <c r="C1949" s="79">
        <v>0</v>
      </c>
    </row>
    <row r="1950" spans="1:3" x14ac:dyDescent="0.25">
      <c r="A1950" s="2">
        <v>0</v>
      </c>
      <c r="B1950" s="38">
        <v>0</v>
      </c>
      <c r="C1950" s="79">
        <v>0</v>
      </c>
    </row>
    <row r="1951" spans="1:3" x14ac:dyDescent="0.25">
      <c r="A1951" s="2">
        <v>0</v>
      </c>
      <c r="B1951" s="38">
        <v>0</v>
      </c>
      <c r="C1951" s="79">
        <v>0</v>
      </c>
    </row>
    <row r="1952" spans="1:3" x14ac:dyDescent="0.25">
      <c r="A1952" s="2">
        <v>0</v>
      </c>
      <c r="B1952" s="38">
        <v>0</v>
      </c>
      <c r="C1952" s="79">
        <v>0</v>
      </c>
    </row>
    <row r="1953" spans="1:3" x14ac:dyDescent="0.25">
      <c r="A1953" s="2">
        <v>0</v>
      </c>
      <c r="B1953" s="38">
        <v>0</v>
      </c>
      <c r="C1953" s="79">
        <v>0</v>
      </c>
    </row>
    <row r="1954" spans="1:3" x14ac:dyDescent="0.25">
      <c r="A1954" s="2">
        <v>0</v>
      </c>
      <c r="B1954" s="38">
        <v>0</v>
      </c>
      <c r="C1954" s="79">
        <v>0</v>
      </c>
    </row>
    <row r="1955" spans="1:3" x14ac:dyDescent="0.25">
      <c r="A1955" s="2">
        <v>0</v>
      </c>
      <c r="B1955" s="38">
        <v>0</v>
      </c>
      <c r="C1955" s="79">
        <v>0</v>
      </c>
    </row>
    <row r="1956" spans="1:3" x14ac:dyDescent="0.25">
      <c r="A1956" s="2">
        <v>0</v>
      </c>
      <c r="B1956" s="38">
        <v>0</v>
      </c>
      <c r="C1956" s="79">
        <v>0</v>
      </c>
    </row>
    <row r="1957" spans="1:3" x14ac:dyDescent="0.25">
      <c r="A1957" s="2">
        <v>0</v>
      </c>
      <c r="B1957" s="38">
        <v>0</v>
      </c>
      <c r="C1957" s="79">
        <v>0</v>
      </c>
    </row>
    <row r="1958" spans="1:3" x14ac:dyDescent="0.25">
      <c r="A1958" s="2">
        <v>0</v>
      </c>
      <c r="B1958" s="38">
        <v>0</v>
      </c>
      <c r="C1958" s="79">
        <v>0</v>
      </c>
    </row>
    <row r="1959" spans="1:3" x14ac:dyDescent="0.25">
      <c r="A1959" s="2">
        <v>0</v>
      </c>
      <c r="B1959" s="38">
        <v>0</v>
      </c>
      <c r="C1959" s="79">
        <v>0</v>
      </c>
    </row>
    <row r="1960" spans="1:3" x14ac:dyDescent="0.25">
      <c r="A1960" s="2">
        <v>0</v>
      </c>
      <c r="B1960" s="38">
        <v>0</v>
      </c>
      <c r="C1960" s="79">
        <v>0</v>
      </c>
    </row>
    <row r="1961" spans="1:3" x14ac:dyDescent="0.25">
      <c r="A1961" s="2">
        <v>0</v>
      </c>
      <c r="B1961" s="38">
        <v>0</v>
      </c>
      <c r="C1961" s="79">
        <v>0</v>
      </c>
    </row>
    <row r="1962" spans="1:3" x14ac:dyDescent="0.25">
      <c r="A1962" s="2">
        <v>0</v>
      </c>
      <c r="B1962" s="38">
        <v>0</v>
      </c>
      <c r="C1962" s="79">
        <v>0</v>
      </c>
    </row>
    <row r="1963" spans="1:3" x14ac:dyDescent="0.25">
      <c r="A1963" s="2">
        <v>0</v>
      </c>
      <c r="B1963" s="38">
        <v>0</v>
      </c>
      <c r="C1963" s="79">
        <v>0</v>
      </c>
    </row>
    <row r="1964" spans="1:3" x14ac:dyDescent="0.25">
      <c r="A1964" s="2">
        <v>0</v>
      </c>
      <c r="B1964" s="38">
        <v>0</v>
      </c>
      <c r="C1964" s="79">
        <v>0</v>
      </c>
    </row>
    <row r="1965" spans="1:3" x14ac:dyDescent="0.25">
      <c r="A1965" s="2">
        <v>0</v>
      </c>
      <c r="B1965" s="38">
        <v>0</v>
      </c>
      <c r="C1965" s="79">
        <v>0</v>
      </c>
    </row>
    <row r="1966" spans="1:3" x14ac:dyDescent="0.25">
      <c r="A1966" s="2">
        <v>0</v>
      </c>
      <c r="B1966" s="38">
        <v>0</v>
      </c>
      <c r="C1966" s="79">
        <v>0</v>
      </c>
    </row>
    <row r="1967" spans="1:3" x14ac:dyDescent="0.25">
      <c r="A1967" s="2">
        <v>0</v>
      </c>
      <c r="B1967" s="38">
        <v>0</v>
      </c>
      <c r="C1967" s="79">
        <v>0</v>
      </c>
    </row>
    <row r="1968" spans="1:3" x14ac:dyDescent="0.25">
      <c r="A1968" s="2">
        <v>0</v>
      </c>
      <c r="B1968" s="38">
        <v>0</v>
      </c>
      <c r="C1968" s="79">
        <v>0</v>
      </c>
    </row>
    <row r="1969" spans="1:3" x14ac:dyDescent="0.25">
      <c r="A1969" s="2">
        <v>0</v>
      </c>
      <c r="B1969" s="38">
        <v>0</v>
      </c>
      <c r="C1969" s="79">
        <v>0</v>
      </c>
    </row>
    <row r="1970" spans="1:3" x14ac:dyDescent="0.25">
      <c r="A1970" s="2">
        <v>0</v>
      </c>
      <c r="B1970" s="38">
        <v>0</v>
      </c>
      <c r="C1970" s="79">
        <v>0</v>
      </c>
    </row>
    <row r="1971" spans="1:3" x14ac:dyDescent="0.25">
      <c r="A1971" s="2">
        <v>0</v>
      </c>
      <c r="B1971" s="38">
        <v>0</v>
      </c>
      <c r="C1971" s="79">
        <v>0</v>
      </c>
    </row>
    <row r="1972" spans="1:3" x14ac:dyDescent="0.25">
      <c r="A1972" s="2">
        <v>0</v>
      </c>
      <c r="B1972" s="38">
        <v>0</v>
      </c>
      <c r="C1972" s="79">
        <v>0</v>
      </c>
    </row>
    <row r="1973" spans="1:3" x14ac:dyDescent="0.25">
      <c r="A1973" s="2">
        <v>0</v>
      </c>
      <c r="B1973" s="38">
        <v>0</v>
      </c>
      <c r="C1973" s="79">
        <v>0</v>
      </c>
    </row>
    <row r="1974" spans="1:3" x14ac:dyDescent="0.25">
      <c r="A1974" s="2">
        <v>0</v>
      </c>
      <c r="B1974" s="38">
        <v>0</v>
      </c>
      <c r="C1974" s="79">
        <v>0</v>
      </c>
    </row>
    <row r="1975" spans="1:3" x14ac:dyDescent="0.25">
      <c r="A1975" s="2">
        <v>0</v>
      </c>
      <c r="B1975" s="38">
        <v>0</v>
      </c>
      <c r="C1975" s="79">
        <v>0</v>
      </c>
    </row>
    <row r="1976" spans="1:3" x14ac:dyDescent="0.25">
      <c r="A1976" s="2">
        <v>0</v>
      </c>
      <c r="B1976" s="38">
        <v>0</v>
      </c>
      <c r="C1976" s="79">
        <v>0</v>
      </c>
    </row>
    <row r="1977" spans="1:3" x14ac:dyDescent="0.25">
      <c r="A1977" s="2">
        <v>0</v>
      </c>
      <c r="B1977" s="38">
        <v>0</v>
      </c>
      <c r="C1977" s="79">
        <v>0</v>
      </c>
    </row>
    <row r="1978" spans="1:3" x14ac:dyDescent="0.25">
      <c r="A1978" s="2">
        <v>0</v>
      </c>
      <c r="B1978" s="38">
        <v>0</v>
      </c>
      <c r="C1978" s="79">
        <v>0</v>
      </c>
    </row>
    <row r="1979" spans="1:3" x14ac:dyDescent="0.25">
      <c r="A1979" s="2">
        <v>0</v>
      </c>
      <c r="B1979" s="38">
        <v>0</v>
      </c>
      <c r="C1979" s="79">
        <v>0</v>
      </c>
    </row>
    <row r="1980" spans="1:3" x14ac:dyDescent="0.25">
      <c r="A1980" s="2">
        <v>0</v>
      </c>
      <c r="B1980" s="38">
        <v>0</v>
      </c>
      <c r="C1980" s="79">
        <v>0</v>
      </c>
    </row>
    <row r="1981" spans="1:3" x14ac:dyDescent="0.25">
      <c r="A1981" s="2">
        <v>0</v>
      </c>
      <c r="B1981" s="38">
        <v>0</v>
      </c>
      <c r="C1981" s="79">
        <v>0</v>
      </c>
    </row>
    <row r="1982" spans="1:3" x14ac:dyDescent="0.25">
      <c r="A1982" s="2">
        <v>0</v>
      </c>
      <c r="B1982" s="38">
        <v>0</v>
      </c>
      <c r="C1982" s="79">
        <v>0</v>
      </c>
    </row>
    <row r="1983" spans="1:3" x14ac:dyDescent="0.25">
      <c r="A1983" s="2">
        <v>0</v>
      </c>
      <c r="B1983" s="38">
        <v>0</v>
      </c>
      <c r="C1983" s="79">
        <v>0</v>
      </c>
    </row>
    <row r="1984" spans="1:3" x14ac:dyDescent="0.25">
      <c r="A1984" s="2">
        <v>0</v>
      </c>
      <c r="B1984" s="38">
        <v>0</v>
      </c>
      <c r="C1984" s="79">
        <v>0</v>
      </c>
    </row>
    <row r="1985" spans="1:3" x14ac:dyDescent="0.25">
      <c r="A1985" s="2">
        <v>0</v>
      </c>
      <c r="B1985" s="38">
        <v>0</v>
      </c>
      <c r="C1985" s="79">
        <v>0</v>
      </c>
    </row>
    <row r="1986" spans="1:3" x14ac:dyDescent="0.25">
      <c r="A1986" s="2">
        <v>0</v>
      </c>
      <c r="B1986" s="38">
        <v>0</v>
      </c>
      <c r="C1986" s="79">
        <v>0</v>
      </c>
    </row>
    <row r="1987" spans="1:3" x14ac:dyDescent="0.25">
      <c r="A1987" s="2">
        <v>0</v>
      </c>
      <c r="B1987" s="38">
        <v>0</v>
      </c>
      <c r="C1987" s="79">
        <v>0</v>
      </c>
    </row>
    <row r="1988" spans="1:3" x14ac:dyDescent="0.25">
      <c r="A1988" s="2">
        <v>0</v>
      </c>
      <c r="B1988" s="38">
        <v>0</v>
      </c>
      <c r="C1988" s="79">
        <v>0</v>
      </c>
    </row>
    <row r="1989" spans="1:3" x14ac:dyDescent="0.25">
      <c r="A1989" s="2">
        <v>0</v>
      </c>
      <c r="B1989" s="38">
        <v>0</v>
      </c>
      <c r="C1989" s="79">
        <v>0</v>
      </c>
    </row>
    <row r="1990" spans="1:3" x14ac:dyDescent="0.25">
      <c r="A1990" s="2">
        <v>0</v>
      </c>
      <c r="B1990" s="38">
        <v>0</v>
      </c>
      <c r="C1990" s="79">
        <v>0</v>
      </c>
    </row>
    <row r="1991" spans="1:3" x14ac:dyDescent="0.25">
      <c r="A1991" s="2">
        <v>0</v>
      </c>
      <c r="B1991" s="38">
        <v>0</v>
      </c>
      <c r="C1991" s="79">
        <v>0</v>
      </c>
    </row>
    <row r="1992" spans="1:3" x14ac:dyDescent="0.25">
      <c r="A1992" s="2">
        <v>0</v>
      </c>
      <c r="B1992" s="38">
        <v>0</v>
      </c>
      <c r="C1992" s="79">
        <v>0</v>
      </c>
    </row>
    <row r="1993" spans="1:3" x14ac:dyDescent="0.25">
      <c r="A1993" s="2">
        <v>0</v>
      </c>
      <c r="B1993" s="38">
        <v>0</v>
      </c>
      <c r="C1993" s="79">
        <v>0</v>
      </c>
    </row>
    <row r="1994" spans="1:3" x14ac:dyDescent="0.25">
      <c r="A1994" s="2">
        <v>0</v>
      </c>
      <c r="B1994" s="38">
        <v>0</v>
      </c>
      <c r="C1994" s="79">
        <v>0</v>
      </c>
    </row>
    <row r="1995" spans="1:3" x14ac:dyDescent="0.25">
      <c r="A1995" s="2">
        <v>0</v>
      </c>
      <c r="B1995" s="38">
        <v>0</v>
      </c>
      <c r="C1995" s="79">
        <v>0</v>
      </c>
    </row>
    <row r="1996" spans="1:3" x14ac:dyDescent="0.25">
      <c r="A1996" s="2">
        <v>0</v>
      </c>
      <c r="B1996" s="38">
        <v>0</v>
      </c>
      <c r="C1996" s="79">
        <v>0</v>
      </c>
    </row>
    <row r="1997" spans="1:3" x14ac:dyDescent="0.25">
      <c r="A1997" s="2">
        <v>0</v>
      </c>
      <c r="B1997" s="38">
        <v>0</v>
      </c>
      <c r="C1997" s="79">
        <v>0</v>
      </c>
    </row>
    <row r="1998" spans="1:3" x14ac:dyDescent="0.25">
      <c r="A1998" s="2">
        <v>0</v>
      </c>
      <c r="B1998" s="38">
        <v>0</v>
      </c>
      <c r="C1998" s="79">
        <v>0</v>
      </c>
    </row>
    <row r="1999" spans="1:3" x14ac:dyDescent="0.25">
      <c r="A1999" s="2">
        <v>0</v>
      </c>
      <c r="B1999" s="38">
        <v>0</v>
      </c>
      <c r="C1999" s="79">
        <v>0</v>
      </c>
    </row>
    <row r="2000" spans="1:3" x14ac:dyDescent="0.25">
      <c r="A2000" s="2">
        <v>0</v>
      </c>
      <c r="B2000" s="38">
        <v>0</v>
      </c>
      <c r="C2000" s="79">
        <v>0</v>
      </c>
    </row>
    <row r="2001" spans="1:3" x14ac:dyDescent="0.25">
      <c r="A2001" s="2">
        <v>0</v>
      </c>
      <c r="B2001" s="38">
        <v>0</v>
      </c>
      <c r="C2001" s="79">
        <v>0</v>
      </c>
    </row>
    <row r="2002" spans="1:3" x14ac:dyDescent="0.25">
      <c r="A2002" s="2">
        <v>0</v>
      </c>
      <c r="B2002" s="38">
        <v>0</v>
      </c>
      <c r="C2002" s="79">
        <v>0</v>
      </c>
    </row>
    <row r="2003" spans="1:3" x14ac:dyDescent="0.25">
      <c r="A2003" s="2">
        <v>0</v>
      </c>
      <c r="B2003" s="38">
        <v>0</v>
      </c>
      <c r="C2003" s="79">
        <v>0</v>
      </c>
    </row>
    <row r="2004" spans="1:3" x14ac:dyDescent="0.25">
      <c r="A2004" s="2">
        <v>0</v>
      </c>
      <c r="B2004" s="38">
        <v>0</v>
      </c>
      <c r="C2004" s="79">
        <v>0</v>
      </c>
    </row>
    <row r="2005" spans="1:3" x14ac:dyDescent="0.25">
      <c r="A2005" s="2">
        <v>0</v>
      </c>
      <c r="B2005" s="38">
        <v>0</v>
      </c>
      <c r="C2005" s="79">
        <v>0</v>
      </c>
    </row>
    <row r="2006" spans="1:3" x14ac:dyDescent="0.25">
      <c r="A2006" s="2">
        <v>0</v>
      </c>
      <c r="B2006" s="38">
        <v>0</v>
      </c>
      <c r="C2006" s="79">
        <v>0</v>
      </c>
    </row>
    <row r="2007" spans="1:3" x14ac:dyDescent="0.25">
      <c r="A2007" s="2">
        <v>0</v>
      </c>
      <c r="B2007" s="38">
        <v>0</v>
      </c>
      <c r="C2007" s="79">
        <v>0</v>
      </c>
    </row>
    <row r="2008" spans="1:3" x14ac:dyDescent="0.25">
      <c r="A2008" s="2">
        <v>0</v>
      </c>
      <c r="B2008" s="38">
        <v>0</v>
      </c>
      <c r="C2008" s="79">
        <v>0</v>
      </c>
    </row>
    <row r="2009" spans="1:3" x14ac:dyDescent="0.25">
      <c r="A2009" s="2">
        <v>0</v>
      </c>
      <c r="B2009" s="38">
        <v>0</v>
      </c>
      <c r="C2009" s="79">
        <v>0</v>
      </c>
    </row>
    <row r="2010" spans="1:3" x14ac:dyDescent="0.25">
      <c r="A2010" s="2">
        <v>0</v>
      </c>
      <c r="B2010" s="38">
        <v>0</v>
      </c>
      <c r="C2010" s="79">
        <v>0</v>
      </c>
    </row>
    <row r="2011" spans="1:3" x14ac:dyDescent="0.25">
      <c r="A2011" s="2">
        <v>0</v>
      </c>
      <c r="B2011" s="38">
        <v>0</v>
      </c>
      <c r="C2011" s="79">
        <v>0</v>
      </c>
    </row>
    <row r="2012" spans="1:3" x14ac:dyDescent="0.25">
      <c r="A2012" s="2">
        <v>0</v>
      </c>
      <c r="B2012" s="38">
        <v>0</v>
      </c>
      <c r="C2012" s="79">
        <v>0</v>
      </c>
    </row>
    <row r="2013" spans="1:3" x14ac:dyDescent="0.25">
      <c r="A2013" s="2">
        <v>0</v>
      </c>
      <c r="B2013" s="38">
        <v>0</v>
      </c>
      <c r="C2013" s="79">
        <v>0</v>
      </c>
    </row>
    <row r="2014" spans="1:3" x14ac:dyDescent="0.25">
      <c r="A2014" s="2">
        <v>0</v>
      </c>
      <c r="B2014" s="38">
        <v>0</v>
      </c>
      <c r="C2014" s="79">
        <v>0</v>
      </c>
    </row>
    <row r="2015" spans="1:3" x14ac:dyDescent="0.25">
      <c r="A2015" s="2">
        <v>0</v>
      </c>
      <c r="B2015" s="38">
        <v>0</v>
      </c>
      <c r="C2015" s="79">
        <v>0</v>
      </c>
    </row>
    <row r="2016" spans="1:3" x14ac:dyDescent="0.25">
      <c r="A2016" s="2">
        <v>0</v>
      </c>
      <c r="B2016" s="38">
        <v>0</v>
      </c>
      <c r="C2016" s="79">
        <v>0</v>
      </c>
    </row>
    <row r="2017" spans="1:3" x14ac:dyDescent="0.25">
      <c r="A2017" s="2">
        <v>0</v>
      </c>
      <c r="B2017" s="38">
        <v>0</v>
      </c>
      <c r="C2017" s="79">
        <v>0</v>
      </c>
    </row>
    <row r="2018" spans="1:3" x14ac:dyDescent="0.25">
      <c r="A2018" s="2">
        <v>0</v>
      </c>
      <c r="B2018" s="38">
        <v>0</v>
      </c>
      <c r="C2018" s="79">
        <v>0</v>
      </c>
    </row>
    <row r="2019" spans="1:3" x14ac:dyDescent="0.25">
      <c r="A2019" s="2">
        <v>0</v>
      </c>
      <c r="B2019" s="38">
        <v>0</v>
      </c>
      <c r="C2019" s="79">
        <v>0</v>
      </c>
    </row>
    <row r="2020" spans="1:3" x14ac:dyDescent="0.25">
      <c r="A2020" s="2">
        <v>0</v>
      </c>
      <c r="B2020" s="38">
        <v>0</v>
      </c>
      <c r="C2020" s="79">
        <v>0</v>
      </c>
    </row>
    <row r="2021" spans="1:3" x14ac:dyDescent="0.25">
      <c r="A2021" s="2">
        <v>0</v>
      </c>
      <c r="B2021" s="38">
        <v>0</v>
      </c>
      <c r="C2021" s="79">
        <v>0</v>
      </c>
    </row>
    <row r="2022" spans="1:3" x14ac:dyDescent="0.25">
      <c r="A2022" s="2">
        <v>0</v>
      </c>
      <c r="B2022" s="38">
        <v>0</v>
      </c>
      <c r="C2022" s="79">
        <v>0</v>
      </c>
    </row>
    <row r="2023" spans="1:3" x14ac:dyDescent="0.25">
      <c r="A2023" s="2">
        <v>0</v>
      </c>
      <c r="B2023" s="38">
        <v>0</v>
      </c>
      <c r="C2023" s="79">
        <v>0</v>
      </c>
    </row>
    <row r="2024" spans="1:3" x14ac:dyDescent="0.25">
      <c r="A2024" s="2">
        <v>0</v>
      </c>
      <c r="B2024" s="38">
        <v>0</v>
      </c>
      <c r="C2024" s="79">
        <v>0</v>
      </c>
    </row>
    <row r="2025" spans="1:3" x14ac:dyDescent="0.25">
      <c r="A2025" s="2">
        <v>0</v>
      </c>
      <c r="B2025" s="38">
        <v>0</v>
      </c>
      <c r="C2025" s="79">
        <v>0</v>
      </c>
    </row>
    <row r="2026" spans="1:3" x14ac:dyDescent="0.25">
      <c r="A2026" s="2">
        <v>0</v>
      </c>
      <c r="B2026" s="38">
        <v>0</v>
      </c>
      <c r="C2026" s="79">
        <v>0</v>
      </c>
    </row>
    <row r="2027" spans="1:3" x14ac:dyDescent="0.25">
      <c r="A2027" s="2">
        <v>0</v>
      </c>
      <c r="B2027" s="38">
        <v>0</v>
      </c>
      <c r="C2027" s="79">
        <v>0</v>
      </c>
    </row>
    <row r="2028" spans="1:3" x14ac:dyDescent="0.25">
      <c r="A2028" s="2">
        <v>0</v>
      </c>
      <c r="B2028" s="38">
        <v>0</v>
      </c>
      <c r="C2028" s="79">
        <v>0</v>
      </c>
    </row>
    <row r="2029" spans="1:3" x14ac:dyDescent="0.25">
      <c r="A2029" s="2">
        <v>0</v>
      </c>
      <c r="B2029" s="38">
        <v>0</v>
      </c>
      <c r="C2029" s="79">
        <v>0</v>
      </c>
    </row>
    <row r="2030" spans="1:3" x14ac:dyDescent="0.25">
      <c r="A2030" s="2">
        <v>0</v>
      </c>
      <c r="B2030" s="38">
        <v>0</v>
      </c>
      <c r="C2030" s="79">
        <v>0</v>
      </c>
    </row>
    <row r="2031" spans="1:3" x14ac:dyDescent="0.25">
      <c r="A2031" s="2">
        <v>0</v>
      </c>
      <c r="B2031" s="38">
        <v>0</v>
      </c>
      <c r="C2031" s="79">
        <v>0</v>
      </c>
    </row>
    <row r="2032" spans="1:3" x14ac:dyDescent="0.25">
      <c r="A2032" s="2">
        <v>0</v>
      </c>
      <c r="B2032" s="38">
        <v>0</v>
      </c>
      <c r="C2032" s="79">
        <v>0</v>
      </c>
    </row>
    <row r="2033" spans="1:3" x14ac:dyDescent="0.25">
      <c r="A2033" s="2">
        <v>0</v>
      </c>
      <c r="B2033" s="38">
        <v>0</v>
      </c>
      <c r="C2033" s="79">
        <v>0</v>
      </c>
    </row>
    <row r="2034" spans="1:3" x14ac:dyDescent="0.25">
      <c r="A2034" s="2">
        <v>0</v>
      </c>
      <c r="B2034" s="38">
        <v>0</v>
      </c>
      <c r="C2034" s="79">
        <v>0</v>
      </c>
    </row>
    <row r="2035" spans="1:3" x14ac:dyDescent="0.25">
      <c r="A2035" s="2">
        <v>0</v>
      </c>
      <c r="B2035" s="38">
        <v>0</v>
      </c>
      <c r="C2035" s="79">
        <v>0</v>
      </c>
    </row>
    <row r="2036" spans="1:3" x14ac:dyDescent="0.25">
      <c r="A2036" s="2">
        <v>0</v>
      </c>
      <c r="B2036" s="38">
        <v>0</v>
      </c>
      <c r="C2036" s="79">
        <v>0</v>
      </c>
    </row>
    <row r="2037" spans="1:3" x14ac:dyDescent="0.25">
      <c r="A2037" s="2">
        <v>0</v>
      </c>
      <c r="B2037" s="38">
        <v>0</v>
      </c>
      <c r="C2037" s="79">
        <v>0</v>
      </c>
    </row>
    <row r="2038" spans="1:3" x14ac:dyDescent="0.25">
      <c r="A2038" s="2">
        <v>0</v>
      </c>
      <c r="B2038" s="38">
        <v>0</v>
      </c>
      <c r="C2038" s="79">
        <v>0</v>
      </c>
    </row>
    <row r="2039" spans="1:3" x14ac:dyDescent="0.25">
      <c r="A2039" s="2">
        <v>0</v>
      </c>
      <c r="B2039" s="38">
        <v>0</v>
      </c>
      <c r="C2039" s="79">
        <v>0</v>
      </c>
    </row>
    <row r="2040" spans="1:3" x14ac:dyDescent="0.25">
      <c r="A2040" s="2">
        <v>0</v>
      </c>
      <c r="B2040" s="38">
        <v>0</v>
      </c>
      <c r="C2040" s="79">
        <v>0</v>
      </c>
    </row>
    <row r="2041" spans="1:3" x14ac:dyDescent="0.25">
      <c r="A2041" s="2">
        <v>0</v>
      </c>
      <c r="B2041" s="38">
        <v>0</v>
      </c>
      <c r="C2041" s="79">
        <v>0</v>
      </c>
    </row>
    <row r="2042" spans="1:3" x14ac:dyDescent="0.25">
      <c r="A2042" s="2">
        <v>0</v>
      </c>
      <c r="B2042" s="38">
        <v>0</v>
      </c>
      <c r="C2042" s="79">
        <v>0</v>
      </c>
    </row>
    <row r="2043" spans="1:3" x14ac:dyDescent="0.25">
      <c r="A2043" s="2">
        <v>0</v>
      </c>
      <c r="B2043" s="38">
        <v>0</v>
      </c>
      <c r="C2043" s="79">
        <v>0</v>
      </c>
    </row>
    <row r="2044" spans="1:3" x14ac:dyDescent="0.25">
      <c r="A2044" s="2">
        <v>0</v>
      </c>
      <c r="B2044" s="38">
        <v>0</v>
      </c>
      <c r="C2044" s="79">
        <v>0</v>
      </c>
    </row>
    <row r="2045" spans="1:3" x14ac:dyDescent="0.25">
      <c r="A2045" s="2">
        <v>0</v>
      </c>
      <c r="B2045" s="38">
        <v>0</v>
      </c>
      <c r="C2045" s="79">
        <v>0</v>
      </c>
    </row>
    <row r="2046" spans="1:3" x14ac:dyDescent="0.25">
      <c r="A2046" s="2">
        <v>0</v>
      </c>
      <c r="B2046" s="38">
        <v>0</v>
      </c>
      <c r="C2046" s="79">
        <v>0</v>
      </c>
    </row>
    <row r="2047" spans="1:3" x14ac:dyDescent="0.25">
      <c r="A2047" s="2">
        <v>0</v>
      </c>
      <c r="B2047" s="38">
        <v>0</v>
      </c>
      <c r="C2047" s="79">
        <v>0</v>
      </c>
    </row>
    <row r="2048" spans="1:3" x14ac:dyDescent="0.25">
      <c r="A2048" s="2">
        <v>0</v>
      </c>
      <c r="B2048" s="38">
        <v>0</v>
      </c>
      <c r="C2048" s="79">
        <v>0</v>
      </c>
    </row>
    <row r="2049" spans="1:3" x14ac:dyDescent="0.25">
      <c r="A2049" s="2">
        <v>0</v>
      </c>
      <c r="B2049" s="38">
        <v>0</v>
      </c>
      <c r="C2049" s="79">
        <v>0</v>
      </c>
    </row>
    <row r="2050" spans="1:3" x14ac:dyDescent="0.25">
      <c r="A2050" s="2">
        <v>0</v>
      </c>
      <c r="B2050" s="38">
        <v>0</v>
      </c>
      <c r="C2050" s="79">
        <v>0</v>
      </c>
    </row>
    <row r="2051" spans="1:3" x14ac:dyDescent="0.25">
      <c r="A2051" s="2">
        <v>0</v>
      </c>
      <c r="B2051" s="38">
        <v>0</v>
      </c>
      <c r="C2051" s="79">
        <v>0</v>
      </c>
    </row>
    <row r="2052" spans="1:3" x14ac:dyDescent="0.25">
      <c r="A2052" s="2">
        <v>0</v>
      </c>
      <c r="B2052" s="38">
        <v>0</v>
      </c>
      <c r="C2052" s="79">
        <v>0</v>
      </c>
    </row>
    <row r="2053" spans="1:3" x14ac:dyDescent="0.25">
      <c r="A2053" s="2">
        <v>0</v>
      </c>
      <c r="B2053" s="38">
        <v>0</v>
      </c>
      <c r="C2053" s="79">
        <v>0</v>
      </c>
    </row>
    <row r="2054" spans="1:3" x14ac:dyDescent="0.25">
      <c r="A2054" s="2">
        <v>0</v>
      </c>
      <c r="B2054" s="38">
        <v>0</v>
      </c>
      <c r="C2054" s="79">
        <v>0</v>
      </c>
    </row>
    <row r="2055" spans="1:3" x14ac:dyDescent="0.25">
      <c r="A2055" s="2">
        <v>0</v>
      </c>
      <c r="B2055" s="38">
        <v>0</v>
      </c>
      <c r="C2055" s="79">
        <v>0</v>
      </c>
    </row>
    <row r="2056" spans="1:3" x14ac:dyDescent="0.25">
      <c r="A2056" s="2">
        <v>0</v>
      </c>
      <c r="B2056" s="38">
        <v>0</v>
      </c>
      <c r="C2056" s="79">
        <v>0</v>
      </c>
    </row>
    <row r="2057" spans="1:3" x14ac:dyDescent="0.25">
      <c r="A2057" s="2">
        <v>0</v>
      </c>
      <c r="B2057" s="38">
        <v>0</v>
      </c>
      <c r="C2057" s="79">
        <v>0</v>
      </c>
    </row>
    <row r="2058" spans="1:3" x14ac:dyDescent="0.25">
      <c r="A2058" s="2">
        <v>0</v>
      </c>
      <c r="B2058" s="38">
        <v>0</v>
      </c>
      <c r="C2058" s="79">
        <v>0</v>
      </c>
    </row>
    <row r="2059" spans="1:3" x14ac:dyDescent="0.25">
      <c r="A2059" s="2">
        <v>0</v>
      </c>
      <c r="B2059" s="38">
        <v>0</v>
      </c>
      <c r="C2059" s="79">
        <v>0</v>
      </c>
    </row>
    <row r="2060" spans="1:3" x14ac:dyDescent="0.25">
      <c r="A2060" s="2">
        <v>0</v>
      </c>
      <c r="B2060" s="38">
        <v>0</v>
      </c>
      <c r="C2060" s="79">
        <v>0</v>
      </c>
    </row>
    <row r="2061" spans="1:3" x14ac:dyDescent="0.25">
      <c r="A2061" s="2">
        <v>0</v>
      </c>
      <c r="B2061" s="38">
        <v>0</v>
      </c>
      <c r="C2061" s="79">
        <v>0</v>
      </c>
    </row>
    <row r="2062" spans="1:3" x14ac:dyDescent="0.25">
      <c r="A2062" s="2">
        <v>0</v>
      </c>
      <c r="B2062" s="38">
        <v>0</v>
      </c>
      <c r="C2062" s="79">
        <v>0</v>
      </c>
    </row>
    <row r="2063" spans="1:3" x14ac:dyDescent="0.25">
      <c r="A2063" s="2">
        <v>0</v>
      </c>
      <c r="B2063" s="38">
        <v>0</v>
      </c>
      <c r="C2063" s="79">
        <v>0</v>
      </c>
    </row>
    <row r="2064" spans="1:3" x14ac:dyDescent="0.25">
      <c r="A2064" s="2">
        <v>0</v>
      </c>
      <c r="B2064" s="38">
        <v>0</v>
      </c>
      <c r="C2064" s="79">
        <v>0</v>
      </c>
    </row>
    <row r="2065" spans="1:3" x14ac:dyDescent="0.25">
      <c r="A2065" s="2">
        <v>0</v>
      </c>
      <c r="B2065" s="38">
        <v>0</v>
      </c>
      <c r="C2065" s="79">
        <v>0</v>
      </c>
    </row>
    <row r="2066" spans="1:3" x14ac:dyDescent="0.25">
      <c r="A2066" s="2">
        <v>0</v>
      </c>
      <c r="B2066" s="38">
        <v>0</v>
      </c>
      <c r="C2066" s="79">
        <v>0</v>
      </c>
    </row>
    <row r="2067" spans="1:3" x14ac:dyDescent="0.25">
      <c r="A2067" s="2">
        <v>0</v>
      </c>
      <c r="B2067" s="38">
        <v>0</v>
      </c>
      <c r="C2067" s="79">
        <v>0</v>
      </c>
    </row>
    <row r="2068" spans="1:3" x14ac:dyDescent="0.25">
      <c r="A2068" s="2">
        <v>0</v>
      </c>
      <c r="B2068" s="38">
        <v>0</v>
      </c>
      <c r="C2068" s="79">
        <v>0</v>
      </c>
    </row>
    <row r="2069" spans="1:3" x14ac:dyDescent="0.25">
      <c r="A2069" s="2">
        <v>0</v>
      </c>
      <c r="B2069" s="38">
        <v>0</v>
      </c>
      <c r="C2069" s="79">
        <v>0</v>
      </c>
    </row>
    <row r="2070" spans="1:3" x14ac:dyDescent="0.25">
      <c r="A2070" s="2">
        <v>0</v>
      </c>
      <c r="B2070" s="38">
        <v>0</v>
      </c>
      <c r="C2070" s="79">
        <v>0</v>
      </c>
    </row>
    <row r="2071" spans="1:3" x14ac:dyDescent="0.25">
      <c r="A2071" s="2">
        <v>0</v>
      </c>
      <c r="B2071" s="38">
        <v>0</v>
      </c>
      <c r="C2071" s="79">
        <v>0</v>
      </c>
    </row>
    <row r="2072" spans="1:3" x14ac:dyDescent="0.25">
      <c r="A2072" s="2">
        <v>0</v>
      </c>
      <c r="B2072" s="38">
        <v>0</v>
      </c>
      <c r="C2072" s="79">
        <v>0</v>
      </c>
    </row>
    <row r="2073" spans="1:3" x14ac:dyDescent="0.25">
      <c r="A2073" s="2">
        <v>0</v>
      </c>
      <c r="B2073" s="38">
        <v>0</v>
      </c>
      <c r="C2073" s="79">
        <v>0</v>
      </c>
    </row>
    <row r="2074" spans="1:3" x14ac:dyDescent="0.25">
      <c r="A2074" s="2">
        <v>0</v>
      </c>
      <c r="B2074" s="38">
        <v>0</v>
      </c>
      <c r="C2074" s="79">
        <v>0</v>
      </c>
    </row>
    <row r="2075" spans="1:3" x14ac:dyDescent="0.25">
      <c r="A2075" s="2">
        <v>0</v>
      </c>
      <c r="B2075" s="38">
        <v>0</v>
      </c>
      <c r="C2075" s="79">
        <v>0</v>
      </c>
    </row>
    <row r="2076" spans="1:3" x14ac:dyDescent="0.25">
      <c r="A2076" s="2">
        <v>0</v>
      </c>
      <c r="B2076" s="38">
        <v>0</v>
      </c>
      <c r="C2076" s="79">
        <v>0</v>
      </c>
    </row>
    <row r="2077" spans="1:3" x14ac:dyDescent="0.25">
      <c r="A2077" s="2">
        <v>0</v>
      </c>
      <c r="B2077" s="38">
        <v>0</v>
      </c>
      <c r="C2077" s="79">
        <v>0</v>
      </c>
    </row>
    <row r="2078" spans="1:3" x14ac:dyDescent="0.25">
      <c r="A2078" s="2">
        <v>0</v>
      </c>
      <c r="B2078" s="38">
        <v>0</v>
      </c>
      <c r="C2078" s="79">
        <v>0</v>
      </c>
    </row>
    <row r="2079" spans="1:3" x14ac:dyDescent="0.25">
      <c r="A2079" s="2">
        <v>0</v>
      </c>
      <c r="B2079" s="38">
        <v>0</v>
      </c>
      <c r="C2079" s="79">
        <v>0</v>
      </c>
    </row>
    <row r="2080" spans="1:3" x14ac:dyDescent="0.25">
      <c r="A2080" s="2">
        <v>0</v>
      </c>
      <c r="B2080" s="38">
        <v>0</v>
      </c>
      <c r="C2080" s="79">
        <v>0</v>
      </c>
    </row>
    <row r="2081" spans="1:3" x14ac:dyDescent="0.25">
      <c r="A2081" s="2">
        <v>0</v>
      </c>
      <c r="B2081" s="38">
        <v>0</v>
      </c>
      <c r="C2081" s="79">
        <v>0</v>
      </c>
    </row>
    <row r="2082" spans="1:3" x14ac:dyDescent="0.25">
      <c r="A2082" s="2">
        <v>0</v>
      </c>
      <c r="B2082" s="38">
        <v>0</v>
      </c>
      <c r="C2082" s="79">
        <v>0</v>
      </c>
    </row>
    <row r="2083" spans="1:3" x14ac:dyDescent="0.25">
      <c r="A2083" s="2">
        <v>0</v>
      </c>
      <c r="B2083" s="38">
        <v>0</v>
      </c>
      <c r="C2083" s="79">
        <v>0</v>
      </c>
    </row>
    <row r="2084" spans="1:3" x14ac:dyDescent="0.25">
      <c r="A2084" s="2">
        <v>0</v>
      </c>
      <c r="B2084" s="38">
        <v>0</v>
      </c>
      <c r="C2084" s="79">
        <v>0</v>
      </c>
    </row>
    <row r="2085" spans="1:3" x14ac:dyDescent="0.25">
      <c r="A2085" s="2">
        <v>0</v>
      </c>
      <c r="B2085" s="38">
        <v>0</v>
      </c>
      <c r="C2085" s="79">
        <v>0</v>
      </c>
    </row>
    <row r="2086" spans="1:3" x14ac:dyDescent="0.25">
      <c r="A2086" s="2">
        <v>0</v>
      </c>
      <c r="B2086" s="38">
        <v>0</v>
      </c>
      <c r="C2086" s="79">
        <v>0</v>
      </c>
    </row>
    <row r="2087" spans="1:3" x14ac:dyDescent="0.25">
      <c r="A2087" s="2">
        <v>0</v>
      </c>
      <c r="B2087" s="38">
        <v>0</v>
      </c>
      <c r="C2087" s="79">
        <v>0</v>
      </c>
    </row>
    <row r="2088" spans="1:3" x14ac:dyDescent="0.25">
      <c r="A2088" s="2">
        <v>0</v>
      </c>
      <c r="B2088" s="38">
        <v>0</v>
      </c>
      <c r="C2088" s="79">
        <v>0</v>
      </c>
    </row>
    <row r="2089" spans="1:3" x14ac:dyDescent="0.25">
      <c r="A2089" s="2">
        <v>0</v>
      </c>
      <c r="B2089" s="38">
        <v>0</v>
      </c>
      <c r="C2089" s="79">
        <v>0</v>
      </c>
    </row>
    <row r="2090" spans="1:3" x14ac:dyDescent="0.25">
      <c r="A2090" s="2">
        <v>0</v>
      </c>
      <c r="B2090" s="38">
        <v>0</v>
      </c>
      <c r="C2090" s="79">
        <v>0</v>
      </c>
    </row>
    <row r="2091" spans="1:3" x14ac:dyDescent="0.25">
      <c r="A2091" s="2">
        <v>0</v>
      </c>
      <c r="B2091" s="38">
        <v>0</v>
      </c>
      <c r="C2091" s="79">
        <v>0</v>
      </c>
    </row>
    <row r="2092" spans="1:3" x14ac:dyDescent="0.25">
      <c r="A2092" s="2">
        <v>0</v>
      </c>
      <c r="B2092" s="38">
        <v>0</v>
      </c>
      <c r="C2092" s="79">
        <v>0</v>
      </c>
    </row>
    <row r="2093" spans="1:3" x14ac:dyDescent="0.25">
      <c r="A2093" s="2">
        <v>0</v>
      </c>
      <c r="B2093" s="38">
        <v>0</v>
      </c>
      <c r="C2093" s="79">
        <v>0</v>
      </c>
    </row>
    <row r="2094" spans="1:3" x14ac:dyDescent="0.25">
      <c r="A2094" s="2">
        <v>0</v>
      </c>
      <c r="B2094" s="38">
        <v>0</v>
      </c>
      <c r="C2094" s="79">
        <v>0</v>
      </c>
    </row>
    <row r="2095" spans="1:3" x14ac:dyDescent="0.25">
      <c r="A2095" s="2">
        <v>0</v>
      </c>
      <c r="B2095" s="38">
        <v>0</v>
      </c>
      <c r="C2095" s="79">
        <v>0</v>
      </c>
    </row>
    <row r="2096" spans="1:3" x14ac:dyDescent="0.25">
      <c r="A2096" s="2">
        <v>0</v>
      </c>
      <c r="B2096" s="38">
        <v>0</v>
      </c>
      <c r="C2096" s="79">
        <v>0</v>
      </c>
    </row>
    <row r="2097" spans="1:3" x14ac:dyDescent="0.25">
      <c r="A2097" s="2">
        <v>0</v>
      </c>
      <c r="B2097" s="38">
        <v>0</v>
      </c>
      <c r="C2097" s="79">
        <v>0</v>
      </c>
    </row>
    <row r="2098" spans="1:3" x14ac:dyDescent="0.25">
      <c r="A2098" s="2">
        <v>0</v>
      </c>
      <c r="B2098" s="38">
        <v>0</v>
      </c>
      <c r="C2098" s="79">
        <v>0</v>
      </c>
    </row>
    <row r="2099" spans="1:3" x14ac:dyDescent="0.25">
      <c r="A2099" s="2">
        <v>0</v>
      </c>
      <c r="B2099" s="38">
        <v>0</v>
      </c>
      <c r="C2099" s="79">
        <v>0</v>
      </c>
    </row>
    <row r="2100" spans="1:3" x14ac:dyDescent="0.25">
      <c r="A2100" s="2">
        <v>0</v>
      </c>
      <c r="B2100" s="38">
        <v>0</v>
      </c>
      <c r="C2100" s="79">
        <v>0</v>
      </c>
    </row>
    <row r="2101" spans="1:3" x14ac:dyDescent="0.25">
      <c r="A2101" s="2">
        <v>0</v>
      </c>
      <c r="B2101" s="38">
        <v>0</v>
      </c>
      <c r="C2101" s="79">
        <v>0</v>
      </c>
    </row>
    <row r="2102" spans="1:3" x14ac:dyDescent="0.25">
      <c r="A2102" s="2">
        <v>0</v>
      </c>
      <c r="B2102" s="38">
        <v>0</v>
      </c>
      <c r="C2102" s="79">
        <v>0</v>
      </c>
    </row>
    <row r="2103" spans="1:3" x14ac:dyDescent="0.25">
      <c r="A2103" s="2">
        <v>0</v>
      </c>
      <c r="B2103" s="38">
        <v>0</v>
      </c>
      <c r="C2103" s="79">
        <v>0</v>
      </c>
    </row>
    <row r="2104" spans="1:3" x14ac:dyDescent="0.25">
      <c r="A2104" s="2">
        <v>0</v>
      </c>
      <c r="B2104" s="38">
        <v>0</v>
      </c>
      <c r="C2104" s="79">
        <v>0</v>
      </c>
    </row>
    <row r="2105" spans="1:3" x14ac:dyDescent="0.25">
      <c r="A2105" s="2">
        <v>0</v>
      </c>
      <c r="B2105" s="38">
        <v>0</v>
      </c>
      <c r="C2105" s="79">
        <v>0</v>
      </c>
    </row>
    <row r="2106" spans="1:3" x14ac:dyDescent="0.25">
      <c r="A2106" s="2">
        <v>0</v>
      </c>
      <c r="B2106" s="38">
        <v>0</v>
      </c>
      <c r="C2106" s="79">
        <v>0</v>
      </c>
    </row>
    <row r="2107" spans="1:3" x14ac:dyDescent="0.25">
      <c r="A2107" s="2">
        <v>0</v>
      </c>
      <c r="B2107" s="38">
        <v>0</v>
      </c>
      <c r="C2107" s="79">
        <v>0</v>
      </c>
    </row>
    <row r="2108" spans="1:3" x14ac:dyDescent="0.25">
      <c r="A2108" s="2">
        <v>0</v>
      </c>
      <c r="B2108" s="38">
        <v>0</v>
      </c>
      <c r="C2108" s="79">
        <v>0</v>
      </c>
    </row>
    <row r="2109" spans="1:3" x14ac:dyDescent="0.25">
      <c r="A2109" s="2">
        <v>0</v>
      </c>
      <c r="B2109" s="38">
        <v>0</v>
      </c>
      <c r="C2109" s="79">
        <v>0</v>
      </c>
    </row>
    <row r="2110" spans="1:3" x14ac:dyDescent="0.25">
      <c r="A2110" s="2">
        <v>0</v>
      </c>
      <c r="B2110" s="38">
        <v>0</v>
      </c>
      <c r="C2110" s="79">
        <v>0</v>
      </c>
    </row>
    <row r="2111" spans="1:3" x14ac:dyDescent="0.25">
      <c r="A2111" s="2">
        <v>0</v>
      </c>
      <c r="B2111" s="38">
        <v>0</v>
      </c>
      <c r="C2111" s="79">
        <v>0</v>
      </c>
    </row>
    <row r="2112" spans="1:3" x14ac:dyDescent="0.25">
      <c r="A2112" s="2">
        <v>0</v>
      </c>
      <c r="B2112" s="38">
        <v>0</v>
      </c>
      <c r="C2112" s="79">
        <v>0</v>
      </c>
    </row>
    <row r="2113" spans="1:3" x14ac:dyDescent="0.25">
      <c r="A2113" s="2">
        <v>0</v>
      </c>
      <c r="B2113" s="38">
        <v>0</v>
      </c>
      <c r="C2113" s="79">
        <v>0</v>
      </c>
    </row>
    <row r="2114" spans="1:3" x14ac:dyDescent="0.25">
      <c r="A2114" s="2">
        <v>0</v>
      </c>
      <c r="B2114" s="38">
        <v>0</v>
      </c>
      <c r="C2114" s="79">
        <v>0</v>
      </c>
    </row>
    <row r="2115" spans="1:3" x14ac:dyDescent="0.25">
      <c r="A2115" s="2">
        <v>0</v>
      </c>
      <c r="B2115" s="38">
        <v>0</v>
      </c>
      <c r="C2115" s="79">
        <v>0</v>
      </c>
    </row>
    <row r="2116" spans="1:3" x14ac:dyDescent="0.25">
      <c r="A2116" s="2">
        <v>0</v>
      </c>
      <c r="B2116" s="38">
        <v>0</v>
      </c>
      <c r="C2116" s="79">
        <v>0</v>
      </c>
    </row>
    <row r="2117" spans="1:3" x14ac:dyDescent="0.25">
      <c r="A2117" s="2">
        <v>0</v>
      </c>
      <c r="B2117" s="38">
        <v>0</v>
      </c>
      <c r="C2117" s="79">
        <v>0</v>
      </c>
    </row>
    <row r="2118" spans="1:3" x14ac:dyDescent="0.25">
      <c r="A2118" s="2">
        <v>0</v>
      </c>
      <c r="B2118" s="38">
        <v>0</v>
      </c>
      <c r="C2118" s="79">
        <v>0</v>
      </c>
    </row>
    <row r="2119" spans="1:3" x14ac:dyDescent="0.25">
      <c r="A2119" s="2">
        <v>0</v>
      </c>
      <c r="B2119" s="38">
        <v>0</v>
      </c>
      <c r="C2119" s="79">
        <v>0</v>
      </c>
    </row>
    <row r="2120" spans="1:3" x14ac:dyDescent="0.25">
      <c r="A2120" s="2">
        <v>0</v>
      </c>
      <c r="B2120" s="38">
        <v>0</v>
      </c>
      <c r="C2120" s="79">
        <v>0</v>
      </c>
    </row>
    <row r="2121" spans="1:3" x14ac:dyDescent="0.25">
      <c r="A2121" s="2">
        <v>0</v>
      </c>
      <c r="B2121" s="38">
        <v>0</v>
      </c>
      <c r="C2121" s="79">
        <v>0</v>
      </c>
    </row>
    <row r="2122" spans="1:3" x14ac:dyDescent="0.25">
      <c r="A2122" s="2">
        <v>0</v>
      </c>
      <c r="B2122" s="38">
        <v>0</v>
      </c>
      <c r="C2122" s="79">
        <v>0</v>
      </c>
    </row>
    <row r="2123" spans="1:3" x14ac:dyDescent="0.25">
      <c r="A2123" s="2">
        <v>0</v>
      </c>
      <c r="B2123" s="38">
        <v>0</v>
      </c>
      <c r="C2123" s="79">
        <v>0</v>
      </c>
    </row>
    <row r="2124" spans="1:3" x14ac:dyDescent="0.25">
      <c r="A2124" s="2">
        <v>0</v>
      </c>
      <c r="B2124" s="38">
        <v>0</v>
      </c>
      <c r="C2124" s="79">
        <v>0</v>
      </c>
    </row>
    <row r="2125" spans="1:3" x14ac:dyDescent="0.25">
      <c r="A2125" s="2">
        <v>0</v>
      </c>
      <c r="B2125" s="38">
        <v>0</v>
      </c>
      <c r="C2125" s="79">
        <v>0</v>
      </c>
    </row>
    <row r="2126" spans="1:3" x14ac:dyDescent="0.25">
      <c r="A2126" s="2">
        <v>0</v>
      </c>
      <c r="B2126" s="38">
        <v>0</v>
      </c>
      <c r="C2126" s="79">
        <v>0</v>
      </c>
    </row>
    <row r="2127" spans="1:3" x14ac:dyDescent="0.25">
      <c r="A2127" s="2">
        <v>0</v>
      </c>
      <c r="B2127" s="38">
        <v>0</v>
      </c>
      <c r="C2127" s="79">
        <v>0</v>
      </c>
    </row>
    <row r="2128" spans="1:3" x14ac:dyDescent="0.25">
      <c r="A2128" s="2">
        <v>0</v>
      </c>
      <c r="B2128" s="38">
        <v>0</v>
      </c>
      <c r="C2128" s="79">
        <v>0</v>
      </c>
    </row>
    <row r="2129" spans="1:3" x14ac:dyDescent="0.25">
      <c r="A2129" s="2">
        <v>0</v>
      </c>
      <c r="B2129" s="38">
        <v>0</v>
      </c>
      <c r="C2129" s="79">
        <v>0</v>
      </c>
    </row>
    <row r="2130" spans="1:3" x14ac:dyDescent="0.25">
      <c r="A2130" s="2">
        <v>0</v>
      </c>
      <c r="B2130" s="38">
        <v>0</v>
      </c>
      <c r="C2130" s="79">
        <v>0</v>
      </c>
    </row>
    <row r="2131" spans="1:3" x14ac:dyDescent="0.25">
      <c r="A2131" s="2">
        <v>0</v>
      </c>
      <c r="B2131" s="38">
        <v>0</v>
      </c>
      <c r="C2131" s="79">
        <v>0</v>
      </c>
    </row>
    <row r="2132" spans="1:3" x14ac:dyDescent="0.25">
      <c r="A2132" s="2">
        <v>0</v>
      </c>
      <c r="B2132" s="38">
        <v>0</v>
      </c>
      <c r="C2132" s="79">
        <v>0</v>
      </c>
    </row>
    <row r="2133" spans="1:3" x14ac:dyDescent="0.25">
      <c r="A2133" s="2">
        <v>0</v>
      </c>
      <c r="B2133" s="38">
        <v>0</v>
      </c>
      <c r="C2133" s="79">
        <v>0</v>
      </c>
    </row>
    <row r="2134" spans="1:3" x14ac:dyDescent="0.25">
      <c r="A2134" s="2">
        <v>0</v>
      </c>
      <c r="B2134" s="38">
        <v>0</v>
      </c>
      <c r="C2134" s="79">
        <v>0</v>
      </c>
    </row>
    <row r="2135" spans="1:3" x14ac:dyDescent="0.25">
      <c r="A2135" s="2">
        <v>0</v>
      </c>
      <c r="B2135" s="38">
        <v>0</v>
      </c>
      <c r="C2135" s="79">
        <v>0</v>
      </c>
    </row>
    <row r="2136" spans="1:3" x14ac:dyDescent="0.25">
      <c r="A2136" s="2">
        <v>0</v>
      </c>
      <c r="B2136" s="38">
        <v>0</v>
      </c>
      <c r="C2136" s="79">
        <v>0</v>
      </c>
    </row>
    <row r="2137" spans="1:3" x14ac:dyDescent="0.25">
      <c r="A2137" s="2">
        <v>0</v>
      </c>
      <c r="B2137" s="38">
        <v>0</v>
      </c>
      <c r="C2137" s="79">
        <v>0</v>
      </c>
    </row>
    <row r="2138" spans="1:3" x14ac:dyDescent="0.25">
      <c r="A2138" s="2">
        <v>0</v>
      </c>
      <c r="B2138" s="38">
        <v>0</v>
      </c>
      <c r="C2138" s="79">
        <v>0</v>
      </c>
    </row>
    <row r="2139" spans="1:3" x14ac:dyDescent="0.25">
      <c r="A2139" s="2">
        <v>0</v>
      </c>
      <c r="B2139" s="38">
        <v>0</v>
      </c>
      <c r="C2139" s="79">
        <v>0</v>
      </c>
    </row>
    <row r="2140" spans="1:3" x14ac:dyDescent="0.25">
      <c r="A2140" s="2">
        <v>0</v>
      </c>
      <c r="B2140" s="38">
        <v>0</v>
      </c>
      <c r="C2140" s="79">
        <v>0</v>
      </c>
    </row>
    <row r="2141" spans="1:3" x14ac:dyDescent="0.25">
      <c r="A2141" s="2">
        <v>0</v>
      </c>
      <c r="B2141" s="38">
        <v>0</v>
      </c>
      <c r="C2141" s="79">
        <v>0</v>
      </c>
    </row>
    <row r="2142" spans="1:3" x14ac:dyDescent="0.25">
      <c r="A2142" s="2">
        <v>0</v>
      </c>
      <c r="B2142" s="38">
        <v>0</v>
      </c>
      <c r="C2142" s="79">
        <v>0</v>
      </c>
    </row>
    <row r="2143" spans="1:3" x14ac:dyDescent="0.25">
      <c r="A2143" s="2">
        <v>0</v>
      </c>
      <c r="B2143" s="38">
        <v>0</v>
      </c>
      <c r="C2143" s="79">
        <v>0</v>
      </c>
    </row>
    <row r="2144" spans="1:3" x14ac:dyDescent="0.25">
      <c r="A2144" s="2">
        <v>0</v>
      </c>
      <c r="B2144" s="38">
        <v>0</v>
      </c>
      <c r="C2144" s="79">
        <v>0</v>
      </c>
    </row>
    <row r="2145" spans="1:3" x14ac:dyDescent="0.25">
      <c r="A2145" s="2">
        <v>0</v>
      </c>
      <c r="B2145" s="38">
        <v>0</v>
      </c>
      <c r="C2145" s="79">
        <v>0</v>
      </c>
    </row>
    <row r="2146" spans="1:3" x14ac:dyDescent="0.25">
      <c r="A2146" s="2">
        <v>0</v>
      </c>
      <c r="B2146" s="38">
        <v>0</v>
      </c>
      <c r="C2146" s="79">
        <v>0</v>
      </c>
    </row>
    <row r="2147" spans="1:3" x14ac:dyDescent="0.25">
      <c r="A2147" s="2">
        <v>0</v>
      </c>
      <c r="B2147" s="38">
        <v>0</v>
      </c>
      <c r="C2147" s="79">
        <v>0</v>
      </c>
    </row>
    <row r="2148" spans="1:3" x14ac:dyDescent="0.25">
      <c r="A2148" s="2">
        <v>0</v>
      </c>
      <c r="B2148" s="38">
        <v>0</v>
      </c>
      <c r="C2148" s="79">
        <v>0</v>
      </c>
    </row>
    <row r="2149" spans="1:3" x14ac:dyDescent="0.25">
      <c r="A2149" s="2">
        <v>0</v>
      </c>
      <c r="B2149" s="38">
        <v>0</v>
      </c>
      <c r="C2149" s="79">
        <v>0</v>
      </c>
    </row>
    <row r="2150" spans="1:3" x14ac:dyDescent="0.25">
      <c r="A2150" s="2">
        <v>0</v>
      </c>
      <c r="B2150" s="38">
        <v>0</v>
      </c>
      <c r="C2150" s="79">
        <v>0</v>
      </c>
    </row>
    <row r="2151" spans="1:3" x14ac:dyDescent="0.25">
      <c r="A2151" s="2">
        <v>0</v>
      </c>
      <c r="B2151" s="38">
        <v>0</v>
      </c>
      <c r="C2151" s="79">
        <v>0</v>
      </c>
    </row>
    <row r="2152" spans="1:3" x14ac:dyDescent="0.25">
      <c r="A2152" s="2">
        <v>0</v>
      </c>
      <c r="B2152" s="38">
        <v>0</v>
      </c>
      <c r="C2152" s="79">
        <v>0</v>
      </c>
    </row>
    <row r="2153" spans="1:3" x14ac:dyDescent="0.25">
      <c r="A2153" s="2">
        <v>0</v>
      </c>
      <c r="B2153" s="38">
        <v>0</v>
      </c>
      <c r="C2153" s="79">
        <v>0</v>
      </c>
    </row>
    <row r="2154" spans="1:3" x14ac:dyDescent="0.25">
      <c r="A2154" s="2">
        <v>0</v>
      </c>
      <c r="B2154" s="38">
        <v>0</v>
      </c>
      <c r="C2154" s="79">
        <v>0</v>
      </c>
    </row>
    <row r="2155" spans="1:3" x14ac:dyDescent="0.25">
      <c r="A2155" s="2">
        <v>0</v>
      </c>
      <c r="B2155" s="38">
        <v>0</v>
      </c>
      <c r="C2155" s="79">
        <v>0</v>
      </c>
    </row>
    <row r="2156" spans="1:3" x14ac:dyDescent="0.25">
      <c r="A2156" s="2">
        <v>0</v>
      </c>
      <c r="B2156" s="38">
        <v>0</v>
      </c>
      <c r="C2156" s="79">
        <v>0</v>
      </c>
    </row>
    <row r="2157" spans="1:3" x14ac:dyDescent="0.25">
      <c r="A2157" s="2">
        <v>0</v>
      </c>
      <c r="B2157" s="38">
        <v>0</v>
      </c>
      <c r="C2157" s="79">
        <v>0</v>
      </c>
    </row>
    <row r="2158" spans="1:3" x14ac:dyDescent="0.25">
      <c r="A2158" s="2">
        <v>0</v>
      </c>
      <c r="B2158" s="38">
        <v>0</v>
      </c>
      <c r="C2158" s="79">
        <v>0</v>
      </c>
    </row>
    <row r="2159" spans="1:3" x14ac:dyDescent="0.25">
      <c r="A2159" s="2">
        <v>0</v>
      </c>
      <c r="B2159" s="38">
        <v>0</v>
      </c>
      <c r="C2159" s="79">
        <v>0</v>
      </c>
    </row>
    <row r="2160" spans="1:3" x14ac:dyDescent="0.25">
      <c r="A2160" s="2">
        <v>0</v>
      </c>
      <c r="B2160" s="38">
        <v>0</v>
      </c>
      <c r="C2160" s="79">
        <v>0</v>
      </c>
    </row>
    <row r="2161" spans="1:3" x14ac:dyDescent="0.25">
      <c r="A2161" s="2">
        <v>0</v>
      </c>
      <c r="B2161" s="38">
        <v>0</v>
      </c>
      <c r="C2161" s="79">
        <v>0</v>
      </c>
    </row>
    <row r="2162" spans="1:3" x14ac:dyDescent="0.25">
      <c r="A2162" s="2">
        <v>0</v>
      </c>
      <c r="B2162" s="38">
        <v>0</v>
      </c>
      <c r="C2162" s="79">
        <v>0</v>
      </c>
    </row>
    <row r="2163" spans="1:3" x14ac:dyDescent="0.25">
      <c r="A2163" s="2">
        <v>0</v>
      </c>
      <c r="B2163" s="38">
        <v>0</v>
      </c>
      <c r="C2163" s="79">
        <v>0</v>
      </c>
    </row>
    <row r="2164" spans="1:3" x14ac:dyDescent="0.25">
      <c r="A2164" s="2">
        <v>0</v>
      </c>
      <c r="B2164" s="38">
        <v>0</v>
      </c>
      <c r="C2164" s="79">
        <v>0</v>
      </c>
    </row>
    <row r="2165" spans="1:3" x14ac:dyDescent="0.25">
      <c r="A2165" s="2">
        <v>0</v>
      </c>
      <c r="B2165" s="38">
        <v>0</v>
      </c>
      <c r="C2165" s="79">
        <v>0</v>
      </c>
    </row>
    <row r="2166" spans="1:3" x14ac:dyDescent="0.25">
      <c r="A2166" s="2">
        <v>0</v>
      </c>
      <c r="B2166" s="38">
        <v>0</v>
      </c>
      <c r="C2166" s="79">
        <v>0</v>
      </c>
    </row>
    <row r="2167" spans="1:3" x14ac:dyDescent="0.25">
      <c r="A2167" s="2">
        <v>0</v>
      </c>
      <c r="B2167" s="38">
        <v>0</v>
      </c>
      <c r="C2167" s="79">
        <v>0</v>
      </c>
    </row>
    <row r="2168" spans="1:3" x14ac:dyDescent="0.25">
      <c r="A2168" s="2">
        <v>0</v>
      </c>
      <c r="B2168" s="38">
        <v>0</v>
      </c>
      <c r="C2168" s="79">
        <v>0</v>
      </c>
    </row>
    <row r="2169" spans="1:3" x14ac:dyDescent="0.25">
      <c r="A2169" s="2">
        <v>0</v>
      </c>
      <c r="B2169" s="38">
        <v>0</v>
      </c>
      <c r="C2169" s="79">
        <v>0</v>
      </c>
    </row>
    <row r="2170" spans="1:3" x14ac:dyDescent="0.25">
      <c r="A2170" s="2">
        <v>0</v>
      </c>
      <c r="B2170" s="38">
        <v>0</v>
      </c>
      <c r="C2170" s="79">
        <v>0</v>
      </c>
    </row>
    <row r="2171" spans="1:3" x14ac:dyDescent="0.25">
      <c r="A2171" s="2">
        <v>0</v>
      </c>
      <c r="B2171" s="38">
        <v>0</v>
      </c>
      <c r="C2171" s="79">
        <v>0</v>
      </c>
    </row>
    <row r="2172" spans="1:3" x14ac:dyDescent="0.25">
      <c r="A2172" s="2">
        <v>0</v>
      </c>
      <c r="B2172" s="38">
        <v>0</v>
      </c>
      <c r="C2172" s="79">
        <v>0</v>
      </c>
    </row>
    <row r="2173" spans="1:3" x14ac:dyDescent="0.25">
      <c r="A2173" s="2">
        <v>0</v>
      </c>
      <c r="B2173" s="38">
        <v>0</v>
      </c>
      <c r="C2173" s="79">
        <v>0</v>
      </c>
    </row>
    <row r="2174" spans="1:3" x14ac:dyDescent="0.25">
      <c r="A2174" s="2">
        <v>0</v>
      </c>
      <c r="B2174" s="38">
        <v>0</v>
      </c>
      <c r="C2174" s="79">
        <v>0</v>
      </c>
    </row>
    <row r="2175" spans="1:3" x14ac:dyDescent="0.25">
      <c r="A2175" s="2">
        <v>0</v>
      </c>
      <c r="B2175" s="38">
        <v>0</v>
      </c>
      <c r="C2175" s="79">
        <v>0</v>
      </c>
    </row>
    <row r="2176" spans="1:3" x14ac:dyDescent="0.25">
      <c r="A2176" s="2">
        <v>0</v>
      </c>
      <c r="B2176" s="38">
        <v>0</v>
      </c>
      <c r="C2176" s="79">
        <v>0</v>
      </c>
    </row>
    <row r="2177" spans="1:3" x14ac:dyDescent="0.25">
      <c r="A2177" s="2">
        <v>0</v>
      </c>
      <c r="B2177" s="38">
        <v>0</v>
      </c>
      <c r="C2177" s="79">
        <v>0</v>
      </c>
    </row>
    <row r="2178" spans="1:3" x14ac:dyDescent="0.25">
      <c r="A2178" s="2">
        <v>0</v>
      </c>
      <c r="B2178" s="38">
        <v>0</v>
      </c>
      <c r="C2178" s="79">
        <v>0</v>
      </c>
    </row>
    <row r="2179" spans="1:3" x14ac:dyDescent="0.25">
      <c r="A2179" s="2">
        <v>0</v>
      </c>
      <c r="B2179" s="38">
        <v>0</v>
      </c>
      <c r="C2179" s="79">
        <v>0</v>
      </c>
    </row>
    <row r="2180" spans="1:3" x14ac:dyDescent="0.25">
      <c r="A2180" s="2">
        <v>0</v>
      </c>
      <c r="B2180" s="38">
        <v>0</v>
      </c>
      <c r="C2180" s="79">
        <v>0</v>
      </c>
    </row>
    <row r="2181" spans="1:3" x14ac:dyDescent="0.25">
      <c r="A2181" s="2">
        <v>0</v>
      </c>
      <c r="B2181" s="38">
        <v>0</v>
      </c>
      <c r="C2181" s="79">
        <v>0</v>
      </c>
    </row>
    <row r="2182" spans="1:3" x14ac:dyDescent="0.25">
      <c r="A2182" s="2">
        <v>0</v>
      </c>
      <c r="B2182" s="38">
        <v>0</v>
      </c>
      <c r="C2182" s="79">
        <v>0</v>
      </c>
    </row>
    <row r="2183" spans="1:3" x14ac:dyDescent="0.25">
      <c r="A2183" s="2">
        <v>0</v>
      </c>
      <c r="B2183" s="38">
        <v>0</v>
      </c>
      <c r="C2183" s="79">
        <v>0</v>
      </c>
    </row>
    <row r="2184" spans="1:3" x14ac:dyDescent="0.25">
      <c r="A2184" s="2">
        <v>0</v>
      </c>
      <c r="B2184" s="38">
        <v>0</v>
      </c>
      <c r="C2184" s="79">
        <v>0</v>
      </c>
    </row>
    <row r="2185" spans="1:3" x14ac:dyDescent="0.25">
      <c r="A2185" s="2">
        <v>0</v>
      </c>
      <c r="B2185" s="38">
        <v>0</v>
      </c>
      <c r="C2185" s="79">
        <v>0</v>
      </c>
    </row>
    <row r="2186" spans="1:3" x14ac:dyDescent="0.25">
      <c r="A2186" s="2">
        <v>0</v>
      </c>
      <c r="B2186" s="38">
        <v>0</v>
      </c>
      <c r="C2186" s="79">
        <v>0</v>
      </c>
    </row>
    <row r="2187" spans="1:3" x14ac:dyDescent="0.25">
      <c r="A2187" s="2">
        <v>0</v>
      </c>
      <c r="B2187" s="38">
        <v>0</v>
      </c>
      <c r="C2187" s="79">
        <v>0</v>
      </c>
    </row>
    <row r="2188" spans="1:3" x14ac:dyDescent="0.25">
      <c r="A2188" s="2">
        <v>0</v>
      </c>
      <c r="B2188" s="38">
        <v>0</v>
      </c>
      <c r="C2188" s="79">
        <v>0</v>
      </c>
    </row>
    <row r="2189" spans="1:3" x14ac:dyDescent="0.25">
      <c r="A2189" s="2">
        <v>0</v>
      </c>
      <c r="B2189" s="38">
        <v>0</v>
      </c>
      <c r="C2189" s="79">
        <v>0</v>
      </c>
    </row>
    <row r="2190" spans="1:3" x14ac:dyDescent="0.25">
      <c r="A2190" s="2">
        <v>0</v>
      </c>
      <c r="B2190" s="38">
        <v>0</v>
      </c>
      <c r="C2190" s="79">
        <v>0</v>
      </c>
    </row>
    <row r="2191" spans="1:3" x14ac:dyDescent="0.25">
      <c r="A2191" s="2">
        <v>0</v>
      </c>
      <c r="B2191" s="38">
        <v>0</v>
      </c>
      <c r="C2191" s="79">
        <v>0</v>
      </c>
    </row>
    <row r="2192" spans="1:3" x14ac:dyDescent="0.25">
      <c r="A2192" s="2">
        <v>0</v>
      </c>
      <c r="B2192" s="38">
        <v>0</v>
      </c>
      <c r="C2192" s="79">
        <v>0</v>
      </c>
    </row>
    <row r="2193" spans="1:3" x14ac:dyDescent="0.25">
      <c r="A2193" s="2">
        <v>0</v>
      </c>
      <c r="B2193" s="38">
        <v>0</v>
      </c>
      <c r="C2193" s="79">
        <v>0</v>
      </c>
    </row>
    <row r="2194" spans="1:3" x14ac:dyDescent="0.25">
      <c r="A2194" s="2">
        <v>0</v>
      </c>
      <c r="B2194" s="38">
        <v>0</v>
      </c>
      <c r="C2194" s="79">
        <v>0</v>
      </c>
    </row>
    <row r="2195" spans="1:3" x14ac:dyDescent="0.25">
      <c r="A2195" s="2">
        <v>0</v>
      </c>
      <c r="B2195" s="38">
        <v>0</v>
      </c>
      <c r="C2195" s="79">
        <v>0</v>
      </c>
    </row>
    <row r="2196" spans="1:3" x14ac:dyDescent="0.25">
      <c r="A2196" s="2">
        <v>0</v>
      </c>
      <c r="B2196" s="38">
        <v>0</v>
      </c>
      <c r="C2196" s="79">
        <v>0</v>
      </c>
    </row>
    <row r="2197" spans="1:3" x14ac:dyDescent="0.25">
      <c r="A2197" s="2">
        <v>0</v>
      </c>
      <c r="B2197" s="38">
        <v>0</v>
      </c>
      <c r="C2197" s="79">
        <v>0</v>
      </c>
    </row>
    <row r="2198" spans="1:3" x14ac:dyDescent="0.25">
      <c r="A2198" s="2">
        <v>0</v>
      </c>
      <c r="B2198" s="38">
        <v>0</v>
      </c>
      <c r="C2198" s="79">
        <v>0</v>
      </c>
    </row>
    <row r="2199" spans="1:3" x14ac:dyDescent="0.25">
      <c r="A2199" s="2">
        <v>0</v>
      </c>
      <c r="B2199" s="38">
        <v>0</v>
      </c>
      <c r="C2199" s="79">
        <v>0</v>
      </c>
    </row>
    <row r="2200" spans="1:3" x14ac:dyDescent="0.25">
      <c r="A2200" s="2">
        <v>0</v>
      </c>
      <c r="B2200" s="38">
        <v>0</v>
      </c>
      <c r="C2200" s="79">
        <v>0</v>
      </c>
    </row>
    <row r="2201" spans="1:3" x14ac:dyDescent="0.25">
      <c r="A2201" s="2">
        <v>0</v>
      </c>
      <c r="B2201" s="38">
        <v>0</v>
      </c>
      <c r="C2201" s="79">
        <v>0</v>
      </c>
    </row>
    <row r="2202" spans="1:3" x14ac:dyDescent="0.25">
      <c r="A2202" s="2">
        <v>0</v>
      </c>
      <c r="B2202" s="38">
        <v>0</v>
      </c>
      <c r="C2202" s="79">
        <v>0</v>
      </c>
    </row>
    <row r="2203" spans="1:3" x14ac:dyDescent="0.25">
      <c r="A2203" s="2">
        <v>0</v>
      </c>
      <c r="B2203" s="38">
        <v>0</v>
      </c>
      <c r="C2203" s="79">
        <v>0</v>
      </c>
    </row>
    <row r="2204" spans="1:3" x14ac:dyDescent="0.25">
      <c r="A2204" s="2">
        <v>0</v>
      </c>
      <c r="B2204" s="38">
        <v>0</v>
      </c>
      <c r="C2204" s="79">
        <v>0</v>
      </c>
    </row>
    <row r="2205" spans="1:3" x14ac:dyDescent="0.25">
      <c r="A2205" s="2">
        <v>0</v>
      </c>
      <c r="B2205" s="38">
        <v>0</v>
      </c>
      <c r="C2205" s="79">
        <v>0</v>
      </c>
    </row>
    <row r="2206" spans="1:3" x14ac:dyDescent="0.25">
      <c r="A2206" s="2">
        <v>0</v>
      </c>
      <c r="B2206" s="38">
        <v>0</v>
      </c>
      <c r="C2206" s="79">
        <v>0</v>
      </c>
    </row>
    <row r="2207" spans="1:3" x14ac:dyDescent="0.25">
      <c r="A2207" s="2">
        <v>0</v>
      </c>
      <c r="B2207" s="38">
        <v>0</v>
      </c>
      <c r="C2207" s="79">
        <v>0</v>
      </c>
    </row>
    <row r="2208" spans="1:3" x14ac:dyDescent="0.25">
      <c r="A2208" s="2">
        <v>0</v>
      </c>
      <c r="B2208" s="38">
        <v>0</v>
      </c>
      <c r="C2208" s="79">
        <v>0</v>
      </c>
    </row>
    <row r="2209" spans="1:3" x14ac:dyDescent="0.25">
      <c r="A2209" s="2">
        <v>0</v>
      </c>
      <c r="B2209" s="38">
        <v>0</v>
      </c>
      <c r="C2209" s="79">
        <v>0</v>
      </c>
    </row>
    <row r="2210" spans="1:3" x14ac:dyDescent="0.25">
      <c r="A2210" s="2">
        <v>0</v>
      </c>
      <c r="B2210" s="38">
        <v>0</v>
      </c>
      <c r="C2210" s="79">
        <v>0</v>
      </c>
    </row>
    <row r="2211" spans="1:3" x14ac:dyDescent="0.25">
      <c r="A2211" s="2">
        <v>0</v>
      </c>
      <c r="B2211" s="38">
        <v>0</v>
      </c>
      <c r="C2211" s="79">
        <v>0</v>
      </c>
    </row>
    <row r="2212" spans="1:3" x14ac:dyDescent="0.25">
      <c r="A2212" s="2">
        <v>0</v>
      </c>
      <c r="B2212" s="38">
        <v>0</v>
      </c>
      <c r="C2212" s="79">
        <v>0</v>
      </c>
    </row>
    <row r="2213" spans="1:3" x14ac:dyDescent="0.25">
      <c r="A2213" s="2">
        <v>0</v>
      </c>
      <c r="B2213" s="38">
        <v>0</v>
      </c>
      <c r="C2213" s="79">
        <v>0</v>
      </c>
    </row>
    <row r="2214" spans="1:3" x14ac:dyDescent="0.25">
      <c r="A2214" s="2">
        <v>0</v>
      </c>
      <c r="B2214" s="38">
        <v>0</v>
      </c>
      <c r="C2214" s="79">
        <v>0</v>
      </c>
    </row>
    <row r="2215" spans="1:3" x14ac:dyDescent="0.25">
      <c r="A2215" s="2">
        <v>0</v>
      </c>
      <c r="B2215" s="38">
        <v>0</v>
      </c>
      <c r="C2215" s="79">
        <v>0</v>
      </c>
    </row>
    <row r="2216" spans="1:3" x14ac:dyDescent="0.25">
      <c r="A2216" s="2">
        <v>0</v>
      </c>
      <c r="B2216" s="38">
        <v>0</v>
      </c>
      <c r="C2216" s="79">
        <v>0</v>
      </c>
    </row>
    <row r="2217" spans="1:3" x14ac:dyDescent="0.25">
      <c r="A2217" s="2">
        <v>0</v>
      </c>
      <c r="B2217" s="38">
        <v>0</v>
      </c>
      <c r="C2217" s="79">
        <v>0</v>
      </c>
    </row>
    <row r="2218" spans="1:3" x14ac:dyDescent="0.25">
      <c r="A2218" s="2">
        <v>0</v>
      </c>
      <c r="B2218" s="38">
        <v>0</v>
      </c>
      <c r="C2218" s="79">
        <v>0</v>
      </c>
    </row>
    <row r="2219" spans="1:3" x14ac:dyDescent="0.25">
      <c r="A2219" s="2">
        <v>0</v>
      </c>
      <c r="B2219" s="38">
        <v>0</v>
      </c>
      <c r="C2219" s="79">
        <v>0</v>
      </c>
    </row>
    <row r="2220" spans="1:3" x14ac:dyDescent="0.25">
      <c r="A2220" s="2">
        <v>0</v>
      </c>
      <c r="B2220" s="38">
        <v>0</v>
      </c>
      <c r="C2220" s="79">
        <v>0</v>
      </c>
    </row>
    <row r="2221" spans="1:3" x14ac:dyDescent="0.25">
      <c r="A2221" s="2">
        <v>0</v>
      </c>
      <c r="B2221" s="38">
        <v>0</v>
      </c>
      <c r="C2221" s="79">
        <v>0</v>
      </c>
    </row>
    <row r="2222" spans="1:3" x14ac:dyDescent="0.25">
      <c r="A2222" s="2">
        <v>0</v>
      </c>
      <c r="B2222" s="38">
        <v>0</v>
      </c>
      <c r="C2222" s="79">
        <v>0</v>
      </c>
    </row>
    <row r="2223" spans="1:3" x14ac:dyDescent="0.25">
      <c r="A2223" s="2">
        <v>0</v>
      </c>
      <c r="B2223" s="38">
        <v>0</v>
      </c>
      <c r="C2223" s="79">
        <v>0</v>
      </c>
    </row>
    <row r="2224" spans="1:3" x14ac:dyDescent="0.25">
      <c r="A2224" s="2">
        <v>0</v>
      </c>
      <c r="B2224" s="38">
        <v>0</v>
      </c>
      <c r="C2224" s="79">
        <v>0</v>
      </c>
    </row>
    <row r="2225" spans="1:3" x14ac:dyDescent="0.25">
      <c r="A2225" s="2">
        <v>0</v>
      </c>
      <c r="B2225" s="38">
        <v>0</v>
      </c>
      <c r="C2225" s="79">
        <v>0</v>
      </c>
    </row>
    <row r="2226" spans="1:3" x14ac:dyDescent="0.25">
      <c r="A2226" s="2">
        <v>0</v>
      </c>
      <c r="B2226" s="38">
        <v>0</v>
      </c>
      <c r="C2226" s="79">
        <v>0</v>
      </c>
    </row>
    <row r="2227" spans="1:3" x14ac:dyDescent="0.25">
      <c r="A2227" s="2">
        <v>0</v>
      </c>
      <c r="B2227" s="38">
        <v>0</v>
      </c>
      <c r="C2227" s="79">
        <v>0</v>
      </c>
    </row>
    <row r="2228" spans="1:3" x14ac:dyDescent="0.25">
      <c r="A2228" s="2">
        <v>0</v>
      </c>
      <c r="B2228" s="38">
        <v>0</v>
      </c>
      <c r="C2228" s="79">
        <v>0</v>
      </c>
    </row>
    <row r="2229" spans="1:3" x14ac:dyDescent="0.25">
      <c r="A2229" s="2">
        <v>0</v>
      </c>
      <c r="B2229" s="38">
        <v>0</v>
      </c>
      <c r="C2229" s="79">
        <v>0</v>
      </c>
    </row>
    <row r="2230" spans="1:3" x14ac:dyDescent="0.25">
      <c r="A2230" s="2">
        <v>0</v>
      </c>
      <c r="B2230" s="38">
        <v>0</v>
      </c>
      <c r="C2230" s="79">
        <v>0</v>
      </c>
    </row>
    <row r="2231" spans="1:3" x14ac:dyDescent="0.25">
      <c r="A2231" s="2">
        <v>0</v>
      </c>
      <c r="B2231" s="38">
        <v>0</v>
      </c>
      <c r="C2231" s="79">
        <v>0</v>
      </c>
    </row>
    <row r="2232" spans="1:3" x14ac:dyDescent="0.25">
      <c r="A2232" s="2">
        <v>0</v>
      </c>
      <c r="B2232" s="38">
        <v>0</v>
      </c>
      <c r="C2232" s="79">
        <v>0</v>
      </c>
    </row>
    <row r="2233" spans="1:3" x14ac:dyDescent="0.25">
      <c r="A2233" s="2">
        <v>0</v>
      </c>
      <c r="B2233" s="38">
        <v>0</v>
      </c>
      <c r="C2233" s="79">
        <v>0</v>
      </c>
    </row>
    <row r="2234" spans="1:3" x14ac:dyDescent="0.25">
      <c r="A2234" s="2">
        <v>0</v>
      </c>
      <c r="B2234" s="38">
        <v>0</v>
      </c>
      <c r="C2234" s="79">
        <v>0</v>
      </c>
    </row>
    <row r="2235" spans="1:3" x14ac:dyDescent="0.25">
      <c r="A2235" s="2">
        <v>0</v>
      </c>
      <c r="B2235" s="38">
        <v>0</v>
      </c>
      <c r="C2235" s="79">
        <v>0</v>
      </c>
    </row>
    <row r="2236" spans="1:3" x14ac:dyDescent="0.25">
      <c r="A2236" s="2">
        <v>0</v>
      </c>
      <c r="B2236" s="38">
        <v>0</v>
      </c>
      <c r="C2236" s="79">
        <v>0</v>
      </c>
    </row>
    <row r="2237" spans="1:3" x14ac:dyDescent="0.25">
      <c r="A2237" s="2">
        <v>0</v>
      </c>
      <c r="B2237" s="38">
        <v>0</v>
      </c>
      <c r="C2237" s="79">
        <v>0</v>
      </c>
    </row>
    <row r="2238" spans="1:3" x14ac:dyDescent="0.25">
      <c r="A2238" s="2">
        <v>0</v>
      </c>
      <c r="B2238" s="38">
        <v>0</v>
      </c>
      <c r="C2238" s="79">
        <v>0</v>
      </c>
    </row>
    <row r="2239" spans="1:3" x14ac:dyDescent="0.25">
      <c r="A2239" s="2">
        <v>0</v>
      </c>
      <c r="B2239" s="38">
        <v>0</v>
      </c>
      <c r="C2239" s="79">
        <v>0</v>
      </c>
    </row>
    <row r="2240" spans="1:3" x14ac:dyDescent="0.25">
      <c r="A2240" s="2">
        <v>0</v>
      </c>
      <c r="B2240" s="38">
        <v>0</v>
      </c>
      <c r="C2240" s="79">
        <v>0</v>
      </c>
    </row>
    <row r="2241" spans="1:3" x14ac:dyDescent="0.25">
      <c r="A2241" s="2">
        <v>0</v>
      </c>
      <c r="B2241" s="38">
        <v>0</v>
      </c>
      <c r="C2241" s="79">
        <v>0</v>
      </c>
    </row>
    <row r="2242" spans="1:3" x14ac:dyDescent="0.25">
      <c r="A2242" s="2">
        <v>0</v>
      </c>
      <c r="B2242" s="38">
        <v>0</v>
      </c>
      <c r="C2242" s="79">
        <v>0</v>
      </c>
    </row>
    <row r="2243" spans="1:3" x14ac:dyDescent="0.25">
      <c r="A2243" s="2">
        <v>0</v>
      </c>
      <c r="B2243" s="38">
        <v>0</v>
      </c>
      <c r="C2243" s="79">
        <v>0</v>
      </c>
    </row>
    <row r="2244" spans="1:3" x14ac:dyDescent="0.25">
      <c r="A2244" s="2">
        <v>0</v>
      </c>
      <c r="B2244" s="38">
        <v>0</v>
      </c>
      <c r="C2244" s="79">
        <v>0</v>
      </c>
    </row>
    <row r="2245" spans="1:3" x14ac:dyDescent="0.25">
      <c r="A2245" s="2">
        <v>0</v>
      </c>
      <c r="B2245" s="38">
        <v>0</v>
      </c>
      <c r="C2245" s="79">
        <v>0</v>
      </c>
    </row>
    <row r="2246" spans="1:3" x14ac:dyDescent="0.25">
      <c r="A2246" s="2">
        <v>0</v>
      </c>
      <c r="B2246" s="38">
        <v>0</v>
      </c>
      <c r="C2246" s="79">
        <v>0</v>
      </c>
    </row>
    <row r="2247" spans="1:3" x14ac:dyDescent="0.25">
      <c r="A2247" s="2">
        <v>0</v>
      </c>
      <c r="B2247" s="38">
        <v>0</v>
      </c>
      <c r="C2247" s="79">
        <v>0</v>
      </c>
    </row>
    <row r="2248" spans="1:3" x14ac:dyDescent="0.25">
      <c r="A2248" s="2">
        <v>0</v>
      </c>
      <c r="B2248" s="38">
        <v>0</v>
      </c>
      <c r="C2248" s="79">
        <v>0</v>
      </c>
    </row>
    <row r="2249" spans="1:3" x14ac:dyDescent="0.25">
      <c r="A2249" s="2">
        <v>0</v>
      </c>
      <c r="B2249" s="38">
        <v>0</v>
      </c>
      <c r="C2249" s="79">
        <v>0</v>
      </c>
    </row>
    <row r="2250" spans="1:3" x14ac:dyDescent="0.25">
      <c r="A2250" s="2">
        <v>0</v>
      </c>
      <c r="B2250" s="38">
        <v>0</v>
      </c>
      <c r="C2250" s="79">
        <v>0</v>
      </c>
    </row>
    <row r="2251" spans="1:3" x14ac:dyDescent="0.25">
      <c r="A2251" s="2">
        <v>0</v>
      </c>
      <c r="B2251" s="38">
        <v>0</v>
      </c>
      <c r="C2251" s="79">
        <v>0</v>
      </c>
    </row>
    <row r="2252" spans="1:3" x14ac:dyDescent="0.25">
      <c r="A2252" s="2">
        <v>0</v>
      </c>
      <c r="B2252" s="38">
        <v>0</v>
      </c>
      <c r="C2252" s="79">
        <v>0</v>
      </c>
    </row>
    <row r="2253" spans="1:3" x14ac:dyDescent="0.25">
      <c r="A2253" s="2">
        <v>0</v>
      </c>
      <c r="B2253" s="38">
        <v>0</v>
      </c>
      <c r="C2253" s="79">
        <v>0</v>
      </c>
    </row>
    <row r="2254" spans="1:3" x14ac:dyDescent="0.25">
      <c r="A2254" s="2">
        <v>0</v>
      </c>
      <c r="B2254" s="38">
        <v>0</v>
      </c>
      <c r="C2254" s="79">
        <v>0</v>
      </c>
    </row>
    <row r="2255" spans="1:3" x14ac:dyDescent="0.25">
      <c r="A2255" s="2">
        <v>0</v>
      </c>
      <c r="B2255" s="38">
        <v>0</v>
      </c>
      <c r="C2255" s="79">
        <v>0</v>
      </c>
    </row>
    <row r="2256" spans="1:3" x14ac:dyDescent="0.25">
      <c r="A2256" s="2">
        <v>0</v>
      </c>
      <c r="B2256" s="38">
        <v>0</v>
      </c>
      <c r="C2256" s="79">
        <v>0</v>
      </c>
    </row>
    <row r="2257" spans="1:3" x14ac:dyDescent="0.25">
      <c r="A2257" s="2">
        <v>0</v>
      </c>
      <c r="B2257" s="38">
        <v>0</v>
      </c>
      <c r="C2257" s="79">
        <v>0</v>
      </c>
    </row>
    <row r="2258" spans="1:3" x14ac:dyDescent="0.25">
      <c r="A2258" s="2">
        <v>0</v>
      </c>
      <c r="B2258" s="38">
        <v>0</v>
      </c>
      <c r="C2258" s="79">
        <v>0</v>
      </c>
    </row>
    <row r="2259" spans="1:3" x14ac:dyDescent="0.25">
      <c r="A2259" s="2">
        <v>0</v>
      </c>
      <c r="B2259" s="38">
        <v>0</v>
      </c>
      <c r="C2259" s="79">
        <v>0</v>
      </c>
    </row>
    <row r="2260" spans="1:3" x14ac:dyDescent="0.25">
      <c r="A2260" s="2">
        <v>0</v>
      </c>
      <c r="B2260" s="38">
        <v>0</v>
      </c>
      <c r="C2260" s="79">
        <v>0</v>
      </c>
    </row>
    <row r="2261" spans="1:3" x14ac:dyDescent="0.25">
      <c r="A2261" s="2">
        <v>0</v>
      </c>
      <c r="B2261" s="38">
        <v>0</v>
      </c>
      <c r="C2261" s="79">
        <v>0</v>
      </c>
    </row>
    <row r="2262" spans="1:3" x14ac:dyDescent="0.25">
      <c r="A2262" s="2">
        <v>0</v>
      </c>
      <c r="B2262" s="38">
        <v>0</v>
      </c>
      <c r="C2262" s="79">
        <v>0</v>
      </c>
    </row>
    <row r="2263" spans="1:3" x14ac:dyDescent="0.25">
      <c r="A2263" s="2">
        <v>0</v>
      </c>
      <c r="B2263" s="38">
        <v>0</v>
      </c>
      <c r="C2263" s="79">
        <v>0</v>
      </c>
    </row>
    <row r="2264" spans="1:3" x14ac:dyDescent="0.25">
      <c r="A2264" s="2">
        <v>0</v>
      </c>
      <c r="B2264" s="38">
        <v>0</v>
      </c>
      <c r="C2264" s="79">
        <v>0</v>
      </c>
    </row>
    <row r="2265" spans="1:3" x14ac:dyDescent="0.25">
      <c r="A2265" s="2">
        <v>0</v>
      </c>
      <c r="B2265" s="38">
        <v>0</v>
      </c>
      <c r="C2265" s="79">
        <v>0</v>
      </c>
    </row>
    <row r="2266" spans="1:3" x14ac:dyDescent="0.25">
      <c r="A2266" s="2">
        <v>0</v>
      </c>
      <c r="B2266" s="38">
        <v>0</v>
      </c>
      <c r="C2266" s="79">
        <v>0</v>
      </c>
    </row>
    <row r="2267" spans="1:3" x14ac:dyDescent="0.25">
      <c r="A2267" s="2">
        <v>0</v>
      </c>
      <c r="B2267" s="38">
        <v>0</v>
      </c>
      <c r="C2267" s="79">
        <v>0</v>
      </c>
    </row>
    <row r="2268" spans="1:3" x14ac:dyDescent="0.25">
      <c r="A2268" s="2">
        <v>0</v>
      </c>
      <c r="B2268" s="38">
        <v>0</v>
      </c>
      <c r="C2268" s="79">
        <v>0</v>
      </c>
    </row>
    <row r="2269" spans="1:3" x14ac:dyDescent="0.25">
      <c r="A2269" s="2">
        <v>0</v>
      </c>
      <c r="B2269" s="38">
        <v>0</v>
      </c>
      <c r="C2269" s="79">
        <v>0</v>
      </c>
    </row>
    <row r="2270" spans="1:3" x14ac:dyDescent="0.25">
      <c r="A2270" s="2">
        <v>0</v>
      </c>
      <c r="B2270" s="38">
        <v>0</v>
      </c>
      <c r="C2270" s="79">
        <v>0</v>
      </c>
    </row>
    <row r="2271" spans="1:3" x14ac:dyDescent="0.25">
      <c r="A2271" s="2">
        <v>0</v>
      </c>
      <c r="B2271" s="38">
        <v>0</v>
      </c>
      <c r="C2271" s="79">
        <v>0</v>
      </c>
    </row>
    <row r="2272" spans="1:3" x14ac:dyDescent="0.25">
      <c r="A2272" s="2">
        <v>0</v>
      </c>
      <c r="B2272" s="38">
        <v>0</v>
      </c>
      <c r="C2272" s="79">
        <v>0</v>
      </c>
    </row>
    <row r="2273" spans="1:3" x14ac:dyDescent="0.25">
      <c r="A2273" s="2">
        <v>0</v>
      </c>
      <c r="B2273" s="38">
        <v>0</v>
      </c>
      <c r="C2273" s="79">
        <v>0</v>
      </c>
    </row>
    <row r="2274" spans="1:3" x14ac:dyDescent="0.25">
      <c r="A2274" s="2">
        <v>0</v>
      </c>
      <c r="B2274" s="38">
        <v>0</v>
      </c>
      <c r="C2274" s="79">
        <v>0</v>
      </c>
    </row>
    <row r="2275" spans="1:3" x14ac:dyDescent="0.25">
      <c r="A2275" s="2">
        <v>0</v>
      </c>
      <c r="B2275" s="38">
        <v>0</v>
      </c>
      <c r="C2275" s="79">
        <v>0</v>
      </c>
    </row>
    <row r="2276" spans="1:3" x14ac:dyDescent="0.25">
      <c r="A2276" s="2">
        <v>0</v>
      </c>
      <c r="B2276" s="38">
        <v>0</v>
      </c>
      <c r="C2276" s="79">
        <v>0</v>
      </c>
    </row>
    <row r="2277" spans="1:3" x14ac:dyDescent="0.25">
      <c r="A2277" s="2">
        <v>0</v>
      </c>
      <c r="B2277" s="38">
        <v>0</v>
      </c>
      <c r="C2277" s="79">
        <v>0</v>
      </c>
    </row>
    <row r="2278" spans="1:3" x14ac:dyDescent="0.25">
      <c r="A2278" s="2">
        <v>0</v>
      </c>
      <c r="B2278" s="38">
        <v>0</v>
      </c>
      <c r="C2278" s="79">
        <v>0</v>
      </c>
    </row>
    <row r="2279" spans="1:3" x14ac:dyDescent="0.25">
      <c r="A2279" s="2">
        <v>0</v>
      </c>
      <c r="B2279" s="38">
        <v>0</v>
      </c>
      <c r="C2279" s="79">
        <v>0</v>
      </c>
    </row>
    <row r="2280" spans="1:3" x14ac:dyDescent="0.25">
      <c r="A2280" s="2">
        <v>0</v>
      </c>
      <c r="B2280" s="38">
        <v>0</v>
      </c>
      <c r="C2280" s="79">
        <v>0</v>
      </c>
    </row>
    <row r="2281" spans="1:3" x14ac:dyDescent="0.25">
      <c r="A2281" s="2">
        <v>0</v>
      </c>
      <c r="B2281" s="38">
        <v>0</v>
      </c>
      <c r="C2281" s="79">
        <v>0</v>
      </c>
    </row>
    <row r="2282" spans="1:3" x14ac:dyDescent="0.25">
      <c r="A2282" s="2">
        <v>0</v>
      </c>
      <c r="B2282" s="38">
        <v>0</v>
      </c>
      <c r="C2282" s="79">
        <v>0</v>
      </c>
    </row>
    <row r="2283" spans="1:3" x14ac:dyDescent="0.25">
      <c r="A2283" s="2">
        <v>0</v>
      </c>
      <c r="B2283" s="38">
        <v>0</v>
      </c>
      <c r="C2283" s="79">
        <v>0</v>
      </c>
    </row>
    <row r="2284" spans="1:3" x14ac:dyDescent="0.25">
      <c r="A2284" s="2">
        <v>0</v>
      </c>
      <c r="B2284" s="38">
        <v>0</v>
      </c>
      <c r="C2284" s="79">
        <v>0</v>
      </c>
    </row>
    <row r="2285" spans="1:3" x14ac:dyDescent="0.25">
      <c r="A2285" s="2">
        <v>0</v>
      </c>
      <c r="B2285" s="38">
        <v>0</v>
      </c>
      <c r="C2285" s="79">
        <v>0</v>
      </c>
    </row>
    <row r="2286" spans="1:3" x14ac:dyDescent="0.25">
      <c r="A2286" s="2">
        <v>0</v>
      </c>
      <c r="B2286" s="38">
        <v>0</v>
      </c>
      <c r="C2286" s="79">
        <v>0</v>
      </c>
    </row>
    <row r="2287" spans="1:3" x14ac:dyDescent="0.25">
      <c r="A2287" s="2">
        <v>0</v>
      </c>
      <c r="B2287" s="38">
        <v>0</v>
      </c>
      <c r="C2287" s="79">
        <v>0</v>
      </c>
    </row>
    <row r="2288" spans="1:3" x14ac:dyDescent="0.25">
      <c r="A2288" s="2">
        <v>0</v>
      </c>
      <c r="B2288" s="38">
        <v>0</v>
      </c>
      <c r="C2288" s="79">
        <v>0</v>
      </c>
    </row>
    <row r="2289" spans="1:3" x14ac:dyDescent="0.25">
      <c r="A2289" s="2">
        <v>0</v>
      </c>
      <c r="B2289" s="38">
        <v>0</v>
      </c>
      <c r="C2289" s="79">
        <v>0</v>
      </c>
    </row>
    <row r="2290" spans="1:3" x14ac:dyDescent="0.25">
      <c r="A2290" s="2">
        <v>0</v>
      </c>
      <c r="B2290" s="38">
        <v>0</v>
      </c>
      <c r="C2290" s="79">
        <v>0</v>
      </c>
    </row>
    <row r="2291" spans="1:3" x14ac:dyDescent="0.25">
      <c r="A2291" s="2">
        <v>0</v>
      </c>
      <c r="B2291" s="38">
        <v>0</v>
      </c>
      <c r="C2291" s="79">
        <v>0</v>
      </c>
    </row>
    <row r="2292" spans="1:3" x14ac:dyDescent="0.25">
      <c r="A2292" s="2">
        <v>0</v>
      </c>
      <c r="B2292" s="38">
        <v>0</v>
      </c>
      <c r="C2292" s="79">
        <v>0</v>
      </c>
    </row>
    <row r="2293" spans="1:3" x14ac:dyDescent="0.25">
      <c r="A2293" s="2">
        <v>0</v>
      </c>
      <c r="B2293" s="38">
        <v>0</v>
      </c>
      <c r="C2293" s="79">
        <v>0</v>
      </c>
    </row>
    <row r="2294" spans="1:3" x14ac:dyDescent="0.25">
      <c r="A2294" s="2">
        <v>0</v>
      </c>
      <c r="B2294" s="38">
        <v>0</v>
      </c>
      <c r="C2294" s="79">
        <v>0</v>
      </c>
    </row>
    <row r="2295" spans="1:3" x14ac:dyDescent="0.25">
      <c r="A2295" s="2">
        <v>0</v>
      </c>
      <c r="B2295" s="38">
        <v>0</v>
      </c>
      <c r="C2295" s="79">
        <v>0</v>
      </c>
    </row>
    <row r="2296" spans="1:3" x14ac:dyDescent="0.25">
      <c r="A2296" s="2">
        <v>0</v>
      </c>
      <c r="B2296" s="38">
        <v>0</v>
      </c>
      <c r="C2296" s="79">
        <v>0</v>
      </c>
    </row>
    <row r="2297" spans="1:3" x14ac:dyDescent="0.25">
      <c r="A2297" s="2">
        <v>0</v>
      </c>
      <c r="B2297" s="38">
        <v>0</v>
      </c>
      <c r="C2297" s="79">
        <v>0</v>
      </c>
    </row>
    <row r="2298" spans="1:3" x14ac:dyDescent="0.25">
      <c r="A2298" s="2">
        <v>0</v>
      </c>
      <c r="B2298" s="38">
        <v>0</v>
      </c>
      <c r="C2298" s="79">
        <v>0</v>
      </c>
    </row>
    <row r="2299" spans="1:3" x14ac:dyDescent="0.25">
      <c r="A2299" s="2">
        <v>0</v>
      </c>
      <c r="B2299" s="38">
        <v>0</v>
      </c>
      <c r="C2299" s="79">
        <v>0</v>
      </c>
    </row>
    <row r="2300" spans="1:3" x14ac:dyDescent="0.25">
      <c r="A2300" s="2">
        <v>0</v>
      </c>
      <c r="B2300" s="38">
        <v>0</v>
      </c>
      <c r="C2300" s="79">
        <v>0</v>
      </c>
    </row>
    <row r="2301" spans="1:3" x14ac:dyDescent="0.25">
      <c r="A2301" s="2">
        <v>0</v>
      </c>
      <c r="B2301" s="38">
        <v>0</v>
      </c>
      <c r="C2301" s="79">
        <v>0</v>
      </c>
    </row>
    <row r="2302" spans="1:3" x14ac:dyDescent="0.25">
      <c r="A2302" s="2">
        <v>0</v>
      </c>
      <c r="B2302" s="38">
        <v>0</v>
      </c>
      <c r="C2302" s="79">
        <v>0</v>
      </c>
    </row>
    <row r="2303" spans="1:3" x14ac:dyDescent="0.25">
      <c r="A2303" s="2">
        <v>0</v>
      </c>
      <c r="B2303" s="38">
        <v>0</v>
      </c>
      <c r="C2303" s="79">
        <v>0</v>
      </c>
    </row>
    <row r="2304" spans="1:3" x14ac:dyDescent="0.25">
      <c r="A2304" s="2">
        <v>0</v>
      </c>
      <c r="B2304" s="38">
        <v>0</v>
      </c>
      <c r="C2304" s="79">
        <v>0</v>
      </c>
    </row>
    <row r="2305" spans="1:3" x14ac:dyDescent="0.25">
      <c r="A2305" s="2">
        <v>0</v>
      </c>
      <c r="B2305" s="38">
        <v>0</v>
      </c>
      <c r="C2305" s="79">
        <v>0</v>
      </c>
    </row>
    <row r="2306" spans="1:3" x14ac:dyDescent="0.25">
      <c r="A2306" s="2">
        <v>0</v>
      </c>
      <c r="B2306" s="38">
        <v>0</v>
      </c>
      <c r="C2306" s="79">
        <v>0</v>
      </c>
    </row>
    <row r="2307" spans="1:3" x14ac:dyDescent="0.25">
      <c r="A2307" s="2">
        <v>0</v>
      </c>
      <c r="B2307" s="38">
        <v>0</v>
      </c>
      <c r="C2307" s="79">
        <v>0</v>
      </c>
    </row>
    <row r="2308" spans="1:3" x14ac:dyDescent="0.25">
      <c r="A2308" s="2">
        <v>0</v>
      </c>
      <c r="B2308" s="38">
        <v>0</v>
      </c>
      <c r="C2308" s="79">
        <v>0</v>
      </c>
    </row>
    <row r="2309" spans="1:3" x14ac:dyDescent="0.25">
      <c r="A2309" s="2">
        <v>0</v>
      </c>
      <c r="B2309" s="38">
        <v>0</v>
      </c>
      <c r="C2309" s="79">
        <v>0</v>
      </c>
    </row>
    <row r="2310" spans="1:3" x14ac:dyDescent="0.25">
      <c r="A2310" s="2">
        <v>0</v>
      </c>
      <c r="B2310" s="38">
        <v>0</v>
      </c>
      <c r="C2310" s="79">
        <v>0</v>
      </c>
    </row>
    <row r="2311" spans="1:3" x14ac:dyDescent="0.25">
      <c r="A2311" s="2">
        <v>0</v>
      </c>
      <c r="B2311" s="38">
        <v>0</v>
      </c>
      <c r="C2311" s="79">
        <v>0</v>
      </c>
    </row>
    <row r="2312" spans="1:3" x14ac:dyDescent="0.25">
      <c r="A2312" s="2">
        <v>0</v>
      </c>
      <c r="B2312" s="38">
        <v>0</v>
      </c>
      <c r="C2312" s="79">
        <v>0</v>
      </c>
    </row>
    <row r="2313" spans="1:3" x14ac:dyDescent="0.25">
      <c r="A2313" s="2">
        <v>0</v>
      </c>
      <c r="B2313" s="38">
        <v>0</v>
      </c>
      <c r="C2313" s="79">
        <v>0</v>
      </c>
    </row>
    <row r="2314" spans="1:3" x14ac:dyDescent="0.25">
      <c r="A2314" s="2">
        <v>0</v>
      </c>
      <c r="B2314" s="38">
        <v>0</v>
      </c>
      <c r="C2314" s="79">
        <v>0</v>
      </c>
    </row>
    <row r="2315" spans="1:3" x14ac:dyDescent="0.25">
      <c r="A2315" s="2">
        <v>0</v>
      </c>
      <c r="B2315" s="38">
        <v>0</v>
      </c>
      <c r="C2315" s="79">
        <v>0</v>
      </c>
    </row>
    <row r="2316" spans="1:3" x14ac:dyDescent="0.25">
      <c r="A2316" s="2">
        <v>0</v>
      </c>
      <c r="B2316" s="38">
        <v>0</v>
      </c>
      <c r="C2316" s="79">
        <v>0</v>
      </c>
    </row>
    <row r="2317" spans="1:3" x14ac:dyDescent="0.25">
      <c r="A2317" s="2">
        <v>0</v>
      </c>
      <c r="B2317" s="38">
        <v>0</v>
      </c>
      <c r="C2317" s="79">
        <v>0</v>
      </c>
    </row>
    <row r="2318" spans="1:3" x14ac:dyDescent="0.25">
      <c r="A2318" s="2">
        <v>0</v>
      </c>
      <c r="B2318" s="38">
        <v>0</v>
      </c>
      <c r="C2318" s="79">
        <v>0</v>
      </c>
    </row>
    <row r="2319" spans="1:3" x14ac:dyDescent="0.25">
      <c r="A2319" s="2">
        <v>0</v>
      </c>
      <c r="B2319" s="38">
        <v>0</v>
      </c>
      <c r="C2319" s="79">
        <v>0</v>
      </c>
    </row>
    <row r="2320" spans="1:3" x14ac:dyDescent="0.25">
      <c r="A2320" s="2">
        <v>0</v>
      </c>
      <c r="B2320" s="38">
        <v>0</v>
      </c>
      <c r="C2320" s="79">
        <v>0</v>
      </c>
    </row>
    <row r="2321" spans="1:3" x14ac:dyDescent="0.25">
      <c r="A2321" s="2">
        <v>0</v>
      </c>
      <c r="B2321" s="38">
        <v>0</v>
      </c>
      <c r="C2321" s="79">
        <v>0</v>
      </c>
    </row>
    <row r="2322" spans="1:3" x14ac:dyDescent="0.25">
      <c r="A2322" s="2">
        <v>0</v>
      </c>
      <c r="B2322" s="38">
        <v>0</v>
      </c>
      <c r="C2322" s="79">
        <v>0</v>
      </c>
    </row>
    <row r="2323" spans="1:3" x14ac:dyDescent="0.25">
      <c r="A2323" s="2">
        <v>0</v>
      </c>
      <c r="B2323" s="38">
        <v>0</v>
      </c>
      <c r="C2323" s="79">
        <v>0</v>
      </c>
    </row>
    <row r="2324" spans="1:3" x14ac:dyDescent="0.25">
      <c r="A2324" s="2">
        <v>0</v>
      </c>
      <c r="B2324" s="38">
        <v>0</v>
      </c>
      <c r="C2324" s="79">
        <v>0</v>
      </c>
    </row>
    <row r="2325" spans="1:3" x14ac:dyDescent="0.25">
      <c r="A2325" s="2">
        <v>0</v>
      </c>
      <c r="B2325" s="38">
        <v>0</v>
      </c>
      <c r="C2325" s="79">
        <v>0</v>
      </c>
    </row>
    <row r="2326" spans="1:3" x14ac:dyDescent="0.25">
      <c r="A2326" s="2">
        <v>0</v>
      </c>
      <c r="B2326" s="38">
        <v>0</v>
      </c>
      <c r="C2326" s="79">
        <v>0</v>
      </c>
    </row>
    <row r="2327" spans="1:3" x14ac:dyDescent="0.25">
      <c r="A2327" s="2">
        <v>0</v>
      </c>
      <c r="B2327" s="38">
        <v>0</v>
      </c>
      <c r="C2327" s="79">
        <v>0</v>
      </c>
    </row>
    <row r="2328" spans="1:3" x14ac:dyDescent="0.25">
      <c r="A2328" s="2">
        <v>0</v>
      </c>
      <c r="B2328" s="38">
        <v>0</v>
      </c>
      <c r="C2328" s="79">
        <v>0</v>
      </c>
    </row>
    <row r="2329" spans="1:3" x14ac:dyDescent="0.25">
      <c r="A2329" s="2">
        <v>0</v>
      </c>
      <c r="B2329" s="38">
        <v>0</v>
      </c>
      <c r="C2329" s="79">
        <v>0</v>
      </c>
    </row>
    <row r="2330" spans="1:3" x14ac:dyDescent="0.25">
      <c r="A2330" s="2">
        <v>0</v>
      </c>
      <c r="B2330" s="38">
        <v>0</v>
      </c>
      <c r="C2330" s="79">
        <v>0</v>
      </c>
    </row>
    <row r="2331" spans="1:3" x14ac:dyDescent="0.25">
      <c r="A2331" s="2">
        <v>0</v>
      </c>
      <c r="B2331" s="38">
        <v>0</v>
      </c>
      <c r="C2331" s="79">
        <v>0</v>
      </c>
    </row>
    <row r="2332" spans="1:3" x14ac:dyDescent="0.25">
      <c r="A2332" s="2">
        <v>0</v>
      </c>
      <c r="B2332" s="38">
        <v>0</v>
      </c>
      <c r="C2332" s="79">
        <v>0</v>
      </c>
    </row>
    <row r="2333" spans="1:3" x14ac:dyDescent="0.25">
      <c r="A2333" s="2">
        <v>0</v>
      </c>
      <c r="B2333" s="38">
        <v>0</v>
      </c>
      <c r="C2333" s="79">
        <v>0</v>
      </c>
    </row>
    <row r="2334" spans="1:3" x14ac:dyDescent="0.25">
      <c r="A2334" s="2">
        <v>0</v>
      </c>
      <c r="B2334" s="38">
        <v>0</v>
      </c>
      <c r="C2334" s="79">
        <v>0</v>
      </c>
    </row>
    <row r="2335" spans="1:3" x14ac:dyDescent="0.25">
      <c r="A2335" s="2">
        <v>0</v>
      </c>
      <c r="B2335" s="38">
        <v>0</v>
      </c>
      <c r="C2335" s="79">
        <v>0</v>
      </c>
    </row>
    <row r="2336" spans="1:3" x14ac:dyDescent="0.25">
      <c r="A2336" s="2">
        <v>0</v>
      </c>
      <c r="B2336" s="38">
        <v>0</v>
      </c>
      <c r="C2336" s="79">
        <v>0</v>
      </c>
    </row>
    <row r="2337" spans="1:3" x14ac:dyDescent="0.25">
      <c r="A2337" s="2">
        <v>0</v>
      </c>
      <c r="B2337" s="38">
        <v>0</v>
      </c>
      <c r="C2337" s="79">
        <v>0</v>
      </c>
    </row>
    <row r="2338" spans="1:3" x14ac:dyDescent="0.25">
      <c r="A2338" s="2">
        <v>0</v>
      </c>
      <c r="B2338" s="38">
        <v>0</v>
      </c>
      <c r="C2338" s="79">
        <v>0</v>
      </c>
    </row>
    <row r="2339" spans="1:3" x14ac:dyDescent="0.25">
      <c r="A2339" s="2">
        <v>0</v>
      </c>
      <c r="B2339" s="38">
        <v>0</v>
      </c>
      <c r="C2339" s="79">
        <v>0</v>
      </c>
    </row>
    <row r="2340" spans="1:3" x14ac:dyDescent="0.25">
      <c r="A2340" s="2">
        <v>0</v>
      </c>
      <c r="B2340" s="38">
        <v>0</v>
      </c>
      <c r="C2340" s="79">
        <v>0</v>
      </c>
    </row>
    <row r="2341" spans="1:3" x14ac:dyDescent="0.25">
      <c r="A2341" s="2">
        <v>0</v>
      </c>
      <c r="B2341" s="38">
        <v>0</v>
      </c>
      <c r="C2341" s="79">
        <v>0</v>
      </c>
    </row>
    <row r="2342" spans="1:3" x14ac:dyDescent="0.25">
      <c r="A2342" s="2">
        <v>0</v>
      </c>
      <c r="B2342" s="38">
        <v>0</v>
      </c>
      <c r="C2342" s="79">
        <v>0</v>
      </c>
    </row>
    <row r="2343" spans="1:3" x14ac:dyDescent="0.25">
      <c r="A2343" s="2">
        <v>0</v>
      </c>
      <c r="B2343" s="38">
        <v>0</v>
      </c>
      <c r="C2343" s="79">
        <v>0</v>
      </c>
    </row>
    <row r="2344" spans="1:3" x14ac:dyDescent="0.25">
      <c r="A2344" s="2">
        <v>0</v>
      </c>
      <c r="B2344" s="38">
        <v>0</v>
      </c>
      <c r="C2344" s="79">
        <v>0</v>
      </c>
    </row>
    <row r="2345" spans="1:3" x14ac:dyDescent="0.25">
      <c r="A2345" s="2">
        <v>0</v>
      </c>
      <c r="B2345" s="38">
        <v>0</v>
      </c>
      <c r="C2345" s="79">
        <v>0</v>
      </c>
    </row>
    <row r="2346" spans="1:3" x14ac:dyDescent="0.25">
      <c r="A2346" s="2">
        <v>0</v>
      </c>
      <c r="B2346" s="38">
        <v>0</v>
      </c>
      <c r="C2346" s="79">
        <v>0</v>
      </c>
    </row>
    <row r="2347" spans="1:3" x14ac:dyDescent="0.25">
      <c r="A2347" s="2">
        <v>0</v>
      </c>
      <c r="B2347" s="38">
        <v>0</v>
      </c>
      <c r="C2347" s="79">
        <v>0</v>
      </c>
    </row>
    <row r="2348" spans="1:3" x14ac:dyDescent="0.25">
      <c r="A2348" s="2">
        <v>0</v>
      </c>
      <c r="B2348" s="38">
        <v>0</v>
      </c>
      <c r="C2348" s="79">
        <v>0</v>
      </c>
    </row>
    <row r="2349" spans="1:3" x14ac:dyDescent="0.25">
      <c r="A2349" s="2">
        <v>0</v>
      </c>
      <c r="B2349" s="38">
        <v>0</v>
      </c>
      <c r="C2349" s="79">
        <v>0</v>
      </c>
    </row>
    <row r="2350" spans="1:3" x14ac:dyDescent="0.25">
      <c r="A2350" s="2">
        <v>0</v>
      </c>
      <c r="B2350" s="38">
        <v>0</v>
      </c>
      <c r="C2350" s="79">
        <v>0</v>
      </c>
    </row>
    <row r="2351" spans="1:3" x14ac:dyDescent="0.25">
      <c r="A2351" s="2">
        <v>0</v>
      </c>
      <c r="B2351" s="38">
        <v>0</v>
      </c>
      <c r="C2351" s="79">
        <v>0</v>
      </c>
    </row>
    <row r="2352" spans="1:3" x14ac:dyDescent="0.25">
      <c r="A2352" s="2">
        <v>0</v>
      </c>
      <c r="B2352" s="38">
        <v>0</v>
      </c>
      <c r="C2352" s="79">
        <v>0</v>
      </c>
    </row>
    <row r="2353" spans="1:3" x14ac:dyDescent="0.25">
      <c r="A2353" s="2">
        <v>0</v>
      </c>
      <c r="B2353" s="38">
        <v>0</v>
      </c>
      <c r="C2353" s="79">
        <v>0</v>
      </c>
    </row>
    <row r="2354" spans="1:3" x14ac:dyDescent="0.25">
      <c r="A2354" s="2">
        <v>0</v>
      </c>
      <c r="B2354" s="38">
        <v>0</v>
      </c>
      <c r="C2354" s="79">
        <v>0</v>
      </c>
    </row>
    <row r="2355" spans="1:3" x14ac:dyDescent="0.25">
      <c r="A2355" s="2">
        <v>0</v>
      </c>
      <c r="B2355" s="38">
        <v>0</v>
      </c>
      <c r="C2355" s="79">
        <v>0</v>
      </c>
    </row>
    <row r="2356" spans="1:3" x14ac:dyDescent="0.25">
      <c r="A2356" s="2">
        <v>0</v>
      </c>
      <c r="B2356" s="38">
        <v>0</v>
      </c>
      <c r="C2356" s="79">
        <v>0</v>
      </c>
    </row>
    <row r="2357" spans="1:3" x14ac:dyDescent="0.25">
      <c r="A2357" s="2">
        <v>0</v>
      </c>
      <c r="B2357" s="38">
        <v>0</v>
      </c>
      <c r="C2357" s="79">
        <v>0</v>
      </c>
    </row>
    <row r="2358" spans="1:3" x14ac:dyDescent="0.25">
      <c r="A2358" s="2">
        <v>0</v>
      </c>
      <c r="B2358" s="38">
        <v>0</v>
      </c>
      <c r="C2358" s="79">
        <v>0</v>
      </c>
    </row>
    <row r="2359" spans="1:3" x14ac:dyDescent="0.25">
      <c r="A2359" s="2">
        <v>0</v>
      </c>
      <c r="B2359" s="38">
        <v>0</v>
      </c>
      <c r="C2359" s="79">
        <v>0</v>
      </c>
    </row>
    <row r="2360" spans="1:3" x14ac:dyDescent="0.25">
      <c r="A2360" s="2">
        <v>0</v>
      </c>
      <c r="B2360" s="38">
        <v>0</v>
      </c>
      <c r="C2360" s="79">
        <v>0</v>
      </c>
    </row>
    <row r="2361" spans="1:3" x14ac:dyDescent="0.25">
      <c r="A2361" s="2">
        <v>0</v>
      </c>
      <c r="B2361" s="38">
        <v>0</v>
      </c>
      <c r="C2361" s="79">
        <v>0</v>
      </c>
    </row>
    <row r="2362" spans="1:3" x14ac:dyDescent="0.25">
      <c r="A2362" s="2">
        <v>0</v>
      </c>
      <c r="B2362" s="38">
        <v>0</v>
      </c>
      <c r="C2362" s="79">
        <v>0</v>
      </c>
    </row>
    <row r="2363" spans="1:3" x14ac:dyDescent="0.25">
      <c r="A2363" s="2">
        <v>0</v>
      </c>
      <c r="B2363" s="38">
        <v>0</v>
      </c>
      <c r="C2363" s="79">
        <v>0</v>
      </c>
    </row>
    <row r="2364" spans="1:3" x14ac:dyDescent="0.25">
      <c r="A2364" s="2">
        <v>0</v>
      </c>
      <c r="B2364" s="38">
        <v>0</v>
      </c>
      <c r="C2364" s="79">
        <v>0</v>
      </c>
    </row>
    <row r="2365" spans="1:3" x14ac:dyDescent="0.25">
      <c r="A2365" s="2">
        <v>0</v>
      </c>
      <c r="B2365" s="38">
        <v>0</v>
      </c>
      <c r="C2365" s="79">
        <v>0</v>
      </c>
    </row>
    <row r="2366" spans="1:3" x14ac:dyDescent="0.25">
      <c r="A2366" s="2">
        <v>0</v>
      </c>
      <c r="B2366" s="38">
        <v>0</v>
      </c>
      <c r="C2366" s="79">
        <v>0</v>
      </c>
    </row>
    <row r="2367" spans="1:3" x14ac:dyDescent="0.25">
      <c r="A2367" s="2">
        <v>0</v>
      </c>
      <c r="B2367" s="38">
        <v>0</v>
      </c>
      <c r="C2367" s="79">
        <v>0</v>
      </c>
    </row>
    <row r="2368" spans="1:3" x14ac:dyDescent="0.25">
      <c r="A2368" s="2">
        <v>0</v>
      </c>
      <c r="B2368" s="38">
        <v>0</v>
      </c>
      <c r="C2368" s="79">
        <v>0</v>
      </c>
    </row>
    <row r="2369" spans="1:3" x14ac:dyDescent="0.25">
      <c r="A2369" s="2">
        <v>0</v>
      </c>
      <c r="B2369" s="38">
        <v>0</v>
      </c>
      <c r="C2369" s="79">
        <v>0</v>
      </c>
    </row>
    <row r="2370" spans="1:3" x14ac:dyDescent="0.25">
      <c r="A2370" s="2">
        <v>0</v>
      </c>
      <c r="B2370" s="38">
        <v>0</v>
      </c>
      <c r="C2370" s="79">
        <v>0</v>
      </c>
    </row>
    <row r="2371" spans="1:3" x14ac:dyDescent="0.25">
      <c r="A2371" s="2">
        <v>0</v>
      </c>
      <c r="B2371" s="38">
        <v>0</v>
      </c>
      <c r="C2371" s="79">
        <v>0</v>
      </c>
    </row>
    <row r="2372" spans="1:3" x14ac:dyDescent="0.25">
      <c r="A2372" s="2">
        <v>0</v>
      </c>
      <c r="B2372" s="38">
        <v>0</v>
      </c>
      <c r="C2372" s="79">
        <v>0</v>
      </c>
    </row>
    <row r="2373" spans="1:3" x14ac:dyDescent="0.25">
      <c r="A2373" s="2">
        <v>0</v>
      </c>
      <c r="B2373" s="38">
        <v>0</v>
      </c>
      <c r="C2373" s="79">
        <v>0</v>
      </c>
    </row>
    <row r="2374" spans="1:3" x14ac:dyDescent="0.25">
      <c r="A2374" s="2">
        <v>0</v>
      </c>
      <c r="B2374" s="38">
        <v>0</v>
      </c>
      <c r="C2374" s="79">
        <v>0</v>
      </c>
    </row>
    <row r="2375" spans="1:3" x14ac:dyDescent="0.25">
      <c r="A2375" s="2">
        <v>0</v>
      </c>
      <c r="B2375" s="38">
        <v>0</v>
      </c>
      <c r="C2375" s="79">
        <v>0</v>
      </c>
    </row>
    <row r="2376" spans="1:3" x14ac:dyDescent="0.25">
      <c r="A2376" s="2">
        <v>0</v>
      </c>
      <c r="B2376" s="38">
        <v>0</v>
      </c>
      <c r="C2376" s="79">
        <v>0</v>
      </c>
    </row>
    <row r="2377" spans="1:3" x14ac:dyDescent="0.25">
      <c r="A2377" s="2">
        <v>0</v>
      </c>
      <c r="B2377" s="38">
        <v>0</v>
      </c>
      <c r="C2377" s="79">
        <v>0</v>
      </c>
    </row>
    <row r="2378" spans="1:3" x14ac:dyDescent="0.25">
      <c r="A2378" s="2">
        <v>0</v>
      </c>
      <c r="B2378" s="38">
        <v>0</v>
      </c>
      <c r="C2378" s="79">
        <v>0</v>
      </c>
    </row>
    <row r="2379" spans="1:3" x14ac:dyDescent="0.25">
      <c r="A2379" s="2">
        <v>0</v>
      </c>
      <c r="B2379" s="38">
        <v>0</v>
      </c>
      <c r="C2379" s="79">
        <v>0</v>
      </c>
    </row>
    <row r="2380" spans="1:3" x14ac:dyDescent="0.25">
      <c r="A2380" s="2">
        <v>0</v>
      </c>
      <c r="B2380" s="38">
        <v>0</v>
      </c>
      <c r="C2380" s="79">
        <v>0</v>
      </c>
    </row>
    <row r="2381" spans="1:3" x14ac:dyDescent="0.25">
      <c r="A2381" s="2">
        <v>0</v>
      </c>
      <c r="B2381" s="38">
        <v>0</v>
      </c>
      <c r="C2381" s="79">
        <v>0</v>
      </c>
    </row>
    <row r="2382" spans="1:3" x14ac:dyDescent="0.25">
      <c r="A2382" s="2">
        <v>0</v>
      </c>
      <c r="B2382" s="38">
        <v>0</v>
      </c>
      <c r="C2382" s="79">
        <v>0</v>
      </c>
    </row>
    <row r="2383" spans="1:3" x14ac:dyDescent="0.25">
      <c r="A2383" s="2">
        <v>0</v>
      </c>
      <c r="B2383" s="38">
        <v>0</v>
      </c>
      <c r="C2383" s="79">
        <v>0</v>
      </c>
    </row>
    <row r="2384" spans="1:3" x14ac:dyDescent="0.25">
      <c r="A2384" s="2">
        <v>0</v>
      </c>
      <c r="B2384" s="38">
        <v>0</v>
      </c>
      <c r="C2384" s="79">
        <v>0</v>
      </c>
    </row>
    <row r="2385" spans="1:3" x14ac:dyDescent="0.25">
      <c r="A2385" s="2">
        <v>0</v>
      </c>
      <c r="B2385" s="38">
        <v>0</v>
      </c>
      <c r="C2385" s="79">
        <v>0</v>
      </c>
    </row>
    <row r="2386" spans="1:3" x14ac:dyDescent="0.25">
      <c r="A2386" s="2">
        <v>0</v>
      </c>
      <c r="B2386" s="38">
        <v>0</v>
      </c>
      <c r="C2386" s="79">
        <v>0</v>
      </c>
    </row>
    <row r="2387" spans="1:3" x14ac:dyDescent="0.25">
      <c r="A2387" s="2">
        <v>0</v>
      </c>
      <c r="B2387" s="38">
        <v>0</v>
      </c>
      <c r="C2387" s="79">
        <v>0</v>
      </c>
    </row>
    <row r="2388" spans="1:3" x14ac:dyDescent="0.25">
      <c r="A2388" s="2">
        <v>0</v>
      </c>
      <c r="B2388" s="38">
        <v>0</v>
      </c>
      <c r="C2388" s="79">
        <v>0</v>
      </c>
    </row>
    <row r="2389" spans="1:3" x14ac:dyDescent="0.25">
      <c r="A2389" s="2">
        <v>0</v>
      </c>
      <c r="B2389" s="38">
        <v>0</v>
      </c>
      <c r="C2389" s="79">
        <v>0</v>
      </c>
    </row>
    <row r="2390" spans="1:3" x14ac:dyDescent="0.25">
      <c r="A2390" s="2">
        <v>0</v>
      </c>
      <c r="B2390" s="38">
        <v>0</v>
      </c>
      <c r="C2390" s="79">
        <v>0</v>
      </c>
    </row>
    <row r="2391" spans="1:3" x14ac:dyDescent="0.25">
      <c r="A2391" s="2">
        <v>0</v>
      </c>
      <c r="B2391" s="38">
        <v>0</v>
      </c>
      <c r="C2391" s="79">
        <v>0</v>
      </c>
    </row>
    <row r="2392" spans="1:3" x14ac:dyDescent="0.25">
      <c r="A2392" s="2">
        <v>0</v>
      </c>
      <c r="B2392" s="38">
        <v>0</v>
      </c>
      <c r="C2392" s="79">
        <v>0</v>
      </c>
    </row>
    <row r="2393" spans="1:3" x14ac:dyDescent="0.25">
      <c r="A2393" s="2">
        <v>0</v>
      </c>
      <c r="B2393" s="38">
        <v>0</v>
      </c>
      <c r="C2393" s="79">
        <v>0</v>
      </c>
    </row>
    <row r="2394" spans="1:3" x14ac:dyDescent="0.25">
      <c r="A2394" s="2">
        <v>0</v>
      </c>
      <c r="B2394" s="38">
        <v>0</v>
      </c>
      <c r="C2394" s="79">
        <v>0</v>
      </c>
    </row>
    <row r="2395" spans="1:3" x14ac:dyDescent="0.25">
      <c r="A2395" s="2">
        <v>0</v>
      </c>
      <c r="B2395" s="38">
        <v>0</v>
      </c>
      <c r="C2395" s="79">
        <v>0</v>
      </c>
    </row>
    <row r="2396" spans="1:3" x14ac:dyDescent="0.25">
      <c r="A2396" s="2">
        <v>0</v>
      </c>
      <c r="B2396" s="38">
        <v>0</v>
      </c>
      <c r="C2396" s="79">
        <v>0</v>
      </c>
    </row>
    <row r="2397" spans="1:3" x14ac:dyDescent="0.25">
      <c r="A2397" s="2">
        <v>0</v>
      </c>
      <c r="B2397" s="38">
        <v>0</v>
      </c>
      <c r="C2397" s="79">
        <v>0</v>
      </c>
    </row>
    <row r="2398" spans="1:3" x14ac:dyDescent="0.25">
      <c r="A2398" s="2">
        <v>0</v>
      </c>
      <c r="B2398" s="38">
        <v>0</v>
      </c>
      <c r="C2398" s="79">
        <v>0</v>
      </c>
    </row>
    <row r="2399" spans="1:3" x14ac:dyDescent="0.25">
      <c r="A2399" s="2">
        <v>0</v>
      </c>
      <c r="B2399" s="38">
        <v>0</v>
      </c>
      <c r="C2399" s="79">
        <v>0</v>
      </c>
    </row>
    <row r="2400" spans="1:3" x14ac:dyDescent="0.25">
      <c r="A2400" s="2">
        <v>0</v>
      </c>
      <c r="B2400" s="38">
        <v>0</v>
      </c>
      <c r="C2400" s="79">
        <v>0</v>
      </c>
    </row>
    <row r="2401" spans="1:3" x14ac:dyDescent="0.25">
      <c r="A2401" s="2">
        <v>0</v>
      </c>
      <c r="B2401" s="38">
        <v>0</v>
      </c>
      <c r="C2401" s="79">
        <v>0</v>
      </c>
    </row>
    <row r="2402" spans="1:3" x14ac:dyDescent="0.25">
      <c r="A2402" s="2">
        <v>0</v>
      </c>
      <c r="B2402" s="38">
        <v>0</v>
      </c>
      <c r="C2402" s="79">
        <v>0</v>
      </c>
    </row>
    <row r="2403" spans="1:3" x14ac:dyDescent="0.25">
      <c r="A2403" s="2">
        <v>0</v>
      </c>
      <c r="B2403" s="38">
        <v>0</v>
      </c>
      <c r="C2403" s="79">
        <v>0</v>
      </c>
    </row>
    <row r="2404" spans="1:3" x14ac:dyDescent="0.25">
      <c r="A2404" s="2">
        <v>0</v>
      </c>
      <c r="B2404" s="38">
        <v>0</v>
      </c>
      <c r="C2404" s="79">
        <v>0</v>
      </c>
    </row>
    <row r="2405" spans="1:3" x14ac:dyDescent="0.25">
      <c r="A2405" s="2">
        <v>0</v>
      </c>
      <c r="B2405" s="38">
        <v>0</v>
      </c>
      <c r="C2405" s="79">
        <v>0</v>
      </c>
    </row>
    <row r="2406" spans="1:3" x14ac:dyDescent="0.25">
      <c r="A2406" s="2">
        <v>0</v>
      </c>
      <c r="B2406" s="38">
        <v>0</v>
      </c>
      <c r="C2406" s="79">
        <v>0</v>
      </c>
    </row>
    <row r="2407" spans="1:3" x14ac:dyDescent="0.25">
      <c r="A2407" s="2">
        <v>0</v>
      </c>
      <c r="B2407" s="38">
        <v>0</v>
      </c>
      <c r="C2407" s="79">
        <v>0</v>
      </c>
    </row>
    <row r="2408" spans="1:3" x14ac:dyDescent="0.25">
      <c r="A2408" s="2">
        <v>0</v>
      </c>
      <c r="B2408" s="38">
        <v>0</v>
      </c>
      <c r="C2408" s="79">
        <v>0</v>
      </c>
    </row>
    <row r="2409" spans="1:3" x14ac:dyDescent="0.25">
      <c r="A2409" s="2">
        <v>0</v>
      </c>
      <c r="B2409" s="38">
        <v>0</v>
      </c>
      <c r="C2409" s="79">
        <v>0</v>
      </c>
    </row>
    <row r="2410" spans="1:3" x14ac:dyDescent="0.25">
      <c r="A2410" s="2">
        <v>0</v>
      </c>
      <c r="B2410" s="38">
        <v>0</v>
      </c>
      <c r="C2410" s="79">
        <v>0</v>
      </c>
    </row>
    <row r="2411" spans="1:3" x14ac:dyDescent="0.25">
      <c r="A2411" s="2">
        <v>0</v>
      </c>
      <c r="B2411" s="38">
        <v>0</v>
      </c>
      <c r="C2411" s="79">
        <v>0</v>
      </c>
    </row>
    <row r="2412" spans="1:3" x14ac:dyDescent="0.25">
      <c r="A2412" s="2">
        <v>0</v>
      </c>
      <c r="B2412" s="38">
        <v>0</v>
      </c>
      <c r="C2412" s="79">
        <v>0</v>
      </c>
    </row>
    <row r="2413" spans="1:3" x14ac:dyDescent="0.25">
      <c r="A2413" s="2">
        <v>0</v>
      </c>
      <c r="B2413" s="38">
        <v>0</v>
      </c>
      <c r="C2413" s="79">
        <v>0</v>
      </c>
    </row>
    <row r="2414" spans="1:3" x14ac:dyDescent="0.25">
      <c r="A2414" s="2">
        <v>0</v>
      </c>
      <c r="B2414" s="38">
        <v>0</v>
      </c>
      <c r="C2414" s="79">
        <v>0</v>
      </c>
    </row>
    <row r="2415" spans="1:3" x14ac:dyDescent="0.25">
      <c r="A2415" s="2">
        <v>0</v>
      </c>
      <c r="B2415" s="38">
        <v>0</v>
      </c>
      <c r="C2415" s="79">
        <v>0</v>
      </c>
    </row>
    <row r="2416" spans="1:3" x14ac:dyDescent="0.25">
      <c r="A2416" s="2">
        <v>0</v>
      </c>
      <c r="B2416" s="38">
        <v>0</v>
      </c>
      <c r="C2416" s="79">
        <v>0</v>
      </c>
    </row>
    <row r="2417" spans="1:3" x14ac:dyDescent="0.25">
      <c r="A2417" s="2">
        <v>0</v>
      </c>
      <c r="B2417" s="38">
        <v>0</v>
      </c>
      <c r="C2417" s="79">
        <v>0</v>
      </c>
    </row>
    <row r="2418" spans="1:3" x14ac:dyDescent="0.25">
      <c r="A2418" s="2">
        <v>0</v>
      </c>
      <c r="B2418" s="38">
        <v>0</v>
      </c>
      <c r="C2418" s="79">
        <v>0</v>
      </c>
    </row>
    <row r="2419" spans="1:3" x14ac:dyDescent="0.25">
      <c r="A2419" s="2">
        <v>0</v>
      </c>
      <c r="B2419" s="38">
        <v>0</v>
      </c>
      <c r="C2419" s="79">
        <v>0</v>
      </c>
    </row>
    <row r="2420" spans="1:3" x14ac:dyDescent="0.25">
      <c r="A2420" s="2">
        <v>0</v>
      </c>
      <c r="B2420" s="38">
        <v>0</v>
      </c>
      <c r="C2420" s="79">
        <v>0</v>
      </c>
    </row>
    <row r="2421" spans="1:3" x14ac:dyDescent="0.25">
      <c r="A2421" s="2">
        <v>0</v>
      </c>
      <c r="B2421" s="38">
        <v>0</v>
      </c>
      <c r="C2421" s="79">
        <v>0</v>
      </c>
    </row>
    <row r="2422" spans="1:3" x14ac:dyDescent="0.25">
      <c r="A2422" s="2">
        <v>0</v>
      </c>
      <c r="B2422" s="38">
        <v>0</v>
      </c>
      <c r="C2422" s="79">
        <v>0</v>
      </c>
    </row>
    <row r="2423" spans="1:3" x14ac:dyDescent="0.25">
      <c r="A2423" s="2">
        <v>0</v>
      </c>
      <c r="B2423" s="38">
        <v>0</v>
      </c>
      <c r="C2423" s="79">
        <v>0</v>
      </c>
    </row>
    <row r="2424" spans="1:3" x14ac:dyDescent="0.25">
      <c r="A2424" s="2">
        <v>0</v>
      </c>
      <c r="B2424" s="38">
        <v>0</v>
      </c>
      <c r="C2424" s="79">
        <v>0</v>
      </c>
    </row>
    <row r="2425" spans="1:3" x14ac:dyDescent="0.25">
      <c r="A2425" s="2">
        <v>0</v>
      </c>
      <c r="B2425" s="38">
        <v>0</v>
      </c>
      <c r="C2425" s="79">
        <v>0</v>
      </c>
    </row>
    <row r="2426" spans="1:3" x14ac:dyDescent="0.25">
      <c r="A2426" s="2">
        <v>0</v>
      </c>
      <c r="B2426" s="38">
        <v>0</v>
      </c>
      <c r="C2426" s="79">
        <v>0</v>
      </c>
    </row>
    <row r="2427" spans="1:3" x14ac:dyDescent="0.25">
      <c r="A2427" s="2">
        <v>0</v>
      </c>
      <c r="B2427" s="38">
        <v>0</v>
      </c>
      <c r="C2427" s="79">
        <v>0</v>
      </c>
    </row>
    <row r="2428" spans="1:3" x14ac:dyDescent="0.25">
      <c r="A2428" s="2">
        <v>0</v>
      </c>
      <c r="B2428" s="38">
        <v>0</v>
      </c>
      <c r="C2428" s="79">
        <v>0</v>
      </c>
    </row>
    <row r="2429" spans="1:3" x14ac:dyDescent="0.25">
      <c r="A2429" s="2">
        <v>0</v>
      </c>
      <c r="B2429" s="38">
        <v>0</v>
      </c>
      <c r="C2429" s="79">
        <v>0</v>
      </c>
    </row>
    <row r="2430" spans="1:3" x14ac:dyDescent="0.25">
      <c r="A2430" s="2">
        <v>0</v>
      </c>
      <c r="B2430" s="38">
        <v>0</v>
      </c>
      <c r="C2430" s="79">
        <v>0</v>
      </c>
    </row>
    <row r="2431" spans="1:3" x14ac:dyDescent="0.25">
      <c r="A2431" s="2">
        <v>0</v>
      </c>
      <c r="B2431" s="38">
        <v>0</v>
      </c>
      <c r="C2431" s="79">
        <v>0</v>
      </c>
    </row>
    <row r="2432" spans="1:3" x14ac:dyDescent="0.25">
      <c r="A2432" s="2">
        <v>0</v>
      </c>
      <c r="B2432" s="38">
        <v>0</v>
      </c>
      <c r="C2432" s="79">
        <v>0</v>
      </c>
    </row>
    <row r="2433" spans="1:3" x14ac:dyDescent="0.25">
      <c r="A2433" s="2">
        <v>0</v>
      </c>
      <c r="B2433" s="38">
        <v>0</v>
      </c>
      <c r="C2433" s="79">
        <v>0</v>
      </c>
    </row>
    <row r="2434" spans="1:3" x14ac:dyDescent="0.25">
      <c r="A2434" s="2">
        <v>0</v>
      </c>
      <c r="B2434" s="38">
        <v>0</v>
      </c>
      <c r="C2434" s="79">
        <v>0</v>
      </c>
    </row>
    <row r="2435" spans="1:3" x14ac:dyDescent="0.25">
      <c r="A2435" s="2">
        <v>0</v>
      </c>
      <c r="B2435" s="38">
        <v>0</v>
      </c>
      <c r="C2435" s="79">
        <v>0</v>
      </c>
    </row>
    <row r="2436" spans="1:3" x14ac:dyDescent="0.25">
      <c r="A2436" s="2">
        <v>0</v>
      </c>
      <c r="B2436" s="38">
        <v>0</v>
      </c>
      <c r="C2436" s="79">
        <v>0</v>
      </c>
    </row>
    <row r="2437" spans="1:3" x14ac:dyDescent="0.25">
      <c r="A2437" s="2">
        <v>0</v>
      </c>
      <c r="B2437" s="38">
        <v>0</v>
      </c>
      <c r="C2437" s="79">
        <v>0</v>
      </c>
    </row>
    <row r="2438" spans="1:3" x14ac:dyDescent="0.25">
      <c r="A2438" s="2">
        <v>0</v>
      </c>
      <c r="B2438" s="38">
        <v>0</v>
      </c>
      <c r="C2438" s="79">
        <v>0</v>
      </c>
    </row>
    <row r="2439" spans="1:3" x14ac:dyDescent="0.25">
      <c r="A2439" s="2">
        <v>0</v>
      </c>
      <c r="B2439" s="38">
        <v>0</v>
      </c>
      <c r="C2439" s="79">
        <v>0</v>
      </c>
    </row>
    <row r="2440" spans="1:3" x14ac:dyDescent="0.25">
      <c r="A2440" s="2">
        <v>0</v>
      </c>
      <c r="B2440" s="38">
        <v>0</v>
      </c>
      <c r="C2440" s="79">
        <v>0</v>
      </c>
    </row>
    <row r="2441" spans="1:3" x14ac:dyDescent="0.25">
      <c r="A2441" s="2">
        <v>0</v>
      </c>
      <c r="B2441" s="38">
        <v>0</v>
      </c>
      <c r="C2441" s="79">
        <v>0</v>
      </c>
    </row>
    <row r="2442" spans="1:3" x14ac:dyDescent="0.25">
      <c r="A2442" s="2">
        <v>0</v>
      </c>
      <c r="B2442" s="38">
        <v>0</v>
      </c>
      <c r="C2442" s="79">
        <v>0</v>
      </c>
    </row>
    <row r="2443" spans="1:3" x14ac:dyDescent="0.25">
      <c r="A2443" s="2">
        <v>0</v>
      </c>
      <c r="B2443" s="38">
        <v>0</v>
      </c>
      <c r="C2443" s="79">
        <v>0</v>
      </c>
    </row>
    <row r="2444" spans="1:3" x14ac:dyDescent="0.25">
      <c r="A2444" s="2">
        <v>0</v>
      </c>
      <c r="B2444" s="38">
        <v>0</v>
      </c>
      <c r="C2444" s="79">
        <v>0</v>
      </c>
    </row>
    <row r="2445" spans="1:3" x14ac:dyDescent="0.25">
      <c r="A2445" s="2">
        <v>0</v>
      </c>
      <c r="B2445" s="38">
        <v>0</v>
      </c>
      <c r="C2445" s="79">
        <v>0</v>
      </c>
    </row>
    <row r="2446" spans="1:3" x14ac:dyDescent="0.25">
      <c r="A2446" s="2">
        <v>0</v>
      </c>
      <c r="B2446" s="38">
        <v>0</v>
      </c>
      <c r="C2446" s="79">
        <v>0</v>
      </c>
    </row>
    <row r="2447" spans="1:3" x14ac:dyDescent="0.25">
      <c r="A2447" s="2">
        <v>0</v>
      </c>
      <c r="B2447" s="38">
        <v>0</v>
      </c>
      <c r="C2447" s="79">
        <v>0</v>
      </c>
    </row>
    <row r="2448" spans="1:3" x14ac:dyDescent="0.25">
      <c r="A2448" s="2">
        <v>0</v>
      </c>
      <c r="B2448" s="38">
        <v>0</v>
      </c>
      <c r="C2448" s="79">
        <v>0</v>
      </c>
    </row>
    <row r="2449" spans="1:3" x14ac:dyDescent="0.25">
      <c r="A2449" s="2">
        <v>0</v>
      </c>
      <c r="B2449" s="38">
        <v>0</v>
      </c>
      <c r="C2449" s="79">
        <v>0</v>
      </c>
    </row>
    <row r="2450" spans="1:3" x14ac:dyDescent="0.25">
      <c r="A2450" s="2">
        <v>0</v>
      </c>
      <c r="B2450" s="38">
        <v>0</v>
      </c>
      <c r="C2450" s="79">
        <v>0</v>
      </c>
    </row>
    <row r="2451" spans="1:3" x14ac:dyDescent="0.25">
      <c r="A2451" s="2">
        <v>0</v>
      </c>
      <c r="B2451" s="38">
        <v>0</v>
      </c>
      <c r="C2451" s="79">
        <v>0</v>
      </c>
    </row>
    <row r="2452" spans="1:3" x14ac:dyDescent="0.25">
      <c r="A2452" s="2">
        <v>0</v>
      </c>
      <c r="B2452" s="38">
        <v>0</v>
      </c>
      <c r="C2452" s="79">
        <v>0</v>
      </c>
    </row>
    <row r="2453" spans="1:3" x14ac:dyDescent="0.25">
      <c r="A2453" s="2">
        <v>0</v>
      </c>
      <c r="B2453" s="38">
        <v>0</v>
      </c>
      <c r="C2453" s="79">
        <v>0</v>
      </c>
    </row>
    <row r="2454" spans="1:3" x14ac:dyDescent="0.25">
      <c r="A2454" s="2">
        <v>0</v>
      </c>
      <c r="B2454" s="38">
        <v>0</v>
      </c>
      <c r="C2454" s="79">
        <v>0</v>
      </c>
    </row>
    <row r="2455" spans="1:3" x14ac:dyDescent="0.25">
      <c r="A2455" s="2">
        <v>0</v>
      </c>
      <c r="B2455" s="38">
        <v>0</v>
      </c>
      <c r="C2455" s="79">
        <v>0</v>
      </c>
    </row>
    <row r="2456" spans="1:3" x14ac:dyDescent="0.25">
      <c r="A2456" s="2">
        <v>0</v>
      </c>
      <c r="B2456" s="38">
        <v>0</v>
      </c>
      <c r="C2456" s="79">
        <v>0</v>
      </c>
    </row>
    <row r="2457" spans="1:3" x14ac:dyDescent="0.25">
      <c r="A2457" s="2">
        <v>0</v>
      </c>
      <c r="B2457" s="38">
        <v>0</v>
      </c>
      <c r="C2457" s="79">
        <v>0</v>
      </c>
    </row>
    <row r="2458" spans="1:3" x14ac:dyDescent="0.25">
      <c r="A2458" s="2">
        <v>0</v>
      </c>
      <c r="B2458" s="38">
        <v>0</v>
      </c>
      <c r="C2458" s="79">
        <v>0</v>
      </c>
    </row>
    <row r="2459" spans="1:3" x14ac:dyDescent="0.25">
      <c r="A2459" s="2">
        <v>0</v>
      </c>
      <c r="B2459" s="38">
        <v>0</v>
      </c>
      <c r="C2459" s="79">
        <v>0</v>
      </c>
    </row>
    <row r="2460" spans="1:3" x14ac:dyDescent="0.25">
      <c r="A2460" s="2">
        <v>0</v>
      </c>
      <c r="B2460" s="38">
        <v>0</v>
      </c>
      <c r="C2460" s="79">
        <v>0</v>
      </c>
    </row>
    <row r="2461" spans="1:3" x14ac:dyDescent="0.25">
      <c r="A2461" s="2">
        <v>0</v>
      </c>
      <c r="B2461" s="38">
        <v>0</v>
      </c>
      <c r="C2461" s="79">
        <v>0</v>
      </c>
    </row>
    <row r="2462" spans="1:3" x14ac:dyDescent="0.25">
      <c r="A2462" s="2">
        <v>0</v>
      </c>
      <c r="B2462" s="38">
        <v>0</v>
      </c>
      <c r="C2462" s="79">
        <v>0</v>
      </c>
    </row>
    <row r="2463" spans="1:3" x14ac:dyDescent="0.25">
      <c r="A2463" s="2">
        <v>0</v>
      </c>
      <c r="B2463" s="38">
        <v>0</v>
      </c>
      <c r="C2463" s="79">
        <v>0</v>
      </c>
    </row>
    <row r="2464" spans="1:3" x14ac:dyDescent="0.25">
      <c r="A2464" s="2">
        <v>0</v>
      </c>
      <c r="B2464" s="38">
        <v>0</v>
      </c>
      <c r="C2464" s="79">
        <v>0</v>
      </c>
    </row>
    <row r="2465" spans="1:3" x14ac:dyDescent="0.25">
      <c r="A2465" s="2">
        <v>0</v>
      </c>
      <c r="B2465" s="38">
        <v>0</v>
      </c>
      <c r="C2465" s="79">
        <v>0</v>
      </c>
    </row>
    <row r="2466" spans="1:3" x14ac:dyDescent="0.25">
      <c r="A2466" s="2">
        <v>0</v>
      </c>
      <c r="B2466" s="38">
        <v>0</v>
      </c>
      <c r="C2466" s="79">
        <v>0</v>
      </c>
    </row>
    <row r="2467" spans="1:3" x14ac:dyDescent="0.25">
      <c r="A2467" s="2">
        <v>0</v>
      </c>
      <c r="B2467" s="38">
        <v>0</v>
      </c>
      <c r="C2467" s="79">
        <v>0</v>
      </c>
    </row>
    <row r="2468" spans="1:3" x14ac:dyDescent="0.25">
      <c r="A2468" s="2">
        <v>0</v>
      </c>
      <c r="B2468" s="38">
        <v>0</v>
      </c>
      <c r="C2468" s="79">
        <v>0</v>
      </c>
    </row>
    <row r="2469" spans="1:3" x14ac:dyDescent="0.25">
      <c r="A2469" s="2">
        <v>0</v>
      </c>
      <c r="B2469" s="38">
        <v>0</v>
      </c>
      <c r="C2469" s="79">
        <v>0</v>
      </c>
    </row>
    <row r="2470" spans="1:3" x14ac:dyDescent="0.25">
      <c r="A2470" s="2">
        <v>0</v>
      </c>
      <c r="B2470" s="38">
        <v>0</v>
      </c>
      <c r="C2470" s="79">
        <v>0</v>
      </c>
    </row>
    <row r="2471" spans="1:3" x14ac:dyDescent="0.25">
      <c r="A2471" s="2">
        <v>0</v>
      </c>
      <c r="B2471" s="38">
        <v>0</v>
      </c>
      <c r="C2471" s="79">
        <v>0</v>
      </c>
    </row>
    <row r="2472" spans="1:3" x14ac:dyDescent="0.25">
      <c r="A2472" s="2">
        <v>0</v>
      </c>
      <c r="B2472" s="38">
        <v>0</v>
      </c>
      <c r="C2472" s="79">
        <v>0</v>
      </c>
    </row>
    <row r="2473" spans="1:3" x14ac:dyDescent="0.25">
      <c r="A2473" s="2">
        <v>0</v>
      </c>
      <c r="B2473" s="38">
        <v>0</v>
      </c>
      <c r="C2473" s="79">
        <v>0</v>
      </c>
    </row>
    <row r="2474" spans="1:3" x14ac:dyDescent="0.25">
      <c r="A2474" s="2">
        <v>0</v>
      </c>
      <c r="B2474" s="38">
        <v>0</v>
      </c>
      <c r="C2474" s="79">
        <v>0</v>
      </c>
    </row>
    <row r="2475" spans="1:3" x14ac:dyDescent="0.25">
      <c r="A2475" s="2">
        <v>0</v>
      </c>
      <c r="B2475" s="38">
        <v>0</v>
      </c>
      <c r="C2475" s="79">
        <v>0</v>
      </c>
    </row>
    <row r="2476" spans="1:3" x14ac:dyDescent="0.25">
      <c r="A2476" s="2">
        <v>0</v>
      </c>
      <c r="B2476" s="38">
        <v>0</v>
      </c>
      <c r="C2476" s="79">
        <v>0</v>
      </c>
    </row>
    <row r="2477" spans="1:3" x14ac:dyDescent="0.25">
      <c r="A2477" s="2">
        <v>0</v>
      </c>
      <c r="B2477" s="38">
        <v>0</v>
      </c>
      <c r="C2477" s="79">
        <v>0</v>
      </c>
    </row>
    <row r="2478" spans="1:3" x14ac:dyDescent="0.25">
      <c r="A2478" s="2">
        <v>0</v>
      </c>
      <c r="B2478" s="38">
        <v>0</v>
      </c>
      <c r="C2478" s="79">
        <v>0</v>
      </c>
    </row>
    <row r="2479" spans="1:3" x14ac:dyDescent="0.25">
      <c r="A2479" s="2">
        <v>0</v>
      </c>
      <c r="B2479" s="38">
        <v>0</v>
      </c>
      <c r="C2479" s="79">
        <v>0</v>
      </c>
    </row>
    <row r="2480" spans="1:3" x14ac:dyDescent="0.25">
      <c r="A2480" s="2">
        <v>0</v>
      </c>
      <c r="B2480" s="38">
        <v>0</v>
      </c>
      <c r="C2480" s="79">
        <v>0</v>
      </c>
    </row>
    <row r="2481" spans="1:3" x14ac:dyDescent="0.25">
      <c r="A2481" s="2">
        <v>0</v>
      </c>
      <c r="B2481" s="38">
        <v>0</v>
      </c>
      <c r="C2481" s="79">
        <v>0</v>
      </c>
    </row>
    <row r="2482" spans="1:3" x14ac:dyDescent="0.25">
      <c r="A2482" s="2">
        <v>0</v>
      </c>
      <c r="B2482" s="38">
        <v>0</v>
      </c>
      <c r="C2482" s="79">
        <v>0</v>
      </c>
    </row>
    <row r="2483" spans="1:3" x14ac:dyDescent="0.25">
      <c r="A2483" s="2">
        <v>0</v>
      </c>
      <c r="B2483" s="38">
        <v>0</v>
      </c>
      <c r="C2483" s="79">
        <v>0</v>
      </c>
    </row>
    <row r="2484" spans="1:3" x14ac:dyDescent="0.25">
      <c r="A2484" s="2">
        <v>0</v>
      </c>
      <c r="B2484" s="38">
        <v>0</v>
      </c>
      <c r="C2484" s="79">
        <v>0</v>
      </c>
    </row>
    <row r="2485" spans="1:3" x14ac:dyDescent="0.25">
      <c r="A2485" s="2">
        <v>0</v>
      </c>
      <c r="B2485" s="38">
        <v>0</v>
      </c>
      <c r="C2485" s="79">
        <v>0</v>
      </c>
    </row>
    <row r="2486" spans="1:3" x14ac:dyDescent="0.25">
      <c r="A2486" s="2">
        <v>0</v>
      </c>
      <c r="B2486" s="38">
        <v>0</v>
      </c>
      <c r="C2486" s="79">
        <v>0</v>
      </c>
    </row>
    <row r="2487" spans="1:3" x14ac:dyDescent="0.25">
      <c r="A2487" s="2">
        <v>0</v>
      </c>
      <c r="B2487" s="38">
        <v>0</v>
      </c>
      <c r="C2487" s="79">
        <v>0</v>
      </c>
    </row>
    <row r="2488" spans="1:3" x14ac:dyDescent="0.25">
      <c r="A2488" s="2">
        <v>0</v>
      </c>
      <c r="B2488" s="38">
        <v>0</v>
      </c>
      <c r="C2488" s="79">
        <v>0</v>
      </c>
    </row>
    <row r="2489" spans="1:3" x14ac:dyDescent="0.25">
      <c r="A2489" s="2">
        <v>0</v>
      </c>
      <c r="B2489" s="38">
        <v>0</v>
      </c>
      <c r="C2489" s="79">
        <v>0</v>
      </c>
    </row>
    <row r="2490" spans="1:3" x14ac:dyDescent="0.25">
      <c r="A2490" s="2">
        <v>0</v>
      </c>
      <c r="B2490" s="38">
        <v>0</v>
      </c>
      <c r="C2490" s="79">
        <v>0</v>
      </c>
    </row>
    <row r="2491" spans="1:3" x14ac:dyDescent="0.25">
      <c r="A2491" s="2">
        <v>0</v>
      </c>
      <c r="B2491" s="38">
        <v>0</v>
      </c>
      <c r="C2491" s="79">
        <v>0</v>
      </c>
    </row>
    <row r="2492" spans="1:3" x14ac:dyDescent="0.25">
      <c r="A2492" s="2">
        <v>0</v>
      </c>
      <c r="B2492" s="38">
        <v>0</v>
      </c>
      <c r="C2492" s="79">
        <v>0</v>
      </c>
    </row>
    <row r="2493" spans="1:3" x14ac:dyDescent="0.25">
      <c r="A2493" s="2">
        <v>0</v>
      </c>
      <c r="B2493" s="38">
        <v>0</v>
      </c>
      <c r="C2493" s="79">
        <v>0</v>
      </c>
    </row>
    <row r="2494" spans="1:3" x14ac:dyDescent="0.25">
      <c r="A2494" s="2">
        <v>0</v>
      </c>
      <c r="B2494" s="38">
        <v>0</v>
      </c>
      <c r="C2494" s="79">
        <v>0</v>
      </c>
    </row>
    <row r="2495" spans="1:3" x14ac:dyDescent="0.25">
      <c r="A2495" s="2">
        <v>0</v>
      </c>
      <c r="B2495" s="38">
        <v>0</v>
      </c>
      <c r="C2495" s="79">
        <v>0</v>
      </c>
    </row>
    <row r="2496" spans="1:3" x14ac:dyDescent="0.25">
      <c r="A2496" s="2">
        <v>0</v>
      </c>
      <c r="B2496" s="38">
        <v>0</v>
      </c>
      <c r="C2496" s="79">
        <v>0</v>
      </c>
    </row>
    <row r="2497" spans="1:3" x14ac:dyDescent="0.25">
      <c r="A2497" s="2">
        <v>0</v>
      </c>
      <c r="B2497" s="38">
        <v>0</v>
      </c>
      <c r="C2497" s="79">
        <v>0</v>
      </c>
    </row>
    <row r="2498" spans="1:3" x14ac:dyDescent="0.25">
      <c r="A2498" s="2">
        <v>0</v>
      </c>
      <c r="B2498" s="38">
        <v>0</v>
      </c>
      <c r="C2498" s="79">
        <v>0</v>
      </c>
    </row>
    <row r="2499" spans="1:3" x14ac:dyDescent="0.25">
      <c r="A2499" s="2">
        <v>0</v>
      </c>
      <c r="B2499" s="38">
        <v>0</v>
      </c>
      <c r="C2499" s="79">
        <v>0</v>
      </c>
    </row>
    <row r="2500" spans="1:3" x14ac:dyDescent="0.25">
      <c r="A2500" s="2">
        <v>0</v>
      </c>
      <c r="B2500" s="38">
        <v>0</v>
      </c>
      <c r="C2500" s="79">
        <v>0</v>
      </c>
    </row>
    <row r="2501" spans="1:3" x14ac:dyDescent="0.25">
      <c r="A2501" s="2">
        <v>0</v>
      </c>
      <c r="B2501" s="38">
        <v>0</v>
      </c>
      <c r="C2501" s="79">
        <v>0</v>
      </c>
    </row>
    <row r="2502" spans="1:3" x14ac:dyDescent="0.25">
      <c r="A2502" s="2">
        <v>0</v>
      </c>
      <c r="B2502" s="38">
        <v>0</v>
      </c>
      <c r="C2502" s="79">
        <v>0</v>
      </c>
    </row>
    <row r="2503" spans="1:3" x14ac:dyDescent="0.25">
      <c r="A2503" s="2">
        <v>0</v>
      </c>
      <c r="B2503" s="38">
        <v>0</v>
      </c>
      <c r="C2503" s="79">
        <v>0</v>
      </c>
    </row>
    <row r="2504" spans="1:3" x14ac:dyDescent="0.25">
      <c r="A2504" s="2">
        <v>0</v>
      </c>
      <c r="B2504" s="38">
        <v>0</v>
      </c>
      <c r="C2504" s="79">
        <v>0</v>
      </c>
    </row>
    <row r="2505" spans="1:3" x14ac:dyDescent="0.25">
      <c r="A2505" s="2">
        <v>0</v>
      </c>
      <c r="B2505" s="38">
        <v>0</v>
      </c>
      <c r="C2505" s="79">
        <v>0</v>
      </c>
    </row>
    <row r="2506" spans="1:3" x14ac:dyDescent="0.25">
      <c r="A2506" s="2">
        <v>0</v>
      </c>
      <c r="B2506" s="38">
        <v>0</v>
      </c>
      <c r="C2506" s="79">
        <v>0</v>
      </c>
    </row>
    <row r="2507" spans="1:3" x14ac:dyDescent="0.25">
      <c r="A2507" s="2">
        <v>0</v>
      </c>
      <c r="B2507" s="38">
        <v>0</v>
      </c>
      <c r="C2507" s="79">
        <v>0</v>
      </c>
    </row>
    <row r="2508" spans="1:3" x14ac:dyDescent="0.25">
      <c r="A2508" s="2">
        <v>0</v>
      </c>
      <c r="B2508" s="38">
        <v>0</v>
      </c>
      <c r="C2508" s="79">
        <v>0</v>
      </c>
    </row>
    <row r="2509" spans="1:3" x14ac:dyDescent="0.25">
      <c r="A2509" s="2">
        <v>0</v>
      </c>
      <c r="B2509" s="38">
        <v>0</v>
      </c>
      <c r="C2509" s="79">
        <v>0</v>
      </c>
    </row>
    <row r="2510" spans="1:3" x14ac:dyDescent="0.25">
      <c r="A2510" s="2">
        <v>0</v>
      </c>
      <c r="B2510" s="38">
        <v>0</v>
      </c>
      <c r="C2510" s="79">
        <v>0</v>
      </c>
    </row>
    <row r="2511" spans="1:3" x14ac:dyDescent="0.25">
      <c r="A2511" s="2">
        <v>0</v>
      </c>
      <c r="B2511" s="38">
        <v>0</v>
      </c>
      <c r="C2511" s="79">
        <v>0</v>
      </c>
    </row>
    <row r="2512" spans="1:3" x14ac:dyDescent="0.25">
      <c r="A2512" s="2">
        <v>0</v>
      </c>
      <c r="B2512" s="38">
        <v>0</v>
      </c>
      <c r="C2512" s="79">
        <v>0</v>
      </c>
    </row>
    <row r="2513" spans="1:3" x14ac:dyDescent="0.25">
      <c r="A2513" s="2">
        <v>0</v>
      </c>
      <c r="B2513" s="38">
        <v>0</v>
      </c>
      <c r="C2513" s="79">
        <v>0</v>
      </c>
    </row>
    <row r="2514" spans="1:3" x14ac:dyDescent="0.25">
      <c r="A2514" s="2">
        <v>0</v>
      </c>
      <c r="B2514" s="38">
        <v>0</v>
      </c>
      <c r="C2514" s="79">
        <v>0</v>
      </c>
    </row>
    <row r="2515" spans="1:3" x14ac:dyDescent="0.25">
      <c r="A2515" s="2">
        <v>0</v>
      </c>
      <c r="B2515" s="38">
        <v>0</v>
      </c>
      <c r="C2515" s="79">
        <v>0</v>
      </c>
    </row>
    <row r="2516" spans="1:3" x14ac:dyDescent="0.25">
      <c r="A2516" s="2">
        <v>0</v>
      </c>
      <c r="B2516" s="38">
        <v>0</v>
      </c>
      <c r="C2516" s="79">
        <v>0</v>
      </c>
    </row>
    <row r="2517" spans="1:3" x14ac:dyDescent="0.25">
      <c r="A2517" s="2">
        <v>0</v>
      </c>
      <c r="B2517" s="38">
        <v>0</v>
      </c>
      <c r="C2517" s="79">
        <v>0</v>
      </c>
    </row>
    <row r="2518" spans="1:3" x14ac:dyDescent="0.25">
      <c r="A2518" s="2">
        <v>0</v>
      </c>
      <c r="B2518" s="38">
        <v>0</v>
      </c>
      <c r="C2518" s="79">
        <v>0</v>
      </c>
    </row>
    <row r="2519" spans="1:3" x14ac:dyDescent="0.25">
      <c r="A2519" s="2">
        <v>0</v>
      </c>
      <c r="B2519" s="38">
        <v>0</v>
      </c>
      <c r="C2519" s="79">
        <v>0</v>
      </c>
    </row>
    <row r="2520" spans="1:3" x14ac:dyDescent="0.25">
      <c r="A2520" s="2">
        <v>0</v>
      </c>
      <c r="B2520" s="38">
        <v>0</v>
      </c>
      <c r="C2520" s="79">
        <v>0</v>
      </c>
    </row>
    <row r="2521" spans="1:3" x14ac:dyDescent="0.25">
      <c r="A2521" s="2">
        <v>0</v>
      </c>
      <c r="B2521" s="38">
        <v>0</v>
      </c>
      <c r="C2521" s="79">
        <v>0</v>
      </c>
    </row>
    <row r="2522" spans="1:3" x14ac:dyDescent="0.25">
      <c r="A2522" s="2">
        <v>0</v>
      </c>
      <c r="B2522" s="38">
        <v>0</v>
      </c>
      <c r="C2522" s="79">
        <v>0</v>
      </c>
    </row>
    <row r="2523" spans="1:3" x14ac:dyDescent="0.25">
      <c r="A2523" s="2">
        <v>0</v>
      </c>
      <c r="B2523" s="38">
        <v>0</v>
      </c>
      <c r="C2523" s="79">
        <v>0</v>
      </c>
    </row>
    <row r="2524" spans="1:3" x14ac:dyDescent="0.25">
      <c r="A2524" s="2">
        <v>0</v>
      </c>
      <c r="B2524" s="38">
        <v>0</v>
      </c>
      <c r="C2524" s="79">
        <v>0</v>
      </c>
    </row>
    <row r="2525" spans="1:3" x14ac:dyDescent="0.25">
      <c r="A2525" s="2">
        <v>0</v>
      </c>
      <c r="B2525" s="38">
        <v>0</v>
      </c>
      <c r="C2525" s="79">
        <v>0</v>
      </c>
    </row>
    <row r="2526" spans="1:3" x14ac:dyDescent="0.25">
      <c r="A2526" s="2">
        <v>0</v>
      </c>
      <c r="B2526" s="38">
        <v>0</v>
      </c>
      <c r="C2526" s="79">
        <v>0</v>
      </c>
    </row>
    <row r="2527" spans="1:3" x14ac:dyDescent="0.25">
      <c r="A2527" s="2">
        <v>0</v>
      </c>
      <c r="B2527" s="38">
        <v>0</v>
      </c>
      <c r="C2527" s="79">
        <v>0</v>
      </c>
    </row>
    <row r="2528" spans="1:3" x14ac:dyDescent="0.25">
      <c r="A2528" s="2">
        <v>0</v>
      </c>
      <c r="B2528" s="38">
        <v>0</v>
      </c>
      <c r="C2528" s="79">
        <v>0</v>
      </c>
    </row>
    <row r="2529" spans="1:3" x14ac:dyDescent="0.25">
      <c r="A2529" s="2">
        <v>0</v>
      </c>
      <c r="B2529" s="38">
        <v>0</v>
      </c>
      <c r="C2529" s="79">
        <v>0</v>
      </c>
    </row>
    <row r="2530" spans="1:3" x14ac:dyDescent="0.25">
      <c r="A2530" s="2">
        <v>0</v>
      </c>
      <c r="B2530" s="38">
        <v>0</v>
      </c>
      <c r="C2530" s="79">
        <v>0</v>
      </c>
    </row>
    <row r="2531" spans="1:3" x14ac:dyDescent="0.25">
      <c r="A2531" s="2">
        <v>0</v>
      </c>
      <c r="B2531" s="38">
        <v>0</v>
      </c>
      <c r="C2531" s="79">
        <v>0</v>
      </c>
    </row>
    <row r="2532" spans="1:3" x14ac:dyDescent="0.25">
      <c r="A2532" s="2">
        <v>0</v>
      </c>
      <c r="B2532" s="38">
        <v>0</v>
      </c>
      <c r="C2532" s="79">
        <v>0</v>
      </c>
    </row>
    <row r="2533" spans="1:3" x14ac:dyDescent="0.25">
      <c r="A2533" s="2">
        <v>0</v>
      </c>
      <c r="B2533" s="38">
        <v>0</v>
      </c>
      <c r="C2533" s="79">
        <v>0</v>
      </c>
    </row>
    <row r="2534" spans="1:3" x14ac:dyDescent="0.25">
      <c r="A2534" s="2">
        <v>0</v>
      </c>
      <c r="B2534" s="38">
        <v>0</v>
      </c>
      <c r="C2534" s="79">
        <v>0</v>
      </c>
    </row>
    <row r="2535" spans="1:3" x14ac:dyDescent="0.25">
      <c r="A2535" s="2">
        <v>0</v>
      </c>
      <c r="B2535" s="38">
        <v>0</v>
      </c>
      <c r="C2535" s="79">
        <v>0</v>
      </c>
    </row>
    <row r="2536" spans="1:3" x14ac:dyDescent="0.25">
      <c r="A2536" s="2">
        <v>0</v>
      </c>
      <c r="B2536" s="38">
        <v>0</v>
      </c>
      <c r="C2536" s="79">
        <v>0</v>
      </c>
    </row>
    <row r="2537" spans="1:3" x14ac:dyDescent="0.25">
      <c r="A2537" s="2">
        <v>0</v>
      </c>
      <c r="B2537" s="38">
        <v>0</v>
      </c>
      <c r="C2537" s="79">
        <v>0</v>
      </c>
    </row>
    <row r="2538" spans="1:3" x14ac:dyDescent="0.25">
      <c r="A2538" s="2">
        <v>0</v>
      </c>
      <c r="B2538" s="38">
        <v>0</v>
      </c>
      <c r="C2538" s="79">
        <v>0</v>
      </c>
    </row>
    <row r="2539" spans="1:3" x14ac:dyDescent="0.25">
      <c r="A2539" s="2">
        <v>0</v>
      </c>
      <c r="B2539" s="38">
        <v>0</v>
      </c>
      <c r="C2539" s="79">
        <v>0</v>
      </c>
    </row>
    <row r="2540" spans="1:3" x14ac:dyDescent="0.25">
      <c r="A2540" s="2">
        <v>0</v>
      </c>
      <c r="B2540" s="38">
        <v>0</v>
      </c>
      <c r="C2540" s="79">
        <v>0</v>
      </c>
    </row>
    <row r="2541" spans="1:3" x14ac:dyDescent="0.25">
      <c r="A2541" s="2">
        <v>0</v>
      </c>
      <c r="B2541" s="38">
        <v>0</v>
      </c>
      <c r="C2541" s="79">
        <v>0</v>
      </c>
    </row>
    <row r="2542" spans="1:3" x14ac:dyDescent="0.25">
      <c r="A2542" s="2">
        <v>0</v>
      </c>
      <c r="B2542" s="38">
        <v>0</v>
      </c>
      <c r="C2542" s="79">
        <v>0</v>
      </c>
    </row>
    <row r="2543" spans="1:3" x14ac:dyDescent="0.25">
      <c r="A2543" s="2">
        <v>0</v>
      </c>
      <c r="B2543" s="38">
        <v>0</v>
      </c>
      <c r="C2543" s="79">
        <v>0</v>
      </c>
    </row>
    <row r="2544" spans="1:3" x14ac:dyDescent="0.25">
      <c r="A2544" s="2">
        <v>0</v>
      </c>
      <c r="B2544" s="38">
        <v>0</v>
      </c>
      <c r="C2544" s="79">
        <v>0</v>
      </c>
    </row>
    <row r="2545" spans="1:3" x14ac:dyDescent="0.25">
      <c r="A2545" s="2">
        <v>0</v>
      </c>
      <c r="B2545" s="38">
        <v>0</v>
      </c>
      <c r="C2545" s="79">
        <v>0</v>
      </c>
    </row>
    <row r="2546" spans="1:3" x14ac:dyDescent="0.25">
      <c r="A2546" s="2">
        <v>0</v>
      </c>
      <c r="B2546" s="38">
        <v>0</v>
      </c>
      <c r="C2546" s="79">
        <v>0</v>
      </c>
    </row>
    <row r="2547" spans="1:3" x14ac:dyDescent="0.25">
      <c r="A2547" s="2">
        <v>0</v>
      </c>
      <c r="B2547" s="38">
        <v>0</v>
      </c>
      <c r="C2547" s="79">
        <v>0</v>
      </c>
    </row>
    <row r="2548" spans="1:3" x14ac:dyDescent="0.25">
      <c r="A2548" s="2">
        <v>0</v>
      </c>
      <c r="B2548" s="38">
        <v>0</v>
      </c>
      <c r="C2548" s="79">
        <v>0</v>
      </c>
    </row>
    <row r="2549" spans="1:3" x14ac:dyDescent="0.25">
      <c r="A2549" s="2">
        <v>0</v>
      </c>
      <c r="B2549" s="38">
        <v>0</v>
      </c>
      <c r="C2549" s="79">
        <v>0</v>
      </c>
    </row>
    <row r="2550" spans="1:3" x14ac:dyDescent="0.25">
      <c r="A2550" s="2">
        <v>0</v>
      </c>
      <c r="B2550" s="38">
        <v>0</v>
      </c>
      <c r="C2550" s="79">
        <v>0</v>
      </c>
    </row>
    <row r="2551" spans="1:3" x14ac:dyDescent="0.25">
      <c r="A2551" s="2">
        <v>0</v>
      </c>
      <c r="B2551" s="38">
        <v>0</v>
      </c>
      <c r="C2551" s="79">
        <v>0</v>
      </c>
    </row>
    <row r="2552" spans="1:3" x14ac:dyDescent="0.25">
      <c r="A2552" s="2">
        <v>0</v>
      </c>
      <c r="B2552" s="38">
        <v>0</v>
      </c>
      <c r="C2552" s="79">
        <v>0</v>
      </c>
    </row>
    <row r="2553" spans="1:3" x14ac:dyDescent="0.25">
      <c r="A2553" s="2">
        <v>0</v>
      </c>
      <c r="B2553" s="38">
        <v>0</v>
      </c>
      <c r="C2553" s="79">
        <v>0</v>
      </c>
    </row>
    <row r="2554" spans="1:3" x14ac:dyDescent="0.25">
      <c r="A2554" s="2">
        <v>0</v>
      </c>
      <c r="B2554" s="38">
        <v>0</v>
      </c>
      <c r="C2554" s="79">
        <v>0</v>
      </c>
    </row>
    <row r="2555" spans="1:3" x14ac:dyDescent="0.25">
      <c r="A2555" s="2">
        <v>0</v>
      </c>
      <c r="B2555" s="38">
        <v>0</v>
      </c>
      <c r="C2555" s="79">
        <v>0</v>
      </c>
    </row>
    <row r="2556" spans="1:3" x14ac:dyDescent="0.25">
      <c r="A2556" s="2">
        <v>0</v>
      </c>
      <c r="B2556" s="38">
        <v>0</v>
      </c>
      <c r="C2556" s="79">
        <v>0</v>
      </c>
    </row>
    <row r="2557" spans="1:3" x14ac:dyDescent="0.25">
      <c r="A2557" s="2">
        <v>0</v>
      </c>
      <c r="B2557" s="38">
        <v>0</v>
      </c>
      <c r="C2557" s="79">
        <v>0</v>
      </c>
    </row>
    <row r="2558" spans="1:3" x14ac:dyDescent="0.25">
      <c r="A2558" s="2">
        <v>0</v>
      </c>
      <c r="B2558" s="38">
        <v>0</v>
      </c>
      <c r="C2558" s="79">
        <v>0</v>
      </c>
    </row>
    <row r="2559" spans="1:3" x14ac:dyDescent="0.25">
      <c r="A2559" s="2">
        <v>0</v>
      </c>
      <c r="B2559" s="38">
        <v>0</v>
      </c>
      <c r="C2559" s="79">
        <v>0</v>
      </c>
    </row>
    <row r="2560" spans="1:3" x14ac:dyDescent="0.25">
      <c r="A2560" s="2">
        <v>0</v>
      </c>
      <c r="B2560" s="38">
        <v>0</v>
      </c>
      <c r="C2560" s="79">
        <v>0</v>
      </c>
    </row>
    <row r="2561" spans="1:3" x14ac:dyDescent="0.25">
      <c r="A2561" s="2">
        <v>0</v>
      </c>
      <c r="B2561" s="38">
        <v>0</v>
      </c>
      <c r="C2561" s="79">
        <v>0</v>
      </c>
    </row>
    <row r="2562" spans="1:3" x14ac:dyDescent="0.25">
      <c r="A2562" s="2">
        <v>0</v>
      </c>
      <c r="B2562" s="38">
        <v>0</v>
      </c>
      <c r="C2562" s="79">
        <v>0</v>
      </c>
    </row>
    <row r="2563" spans="1:3" x14ac:dyDescent="0.25">
      <c r="A2563" s="2">
        <v>0</v>
      </c>
      <c r="B2563" s="38">
        <v>0</v>
      </c>
      <c r="C2563" s="79">
        <v>0</v>
      </c>
    </row>
    <row r="2564" spans="1:3" x14ac:dyDescent="0.25">
      <c r="A2564" s="2">
        <v>0</v>
      </c>
      <c r="B2564" s="38">
        <v>0</v>
      </c>
      <c r="C2564" s="79">
        <v>0</v>
      </c>
    </row>
    <row r="2565" spans="1:3" x14ac:dyDescent="0.25">
      <c r="A2565" s="2">
        <v>0</v>
      </c>
      <c r="B2565" s="38">
        <v>0</v>
      </c>
      <c r="C2565" s="79">
        <v>0</v>
      </c>
    </row>
    <row r="2566" spans="1:3" x14ac:dyDescent="0.25">
      <c r="A2566" s="2">
        <v>0</v>
      </c>
      <c r="B2566" s="38">
        <v>0</v>
      </c>
      <c r="C2566" s="79">
        <v>0</v>
      </c>
    </row>
    <row r="2567" spans="1:3" x14ac:dyDescent="0.25">
      <c r="A2567" s="2">
        <v>0</v>
      </c>
      <c r="B2567" s="38">
        <v>0</v>
      </c>
      <c r="C2567" s="79">
        <v>0</v>
      </c>
    </row>
    <row r="2568" spans="1:3" x14ac:dyDescent="0.25">
      <c r="A2568" s="2">
        <v>0</v>
      </c>
      <c r="B2568" s="38">
        <v>0</v>
      </c>
      <c r="C2568" s="79">
        <v>0</v>
      </c>
    </row>
    <row r="2569" spans="1:3" x14ac:dyDescent="0.25">
      <c r="A2569" s="2">
        <v>0</v>
      </c>
      <c r="B2569" s="38">
        <v>0</v>
      </c>
      <c r="C2569" s="79">
        <v>0</v>
      </c>
    </row>
    <row r="2570" spans="1:3" x14ac:dyDescent="0.25">
      <c r="A2570" s="2">
        <v>0</v>
      </c>
      <c r="B2570" s="38">
        <v>0</v>
      </c>
      <c r="C2570" s="79">
        <v>0</v>
      </c>
    </row>
    <row r="2571" spans="1:3" x14ac:dyDescent="0.25">
      <c r="A2571" s="2">
        <v>0</v>
      </c>
      <c r="B2571" s="38">
        <v>0</v>
      </c>
      <c r="C2571" s="79">
        <v>0</v>
      </c>
    </row>
    <row r="2572" spans="1:3" x14ac:dyDescent="0.25">
      <c r="A2572" s="2">
        <v>0</v>
      </c>
      <c r="B2572" s="38">
        <v>0</v>
      </c>
      <c r="C2572" s="79">
        <v>0</v>
      </c>
    </row>
    <row r="2573" spans="1:3" x14ac:dyDescent="0.25">
      <c r="A2573" s="2">
        <v>0</v>
      </c>
      <c r="B2573" s="38">
        <v>0</v>
      </c>
      <c r="C2573" s="79">
        <v>0</v>
      </c>
    </row>
    <row r="2574" spans="1:3" x14ac:dyDescent="0.25">
      <c r="A2574" s="2">
        <v>0</v>
      </c>
      <c r="B2574" s="38">
        <v>0</v>
      </c>
      <c r="C2574" s="79">
        <v>0</v>
      </c>
    </row>
    <row r="2575" spans="1:3" x14ac:dyDescent="0.25">
      <c r="A2575" s="2">
        <v>0</v>
      </c>
      <c r="B2575" s="38">
        <v>0</v>
      </c>
      <c r="C2575" s="79">
        <v>0</v>
      </c>
    </row>
    <row r="2576" spans="1:3" x14ac:dyDescent="0.25">
      <c r="A2576" s="2">
        <v>0</v>
      </c>
      <c r="B2576" s="38">
        <v>0</v>
      </c>
      <c r="C2576" s="79">
        <v>0</v>
      </c>
    </row>
    <row r="2577" spans="1:3" x14ac:dyDescent="0.25">
      <c r="A2577" s="2">
        <v>0</v>
      </c>
      <c r="B2577" s="38">
        <v>0</v>
      </c>
      <c r="C2577" s="79">
        <v>0</v>
      </c>
    </row>
    <row r="2578" spans="1:3" x14ac:dyDescent="0.25">
      <c r="A2578" s="2">
        <v>0</v>
      </c>
      <c r="B2578" s="38">
        <v>0</v>
      </c>
      <c r="C2578" s="79">
        <v>0</v>
      </c>
    </row>
    <row r="2579" spans="1:3" x14ac:dyDescent="0.25">
      <c r="A2579" s="2">
        <v>0</v>
      </c>
      <c r="B2579" s="38">
        <v>0</v>
      </c>
      <c r="C2579" s="79">
        <v>0</v>
      </c>
    </row>
    <row r="2580" spans="1:3" x14ac:dyDescent="0.25">
      <c r="A2580" s="2">
        <v>0</v>
      </c>
      <c r="B2580" s="38">
        <v>0</v>
      </c>
      <c r="C2580" s="79">
        <v>0</v>
      </c>
    </row>
    <row r="2581" spans="1:3" x14ac:dyDescent="0.25">
      <c r="A2581" s="2">
        <v>0</v>
      </c>
      <c r="B2581" s="38">
        <v>0</v>
      </c>
      <c r="C2581" s="79">
        <v>0</v>
      </c>
    </row>
    <row r="2582" spans="1:3" x14ac:dyDescent="0.25">
      <c r="A2582" s="2">
        <v>0</v>
      </c>
      <c r="B2582" s="38">
        <v>0</v>
      </c>
      <c r="C2582" s="79">
        <v>0</v>
      </c>
    </row>
    <row r="2583" spans="1:3" x14ac:dyDescent="0.25">
      <c r="A2583" s="2">
        <v>0</v>
      </c>
      <c r="B2583" s="38">
        <v>0</v>
      </c>
      <c r="C2583" s="79">
        <v>0</v>
      </c>
    </row>
    <row r="2584" spans="1:3" x14ac:dyDescent="0.25">
      <c r="A2584" s="2">
        <v>0</v>
      </c>
      <c r="B2584" s="38">
        <v>0</v>
      </c>
      <c r="C2584" s="79">
        <v>0</v>
      </c>
    </row>
    <row r="2585" spans="1:3" x14ac:dyDescent="0.25">
      <c r="A2585" s="2">
        <v>0</v>
      </c>
      <c r="B2585" s="38">
        <v>0</v>
      </c>
      <c r="C2585" s="79">
        <v>0</v>
      </c>
    </row>
    <row r="2586" spans="1:3" x14ac:dyDescent="0.25">
      <c r="A2586" s="2">
        <v>0</v>
      </c>
      <c r="B2586" s="38">
        <v>0</v>
      </c>
      <c r="C2586" s="79">
        <v>0</v>
      </c>
    </row>
    <row r="2587" spans="1:3" x14ac:dyDescent="0.25">
      <c r="A2587" s="2">
        <v>0</v>
      </c>
      <c r="B2587" s="38">
        <v>0</v>
      </c>
      <c r="C2587" s="79">
        <v>0</v>
      </c>
    </row>
    <row r="2588" spans="1:3" x14ac:dyDescent="0.25">
      <c r="A2588" s="2">
        <v>0</v>
      </c>
      <c r="B2588" s="38">
        <v>0</v>
      </c>
      <c r="C2588" s="79">
        <v>0</v>
      </c>
    </row>
    <row r="2589" spans="1:3" x14ac:dyDescent="0.25">
      <c r="A2589" s="2">
        <v>0</v>
      </c>
      <c r="B2589" s="38">
        <v>0</v>
      </c>
      <c r="C2589" s="79">
        <v>0</v>
      </c>
    </row>
    <row r="2590" spans="1:3" x14ac:dyDescent="0.25">
      <c r="A2590" s="2">
        <v>0</v>
      </c>
      <c r="B2590" s="38">
        <v>0</v>
      </c>
      <c r="C2590" s="79">
        <v>0</v>
      </c>
    </row>
    <row r="2591" spans="1:3" x14ac:dyDescent="0.25">
      <c r="A2591" s="2">
        <v>0</v>
      </c>
      <c r="B2591" s="38">
        <v>0</v>
      </c>
      <c r="C2591" s="79">
        <v>0</v>
      </c>
    </row>
    <row r="2592" spans="1:3" x14ac:dyDescent="0.25">
      <c r="A2592" s="2">
        <v>0</v>
      </c>
      <c r="B2592" s="38">
        <v>0</v>
      </c>
      <c r="C2592" s="79">
        <v>0</v>
      </c>
    </row>
    <row r="2593" spans="1:3" x14ac:dyDescent="0.25">
      <c r="A2593" s="2">
        <v>0</v>
      </c>
      <c r="B2593" s="38">
        <v>0</v>
      </c>
      <c r="C2593" s="79">
        <v>0</v>
      </c>
    </row>
    <row r="2594" spans="1:3" x14ac:dyDescent="0.25">
      <c r="A2594" s="2">
        <v>0</v>
      </c>
      <c r="B2594" s="38">
        <v>0</v>
      </c>
      <c r="C2594" s="79">
        <v>0</v>
      </c>
    </row>
    <row r="2595" spans="1:3" x14ac:dyDescent="0.25">
      <c r="A2595" s="2">
        <v>0</v>
      </c>
      <c r="B2595" s="38">
        <v>0</v>
      </c>
      <c r="C2595" s="79">
        <v>0</v>
      </c>
    </row>
    <row r="2596" spans="1:3" x14ac:dyDescent="0.25">
      <c r="A2596" s="2">
        <v>0</v>
      </c>
      <c r="B2596" s="38">
        <v>0</v>
      </c>
      <c r="C2596" s="79">
        <v>0</v>
      </c>
    </row>
    <row r="2597" spans="1:3" x14ac:dyDescent="0.25">
      <c r="A2597" s="2">
        <v>0</v>
      </c>
      <c r="B2597" s="38">
        <v>0</v>
      </c>
      <c r="C2597" s="79">
        <v>0</v>
      </c>
    </row>
    <row r="2598" spans="1:3" x14ac:dyDescent="0.25">
      <c r="A2598" s="2">
        <v>0</v>
      </c>
      <c r="B2598" s="38">
        <v>0</v>
      </c>
      <c r="C2598" s="79">
        <v>0</v>
      </c>
    </row>
    <row r="2599" spans="1:3" x14ac:dyDescent="0.25">
      <c r="A2599" s="2">
        <v>0</v>
      </c>
      <c r="B2599" s="38">
        <v>0</v>
      </c>
      <c r="C2599" s="79">
        <v>0</v>
      </c>
    </row>
    <row r="2600" spans="1:3" x14ac:dyDescent="0.25">
      <c r="A2600" s="2">
        <v>0</v>
      </c>
      <c r="B2600" s="38">
        <v>0</v>
      </c>
      <c r="C2600" s="79">
        <v>0</v>
      </c>
    </row>
    <row r="2601" spans="1:3" x14ac:dyDescent="0.25">
      <c r="A2601" s="2">
        <v>0</v>
      </c>
      <c r="B2601" s="38">
        <v>0</v>
      </c>
      <c r="C2601" s="79">
        <v>0</v>
      </c>
    </row>
    <row r="2602" spans="1:3" x14ac:dyDescent="0.25">
      <c r="A2602" s="2">
        <v>0</v>
      </c>
      <c r="B2602" s="38">
        <v>0</v>
      </c>
      <c r="C2602" s="79">
        <v>0</v>
      </c>
    </row>
    <row r="2603" spans="1:3" x14ac:dyDescent="0.25">
      <c r="A2603" s="2">
        <v>0</v>
      </c>
      <c r="B2603" s="38">
        <v>0</v>
      </c>
      <c r="C2603" s="79">
        <v>0</v>
      </c>
    </row>
    <row r="2604" spans="1:3" x14ac:dyDescent="0.25">
      <c r="A2604" s="2">
        <v>0</v>
      </c>
      <c r="B2604" s="38">
        <v>0</v>
      </c>
      <c r="C2604" s="79">
        <v>0</v>
      </c>
    </row>
    <row r="2605" spans="1:3" x14ac:dyDescent="0.25">
      <c r="A2605" s="2">
        <v>0</v>
      </c>
      <c r="B2605" s="38">
        <v>0</v>
      </c>
      <c r="C2605" s="79">
        <v>0</v>
      </c>
    </row>
    <row r="2606" spans="1:3" x14ac:dyDescent="0.25">
      <c r="A2606" s="2">
        <v>0</v>
      </c>
      <c r="B2606" s="38">
        <v>0</v>
      </c>
      <c r="C2606" s="79">
        <v>0</v>
      </c>
    </row>
    <row r="2607" spans="1:3" x14ac:dyDescent="0.25">
      <c r="A2607" s="2">
        <v>0</v>
      </c>
      <c r="B2607" s="38">
        <v>0</v>
      </c>
      <c r="C2607" s="79">
        <v>0</v>
      </c>
    </row>
    <row r="2608" spans="1:3" x14ac:dyDescent="0.25">
      <c r="A2608" s="2">
        <v>0</v>
      </c>
      <c r="B2608" s="38">
        <v>0</v>
      </c>
      <c r="C2608" s="79">
        <v>0</v>
      </c>
    </row>
    <row r="2609" spans="1:3" x14ac:dyDescent="0.25">
      <c r="A2609" s="2">
        <v>0</v>
      </c>
      <c r="B2609" s="38">
        <v>0</v>
      </c>
      <c r="C2609" s="79">
        <v>0</v>
      </c>
    </row>
    <row r="2610" spans="1:3" x14ac:dyDescent="0.25">
      <c r="A2610" s="2">
        <v>0</v>
      </c>
      <c r="B2610" s="38">
        <v>0</v>
      </c>
      <c r="C2610" s="79">
        <v>0</v>
      </c>
    </row>
    <row r="2611" spans="1:3" x14ac:dyDescent="0.25">
      <c r="A2611" s="2">
        <v>0</v>
      </c>
      <c r="B2611" s="38">
        <v>0</v>
      </c>
      <c r="C2611" s="79">
        <v>0</v>
      </c>
    </row>
    <row r="2612" spans="1:3" x14ac:dyDescent="0.25">
      <c r="A2612" s="2">
        <v>0</v>
      </c>
      <c r="B2612" s="38">
        <v>0</v>
      </c>
      <c r="C2612" s="79">
        <v>0</v>
      </c>
    </row>
    <row r="2613" spans="1:3" x14ac:dyDescent="0.25">
      <c r="A2613" s="2">
        <v>0</v>
      </c>
      <c r="B2613" s="38">
        <v>0</v>
      </c>
      <c r="C2613" s="79">
        <v>0</v>
      </c>
    </row>
    <row r="2614" spans="1:3" x14ac:dyDescent="0.25">
      <c r="A2614" s="2">
        <v>0</v>
      </c>
      <c r="B2614" s="38">
        <v>0</v>
      </c>
      <c r="C2614" s="79">
        <v>0</v>
      </c>
    </row>
    <row r="2615" spans="1:3" x14ac:dyDescent="0.25">
      <c r="A2615" s="2">
        <v>0</v>
      </c>
      <c r="B2615" s="38">
        <v>0</v>
      </c>
      <c r="C2615" s="79">
        <v>0</v>
      </c>
    </row>
    <row r="2616" spans="1:3" x14ac:dyDescent="0.25">
      <c r="A2616" s="2">
        <v>0</v>
      </c>
      <c r="B2616" s="38">
        <v>0</v>
      </c>
      <c r="C2616" s="79">
        <v>0</v>
      </c>
    </row>
    <row r="2617" spans="1:3" x14ac:dyDescent="0.25">
      <c r="A2617" s="2">
        <v>0</v>
      </c>
      <c r="B2617" s="38">
        <v>0</v>
      </c>
      <c r="C2617" s="79">
        <v>0</v>
      </c>
    </row>
    <row r="2618" spans="1:3" x14ac:dyDescent="0.25">
      <c r="A2618" s="2">
        <v>0</v>
      </c>
      <c r="B2618" s="38">
        <v>0</v>
      </c>
      <c r="C2618" s="79">
        <v>0</v>
      </c>
    </row>
    <row r="2619" spans="1:3" x14ac:dyDescent="0.25">
      <c r="A2619" s="2">
        <v>0</v>
      </c>
      <c r="B2619" s="38">
        <v>0</v>
      </c>
      <c r="C2619" s="79">
        <v>0</v>
      </c>
    </row>
    <row r="2620" spans="1:3" x14ac:dyDescent="0.25">
      <c r="A2620" s="2">
        <v>0</v>
      </c>
      <c r="B2620" s="38">
        <v>0</v>
      </c>
      <c r="C2620" s="79">
        <v>0</v>
      </c>
    </row>
    <row r="2621" spans="1:3" x14ac:dyDescent="0.25">
      <c r="A2621" s="2">
        <v>0</v>
      </c>
      <c r="B2621" s="38">
        <v>0</v>
      </c>
      <c r="C2621" s="79">
        <v>0</v>
      </c>
    </row>
    <row r="2622" spans="1:3" x14ac:dyDescent="0.25">
      <c r="A2622" s="2">
        <v>0</v>
      </c>
      <c r="B2622" s="38">
        <v>0</v>
      </c>
      <c r="C2622" s="79">
        <v>0</v>
      </c>
    </row>
    <row r="2623" spans="1:3" x14ac:dyDescent="0.25">
      <c r="A2623" s="2">
        <v>0</v>
      </c>
      <c r="B2623" s="38">
        <v>0</v>
      </c>
      <c r="C2623" s="79">
        <v>0</v>
      </c>
    </row>
    <row r="2624" spans="1:3" x14ac:dyDescent="0.25">
      <c r="A2624" s="2">
        <v>0</v>
      </c>
      <c r="B2624" s="38">
        <v>0</v>
      </c>
      <c r="C2624" s="79">
        <v>0</v>
      </c>
    </row>
    <row r="2625" spans="1:3" x14ac:dyDescent="0.25">
      <c r="A2625" s="2">
        <v>0</v>
      </c>
      <c r="B2625" s="38">
        <v>0</v>
      </c>
      <c r="C2625" s="79">
        <v>0</v>
      </c>
    </row>
    <row r="2626" spans="1:3" x14ac:dyDescent="0.25">
      <c r="A2626" s="2">
        <v>0</v>
      </c>
      <c r="B2626" s="38">
        <v>0</v>
      </c>
      <c r="C2626" s="79">
        <v>0</v>
      </c>
    </row>
    <row r="2627" spans="1:3" x14ac:dyDescent="0.25">
      <c r="A2627" s="2">
        <v>0</v>
      </c>
      <c r="B2627" s="38">
        <v>0</v>
      </c>
      <c r="C2627" s="79">
        <v>0</v>
      </c>
    </row>
    <row r="2628" spans="1:3" x14ac:dyDescent="0.25">
      <c r="A2628" s="2">
        <v>0</v>
      </c>
      <c r="B2628" s="38">
        <v>0</v>
      </c>
      <c r="C2628" s="79">
        <v>0</v>
      </c>
    </row>
    <row r="2629" spans="1:3" x14ac:dyDescent="0.25">
      <c r="A2629" s="2">
        <v>0</v>
      </c>
      <c r="B2629" s="38">
        <v>0</v>
      </c>
      <c r="C2629" s="79">
        <v>0</v>
      </c>
    </row>
    <row r="2630" spans="1:3" x14ac:dyDescent="0.25">
      <c r="A2630" s="2">
        <v>0</v>
      </c>
      <c r="B2630" s="38">
        <v>0</v>
      </c>
      <c r="C2630" s="79">
        <v>0</v>
      </c>
    </row>
    <row r="2631" spans="1:3" x14ac:dyDescent="0.25">
      <c r="A2631" s="2">
        <v>0</v>
      </c>
      <c r="B2631" s="38">
        <v>0</v>
      </c>
      <c r="C2631" s="79">
        <v>0</v>
      </c>
    </row>
    <row r="2632" spans="1:3" x14ac:dyDescent="0.25">
      <c r="A2632" s="2">
        <v>0</v>
      </c>
      <c r="B2632" s="38">
        <v>0</v>
      </c>
      <c r="C2632" s="79">
        <v>0</v>
      </c>
    </row>
    <row r="2633" spans="1:3" x14ac:dyDescent="0.25">
      <c r="A2633" s="2">
        <v>0</v>
      </c>
      <c r="B2633" s="38">
        <v>0</v>
      </c>
      <c r="C2633" s="79">
        <v>0</v>
      </c>
    </row>
    <row r="2634" spans="1:3" x14ac:dyDescent="0.25">
      <c r="A2634" s="2">
        <v>0</v>
      </c>
      <c r="B2634" s="38">
        <v>0</v>
      </c>
      <c r="C2634" s="79">
        <v>0</v>
      </c>
    </row>
    <row r="2635" spans="1:3" x14ac:dyDescent="0.25">
      <c r="A2635" s="2">
        <v>0</v>
      </c>
      <c r="B2635" s="38">
        <v>0</v>
      </c>
      <c r="C2635" s="79">
        <v>0</v>
      </c>
    </row>
    <row r="2636" spans="1:3" x14ac:dyDescent="0.25">
      <c r="A2636" s="2">
        <v>0</v>
      </c>
      <c r="B2636" s="38">
        <v>0</v>
      </c>
      <c r="C2636" s="79">
        <v>0</v>
      </c>
    </row>
    <row r="2637" spans="1:3" x14ac:dyDescent="0.25">
      <c r="A2637" s="2">
        <v>0</v>
      </c>
      <c r="B2637" s="38">
        <v>0</v>
      </c>
      <c r="C2637" s="79">
        <v>0</v>
      </c>
    </row>
    <row r="2638" spans="1:3" x14ac:dyDescent="0.25">
      <c r="A2638" s="2">
        <v>0</v>
      </c>
      <c r="B2638" s="38">
        <v>0</v>
      </c>
      <c r="C2638" s="79">
        <v>0</v>
      </c>
    </row>
    <row r="2639" spans="1:3" x14ac:dyDescent="0.25">
      <c r="A2639" s="2">
        <v>0</v>
      </c>
      <c r="B2639" s="38">
        <v>0</v>
      </c>
      <c r="C2639" s="79">
        <v>0</v>
      </c>
    </row>
    <row r="2640" spans="1:3" x14ac:dyDescent="0.25">
      <c r="A2640" s="2">
        <v>0</v>
      </c>
      <c r="B2640" s="38">
        <v>0</v>
      </c>
      <c r="C2640" s="79">
        <v>0</v>
      </c>
    </row>
    <row r="2641" spans="1:3" x14ac:dyDescent="0.25">
      <c r="A2641" s="2">
        <v>0</v>
      </c>
      <c r="B2641" s="38">
        <v>0</v>
      </c>
      <c r="C2641" s="79">
        <v>0</v>
      </c>
    </row>
    <row r="2642" spans="1:3" x14ac:dyDescent="0.25">
      <c r="A2642" s="2">
        <v>0</v>
      </c>
      <c r="B2642" s="38">
        <v>0</v>
      </c>
      <c r="C2642" s="79">
        <v>0</v>
      </c>
    </row>
    <row r="2643" spans="1:3" x14ac:dyDescent="0.25">
      <c r="A2643" s="2">
        <v>0</v>
      </c>
      <c r="B2643" s="38">
        <v>0</v>
      </c>
      <c r="C2643" s="79">
        <v>0</v>
      </c>
    </row>
    <row r="2644" spans="1:3" x14ac:dyDescent="0.25">
      <c r="A2644" s="2">
        <v>0</v>
      </c>
      <c r="B2644" s="38">
        <v>0</v>
      </c>
      <c r="C2644" s="79">
        <v>0</v>
      </c>
    </row>
    <row r="2645" spans="1:3" x14ac:dyDescent="0.25">
      <c r="A2645" s="2">
        <v>0</v>
      </c>
      <c r="B2645" s="38">
        <v>0</v>
      </c>
      <c r="C2645" s="79">
        <v>0</v>
      </c>
    </row>
    <row r="2646" spans="1:3" x14ac:dyDescent="0.25">
      <c r="A2646" s="2">
        <v>0</v>
      </c>
      <c r="B2646" s="38">
        <v>0</v>
      </c>
      <c r="C2646" s="79">
        <v>0</v>
      </c>
    </row>
    <row r="2647" spans="1:3" x14ac:dyDescent="0.25">
      <c r="A2647" s="2">
        <v>0</v>
      </c>
      <c r="B2647" s="38">
        <v>0</v>
      </c>
      <c r="C2647" s="79">
        <v>0</v>
      </c>
    </row>
    <row r="2648" spans="1:3" x14ac:dyDescent="0.25">
      <c r="A2648" s="2">
        <v>0</v>
      </c>
      <c r="B2648" s="38">
        <v>0</v>
      </c>
      <c r="C2648" s="79">
        <v>0</v>
      </c>
    </row>
    <row r="2649" spans="1:3" x14ac:dyDescent="0.25">
      <c r="A2649" s="2">
        <v>0</v>
      </c>
      <c r="B2649" s="38">
        <v>0</v>
      </c>
      <c r="C2649" s="79">
        <v>0</v>
      </c>
    </row>
    <row r="2650" spans="1:3" x14ac:dyDescent="0.25">
      <c r="A2650" s="2">
        <v>0</v>
      </c>
      <c r="B2650" s="38">
        <v>0</v>
      </c>
      <c r="C2650" s="79">
        <v>0</v>
      </c>
    </row>
    <row r="2651" spans="1:3" x14ac:dyDescent="0.25">
      <c r="A2651" s="2">
        <v>0</v>
      </c>
      <c r="B2651" s="38">
        <v>0</v>
      </c>
      <c r="C2651" s="79">
        <v>0</v>
      </c>
    </row>
    <row r="2652" spans="1:3" x14ac:dyDescent="0.25">
      <c r="A2652" s="2">
        <v>0</v>
      </c>
      <c r="B2652" s="38">
        <v>0</v>
      </c>
      <c r="C2652" s="79">
        <v>0</v>
      </c>
    </row>
    <row r="2653" spans="1:3" x14ac:dyDescent="0.25">
      <c r="A2653" s="2">
        <v>0</v>
      </c>
      <c r="B2653" s="38">
        <v>0</v>
      </c>
      <c r="C2653" s="79">
        <v>0</v>
      </c>
    </row>
    <row r="2654" spans="1:3" x14ac:dyDescent="0.25">
      <c r="A2654" s="2">
        <v>0</v>
      </c>
      <c r="B2654" s="38">
        <v>0</v>
      </c>
      <c r="C2654" s="79">
        <v>0</v>
      </c>
    </row>
    <row r="2655" spans="1:3" x14ac:dyDescent="0.25">
      <c r="A2655" s="2">
        <v>0</v>
      </c>
      <c r="B2655" s="38">
        <v>0</v>
      </c>
      <c r="C2655" s="79">
        <v>0</v>
      </c>
    </row>
    <row r="2656" spans="1:3" x14ac:dyDescent="0.25">
      <c r="A2656" s="2">
        <v>0</v>
      </c>
      <c r="B2656" s="38">
        <v>0</v>
      </c>
      <c r="C2656" s="79">
        <v>0</v>
      </c>
    </row>
    <row r="2657" spans="1:3" x14ac:dyDescent="0.25">
      <c r="A2657" s="2">
        <v>0</v>
      </c>
      <c r="B2657" s="38">
        <v>0</v>
      </c>
      <c r="C2657" s="79">
        <v>0</v>
      </c>
    </row>
    <row r="2658" spans="1:3" x14ac:dyDescent="0.25">
      <c r="A2658" s="2">
        <v>0</v>
      </c>
      <c r="B2658" s="38">
        <v>0</v>
      </c>
      <c r="C2658" s="79">
        <v>0</v>
      </c>
    </row>
    <row r="2659" spans="1:3" x14ac:dyDescent="0.25">
      <c r="A2659" s="2">
        <v>0</v>
      </c>
      <c r="B2659" s="38">
        <v>0</v>
      </c>
      <c r="C2659" s="79">
        <v>0</v>
      </c>
    </row>
    <row r="2660" spans="1:3" x14ac:dyDescent="0.25">
      <c r="A2660" s="2">
        <v>0</v>
      </c>
      <c r="B2660" s="38">
        <v>0</v>
      </c>
      <c r="C2660" s="79">
        <v>0</v>
      </c>
    </row>
    <row r="2661" spans="1:3" x14ac:dyDescent="0.25">
      <c r="A2661" s="2">
        <v>0</v>
      </c>
      <c r="B2661" s="38">
        <v>0</v>
      </c>
      <c r="C2661" s="79">
        <v>0</v>
      </c>
    </row>
    <row r="2662" spans="1:3" x14ac:dyDescent="0.25">
      <c r="A2662" s="2">
        <v>0</v>
      </c>
      <c r="B2662" s="38">
        <v>0</v>
      </c>
      <c r="C2662" s="79">
        <v>0</v>
      </c>
    </row>
    <row r="2663" spans="1:3" x14ac:dyDescent="0.25">
      <c r="A2663" s="2">
        <v>0</v>
      </c>
      <c r="B2663" s="38">
        <v>0</v>
      </c>
      <c r="C2663" s="79">
        <v>0</v>
      </c>
    </row>
    <row r="2664" spans="1:3" x14ac:dyDescent="0.25">
      <c r="A2664" s="2">
        <v>0</v>
      </c>
      <c r="B2664" s="38">
        <v>0</v>
      </c>
      <c r="C2664" s="79">
        <v>0</v>
      </c>
    </row>
    <row r="2665" spans="1:3" x14ac:dyDescent="0.25">
      <c r="A2665" s="2">
        <v>0</v>
      </c>
      <c r="B2665" s="38">
        <v>0</v>
      </c>
      <c r="C2665" s="79">
        <v>0</v>
      </c>
    </row>
    <row r="2666" spans="1:3" x14ac:dyDescent="0.25">
      <c r="A2666" s="2">
        <v>0</v>
      </c>
      <c r="B2666" s="38">
        <v>0</v>
      </c>
      <c r="C2666" s="79">
        <v>0</v>
      </c>
    </row>
    <row r="2667" spans="1:3" x14ac:dyDescent="0.25">
      <c r="A2667" s="2">
        <v>0</v>
      </c>
      <c r="B2667" s="38">
        <v>0</v>
      </c>
      <c r="C2667" s="79">
        <v>0</v>
      </c>
    </row>
    <row r="2668" spans="1:3" x14ac:dyDescent="0.25">
      <c r="A2668" s="2">
        <v>0</v>
      </c>
      <c r="B2668" s="38">
        <v>0</v>
      </c>
      <c r="C2668" s="79">
        <v>0</v>
      </c>
    </row>
    <row r="2669" spans="1:3" x14ac:dyDescent="0.25">
      <c r="A2669" s="2">
        <v>0</v>
      </c>
      <c r="B2669" s="38">
        <v>0</v>
      </c>
      <c r="C2669" s="79">
        <v>0</v>
      </c>
    </row>
    <row r="2670" spans="1:3" x14ac:dyDescent="0.25">
      <c r="A2670" s="2">
        <v>0</v>
      </c>
      <c r="B2670" s="38">
        <v>0</v>
      </c>
      <c r="C2670" s="79">
        <v>0</v>
      </c>
    </row>
    <row r="2671" spans="1:3" x14ac:dyDescent="0.25">
      <c r="A2671" s="2">
        <v>0</v>
      </c>
      <c r="B2671" s="38">
        <v>0</v>
      </c>
      <c r="C2671" s="79">
        <v>0</v>
      </c>
    </row>
    <row r="2672" spans="1:3" x14ac:dyDescent="0.25">
      <c r="A2672" s="2">
        <v>0</v>
      </c>
      <c r="B2672" s="38">
        <v>0</v>
      </c>
      <c r="C2672" s="79">
        <v>0</v>
      </c>
    </row>
    <row r="2673" spans="1:3" x14ac:dyDescent="0.25">
      <c r="A2673" s="2">
        <v>0</v>
      </c>
      <c r="B2673" s="38">
        <v>0</v>
      </c>
      <c r="C2673" s="79">
        <v>0</v>
      </c>
    </row>
    <row r="2674" spans="1:3" x14ac:dyDescent="0.25">
      <c r="A2674" s="2">
        <v>0</v>
      </c>
      <c r="B2674" s="38">
        <v>0</v>
      </c>
      <c r="C2674" s="79">
        <v>0</v>
      </c>
    </row>
    <row r="2675" spans="1:3" x14ac:dyDescent="0.25">
      <c r="A2675" s="2">
        <v>0</v>
      </c>
      <c r="B2675" s="38">
        <v>0</v>
      </c>
      <c r="C2675" s="79">
        <v>0</v>
      </c>
    </row>
    <row r="2676" spans="1:3" x14ac:dyDescent="0.25">
      <c r="A2676" s="2">
        <v>0</v>
      </c>
      <c r="B2676" s="38">
        <v>0</v>
      </c>
      <c r="C2676" s="79">
        <v>0</v>
      </c>
    </row>
    <row r="2677" spans="1:3" x14ac:dyDescent="0.25">
      <c r="A2677" s="2">
        <v>0</v>
      </c>
      <c r="B2677" s="38">
        <v>0</v>
      </c>
      <c r="C2677" s="79">
        <v>0</v>
      </c>
    </row>
    <row r="2678" spans="1:3" x14ac:dyDescent="0.25">
      <c r="A2678" s="2">
        <v>0</v>
      </c>
      <c r="B2678" s="38">
        <v>0</v>
      </c>
      <c r="C2678" s="79">
        <v>0</v>
      </c>
    </row>
    <row r="2679" spans="1:3" x14ac:dyDescent="0.25">
      <c r="A2679" s="2">
        <v>0</v>
      </c>
      <c r="B2679" s="38">
        <v>0</v>
      </c>
      <c r="C2679" s="79">
        <v>0</v>
      </c>
    </row>
    <row r="2680" spans="1:3" x14ac:dyDescent="0.25">
      <c r="A2680" s="2">
        <v>0</v>
      </c>
      <c r="B2680" s="38">
        <v>0</v>
      </c>
      <c r="C2680" s="79">
        <v>0</v>
      </c>
    </row>
    <row r="2681" spans="1:3" x14ac:dyDescent="0.25">
      <c r="A2681" s="2">
        <v>0</v>
      </c>
      <c r="B2681" s="38">
        <v>0</v>
      </c>
      <c r="C2681" s="79">
        <v>0</v>
      </c>
    </row>
    <row r="2682" spans="1:3" x14ac:dyDescent="0.25">
      <c r="A2682" s="2">
        <v>0</v>
      </c>
      <c r="B2682" s="38">
        <v>0</v>
      </c>
      <c r="C2682" s="79">
        <v>0</v>
      </c>
    </row>
    <row r="2683" spans="1:3" x14ac:dyDescent="0.25">
      <c r="A2683" s="2">
        <v>0</v>
      </c>
      <c r="B2683" s="38">
        <v>0</v>
      </c>
      <c r="C2683" s="79">
        <v>0</v>
      </c>
    </row>
    <row r="2684" spans="1:3" x14ac:dyDescent="0.25">
      <c r="A2684" s="2">
        <v>0</v>
      </c>
      <c r="B2684" s="38">
        <v>0</v>
      </c>
      <c r="C2684" s="79">
        <v>0</v>
      </c>
    </row>
    <row r="2685" spans="1:3" x14ac:dyDescent="0.25">
      <c r="A2685" s="2">
        <v>0</v>
      </c>
      <c r="B2685" s="38">
        <v>0</v>
      </c>
      <c r="C2685" s="79">
        <v>0</v>
      </c>
    </row>
    <row r="2686" spans="1:3" x14ac:dyDescent="0.25">
      <c r="A2686" s="2">
        <v>0</v>
      </c>
      <c r="B2686" s="38">
        <v>0</v>
      </c>
      <c r="C2686" s="79">
        <v>0</v>
      </c>
    </row>
    <row r="2687" spans="1:3" x14ac:dyDescent="0.25">
      <c r="A2687" s="2">
        <v>0</v>
      </c>
      <c r="B2687" s="38">
        <v>0</v>
      </c>
      <c r="C2687" s="79">
        <v>0</v>
      </c>
    </row>
    <row r="2688" spans="1:3" x14ac:dyDescent="0.25">
      <c r="A2688" s="2">
        <v>0</v>
      </c>
      <c r="B2688" s="38">
        <v>0</v>
      </c>
      <c r="C2688" s="79">
        <v>0</v>
      </c>
    </row>
    <row r="2689" spans="1:3" x14ac:dyDescent="0.25">
      <c r="A2689" s="2">
        <v>0</v>
      </c>
      <c r="B2689" s="38">
        <v>0</v>
      </c>
      <c r="C2689" s="79">
        <v>0</v>
      </c>
    </row>
    <row r="2690" spans="1:3" x14ac:dyDescent="0.25">
      <c r="A2690" s="2">
        <v>0</v>
      </c>
      <c r="B2690" s="38">
        <v>0</v>
      </c>
      <c r="C2690" s="79">
        <v>0</v>
      </c>
    </row>
    <row r="2691" spans="1:3" x14ac:dyDescent="0.25">
      <c r="A2691" s="2">
        <v>0</v>
      </c>
      <c r="B2691" s="38">
        <v>0</v>
      </c>
      <c r="C2691" s="79">
        <v>0</v>
      </c>
    </row>
    <row r="2692" spans="1:3" x14ac:dyDescent="0.25">
      <c r="A2692" s="2">
        <v>0</v>
      </c>
      <c r="B2692" s="38">
        <v>0</v>
      </c>
      <c r="C2692" s="79">
        <v>0</v>
      </c>
    </row>
    <row r="2693" spans="1:3" x14ac:dyDescent="0.25">
      <c r="A2693" s="2">
        <v>0</v>
      </c>
      <c r="B2693" s="38">
        <v>0</v>
      </c>
      <c r="C2693" s="79">
        <v>0</v>
      </c>
    </row>
    <row r="2694" spans="1:3" x14ac:dyDescent="0.25">
      <c r="A2694" s="2">
        <v>0</v>
      </c>
      <c r="B2694" s="38">
        <v>0</v>
      </c>
      <c r="C2694" s="79">
        <v>0</v>
      </c>
    </row>
    <row r="2695" spans="1:3" x14ac:dyDescent="0.25">
      <c r="A2695" s="2">
        <v>0</v>
      </c>
      <c r="B2695" s="38">
        <v>0</v>
      </c>
      <c r="C2695" s="79">
        <v>0</v>
      </c>
    </row>
    <row r="2696" spans="1:3" x14ac:dyDescent="0.25">
      <c r="A2696" s="2">
        <v>0</v>
      </c>
      <c r="B2696" s="38">
        <v>0</v>
      </c>
      <c r="C2696" s="79">
        <v>0</v>
      </c>
    </row>
    <row r="2697" spans="1:3" x14ac:dyDescent="0.25">
      <c r="A2697" s="2">
        <v>0</v>
      </c>
      <c r="B2697" s="38">
        <v>0</v>
      </c>
      <c r="C2697" s="79">
        <v>0</v>
      </c>
    </row>
    <row r="2698" spans="1:3" x14ac:dyDescent="0.25">
      <c r="A2698" s="2">
        <v>0</v>
      </c>
      <c r="B2698" s="38">
        <v>0</v>
      </c>
      <c r="C2698" s="79">
        <v>0</v>
      </c>
    </row>
    <row r="2699" spans="1:3" x14ac:dyDescent="0.25">
      <c r="A2699" s="2">
        <v>0</v>
      </c>
      <c r="B2699" s="38">
        <v>0</v>
      </c>
      <c r="C2699" s="79">
        <v>0</v>
      </c>
    </row>
    <row r="2700" spans="1:3" x14ac:dyDescent="0.25">
      <c r="A2700" s="2">
        <v>0</v>
      </c>
      <c r="B2700" s="38">
        <v>0</v>
      </c>
      <c r="C2700" s="79">
        <v>0</v>
      </c>
    </row>
    <row r="2701" spans="1:3" x14ac:dyDescent="0.25">
      <c r="A2701" s="2">
        <v>0</v>
      </c>
      <c r="B2701" s="38">
        <v>0</v>
      </c>
      <c r="C2701" s="79">
        <v>0</v>
      </c>
    </row>
    <row r="2702" spans="1:3" x14ac:dyDescent="0.25">
      <c r="A2702" s="2">
        <v>0</v>
      </c>
      <c r="B2702" s="38">
        <v>0</v>
      </c>
      <c r="C2702" s="79">
        <v>0</v>
      </c>
    </row>
    <row r="2703" spans="1:3" x14ac:dyDescent="0.25">
      <c r="A2703" s="2">
        <v>0</v>
      </c>
      <c r="B2703" s="38">
        <v>0</v>
      </c>
      <c r="C2703" s="79">
        <v>0</v>
      </c>
    </row>
    <row r="2704" spans="1:3" x14ac:dyDescent="0.25">
      <c r="A2704" s="2">
        <v>0</v>
      </c>
      <c r="B2704" s="38">
        <v>0</v>
      </c>
      <c r="C2704" s="79">
        <v>0</v>
      </c>
    </row>
    <row r="2705" spans="1:3" x14ac:dyDescent="0.25">
      <c r="A2705" s="2">
        <v>0</v>
      </c>
      <c r="B2705" s="38">
        <v>0</v>
      </c>
      <c r="C2705" s="79">
        <v>0</v>
      </c>
    </row>
    <row r="2706" spans="1:3" x14ac:dyDescent="0.25">
      <c r="A2706" s="2">
        <v>0</v>
      </c>
      <c r="B2706" s="38">
        <v>0</v>
      </c>
      <c r="C2706" s="79">
        <v>0</v>
      </c>
    </row>
    <row r="2707" spans="1:3" x14ac:dyDescent="0.25">
      <c r="A2707" s="2">
        <v>0</v>
      </c>
      <c r="B2707" s="38">
        <v>0</v>
      </c>
      <c r="C2707" s="79">
        <v>0</v>
      </c>
    </row>
    <row r="2708" spans="1:3" x14ac:dyDescent="0.25">
      <c r="A2708" s="2">
        <v>0</v>
      </c>
      <c r="B2708" s="38">
        <v>0</v>
      </c>
      <c r="C2708" s="79">
        <v>0</v>
      </c>
    </row>
    <row r="2709" spans="1:3" x14ac:dyDescent="0.25">
      <c r="A2709" s="2">
        <v>0</v>
      </c>
      <c r="B2709" s="38">
        <v>0</v>
      </c>
      <c r="C2709" s="79">
        <v>0</v>
      </c>
    </row>
    <row r="2710" spans="1:3" x14ac:dyDescent="0.25">
      <c r="A2710" s="2">
        <v>0</v>
      </c>
      <c r="B2710" s="38">
        <v>0</v>
      </c>
      <c r="C2710" s="79">
        <v>0</v>
      </c>
    </row>
    <row r="2711" spans="1:3" x14ac:dyDescent="0.25">
      <c r="A2711" s="2">
        <v>0</v>
      </c>
      <c r="B2711" s="38">
        <v>0</v>
      </c>
      <c r="C2711" s="79">
        <v>0</v>
      </c>
    </row>
    <row r="2712" spans="1:3" x14ac:dyDescent="0.25">
      <c r="A2712" s="2">
        <v>0</v>
      </c>
      <c r="B2712" s="38">
        <v>0</v>
      </c>
      <c r="C2712" s="79">
        <v>0</v>
      </c>
    </row>
    <row r="2713" spans="1:3" x14ac:dyDescent="0.25">
      <c r="A2713" s="2">
        <v>0</v>
      </c>
      <c r="B2713" s="38">
        <v>0</v>
      </c>
      <c r="C2713" s="79">
        <v>0</v>
      </c>
    </row>
    <row r="2714" spans="1:3" x14ac:dyDescent="0.25">
      <c r="A2714" s="2">
        <v>0</v>
      </c>
      <c r="B2714" s="38">
        <v>0</v>
      </c>
      <c r="C2714" s="79">
        <v>0</v>
      </c>
    </row>
    <row r="2715" spans="1:3" x14ac:dyDescent="0.25">
      <c r="A2715" s="2">
        <v>0</v>
      </c>
      <c r="B2715" s="38">
        <v>0</v>
      </c>
      <c r="C2715" s="79">
        <v>0</v>
      </c>
    </row>
    <row r="2716" spans="1:3" x14ac:dyDescent="0.25">
      <c r="A2716" s="2">
        <v>0</v>
      </c>
      <c r="B2716" s="38">
        <v>0</v>
      </c>
      <c r="C2716" s="79">
        <v>0</v>
      </c>
    </row>
    <row r="2717" spans="1:3" x14ac:dyDescent="0.25">
      <c r="A2717" s="2">
        <v>0</v>
      </c>
      <c r="B2717" s="38">
        <v>0</v>
      </c>
      <c r="C2717" s="79">
        <v>0</v>
      </c>
    </row>
    <row r="2718" spans="1:3" x14ac:dyDescent="0.25">
      <c r="A2718" s="2">
        <v>0</v>
      </c>
      <c r="B2718" s="38">
        <v>0</v>
      </c>
      <c r="C2718" s="79">
        <v>0</v>
      </c>
    </row>
    <row r="2719" spans="1:3" x14ac:dyDescent="0.25">
      <c r="A2719" s="2">
        <v>0</v>
      </c>
      <c r="B2719" s="38">
        <v>0</v>
      </c>
      <c r="C2719" s="79">
        <v>0</v>
      </c>
    </row>
    <row r="2720" spans="1:3" x14ac:dyDescent="0.25">
      <c r="A2720" s="2">
        <v>0</v>
      </c>
      <c r="B2720" s="38">
        <v>0</v>
      </c>
      <c r="C2720" s="79">
        <v>0</v>
      </c>
    </row>
    <row r="2721" spans="1:3" x14ac:dyDescent="0.25">
      <c r="A2721" s="2">
        <v>0</v>
      </c>
      <c r="B2721" s="38">
        <v>0</v>
      </c>
      <c r="C2721" s="79">
        <v>0</v>
      </c>
    </row>
    <row r="2722" spans="1:3" x14ac:dyDescent="0.25">
      <c r="A2722" s="2">
        <v>0</v>
      </c>
      <c r="B2722" s="38">
        <v>0</v>
      </c>
      <c r="C2722" s="79">
        <v>0</v>
      </c>
    </row>
    <row r="2723" spans="1:3" x14ac:dyDescent="0.25">
      <c r="A2723" s="2">
        <v>0</v>
      </c>
      <c r="B2723" s="38">
        <v>0</v>
      </c>
      <c r="C2723" s="79">
        <v>0</v>
      </c>
    </row>
    <row r="2724" spans="1:3" x14ac:dyDescent="0.25">
      <c r="A2724" s="2">
        <v>0</v>
      </c>
      <c r="B2724" s="38">
        <v>0</v>
      </c>
      <c r="C2724" s="79">
        <v>0</v>
      </c>
    </row>
    <row r="2725" spans="1:3" x14ac:dyDescent="0.25">
      <c r="A2725" s="2">
        <v>0</v>
      </c>
      <c r="B2725" s="38">
        <v>0</v>
      </c>
      <c r="C2725" s="79">
        <v>0</v>
      </c>
    </row>
    <row r="2726" spans="1:3" x14ac:dyDescent="0.25">
      <c r="A2726" s="2">
        <v>0</v>
      </c>
      <c r="B2726" s="38">
        <v>0</v>
      </c>
      <c r="C2726" s="79">
        <v>0</v>
      </c>
    </row>
    <row r="2727" spans="1:3" x14ac:dyDescent="0.25">
      <c r="A2727" s="2">
        <v>0</v>
      </c>
      <c r="B2727" s="38">
        <v>0</v>
      </c>
      <c r="C2727" s="79">
        <v>0</v>
      </c>
    </row>
    <row r="2728" spans="1:3" x14ac:dyDescent="0.25">
      <c r="A2728" s="2">
        <v>0</v>
      </c>
      <c r="B2728" s="38">
        <v>0</v>
      </c>
      <c r="C2728" s="79">
        <v>0</v>
      </c>
    </row>
    <row r="2729" spans="1:3" x14ac:dyDescent="0.25">
      <c r="A2729" s="2">
        <v>0</v>
      </c>
      <c r="B2729" s="38">
        <v>0</v>
      </c>
      <c r="C2729" s="79">
        <v>0</v>
      </c>
    </row>
    <row r="2730" spans="1:3" x14ac:dyDescent="0.25">
      <c r="A2730" s="2">
        <v>0</v>
      </c>
      <c r="B2730" s="38">
        <v>0</v>
      </c>
      <c r="C2730" s="79">
        <v>0</v>
      </c>
    </row>
    <row r="2731" spans="1:3" x14ac:dyDescent="0.25">
      <c r="A2731" s="2">
        <v>0</v>
      </c>
      <c r="B2731" s="38">
        <v>0</v>
      </c>
      <c r="C2731" s="79">
        <v>0</v>
      </c>
    </row>
    <row r="2732" spans="1:3" x14ac:dyDescent="0.25">
      <c r="A2732" s="2">
        <v>0</v>
      </c>
      <c r="B2732" s="38">
        <v>0</v>
      </c>
      <c r="C2732" s="79">
        <v>0</v>
      </c>
    </row>
    <row r="2733" spans="1:3" x14ac:dyDescent="0.25">
      <c r="A2733" s="2">
        <v>0</v>
      </c>
      <c r="B2733" s="38">
        <v>0</v>
      </c>
      <c r="C2733" s="79">
        <v>0</v>
      </c>
    </row>
    <row r="2734" spans="1:3" x14ac:dyDescent="0.25">
      <c r="A2734" s="2">
        <v>0</v>
      </c>
      <c r="B2734" s="38">
        <v>0</v>
      </c>
      <c r="C2734" s="79">
        <v>0</v>
      </c>
    </row>
    <row r="2735" spans="1:3" x14ac:dyDescent="0.25">
      <c r="A2735" s="2">
        <v>0</v>
      </c>
      <c r="B2735" s="38">
        <v>0</v>
      </c>
      <c r="C2735" s="79">
        <v>0</v>
      </c>
    </row>
    <row r="2736" spans="1:3" x14ac:dyDescent="0.25">
      <c r="A2736" s="2">
        <v>0</v>
      </c>
      <c r="B2736" s="38">
        <v>0</v>
      </c>
      <c r="C2736" s="79">
        <v>0</v>
      </c>
    </row>
    <row r="2737" spans="1:3" x14ac:dyDescent="0.25">
      <c r="A2737" s="2">
        <v>0</v>
      </c>
      <c r="B2737" s="38">
        <v>0</v>
      </c>
      <c r="C2737" s="79">
        <v>0</v>
      </c>
    </row>
    <row r="2738" spans="1:3" x14ac:dyDescent="0.25">
      <c r="A2738" s="2">
        <v>0</v>
      </c>
      <c r="B2738" s="38">
        <v>0</v>
      </c>
      <c r="C2738" s="79">
        <v>0</v>
      </c>
    </row>
    <row r="2739" spans="1:3" x14ac:dyDescent="0.25">
      <c r="A2739" s="2">
        <v>0</v>
      </c>
      <c r="B2739" s="38">
        <v>0</v>
      </c>
      <c r="C2739" s="79">
        <v>0</v>
      </c>
    </row>
    <row r="2740" spans="1:3" x14ac:dyDescent="0.25">
      <c r="A2740" s="2">
        <v>0</v>
      </c>
      <c r="B2740" s="38">
        <v>0</v>
      </c>
      <c r="C2740" s="79">
        <v>0</v>
      </c>
    </row>
    <row r="2741" spans="1:3" x14ac:dyDescent="0.25">
      <c r="A2741" s="2">
        <v>0</v>
      </c>
      <c r="B2741" s="38">
        <v>0</v>
      </c>
      <c r="C2741" s="79">
        <v>0</v>
      </c>
    </row>
    <row r="2742" spans="1:3" x14ac:dyDescent="0.25">
      <c r="A2742" s="2">
        <v>0</v>
      </c>
      <c r="B2742" s="38">
        <v>0</v>
      </c>
      <c r="C2742" s="79">
        <v>0</v>
      </c>
    </row>
    <row r="2743" spans="1:3" x14ac:dyDescent="0.25">
      <c r="A2743" s="2">
        <v>0</v>
      </c>
      <c r="B2743" s="38">
        <v>0</v>
      </c>
      <c r="C2743" s="79">
        <v>0</v>
      </c>
    </row>
    <row r="2744" spans="1:3" x14ac:dyDescent="0.25">
      <c r="A2744" s="2">
        <v>0</v>
      </c>
      <c r="B2744" s="38">
        <v>0</v>
      </c>
      <c r="C2744" s="79">
        <v>0</v>
      </c>
    </row>
    <row r="2745" spans="1:3" x14ac:dyDescent="0.25">
      <c r="A2745" s="2">
        <v>0</v>
      </c>
      <c r="B2745" s="38">
        <v>0</v>
      </c>
      <c r="C2745" s="79">
        <v>0</v>
      </c>
    </row>
    <row r="2746" spans="1:3" x14ac:dyDescent="0.25">
      <c r="A2746" s="2">
        <v>0</v>
      </c>
      <c r="B2746" s="38">
        <v>0</v>
      </c>
      <c r="C2746" s="79">
        <v>0</v>
      </c>
    </row>
    <row r="2747" spans="1:3" x14ac:dyDescent="0.25">
      <c r="A2747" s="2">
        <v>0</v>
      </c>
      <c r="B2747" s="38">
        <v>0</v>
      </c>
      <c r="C2747" s="79">
        <v>0</v>
      </c>
    </row>
    <row r="2748" spans="1:3" x14ac:dyDescent="0.25">
      <c r="A2748" s="2">
        <v>0</v>
      </c>
      <c r="B2748" s="38">
        <v>0</v>
      </c>
      <c r="C2748" s="79">
        <v>0</v>
      </c>
    </row>
    <row r="2749" spans="1:3" x14ac:dyDescent="0.25">
      <c r="A2749" s="2">
        <v>0</v>
      </c>
      <c r="B2749" s="38">
        <v>0</v>
      </c>
      <c r="C2749" s="79">
        <v>0</v>
      </c>
    </row>
    <row r="2750" spans="1:3" x14ac:dyDescent="0.25">
      <c r="A2750" s="2">
        <v>0</v>
      </c>
      <c r="B2750" s="38">
        <v>0</v>
      </c>
      <c r="C2750" s="79">
        <v>0</v>
      </c>
    </row>
    <row r="2751" spans="1:3" x14ac:dyDescent="0.25">
      <c r="A2751" s="2">
        <v>0</v>
      </c>
      <c r="B2751" s="38">
        <v>0</v>
      </c>
      <c r="C2751" s="79">
        <v>0</v>
      </c>
    </row>
    <row r="2752" spans="1:3" x14ac:dyDescent="0.25">
      <c r="A2752" s="2">
        <v>0</v>
      </c>
      <c r="B2752" s="38">
        <v>0</v>
      </c>
      <c r="C2752" s="79">
        <v>0</v>
      </c>
    </row>
    <row r="2753" spans="1:3" x14ac:dyDescent="0.25">
      <c r="A2753" s="2">
        <v>0</v>
      </c>
      <c r="B2753" s="38">
        <v>0</v>
      </c>
      <c r="C2753" s="79">
        <v>0</v>
      </c>
    </row>
    <row r="2754" spans="1:3" x14ac:dyDescent="0.25">
      <c r="A2754" s="2">
        <v>0</v>
      </c>
      <c r="B2754" s="38">
        <v>0</v>
      </c>
      <c r="C2754" s="79">
        <v>0</v>
      </c>
    </row>
    <row r="2755" spans="1:3" x14ac:dyDescent="0.25">
      <c r="A2755" s="2">
        <v>0</v>
      </c>
      <c r="B2755" s="38">
        <v>0</v>
      </c>
      <c r="C2755" s="79">
        <v>0</v>
      </c>
    </row>
    <row r="2756" spans="1:3" x14ac:dyDescent="0.25">
      <c r="A2756" s="2">
        <v>0</v>
      </c>
      <c r="B2756" s="38">
        <v>0</v>
      </c>
      <c r="C2756" s="79">
        <v>0</v>
      </c>
    </row>
    <row r="2757" spans="1:3" x14ac:dyDescent="0.25">
      <c r="A2757" s="2">
        <v>0</v>
      </c>
      <c r="B2757" s="38">
        <v>0</v>
      </c>
      <c r="C2757" s="79">
        <v>0</v>
      </c>
    </row>
    <row r="2758" spans="1:3" x14ac:dyDescent="0.25">
      <c r="A2758" s="2">
        <v>0</v>
      </c>
      <c r="B2758" s="38">
        <v>0</v>
      </c>
      <c r="C2758" s="79">
        <v>0</v>
      </c>
    </row>
    <row r="2759" spans="1:3" x14ac:dyDescent="0.25">
      <c r="A2759" s="2">
        <v>0</v>
      </c>
      <c r="B2759" s="38">
        <v>0</v>
      </c>
      <c r="C2759" s="79">
        <v>0</v>
      </c>
    </row>
    <row r="2760" spans="1:3" x14ac:dyDescent="0.25">
      <c r="A2760" s="2">
        <v>0</v>
      </c>
      <c r="B2760" s="38">
        <v>0</v>
      </c>
      <c r="C2760" s="79">
        <v>0</v>
      </c>
    </row>
    <row r="2761" spans="1:3" x14ac:dyDescent="0.25">
      <c r="A2761" s="2">
        <v>0</v>
      </c>
      <c r="B2761" s="38">
        <v>0</v>
      </c>
      <c r="C2761" s="79">
        <v>0</v>
      </c>
    </row>
    <row r="2762" spans="1:3" x14ac:dyDescent="0.25">
      <c r="A2762" s="2">
        <v>0</v>
      </c>
      <c r="B2762" s="38">
        <v>0</v>
      </c>
      <c r="C2762" s="79">
        <v>0</v>
      </c>
    </row>
    <row r="2763" spans="1:3" x14ac:dyDescent="0.25">
      <c r="A2763" s="2">
        <v>0</v>
      </c>
      <c r="B2763" s="38">
        <v>0</v>
      </c>
      <c r="C2763" s="79">
        <v>0</v>
      </c>
    </row>
    <row r="2764" spans="1:3" x14ac:dyDescent="0.25">
      <c r="A2764" s="2">
        <v>0</v>
      </c>
      <c r="B2764" s="38">
        <v>0</v>
      </c>
      <c r="C2764" s="79">
        <v>0</v>
      </c>
    </row>
    <row r="2765" spans="1:3" x14ac:dyDescent="0.25">
      <c r="A2765" s="2">
        <v>0</v>
      </c>
      <c r="B2765" s="38">
        <v>0</v>
      </c>
      <c r="C2765" s="79">
        <v>0</v>
      </c>
    </row>
    <row r="2766" spans="1:3" x14ac:dyDescent="0.25">
      <c r="A2766" s="2">
        <v>0</v>
      </c>
      <c r="B2766" s="38">
        <v>0</v>
      </c>
      <c r="C2766" s="79">
        <v>0</v>
      </c>
    </row>
    <row r="2767" spans="1:3" x14ac:dyDescent="0.25">
      <c r="A2767" s="2">
        <v>0</v>
      </c>
      <c r="B2767" s="38">
        <v>0</v>
      </c>
      <c r="C2767" s="79">
        <v>0</v>
      </c>
    </row>
    <row r="2768" spans="1:3" x14ac:dyDescent="0.25">
      <c r="A2768" s="2">
        <v>0</v>
      </c>
      <c r="B2768" s="38">
        <v>0</v>
      </c>
      <c r="C2768" s="79">
        <v>0</v>
      </c>
    </row>
    <row r="2769" spans="1:3" x14ac:dyDescent="0.25">
      <c r="A2769" s="2">
        <v>0</v>
      </c>
      <c r="B2769" s="38">
        <v>0</v>
      </c>
      <c r="C2769" s="79">
        <v>0</v>
      </c>
    </row>
    <row r="2770" spans="1:3" x14ac:dyDescent="0.25">
      <c r="A2770" s="2">
        <v>0</v>
      </c>
      <c r="B2770" s="38">
        <v>0</v>
      </c>
      <c r="C2770" s="79">
        <v>0</v>
      </c>
    </row>
    <row r="2771" spans="1:3" x14ac:dyDescent="0.25">
      <c r="A2771" s="2">
        <v>0</v>
      </c>
      <c r="B2771" s="38">
        <v>0</v>
      </c>
      <c r="C2771" s="79">
        <v>0</v>
      </c>
    </row>
    <row r="2772" spans="1:3" x14ac:dyDescent="0.25">
      <c r="A2772" s="2">
        <v>0</v>
      </c>
      <c r="B2772" s="38">
        <v>0</v>
      </c>
      <c r="C2772" s="79">
        <v>0</v>
      </c>
    </row>
    <row r="2773" spans="1:3" x14ac:dyDescent="0.25">
      <c r="A2773" s="2">
        <v>0</v>
      </c>
      <c r="B2773" s="38">
        <v>0</v>
      </c>
      <c r="C2773" s="79">
        <v>0</v>
      </c>
    </row>
    <row r="2774" spans="1:3" x14ac:dyDescent="0.25">
      <c r="A2774" s="2">
        <v>0</v>
      </c>
      <c r="B2774" s="38">
        <v>0</v>
      </c>
      <c r="C2774" s="79">
        <v>0</v>
      </c>
    </row>
    <row r="2775" spans="1:3" x14ac:dyDescent="0.25">
      <c r="A2775" s="2">
        <v>0</v>
      </c>
      <c r="B2775" s="38">
        <v>0</v>
      </c>
      <c r="C2775" s="79">
        <v>0</v>
      </c>
    </row>
    <row r="2776" spans="1:3" x14ac:dyDescent="0.25">
      <c r="A2776" s="2">
        <v>0</v>
      </c>
      <c r="B2776" s="38">
        <v>0</v>
      </c>
      <c r="C2776" s="79">
        <v>0</v>
      </c>
    </row>
    <row r="2777" spans="1:3" x14ac:dyDescent="0.25">
      <c r="A2777" s="2">
        <v>0</v>
      </c>
      <c r="B2777" s="38">
        <v>0</v>
      </c>
      <c r="C2777" s="79">
        <v>0</v>
      </c>
    </row>
    <row r="2778" spans="1:3" x14ac:dyDescent="0.25">
      <c r="A2778" s="2">
        <v>0</v>
      </c>
      <c r="B2778" s="38">
        <v>0</v>
      </c>
      <c r="C2778" s="79">
        <v>0</v>
      </c>
    </row>
    <row r="2779" spans="1:3" x14ac:dyDescent="0.25">
      <c r="A2779" s="2">
        <v>0</v>
      </c>
      <c r="B2779" s="38">
        <v>0</v>
      </c>
      <c r="C2779" s="79">
        <v>0</v>
      </c>
    </row>
    <row r="2780" spans="1:3" x14ac:dyDescent="0.25">
      <c r="A2780" s="2">
        <v>0</v>
      </c>
      <c r="B2780" s="38">
        <v>0</v>
      </c>
      <c r="C2780" s="79">
        <v>0</v>
      </c>
    </row>
    <row r="2781" spans="1:3" x14ac:dyDescent="0.25">
      <c r="A2781" s="2">
        <v>0</v>
      </c>
      <c r="B2781" s="38">
        <v>0</v>
      </c>
      <c r="C2781" s="79">
        <v>0</v>
      </c>
    </row>
    <row r="2782" spans="1:3" x14ac:dyDescent="0.25">
      <c r="A2782" s="2">
        <v>0</v>
      </c>
      <c r="B2782" s="38">
        <v>0</v>
      </c>
      <c r="C2782" s="79">
        <v>0</v>
      </c>
    </row>
    <row r="2783" spans="1:3" x14ac:dyDescent="0.25">
      <c r="A2783" s="2">
        <v>0</v>
      </c>
      <c r="B2783" s="38">
        <v>0</v>
      </c>
      <c r="C2783" s="79">
        <v>0</v>
      </c>
    </row>
    <row r="2784" spans="1:3" x14ac:dyDescent="0.25">
      <c r="A2784" s="2">
        <v>0</v>
      </c>
      <c r="B2784" s="38">
        <v>0</v>
      </c>
      <c r="C2784" s="79">
        <v>0</v>
      </c>
    </row>
    <row r="2785" spans="1:3" x14ac:dyDescent="0.25">
      <c r="A2785" s="2">
        <v>0</v>
      </c>
      <c r="B2785" s="38">
        <v>0</v>
      </c>
      <c r="C2785" s="79">
        <v>0</v>
      </c>
    </row>
    <row r="2786" spans="1:3" x14ac:dyDescent="0.25">
      <c r="A2786" s="2">
        <v>0</v>
      </c>
      <c r="B2786" s="38">
        <v>0</v>
      </c>
      <c r="C2786" s="79">
        <v>0</v>
      </c>
    </row>
    <row r="2787" spans="1:3" x14ac:dyDescent="0.25">
      <c r="A2787" s="2">
        <v>0</v>
      </c>
      <c r="B2787" s="38">
        <v>0</v>
      </c>
      <c r="C2787" s="79">
        <v>0</v>
      </c>
    </row>
    <row r="2788" spans="1:3" x14ac:dyDescent="0.25">
      <c r="A2788" s="2">
        <v>0</v>
      </c>
      <c r="B2788" s="38">
        <v>0</v>
      </c>
      <c r="C2788" s="79">
        <v>0</v>
      </c>
    </row>
    <row r="2789" spans="1:3" x14ac:dyDescent="0.25">
      <c r="A2789" s="2">
        <v>0</v>
      </c>
      <c r="B2789" s="38">
        <v>0</v>
      </c>
      <c r="C2789" s="79">
        <v>0</v>
      </c>
    </row>
    <row r="2790" spans="1:3" x14ac:dyDescent="0.25">
      <c r="A2790" s="2">
        <v>0</v>
      </c>
      <c r="B2790" s="38">
        <v>0</v>
      </c>
      <c r="C2790" s="79">
        <v>0</v>
      </c>
    </row>
    <row r="2791" spans="1:3" x14ac:dyDescent="0.25">
      <c r="A2791" s="2">
        <v>0</v>
      </c>
      <c r="B2791" s="38">
        <v>0</v>
      </c>
      <c r="C2791" s="79">
        <v>0</v>
      </c>
    </row>
    <row r="2792" spans="1:3" x14ac:dyDescent="0.25">
      <c r="A2792" s="2">
        <v>0</v>
      </c>
      <c r="B2792" s="38">
        <v>0</v>
      </c>
      <c r="C2792" s="79">
        <v>0</v>
      </c>
    </row>
    <row r="2793" spans="1:3" x14ac:dyDescent="0.25">
      <c r="A2793" s="2">
        <v>0</v>
      </c>
      <c r="B2793" s="38">
        <v>0</v>
      </c>
      <c r="C2793" s="79">
        <v>0</v>
      </c>
    </row>
    <row r="2794" spans="1:3" x14ac:dyDescent="0.25">
      <c r="A2794" s="2">
        <v>0</v>
      </c>
      <c r="B2794" s="38">
        <v>0</v>
      </c>
      <c r="C2794" s="79">
        <v>0</v>
      </c>
    </row>
    <row r="2795" spans="1:3" x14ac:dyDescent="0.25">
      <c r="A2795" s="2">
        <v>0</v>
      </c>
      <c r="B2795" s="38">
        <v>0</v>
      </c>
      <c r="C2795" s="79">
        <v>0</v>
      </c>
    </row>
    <row r="2796" spans="1:3" x14ac:dyDescent="0.25">
      <c r="A2796" s="2">
        <v>0</v>
      </c>
      <c r="B2796" s="38">
        <v>0</v>
      </c>
      <c r="C2796" s="79">
        <v>0</v>
      </c>
    </row>
    <row r="2797" spans="1:3" x14ac:dyDescent="0.25">
      <c r="A2797" s="2">
        <v>0</v>
      </c>
      <c r="B2797" s="38">
        <v>0</v>
      </c>
      <c r="C2797" s="79">
        <v>0</v>
      </c>
    </row>
    <row r="2798" spans="1:3" x14ac:dyDescent="0.25">
      <c r="A2798" s="2">
        <v>0</v>
      </c>
      <c r="B2798" s="38">
        <v>0</v>
      </c>
      <c r="C2798" s="79">
        <v>0</v>
      </c>
    </row>
    <row r="2799" spans="1:3" x14ac:dyDescent="0.25">
      <c r="A2799" s="2">
        <v>0</v>
      </c>
      <c r="B2799" s="38">
        <v>0</v>
      </c>
      <c r="C2799" s="79">
        <v>0</v>
      </c>
    </row>
    <row r="2800" spans="1:3" x14ac:dyDescent="0.25">
      <c r="A2800" s="2">
        <v>0</v>
      </c>
      <c r="B2800" s="38">
        <v>0</v>
      </c>
      <c r="C2800" s="79">
        <v>0</v>
      </c>
    </row>
    <row r="2801" spans="1:3" x14ac:dyDescent="0.25">
      <c r="A2801" s="2">
        <v>0</v>
      </c>
      <c r="B2801" s="38">
        <v>0</v>
      </c>
      <c r="C2801" s="79">
        <v>0</v>
      </c>
    </row>
    <row r="2802" spans="1:3" x14ac:dyDescent="0.25">
      <c r="A2802" s="2">
        <v>0</v>
      </c>
      <c r="B2802" s="38">
        <v>0</v>
      </c>
      <c r="C2802" s="79">
        <v>0</v>
      </c>
    </row>
    <row r="2803" spans="1:3" x14ac:dyDescent="0.25">
      <c r="A2803" s="2">
        <v>0</v>
      </c>
      <c r="B2803" s="38">
        <v>0</v>
      </c>
      <c r="C2803" s="79">
        <v>0</v>
      </c>
    </row>
    <row r="2804" spans="1:3" x14ac:dyDescent="0.25">
      <c r="A2804" s="2">
        <v>0</v>
      </c>
      <c r="B2804" s="38">
        <v>0</v>
      </c>
      <c r="C2804" s="79">
        <v>0</v>
      </c>
    </row>
    <row r="2805" spans="1:3" x14ac:dyDescent="0.25">
      <c r="A2805" s="2">
        <v>0</v>
      </c>
      <c r="B2805" s="38">
        <v>0</v>
      </c>
      <c r="C2805" s="79">
        <v>0</v>
      </c>
    </row>
    <row r="2806" spans="1:3" x14ac:dyDescent="0.25">
      <c r="A2806" s="2">
        <v>0</v>
      </c>
      <c r="B2806" s="38">
        <v>0</v>
      </c>
      <c r="C2806" s="79">
        <v>0</v>
      </c>
    </row>
    <row r="2807" spans="1:3" x14ac:dyDescent="0.25">
      <c r="A2807" s="2">
        <v>0</v>
      </c>
      <c r="B2807" s="38">
        <v>0</v>
      </c>
      <c r="C2807" s="79">
        <v>0</v>
      </c>
    </row>
    <row r="2808" spans="1:3" x14ac:dyDescent="0.25">
      <c r="A2808" s="2">
        <v>0</v>
      </c>
      <c r="B2808" s="38">
        <v>0</v>
      </c>
      <c r="C2808" s="79">
        <v>0</v>
      </c>
    </row>
    <row r="2809" spans="1:3" x14ac:dyDescent="0.25">
      <c r="A2809" s="2">
        <v>0</v>
      </c>
      <c r="B2809" s="38">
        <v>0</v>
      </c>
      <c r="C2809" s="79">
        <v>0</v>
      </c>
    </row>
    <row r="2810" spans="1:3" x14ac:dyDescent="0.25">
      <c r="A2810" s="2">
        <v>0</v>
      </c>
      <c r="B2810" s="38">
        <v>0</v>
      </c>
      <c r="C2810" s="79">
        <v>0</v>
      </c>
    </row>
    <row r="2811" spans="1:3" x14ac:dyDescent="0.25">
      <c r="A2811" s="2">
        <v>0</v>
      </c>
      <c r="B2811" s="38">
        <v>0</v>
      </c>
      <c r="C2811" s="79">
        <v>0</v>
      </c>
    </row>
    <row r="2812" spans="1:3" x14ac:dyDescent="0.25">
      <c r="A2812" s="2">
        <v>0</v>
      </c>
      <c r="B2812" s="38">
        <v>0</v>
      </c>
      <c r="C2812" s="79">
        <v>0</v>
      </c>
    </row>
    <row r="2813" spans="1:3" x14ac:dyDescent="0.25">
      <c r="A2813" s="2">
        <v>0</v>
      </c>
      <c r="B2813" s="38">
        <v>0</v>
      </c>
      <c r="C2813" s="79">
        <v>0</v>
      </c>
    </row>
    <row r="2814" spans="1:3" x14ac:dyDescent="0.25">
      <c r="A2814" s="2">
        <v>0</v>
      </c>
      <c r="B2814" s="38">
        <v>0</v>
      </c>
      <c r="C2814" s="79">
        <v>0</v>
      </c>
    </row>
    <row r="2815" spans="1:3" x14ac:dyDescent="0.25">
      <c r="A2815" s="2">
        <v>0</v>
      </c>
      <c r="B2815" s="38">
        <v>0</v>
      </c>
      <c r="C2815" s="79">
        <v>0</v>
      </c>
    </row>
    <row r="2816" spans="1:3" x14ac:dyDescent="0.25">
      <c r="A2816" s="2">
        <v>0</v>
      </c>
      <c r="B2816" s="38">
        <v>0</v>
      </c>
      <c r="C2816" s="79">
        <v>0</v>
      </c>
    </row>
    <row r="2817" spans="1:3" x14ac:dyDescent="0.25">
      <c r="A2817" s="2">
        <v>0</v>
      </c>
      <c r="B2817" s="38">
        <v>0</v>
      </c>
      <c r="C2817" s="79">
        <v>0</v>
      </c>
    </row>
    <row r="2818" spans="1:3" x14ac:dyDescent="0.25">
      <c r="A2818" s="2">
        <v>0</v>
      </c>
      <c r="B2818" s="38">
        <v>0</v>
      </c>
      <c r="C2818" s="79">
        <v>0</v>
      </c>
    </row>
    <row r="2819" spans="1:3" x14ac:dyDescent="0.25">
      <c r="A2819" s="2">
        <v>0</v>
      </c>
      <c r="B2819" s="38">
        <v>0</v>
      </c>
      <c r="C2819" s="79">
        <v>0</v>
      </c>
    </row>
    <row r="2820" spans="1:3" x14ac:dyDescent="0.25">
      <c r="A2820" s="2">
        <v>0</v>
      </c>
      <c r="B2820" s="38">
        <v>0</v>
      </c>
      <c r="C2820" s="79">
        <v>0</v>
      </c>
    </row>
    <row r="2821" spans="1:3" x14ac:dyDescent="0.25">
      <c r="A2821" s="2">
        <v>0</v>
      </c>
      <c r="B2821" s="38">
        <v>0</v>
      </c>
      <c r="C2821" s="79">
        <v>0</v>
      </c>
    </row>
    <row r="2822" spans="1:3" x14ac:dyDescent="0.25">
      <c r="A2822" s="2">
        <v>0</v>
      </c>
      <c r="B2822" s="38">
        <v>0</v>
      </c>
      <c r="C2822" s="79">
        <v>0</v>
      </c>
    </row>
    <row r="2823" spans="1:3" x14ac:dyDescent="0.25">
      <c r="A2823" s="2">
        <v>0</v>
      </c>
      <c r="B2823" s="38">
        <v>0</v>
      </c>
      <c r="C2823" s="79">
        <v>0</v>
      </c>
    </row>
    <row r="2824" spans="1:3" x14ac:dyDescent="0.25">
      <c r="A2824" s="2">
        <v>0</v>
      </c>
      <c r="B2824" s="38">
        <v>0</v>
      </c>
      <c r="C2824" s="79">
        <v>0</v>
      </c>
    </row>
    <row r="2825" spans="1:3" x14ac:dyDescent="0.25">
      <c r="A2825" s="2">
        <v>0</v>
      </c>
      <c r="B2825" s="38">
        <v>0</v>
      </c>
      <c r="C2825" s="79">
        <v>0</v>
      </c>
    </row>
    <row r="2826" spans="1:3" x14ac:dyDescent="0.25">
      <c r="A2826" s="2">
        <v>0</v>
      </c>
      <c r="B2826" s="38">
        <v>0</v>
      </c>
      <c r="C2826" s="79">
        <v>0</v>
      </c>
    </row>
    <row r="2827" spans="1:3" x14ac:dyDescent="0.25">
      <c r="A2827" s="2">
        <v>0</v>
      </c>
      <c r="B2827" s="38">
        <v>0</v>
      </c>
      <c r="C2827" s="79">
        <v>0</v>
      </c>
    </row>
    <row r="2828" spans="1:3" x14ac:dyDescent="0.25">
      <c r="A2828" s="2">
        <v>0</v>
      </c>
      <c r="B2828" s="38">
        <v>0</v>
      </c>
      <c r="C2828" s="79">
        <v>0</v>
      </c>
    </row>
    <row r="2829" spans="1:3" x14ac:dyDescent="0.25">
      <c r="A2829" s="2">
        <v>0</v>
      </c>
      <c r="B2829" s="38">
        <v>0</v>
      </c>
      <c r="C2829" s="79">
        <v>0</v>
      </c>
    </row>
    <row r="2830" spans="1:3" x14ac:dyDescent="0.25">
      <c r="A2830" s="2">
        <v>0</v>
      </c>
      <c r="B2830" s="38">
        <v>0</v>
      </c>
      <c r="C2830" s="79">
        <v>0</v>
      </c>
    </row>
    <row r="2831" spans="1:3" x14ac:dyDescent="0.25">
      <c r="A2831" s="2">
        <v>0</v>
      </c>
      <c r="B2831" s="38">
        <v>0</v>
      </c>
      <c r="C2831" s="79">
        <v>0</v>
      </c>
    </row>
    <row r="2832" spans="1:3" x14ac:dyDescent="0.25">
      <c r="A2832" s="2">
        <v>0</v>
      </c>
      <c r="B2832" s="38">
        <v>0</v>
      </c>
      <c r="C2832" s="79">
        <v>0</v>
      </c>
    </row>
    <row r="2833" spans="1:3" x14ac:dyDescent="0.25">
      <c r="A2833" s="2">
        <v>0</v>
      </c>
      <c r="B2833" s="38">
        <v>0</v>
      </c>
      <c r="C2833" s="79">
        <v>0</v>
      </c>
    </row>
    <row r="2834" spans="1:3" x14ac:dyDescent="0.25">
      <c r="A2834" s="2">
        <v>0</v>
      </c>
      <c r="B2834" s="38">
        <v>0</v>
      </c>
      <c r="C2834" s="79">
        <v>0</v>
      </c>
    </row>
    <row r="2835" spans="1:3" x14ac:dyDescent="0.25">
      <c r="A2835" s="2">
        <v>0</v>
      </c>
      <c r="B2835" s="38">
        <v>0</v>
      </c>
      <c r="C2835" s="79">
        <v>0</v>
      </c>
    </row>
    <row r="2836" spans="1:3" x14ac:dyDescent="0.25">
      <c r="A2836" s="2">
        <v>0</v>
      </c>
      <c r="B2836" s="38">
        <v>0</v>
      </c>
      <c r="C2836" s="79">
        <v>0</v>
      </c>
    </row>
    <row r="2837" spans="1:3" x14ac:dyDescent="0.25">
      <c r="A2837" s="2">
        <v>0</v>
      </c>
      <c r="B2837" s="38">
        <v>0</v>
      </c>
      <c r="C2837" s="79">
        <v>0</v>
      </c>
    </row>
    <row r="2838" spans="1:3" x14ac:dyDescent="0.25">
      <c r="A2838" s="2">
        <v>0</v>
      </c>
      <c r="B2838" s="38">
        <v>0</v>
      </c>
      <c r="C2838" s="79">
        <v>0</v>
      </c>
    </row>
    <row r="2839" spans="1:3" x14ac:dyDescent="0.25">
      <c r="A2839" s="2">
        <v>0</v>
      </c>
      <c r="B2839" s="38">
        <v>0</v>
      </c>
      <c r="C2839" s="79">
        <v>0</v>
      </c>
    </row>
    <row r="2840" spans="1:3" x14ac:dyDescent="0.25">
      <c r="A2840" s="2">
        <v>0</v>
      </c>
      <c r="B2840" s="38">
        <v>0</v>
      </c>
      <c r="C2840" s="79">
        <v>0</v>
      </c>
    </row>
    <row r="2841" spans="1:3" x14ac:dyDescent="0.25">
      <c r="A2841" s="2">
        <v>0</v>
      </c>
      <c r="B2841" s="38">
        <v>0</v>
      </c>
      <c r="C2841" s="79">
        <v>0</v>
      </c>
    </row>
    <row r="2842" spans="1:3" x14ac:dyDescent="0.25">
      <c r="A2842" s="2">
        <v>0</v>
      </c>
      <c r="B2842" s="38">
        <v>0</v>
      </c>
      <c r="C2842" s="79">
        <v>0</v>
      </c>
    </row>
    <row r="2843" spans="1:3" x14ac:dyDescent="0.25">
      <c r="A2843" s="2">
        <v>0</v>
      </c>
      <c r="B2843" s="38">
        <v>0</v>
      </c>
      <c r="C2843" s="79">
        <v>0</v>
      </c>
    </row>
    <row r="2844" spans="1:3" x14ac:dyDescent="0.25">
      <c r="A2844" s="2">
        <v>0</v>
      </c>
      <c r="B2844" s="38">
        <v>0</v>
      </c>
      <c r="C2844" s="79">
        <v>0</v>
      </c>
    </row>
    <row r="2845" spans="1:3" x14ac:dyDescent="0.25">
      <c r="A2845" s="2">
        <v>0</v>
      </c>
      <c r="B2845" s="38">
        <v>0</v>
      </c>
      <c r="C2845" s="79">
        <v>0</v>
      </c>
    </row>
    <row r="2846" spans="1:3" x14ac:dyDescent="0.25">
      <c r="A2846" s="2">
        <v>0</v>
      </c>
      <c r="B2846" s="38">
        <v>0</v>
      </c>
      <c r="C2846" s="79">
        <v>0</v>
      </c>
    </row>
    <row r="2847" spans="1:3" x14ac:dyDescent="0.25">
      <c r="A2847" s="2">
        <v>0</v>
      </c>
      <c r="B2847" s="38">
        <v>0</v>
      </c>
      <c r="C2847" s="79">
        <v>0</v>
      </c>
    </row>
    <row r="2848" spans="1:3" x14ac:dyDescent="0.25">
      <c r="A2848" s="2">
        <v>0</v>
      </c>
      <c r="B2848" s="38">
        <v>0</v>
      </c>
      <c r="C2848" s="79">
        <v>0</v>
      </c>
    </row>
    <row r="2849" spans="1:3" x14ac:dyDescent="0.25">
      <c r="A2849" s="2">
        <v>0</v>
      </c>
      <c r="B2849" s="38">
        <v>0</v>
      </c>
      <c r="C2849" s="79">
        <v>0</v>
      </c>
    </row>
    <row r="2850" spans="1:3" x14ac:dyDescent="0.25">
      <c r="A2850" s="2">
        <v>0</v>
      </c>
      <c r="B2850" s="38">
        <v>0</v>
      </c>
      <c r="C2850" s="79">
        <v>0</v>
      </c>
    </row>
    <row r="2851" spans="1:3" x14ac:dyDescent="0.25">
      <c r="A2851" s="2">
        <v>0</v>
      </c>
      <c r="B2851" s="38">
        <v>0</v>
      </c>
      <c r="C2851" s="79">
        <v>0</v>
      </c>
    </row>
    <row r="2852" spans="1:3" x14ac:dyDescent="0.25">
      <c r="A2852" s="2">
        <v>0</v>
      </c>
      <c r="B2852" s="38">
        <v>0</v>
      </c>
      <c r="C2852" s="79">
        <v>0</v>
      </c>
    </row>
    <row r="2853" spans="1:3" x14ac:dyDescent="0.25">
      <c r="A2853" s="2">
        <v>0</v>
      </c>
      <c r="B2853" s="38">
        <v>0</v>
      </c>
      <c r="C2853" s="79">
        <v>0</v>
      </c>
    </row>
    <row r="2854" spans="1:3" x14ac:dyDescent="0.25">
      <c r="A2854" s="2">
        <v>0</v>
      </c>
      <c r="B2854" s="38">
        <v>0</v>
      </c>
      <c r="C2854" s="79">
        <v>0</v>
      </c>
    </row>
    <row r="2855" spans="1:3" x14ac:dyDescent="0.25">
      <c r="A2855" s="2">
        <v>0</v>
      </c>
      <c r="B2855" s="38">
        <v>0</v>
      </c>
      <c r="C2855" s="79">
        <v>0</v>
      </c>
    </row>
    <row r="2856" spans="1:3" x14ac:dyDescent="0.25">
      <c r="A2856" s="2">
        <v>0</v>
      </c>
      <c r="B2856" s="38">
        <v>0</v>
      </c>
      <c r="C2856" s="79">
        <v>0</v>
      </c>
    </row>
    <row r="2857" spans="1:3" x14ac:dyDescent="0.25">
      <c r="A2857" s="2">
        <v>0</v>
      </c>
      <c r="B2857" s="38">
        <v>0</v>
      </c>
      <c r="C2857" s="79">
        <v>0</v>
      </c>
    </row>
    <row r="2858" spans="1:3" x14ac:dyDescent="0.25">
      <c r="A2858" s="2">
        <v>0</v>
      </c>
      <c r="B2858" s="38">
        <v>0</v>
      </c>
      <c r="C2858" s="79">
        <v>0</v>
      </c>
    </row>
    <row r="2859" spans="1:3" x14ac:dyDescent="0.25">
      <c r="A2859" s="2">
        <v>0</v>
      </c>
      <c r="B2859" s="38">
        <v>0</v>
      </c>
      <c r="C2859" s="79">
        <v>0</v>
      </c>
    </row>
    <row r="2860" spans="1:3" x14ac:dyDescent="0.25">
      <c r="A2860" s="2">
        <v>0</v>
      </c>
      <c r="B2860" s="38">
        <v>0</v>
      </c>
      <c r="C2860" s="79">
        <v>0</v>
      </c>
    </row>
    <row r="2861" spans="1:3" x14ac:dyDescent="0.25">
      <c r="A2861" s="2">
        <v>0</v>
      </c>
      <c r="B2861" s="38">
        <v>0</v>
      </c>
      <c r="C2861" s="79">
        <v>0</v>
      </c>
    </row>
    <row r="2862" spans="1:3" x14ac:dyDescent="0.25">
      <c r="A2862" s="2">
        <v>0</v>
      </c>
      <c r="B2862" s="38">
        <v>0</v>
      </c>
      <c r="C2862" s="79">
        <v>0</v>
      </c>
    </row>
    <row r="2863" spans="1:3" x14ac:dyDescent="0.25">
      <c r="A2863" s="2">
        <v>0</v>
      </c>
      <c r="B2863" s="38">
        <v>0</v>
      </c>
      <c r="C2863" s="79">
        <v>0</v>
      </c>
    </row>
    <row r="2864" spans="1:3" x14ac:dyDescent="0.25">
      <c r="A2864" s="2">
        <v>0</v>
      </c>
      <c r="B2864" s="38">
        <v>0</v>
      </c>
      <c r="C2864" s="79">
        <v>0</v>
      </c>
    </row>
    <row r="2865" spans="1:3" x14ac:dyDescent="0.25">
      <c r="A2865" s="2">
        <v>0</v>
      </c>
      <c r="B2865" s="38">
        <v>0</v>
      </c>
      <c r="C2865" s="79">
        <v>0</v>
      </c>
    </row>
    <row r="2866" spans="1:3" x14ac:dyDescent="0.25">
      <c r="A2866" s="2">
        <v>0</v>
      </c>
      <c r="B2866" s="38">
        <v>0</v>
      </c>
      <c r="C2866" s="79">
        <v>0</v>
      </c>
    </row>
    <row r="2867" spans="1:3" x14ac:dyDescent="0.25">
      <c r="A2867" s="2">
        <v>0</v>
      </c>
      <c r="B2867" s="38">
        <v>0</v>
      </c>
      <c r="C2867" s="79">
        <v>0</v>
      </c>
    </row>
    <row r="2868" spans="1:3" x14ac:dyDescent="0.25">
      <c r="A2868" s="2">
        <v>0</v>
      </c>
      <c r="B2868" s="38">
        <v>0</v>
      </c>
      <c r="C2868" s="79">
        <v>0</v>
      </c>
    </row>
    <row r="2869" spans="1:3" x14ac:dyDescent="0.25">
      <c r="A2869" s="2">
        <v>0</v>
      </c>
      <c r="B2869" s="38">
        <v>0</v>
      </c>
      <c r="C2869" s="79">
        <v>0</v>
      </c>
    </row>
    <row r="2870" spans="1:3" x14ac:dyDescent="0.25">
      <c r="A2870" s="2">
        <v>0</v>
      </c>
      <c r="B2870" s="38">
        <v>0</v>
      </c>
      <c r="C2870" s="79">
        <v>0</v>
      </c>
    </row>
    <row r="2871" spans="1:3" x14ac:dyDescent="0.25">
      <c r="A2871" s="2">
        <v>0</v>
      </c>
      <c r="B2871" s="38">
        <v>0</v>
      </c>
      <c r="C2871" s="79">
        <v>0</v>
      </c>
    </row>
    <row r="2872" spans="1:3" x14ac:dyDescent="0.25">
      <c r="A2872" s="2">
        <v>0</v>
      </c>
      <c r="B2872" s="38">
        <v>0</v>
      </c>
      <c r="C2872" s="79">
        <v>0</v>
      </c>
    </row>
    <row r="2873" spans="1:3" x14ac:dyDescent="0.25">
      <c r="A2873" s="2">
        <v>0</v>
      </c>
      <c r="B2873" s="38">
        <v>0</v>
      </c>
      <c r="C2873" s="79">
        <v>0</v>
      </c>
    </row>
    <row r="2874" spans="1:3" x14ac:dyDescent="0.25">
      <c r="A2874" s="2">
        <v>0</v>
      </c>
      <c r="B2874" s="38">
        <v>0</v>
      </c>
      <c r="C2874" s="79">
        <v>0</v>
      </c>
    </row>
    <row r="2875" spans="1:3" x14ac:dyDescent="0.25">
      <c r="A2875" s="2">
        <v>0</v>
      </c>
      <c r="B2875" s="38">
        <v>0</v>
      </c>
      <c r="C2875" s="79">
        <v>0</v>
      </c>
    </row>
    <row r="2876" spans="1:3" x14ac:dyDescent="0.25">
      <c r="A2876" s="2">
        <v>0</v>
      </c>
      <c r="B2876" s="38">
        <v>0</v>
      </c>
      <c r="C2876" s="79">
        <v>0</v>
      </c>
    </row>
    <row r="2877" spans="1:3" x14ac:dyDescent="0.25">
      <c r="A2877" s="2">
        <v>0</v>
      </c>
      <c r="B2877" s="38">
        <v>0</v>
      </c>
      <c r="C2877" s="79">
        <v>0</v>
      </c>
    </row>
    <row r="2878" spans="1:3" x14ac:dyDescent="0.25">
      <c r="A2878" s="2">
        <v>0</v>
      </c>
      <c r="B2878" s="38">
        <v>0</v>
      </c>
      <c r="C2878" s="79">
        <v>0</v>
      </c>
    </row>
    <row r="2879" spans="1:3" x14ac:dyDescent="0.25">
      <c r="A2879" s="2">
        <v>0</v>
      </c>
      <c r="B2879" s="38">
        <v>0</v>
      </c>
      <c r="C2879" s="79">
        <v>0</v>
      </c>
    </row>
    <row r="2880" spans="1:3" x14ac:dyDescent="0.25">
      <c r="A2880" s="2">
        <v>0</v>
      </c>
      <c r="B2880" s="38">
        <v>0</v>
      </c>
      <c r="C2880" s="79">
        <v>0</v>
      </c>
    </row>
    <row r="2881" spans="1:3" x14ac:dyDescent="0.25">
      <c r="A2881" s="2">
        <v>0</v>
      </c>
      <c r="B2881" s="38">
        <v>0</v>
      </c>
      <c r="C2881" s="79">
        <v>0</v>
      </c>
    </row>
    <row r="2882" spans="1:3" x14ac:dyDescent="0.25">
      <c r="A2882" s="2">
        <v>0</v>
      </c>
      <c r="B2882" s="38">
        <v>0</v>
      </c>
      <c r="C2882" s="79">
        <v>0</v>
      </c>
    </row>
    <row r="2883" spans="1:3" x14ac:dyDescent="0.25">
      <c r="A2883" s="2">
        <v>0</v>
      </c>
      <c r="B2883" s="38">
        <v>0</v>
      </c>
      <c r="C2883" s="79">
        <v>0</v>
      </c>
    </row>
    <row r="2884" spans="1:3" x14ac:dyDescent="0.25">
      <c r="A2884" s="2">
        <v>0</v>
      </c>
      <c r="B2884" s="38">
        <v>0</v>
      </c>
      <c r="C2884" s="79">
        <v>0</v>
      </c>
    </row>
    <row r="2885" spans="1:3" x14ac:dyDescent="0.25">
      <c r="A2885" s="2">
        <v>0</v>
      </c>
      <c r="B2885" s="38">
        <v>0</v>
      </c>
      <c r="C2885" s="79">
        <v>0</v>
      </c>
    </row>
    <row r="2886" spans="1:3" x14ac:dyDescent="0.25">
      <c r="A2886" s="2">
        <v>0</v>
      </c>
      <c r="B2886" s="38">
        <v>0</v>
      </c>
      <c r="C2886" s="79">
        <v>0</v>
      </c>
    </row>
    <row r="2887" spans="1:3" x14ac:dyDescent="0.25">
      <c r="A2887" s="2">
        <v>0</v>
      </c>
      <c r="B2887" s="38">
        <v>0</v>
      </c>
      <c r="C2887" s="79">
        <v>0</v>
      </c>
    </row>
    <row r="2888" spans="1:3" x14ac:dyDescent="0.25">
      <c r="A2888" s="2">
        <v>0</v>
      </c>
      <c r="B2888" s="38">
        <v>0</v>
      </c>
      <c r="C2888" s="79">
        <v>0</v>
      </c>
    </row>
    <row r="2889" spans="1:3" x14ac:dyDescent="0.25">
      <c r="A2889" s="2">
        <v>0</v>
      </c>
      <c r="B2889" s="38">
        <v>0</v>
      </c>
      <c r="C2889" s="79">
        <v>0</v>
      </c>
    </row>
    <row r="2890" spans="1:3" x14ac:dyDescent="0.25">
      <c r="A2890" s="2">
        <v>0</v>
      </c>
      <c r="B2890" s="38">
        <v>0</v>
      </c>
      <c r="C2890" s="79">
        <v>0</v>
      </c>
    </row>
    <row r="2891" spans="1:3" x14ac:dyDescent="0.25">
      <c r="A2891" s="2">
        <v>0</v>
      </c>
      <c r="B2891" s="38">
        <v>0</v>
      </c>
      <c r="C2891" s="79">
        <v>0</v>
      </c>
    </row>
    <row r="2892" spans="1:3" x14ac:dyDescent="0.25">
      <c r="A2892" s="2">
        <v>0</v>
      </c>
      <c r="B2892" s="38">
        <v>0</v>
      </c>
      <c r="C2892" s="79">
        <v>0</v>
      </c>
    </row>
    <row r="2893" spans="1:3" x14ac:dyDescent="0.25">
      <c r="A2893" s="2">
        <v>0</v>
      </c>
      <c r="B2893" s="38">
        <v>0</v>
      </c>
      <c r="C2893" s="79">
        <v>0</v>
      </c>
    </row>
    <row r="2894" spans="1:3" x14ac:dyDescent="0.25">
      <c r="A2894" s="2">
        <v>0</v>
      </c>
      <c r="B2894" s="38">
        <v>0</v>
      </c>
      <c r="C2894" s="79">
        <v>0</v>
      </c>
    </row>
    <row r="2895" spans="1:3" x14ac:dyDescent="0.25">
      <c r="A2895" s="2">
        <v>0</v>
      </c>
      <c r="B2895" s="38">
        <v>0</v>
      </c>
      <c r="C2895" s="79">
        <v>0</v>
      </c>
    </row>
    <row r="2896" spans="1:3" x14ac:dyDescent="0.25">
      <c r="A2896" s="2">
        <v>0</v>
      </c>
      <c r="B2896" s="38">
        <v>0</v>
      </c>
      <c r="C2896" s="79">
        <v>0</v>
      </c>
    </row>
    <row r="2897" spans="1:3" x14ac:dyDescent="0.25">
      <c r="A2897" s="2">
        <v>0</v>
      </c>
      <c r="B2897" s="38">
        <v>0</v>
      </c>
      <c r="C2897" s="79">
        <v>0</v>
      </c>
    </row>
    <row r="2898" spans="1:3" x14ac:dyDescent="0.25">
      <c r="A2898" s="2">
        <v>0</v>
      </c>
      <c r="B2898" s="38">
        <v>0</v>
      </c>
      <c r="C2898" s="79">
        <v>0</v>
      </c>
    </row>
    <row r="2899" spans="1:3" x14ac:dyDescent="0.25">
      <c r="A2899" s="2">
        <v>0</v>
      </c>
      <c r="B2899" s="38">
        <v>0</v>
      </c>
      <c r="C2899" s="79">
        <v>0</v>
      </c>
    </row>
    <row r="2900" spans="1:3" x14ac:dyDescent="0.25">
      <c r="A2900" s="2">
        <v>0</v>
      </c>
      <c r="B2900" s="38">
        <v>0</v>
      </c>
      <c r="C2900" s="79">
        <v>0</v>
      </c>
    </row>
    <row r="2901" spans="1:3" x14ac:dyDescent="0.25">
      <c r="A2901" s="2">
        <v>0</v>
      </c>
      <c r="B2901" s="38">
        <v>0</v>
      </c>
      <c r="C2901" s="79">
        <v>0</v>
      </c>
    </row>
    <row r="2902" spans="1:3" x14ac:dyDescent="0.25">
      <c r="A2902" s="2">
        <v>0</v>
      </c>
      <c r="B2902" s="38">
        <v>0</v>
      </c>
      <c r="C2902" s="79">
        <v>0</v>
      </c>
    </row>
    <row r="2903" spans="1:3" x14ac:dyDescent="0.25">
      <c r="A2903" s="2">
        <v>0</v>
      </c>
      <c r="B2903" s="38">
        <v>0</v>
      </c>
      <c r="C2903" s="79">
        <v>0</v>
      </c>
    </row>
    <row r="2904" spans="1:3" x14ac:dyDescent="0.25">
      <c r="A2904" s="2">
        <v>0</v>
      </c>
      <c r="B2904" s="38">
        <v>0</v>
      </c>
      <c r="C2904" s="79">
        <v>0</v>
      </c>
    </row>
    <row r="2905" spans="1:3" x14ac:dyDescent="0.25">
      <c r="A2905" s="2">
        <v>0</v>
      </c>
      <c r="B2905" s="38">
        <v>0</v>
      </c>
      <c r="C2905" s="79">
        <v>0</v>
      </c>
    </row>
    <row r="2906" spans="1:3" x14ac:dyDescent="0.25">
      <c r="A2906" s="2">
        <v>0</v>
      </c>
      <c r="B2906" s="38">
        <v>0</v>
      </c>
      <c r="C2906" s="79">
        <v>0</v>
      </c>
    </row>
    <row r="2907" spans="1:3" x14ac:dyDescent="0.25">
      <c r="A2907" s="2">
        <v>0</v>
      </c>
      <c r="B2907" s="38">
        <v>0</v>
      </c>
      <c r="C2907" s="79">
        <v>0</v>
      </c>
    </row>
    <row r="2908" spans="1:3" x14ac:dyDescent="0.25">
      <c r="A2908" s="2">
        <v>0</v>
      </c>
      <c r="B2908" s="38">
        <v>0</v>
      </c>
      <c r="C2908" s="79">
        <v>0</v>
      </c>
    </row>
    <row r="2909" spans="1:3" x14ac:dyDescent="0.25">
      <c r="A2909" s="2">
        <v>0</v>
      </c>
      <c r="B2909" s="38">
        <v>0</v>
      </c>
      <c r="C2909" s="79">
        <v>0</v>
      </c>
    </row>
    <row r="2910" spans="1:3" x14ac:dyDescent="0.25">
      <c r="A2910" s="2">
        <v>0</v>
      </c>
      <c r="B2910" s="38">
        <v>0</v>
      </c>
      <c r="C2910" s="79">
        <v>0</v>
      </c>
    </row>
    <row r="2911" spans="1:3" x14ac:dyDescent="0.25">
      <c r="A2911" s="2">
        <v>0</v>
      </c>
      <c r="B2911" s="38">
        <v>0</v>
      </c>
      <c r="C2911" s="79">
        <v>0</v>
      </c>
    </row>
    <row r="2912" spans="1:3" x14ac:dyDescent="0.25">
      <c r="A2912" s="2">
        <v>0</v>
      </c>
      <c r="B2912" s="38">
        <v>0</v>
      </c>
      <c r="C2912" s="79">
        <v>0</v>
      </c>
    </row>
    <row r="2913" spans="1:3" x14ac:dyDescent="0.25">
      <c r="A2913" s="2">
        <v>0</v>
      </c>
      <c r="B2913" s="38">
        <v>0</v>
      </c>
      <c r="C2913" s="79">
        <v>0</v>
      </c>
    </row>
    <row r="2914" spans="1:3" x14ac:dyDescent="0.25">
      <c r="A2914" s="2">
        <v>0</v>
      </c>
      <c r="B2914" s="38">
        <v>0</v>
      </c>
      <c r="C2914" s="79">
        <v>0</v>
      </c>
    </row>
    <row r="2915" spans="1:3" x14ac:dyDescent="0.25">
      <c r="A2915" s="2">
        <v>0</v>
      </c>
      <c r="B2915" s="38">
        <v>0</v>
      </c>
      <c r="C2915" s="79">
        <v>0</v>
      </c>
    </row>
    <row r="2916" spans="1:3" x14ac:dyDescent="0.25">
      <c r="A2916" s="2">
        <v>0</v>
      </c>
      <c r="B2916" s="38">
        <v>0</v>
      </c>
      <c r="C2916" s="79">
        <v>0</v>
      </c>
    </row>
    <row r="2917" spans="1:3" x14ac:dyDescent="0.25">
      <c r="A2917" s="2">
        <v>0</v>
      </c>
      <c r="B2917" s="38">
        <v>0</v>
      </c>
      <c r="C2917" s="79">
        <v>0</v>
      </c>
    </row>
    <row r="2918" spans="1:3" x14ac:dyDescent="0.25">
      <c r="A2918" s="2">
        <v>0</v>
      </c>
      <c r="B2918" s="38">
        <v>0</v>
      </c>
      <c r="C2918" s="79">
        <v>0</v>
      </c>
    </row>
    <row r="2919" spans="1:3" x14ac:dyDescent="0.25">
      <c r="A2919" s="2">
        <v>0</v>
      </c>
      <c r="B2919" s="38">
        <v>0</v>
      </c>
      <c r="C2919" s="79">
        <v>0</v>
      </c>
    </row>
    <row r="2920" spans="1:3" x14ac:dyDescent="0.25">
      <c r="A2920" s="2">
        <v>0</v>
      </c>
      <c r="B2920" s="38">
        <v>0</v>
      </c>
      <c r="C2920" s="79">
        <v>0</v>
      </c>
    </row>
    <row r="2921" spans="1:3" x14ac:dyDescent="0.25">
      <c r="A2921" s="2">
        <v>0</v>
      </c>
      <c r="B2921" s="38">
        <v>0</v>
      </c>
      <c r="C2921" s="79">
        <v>0</v>
      </c>
    </row>
    <row r="2922" spans="1:3" x14ac:dyDescent="0.25">
      <c r="A2922" s="2">
        <v>0</v>
      </c>
      <c r="B2922" s="38">
        <v>0</v>
      </c>
      <c r="C2922" s="79">
        <v>0</v>
      </c>
    </row>
    <row r="2923" spans="1:3" x14ac:dyDescent="0.25">
      <c r="A2923" s="2">
        <v>0</v>
      </c>
      <c r="B2923" s="38">
        <v>0</v>
      </c>
      <c r="C2923" s="79">
        <v>0</v>
      </c>
    </row>
    <row r="2924" spans="1:3" x14ac:dyDescent="0.25">
      <c r="A2924" s="2">
        <v>0</v>
      </c>
      <c r="B2924" s="38">
        <v>0</v>
      </c>
      <c r="C2924" s="79">
        <v>0</v>
      </c>
    </row>
    <row r="2925" spans="1:3" x14ac:dyDescent="0.25">
      <c r="A2925" s="2">
        <v>0</v>
      </c>
      <c r="B2925" s="38">
        <v>0</v>
      </c>
      <c r="C2925" s="79">
        <v>0</v>
      </c>
    </row>
    <row r="2926" spans="1:3" x14ac:dyDescent="0.25">
      <c r="A2926" s="2">
        <v>0</v>
      </c>
      <c r="B2926" s="38">
        <v>0</v>
      </c>
      <c r="C2926" s="79">
        <v>0</v>
      </c>
    </row>
    <row r="2927" spans="1:3" x14ac:dyDescent="0.25">
      <c r="A2927" s="2">
        <v>0</v>
      </c>
      <c r="B2927" s="38">
        <v>0</v>
      </c>
      <c r="C2927" s="79">
        <v>0</v>
      </c>
    </row>
    <row r="2928" spans="1:3" x14ac:dyDescent="0.25">
      <c r="A2928" s="2">
        <v>0</v>
      </c>
      <c r="B2928" s="38">
        <v>0</v>
      </c>
      <c r="C2928" s="79">
        <v>0</v>
      </c>
    </row>
    <row r="2929" spans="1:3" x14ac:dyDescent="0.25">
      <c r="A2929" s="2">
        <v>0</v>
      </c>
      <c r="B2929" s="38">
        <v>0</v>
      </c>
      <c r="C2929" s="79">
        <v>0</v>
      </c>
    </row>
    <row r="2930" spans="1:3" x14ac:dyDescent="0.25">
      <c r="A2930" s="2">
        <v>0</v>
      </c>
      <c r="B2930" s="38">
        <v>0</v>
      </c>
      <c r="C2930" s="79">
        <v>0</v>
      </c>
    </row>
    <row r="2931" spans="1:3" x14ac:dyDescent="0.25">
      <c r="A2931" s="2">
        <v>0</v>
      </c>
      <c r="B2931" s="38">
        <v>0</v>
      </c>
      <c r="C2931" s="79">
        <v>0</v>
      </c>
    </row>
    <row r="2932" spans="1:3" x14ac:dyDescent="0.25">
      <c r="A2932" s="2">
        <v>0</v>
      </c>
      <c r="B2932" s="38">
        <v>0</v>
      </c>
      <c r="C2932" s="79">
        <v>0</v>
      </c>
    </row>
    <row r="2933" spans="1:3" x14ac:dyDescent="0.25">
      <c r="A2933" s="2">
        <v>0</v>
      </c>
      <c r="B2933" s="38">
        <v>0</v>
      </c>
      <c r="C2933" s="79">
        <v>0</v>
      </c>
    </row>
    <row r="2934" spans="1:3" x14ac:dyDescent="0.25">
      <c r="A2934" s="2">
        <v>0</v>
      </c>
      <c r="B2934" s="38">
        <v>0</v>
      </c>
      <c r="C2934" s="79">
        <v>0</v>
      </c>
    </row>
    <row r="2935" spans="1:3" x14ac:dyDescent="0.25">
      <c r="A2935" s="2">
        <v>0</v>
      </c>
      <c r="B2935" s="38">
        <v>0</v>
      </c>
      <c r="C2935" s="79">
        <v>0</v>
      </c>
    </row>
    <row r="2936" spans="1:3" x14ac:dyDescent="0.25">
      <c r="A2936" s="2">
        <v>0</v>
      </c>
      <c r="B2936" s="38">
        <v>0</v>
      </c>
      <c r="C2936" s="79">
        <v>0</v>
      </c>
    </row>
    <row r="2937" spans="1:3" x14ac:dyDescent="0.25">
      <c r="A2937" s="2">
        <v>0</v>
      </c>
      <c r="B2937" s="38">
        <v>0</v>
      </c>
      <c r="C2937" s="79">
        <v>0</v>
      </c>
    </row>
    <row r="2938" spans="1:3" x14ac:dyDescent="0.25">
      <c r="A2938" s="2">
        <v>0</v>
      </c>
      <c r="B2938" s="38">
        <v>0</v>
      </c>
      <c r="C2938" s="79">
        <v>0</v>
      </c>
    </row>
    <row r="2939" spans="1:3" x14ac:dyDescent="0.25">
      <c r="A2939" s="2">
        <v>0</v>
      </c>
      <c r="B2939" s="38">
        <v>0</v>
      </c>
      <c r="C2939" s="79">
        <v>0</v>
      </c>
    </row>
    <row r="2940" spans="1:3" x14ac:dyDescent="0.25">
      <c r="A2940" s="2">
        <v>0</v>
      </c>
      <c r="B2940" s="38">
        <v>0</v>
      </c>
      <c r="C2940" s="79">
        <v>0</v>
      </c>
    </row>
    <row r="2941" spans="1:3" x14ac:dyDescent="0.25">
      <c r="A2941" s="2">
        <v>0</v>
      </c>
      <c r="B2941" s="38">
        <v>0</v>
      </c>
      <c r="C2941" s="79">
        <v>0</v>
      </c>
    </row>
    <row r="2942" spans="1:3" x14ac:dyDescent="0.25">
      <c r="A2942" s="2">
        <v>0</v>
      </c>
      <c r="B2942" s="38">
        <v>0</v>
      </c>
      <c r="C2942" s="79">
        <v>0</v>
      </c>
    </row>
    <row r="2943" spans="1:3" x14ac:dyDescent="0.25">
      <c r="A2943" s="2">
        <v>0</v>
      </c>
      <c r="B2943" s="38">
        <v>0</v>
      </c>
      <c r="C2943" s="79">
        <v>0</v>
      </c>
    </row>
    <row r="2944" spans="1:3" x14ac:dyDescent="0.25">
      <c r="A2944" s="2">
        <v>0</v>
      </c>
      <c r="B2944" s="38">
        <v>0</v>
      </c>
      <c r="C2944" s="79">
        <v>0</v>
      </c>
    </row>
    <row r="2945" spans="1:3" x14ac:dyDescent="0.25">
      <c r="A2945" s="2">
        <v>0</v>
      </c>
      <c r="B2945" s="38">
        <v>0</v>
      </c>
      <c r="C2945" s="79">
        <v>0</v>
      </c>
    </row>
    <row r="2946" spans="1:3" x14ac:dyDescent="0.25">
      <c r="A2946" s="2">
        <v>0</v>
      </c>
      <c r="B2946" s="38">
        <v>0</v>
      </c>
      <c r="C2946" s="79">
        <v>0</v>
      </c>
    </row>
    <row r="2947" spans="1:3" x14ac:dyDescent="0.25">
      <c r="A2947" s="2">
        <v>0</v>
      </c>
      <c r="B2947" s="38">
        <v>0</v>
      </c>
      <c r="C2947" s="79">
        <v>0</v>
      </c>
    </row>
    <row r="2948" spans="1:3" x14ac:dyDescent="0.25">
      <c r="A2948" s="2">
        <v>0</v>
      </c>
      <c r="B2948" s="38">
        <v>0</v>
      </c>
      <c r="C2948" s="79">
        <v>0</v>
      </c>
    </row>
    <row r="2949" spans="1:3" x14ac:dyDescent="0.25">
      <c r="A2949" s="2">
        <v>0</v>
      </c>
      <c r="B2949" s="38">
        <v>0</v>
      </c>
      <c r="C2949" s="79">
        <v>0</v>
      </c>
    </row>
    <row r="2950" spans="1:3" x14ac:dyDescent="0.25">
      <c r="A2950" s="2">
        <v>0</v>
      </c>
      <c r="B2950" s="38">
        <v>0</v>
      </c>
      <c r="C2950" s="79">
        <v>0</v>
      </c>
    </row>
    <row r="2951" spans="1:3" x14ac:dyDescent="0.25">
      <c r="A2951" s="2">
        <v>0</v>
      </c>
      <c r="B2951" s="38">
        <v>0</v>
      </c>
      <c r="C2951" s="79">
        <v>0</v>
      </c>
    </row>
    <row r="2952" spans="1:3" x14ac:dyDescent="0.25">
      <c r="A2952" s="2">
        <v>0</v>
      </c>
      <c r="B2952" s="38">
        <v>0</v>
      </c>
      <c r="C2952" s="79">
        <v>0</v>
      </c>
    </row>
    <row r="2953" spans="1:3" x14ac:dyDescent="0.25">
      <c r="A2953" s="2">
        <v>0</v>
      </c>
      <c r="B2953" s="38">
        <v>0</v>
      </c>
      <c r="C2953" s="79">
        <v>0</v>
      </c>
    </row>
    <row r="2954" spans="1:3" x14ac:dyDescent="0.25">
      <c r="A2954" s="2">
        <v>0</v>
      </c>
      <c r="B2954" s="38">
        <v>0</v>
      </c>
      <c r="C2954" s="79">
        <v>0</v>
      </c>
    </row>
    <row r="2955" spans="1:3" x14ac:dyDescent="0.25">
      <c r="A2955" s="2">
        <v>0</v>
      </c>
      <c r="B2955" s="38">
        <v>0</v>
      </c>
      <c r="C2955" s="79">
        <v>0</v>
      </c>
    </row>
    <row r="2956" spans="1:3" x14ac:dyDescent="0.25">
      <c r="A2956" s="2">
        <v>0</v>
      </c>
      <c r="B2956" s="38">
        <v>0</v>
      </c>
      <c r="C2956" s="79">
        <v>0</v>
      </c>
    </row>
    <row r="2957" spans="1:3" x14ac:dyDescent="0.25">
      <c r="A2957" s="2">
        <v>0</v>
      </c>
      <c r="B2957" s="38">
        <v>0</v>
      </c>
      <c r="C2957" s="79">
        <v>0</v>
      </c>
    </row>
    <row r="2958" spans="1:3" x14ac:dyDescent="0.25">
      <c r="A2958" s="2">
        <v>0</v>
      </c>
      <c r="B2958" s="38">
        <v>0</v>
      </c>
      <c r="C2958" s="79">
        <v>0</v>
      </c>
    </row>
    <row r="2959" spans="1:3" x14ac:dyDescent="0.25">
      <c r="A2959" s="2">
        <v>0</v>
      </c>
      <c r="B2959" s="38">
        <v>0</v>
      </c>
      <c r="C2959" s="79">
        <v>0</v>
      </c>
    </row>
    <row r="2960" spans="1:3" x14ac:dyDescent="0.25">
      <c r="A2960" s="2">
        <v>0</v>
      </c>
      <c r="B2960" s="38">
        <v>0</v>
      </c>
      <c r="C2960" s="79">
        <v>0</v>
      </c>
    </row>
    <row r="2961" spans="1:3" x14ac:dyDescent="0.25">
      <c r="A2961" s="2">
        <v>0</v>
      </c>
      <c r="B2961" s="38">
        <v>0</v>
      </c>
      <c r="C2961" s="79">
        <v>0</v>
      </c>
    </row>
    <row r="2962" spans="1:3" x14ac:dyDescent="0.25">
      <c r="A2962" s="2">
        <v>0</v>
      </c>
      <c r="B2962" s="38">
        <v>0</v>
      </c>
      <c r="C2962" s="79">
        <v>0</v>
      </c>
    </row>
    <row r="2963" spans="1:3" x14ac:dyDescent="0.25">
      <c r="A2963" s="2">
        <v>0</v>
      </c>
      <c r="B2963" s="38">
        <v>0</v>
      </c>
      <c r="C2963" s="79">
        <v>0</v>
      </c>
    </row>
    <row r="2964" spans="1:3" x14ac:dyDescent="0.25">
      <c r="A2964" s="2">
        <v>0</v>
      </c>
      <c r="B2964" s="38">
        <v>0</v>
      </c>
      <c r="C2964" s="79">
        <v>0</v>
      </c>
    </row>
    <row r="2965" spans="1:3" x14ac:dyDescent="0.25">
      <c r="A2965" s="2">
        <v>0</v>
      </c>
      <c r="B2965" s="38">
        <v>0</v>
      </c>
      <c r="C2965" s="79">
        <v>0</v>
      </c>
    </row>
    <row r="2966" spans="1:3" x14ac:dyDescent="0.25">
      <c r="A2966" s="2">
        <v>0</v>
      </c>
      <c r="B2966" s="38">
        <v>0</v>
      </c>
      <c r="C2966" s="79">
        <v>0</v>
      </c>
    </row>
    <row r="2967" spans="1:3" x14ac:dyDescent="0.25">
      <c r="A2967" s="2">
        <v>0</v>
      </c>
      <c r="B2967" s="38">
        <v>0</v>
      </c>
      <c r="C2967" s="79">
        <v>0</v>
      </c>
    </row>
    <row r="2968" spans="1:3" x14ac:dyDescent="0.25">
      <c r="A2968" s="2">
        <v>0</v>
      </c>
      <c r="B2968" s="38">
        <v>0</v>
      </c>
      <c r="C2968" s="79">
        <v>0</v>
      </c>
    </row>
    <row r="2969" spans="1:3" x14ac:dyDescent="0.25">
      <c r="A2969" s="2">
        <v>0</v>
      </c>
      <c r="B2969" s="38">
        <v>0</v>
      </c>
      <c r="C2969" s="79">
        <v>0</v>
      </c>
    </row>
    <row r="2970" spans="1:3" x14ac:dyDescent="0.25">
      <c r="A2970" s="2">
        <v>0</v>
      </c>
      <c r="B2970" s="38">
        <v>0</v>
      </c>
      <c r="C2970" s="79">
        <v>0</v>
      </c>
    </row>
    <row r="2971" spans="1:3" x14ac:dyDescent="0.25">
      <c r="A2971" s="2">
        <v>0</v>
      </c>
      <c r="B2971" s="38">
        <v>0</v>
      </c>
      <c r="C2971" s="79">
        <v>0</v>
      </c>
    </row>
    <row r="2972" spans="1:3" x14ac:dyDescent="0.25">
      <c r="A2972" s="2">
        <v>0</v>
      </c>
      <c r="B2972" s="38">
        <v>0</v>
      </c>
      <c r="C2972" s="79">
        <v>0</v>
      </c>
    </row>
    <row r="2973" spans="1:3" x14ac:dyDescent="0.25">
      <c r="A2973" s="2">
        <v>0</v>
      </c>
      <c r="B2973" s="38">
        <v>0</v>
      </c>
      <c r="C2973" s="79">
        <v>0</v>
      </c>
    </row>
    <row r="2974" spans="1:3" x14ac:dyDescent="0.25">
      <c r="A2974" s="2">
        <v>0</v>
      </c>
      <c r="B2974" s="38">
        <v>0</v>
      </c>
      <c r="C2974" s="79">
        <v>0</v>
      </c>
    </row>
    <row r="2975" spans="1:3" x14ac:dyDescent="0.25">
      <c r="A2975" s="2">
        <v>0</v>
      </c>
      <c r="B2975" s="38">
        <v>0</v>
      </c>
      <c r="C2975" s="79">
        <v>0</v>
      </c>
    </row>
    <row r="2976" spans="1:3" x14ac:dyDescent="0.25">
      <c r="A2976" s="2">
        <v>0</v>
      </c>
      <c r="B2976" s="38">
        <v>0</v>
      </c>
      <c r="C2976" s="79">
        <v>0</v>
      </c>
    </row>
    <row r="2977" spans="1:3" x14ac:dyDescent="0.25">
      <c r="A2977" s="2">
        <v>0</v>
      </c>
      <c r="B2977" s="38">
        <v>0</v>
      </c>
      <c r="C2977" s="79">
        <v>0</v>
      </c>
    </row>
    <row r="2978" spans="1:3" x14ac:dyDescent="0.25">
      <c r="A2978" s="2">
        <v>0</v>
      </c>
      <c r="B2978" s="38">
        <v>0</v>
      </c>
      <c r="C2978" s="79">
        <v>0</v>
      </c>
    </row>
    <row r="2979" spans="1:3" x14ac:dyDescent="0.25">
      <c r="A2979" s="2">
        <v>0</v>
      </c>
      <c r="B2979" s="38">
        <v>0</v>
      </c>
      <c r="C2979" s="79">
        <v>0</v>
      </c>
    </row>
    <row r="2980" spans="1:3" x14ac:dyDescent="0.25">
      <c r="A2980" s="2">
        <v>0</v>
      </c>
      <c r="B2980" s="38">
        <v>0</v>
      </c>
      <c r="C2980" s="79">
        <v>0</v>
      </c>
    </row>
    <row r="2981" spans="1:3" x14ac:dyDescent="0.25">
      <c r="A2981" s="2">
        <v>0</v>
      </c>
      <c r="B2981" s="38">
        <v>0</v>
      </c>
      <c r="C2981" s="79">
        <v>0</v>
      </c>
    </row>
    <row r="2982" spans="1:3" x14ac:dyDescent="0.25">
      <c r="A2982" s="2">
        <v>0</v>
      </c>
      <c r="B2982" s="38">
        <v>0</v>
      </c>
      <c r="C2982" s="79">
        <v>0</v>
      </c>
    </row>
    <row r="2983" spans="1:3" x14ac:dyDescent="0.25">
      <c r="A2983" s="2">
        <v>0</v>
      </c>
      <c r="B2983" s="38">
        <v>0</v>
      </c>
      <c r="C2983" s="79">
        <v>0</v>
      </c>
    </row>
    <row r="2984" spans="1:3" x14ac:dyDescent="0.25">
      <c r="A2984" s="2">
        <v>0</v>
      </c>
      <c r="B2984" s="38">
        <v>0</v>
      </c>
      <c r="C2984" s="79">
        <v>0</v>
      </c>
    </row>
    <row r="2985" spans="1:3" x14ac:dyDescent="0.25">
      <c r="A2985" s="2">
        <v>0</v>
      </c>
      <c r="B2985" s="38">
        <v>0</v>
      </c>
      <c r="C2985" s="79">
        <v>0</v>
      </c>
    </row>
    <row r="2986" spans="1:3" x14ac:dyDescent="0.25">
      <c r="A2986" s="2">
        <v>0</v>
      </c>
      <c r="B2986" s="38">
        <v>0</v>
      </c>
      <c r="C2986" s="79">
        <v>0</v>
      </c>
    </row>
    <row r="2987" spans="1:3" x14ac:dyDescent="0.25">
      <c r="A2987" s="2">
        <v>0</v>
      </c>
      <c r="B2987" s="38">
        <v>0</v>
      </c>
      <c r="C2987" s="79">
        <v>0</v>
      </c>
    </row>
    <row r="2988" spans="1:3" x14ac:dyDescent="0.25">
      <c r="A2988" s="2">
        <v>0</v>
      </c>
      <c r="B2988" s="38">
        <v>0</v>
      </c>
      <c r="C2988" s="79">
        <v>0</v>
      </c>
    </row>
    <row r="2989" spans="1:3" x14ac:dyDescent="0.25">
      <c r="A2989" s="2">
        <v>0</v>
      </c>
      <c r="B2989" s="38">
        <v>0</v>
      </c>
      <c r="C2989" s="79">
        <v>0</v>
      </c>
    </row>
    <row r="2990" spans="1:3" x14ac:dyDescent="0.25">
      <c r="A2990" s="2">
        <v>0</v>
      </c>
      <c r="B2990" s="38">
        <v>0</v>
      </c>
      <c r="C2990" s="79">
        <v>0</v>
      </c>
    </row>
    <row r="2991" spans="1:3" x14ac:dyDescent="0.25">
      <c r="A2991" s="2">
        <v>0</v>
      </c>
      <c r="B2991" s="38">
        <v>0</v>
      </c>
      <c r="C2991" s="79">
        <v>0</v>
      </c>
    </row>
    <row r="2992" spans="1:3" x14ac:dyDescent="0.25">
      <c r="A2992" s="2">
        <v>0</v>
      </c>
      <c r="B2992" s="38">
        <v>0</v>
      </c>
      <c r="C2992" s="79">
        <v>0</v>
      </c>
    </row>
    <row r="2993" spans="1:3" x14ac:dyDescent="0.25">
      <c r="A2993" s="2">
        <v>0</v>
      </c>
      <c r="B2993" s="38">
        <v>0</v>
      </c>
      <c r="C2993" s="79">
        <v>0</v>
      </c>
    </row>
    <row r="2994" spans="1:3" x14ac:dyDescent="0.25">
      <c r="A2994" s="2">
        <v>0</v>
      </c>
      <c r="B2994" s="38">
        <v>0</v>
      </c>
      <c r="C2994" s="79">
        <v>0</v>
      </c>
    </row>
    <row r="2995" spans="1:3" x14ac:dyDescent="0.25">
      <c r="A2995" s="2">
        <v>0</v>
      </c>
      <c r="B2995" s="38">
        <v>0</v>
      </c>
      <c r="C2995" s="79">
        <v>0</v>
      </c>
    </row>
    <row r="2996" spans="1:3" x14ac:dyDescent="0.25">
      <c r="A2996" s="2">
        <v>0</v>
      </c>
      <c r="B2996" s="38">
        <v>0</v>
      </c>
      <c r="C2996" s="79">
        <v>0</v>
      </c>
    </row>
    <row r="2997" spans="1:3" x14ac:dyDescent="0.25">
      <c r="A2997" s="2">
        <v>0</v>
      </c>
      <c r="B2997" s="38">
        <v>0</v>
      </c>
      <c r="C2997" s="79">
        <v>0</v>
      </c>
    </row>
    <row r="2998" spans="1:3" x14ac:dyDescent="0.25">
      <c r="A2998" s="2">
        <v>0</v>
      </c>
      <c r="B2998" s="38">
        <v>0</v>
      </c>
      <c r="C2998" s="79">
        <v>0</v>
      </c>
    </row>
    <row r="2999" spans="1:3" x14ac:dyDescent="0.25">
      <c r="A2999" s="2">
        <v>0</v>
      </c>
      <c r="B2999" s="38">
        <v>0</v>
      </c>
      <c r="C2999" s="79">
        <v>0</v>
      </c>
    </row>
    <row r="3000" spans="1:3" x14ac:dyDescent="0.25">
      <c r="A3000" s="2">
        <v>0</v>
      </c>
      <c r="B3000" s="38">
        <v>0</v>
      </c>
      <c r="C3000" s="79">
        <v>0</v>
      </c>
    </row>
    <row r="3001" spans="1:3" x14ac:dyDescent="0.25">
      <c r="A3001" s="2">
        <v>0</v>
      </c>
      <c r="B3001" s="38">
        <v>0</v>
      </c>
      <c r="C3001" s="79">
        <v>0</v>
      </c>
    </row>
    <row r="3002" spans="1:3" x14ac:dyDescent="0.25">
      <c r="A3002" s="2">
        <v>0</v>
      </c>
      <c r="B3002" s="38">
        <v>0</v>
      </c>
      <c r="C3002" s="79">
        <v>0</v>
      </c>
    </row>
    <row r="3003" spans="1:3" x14ac:dyDescent="0.25">
      <c r="A3003" s="2">
        <v>0</v>
      </c>
      <c r="B3003" s="38">
        <v>0</v>
      </c>
      <c r="C3003" s="79">
        <v>0</v>
      </c>
    </row>
    <row r="3004" spans="1:3" x14ac:dyDescent="0.25">
      <c r="A3004" s="2">
        <v>0</v>
      </c>
      <c r="B3004" s="38">
        <v>0</v>
      </c>
      <c r="C3004" s="79">
        <v>0</v>
      </c>
    </row>
    <row r="3005" spans="1:3" x14ac:dyDescent="0.25">
      <c r="A3005" s="2">
        <v>0</v>
      </c>
      <c r="B3005" s="38">
        <v>0</v>
      </c>
      <c r="C3005" s="79">
        <v>0</v>
      </c>
    </row>
    <row r="3006" spans="1:3" x14ac:dyDescent="0.25">
      <c r="A3006" s="2">
        <v>0</v>
      </c>
      <c r="B3006" s="38">
        <v>0</v>
      </c>
      <c r="C3006" s="79">
        <v>0</v>
      </c>
    </row>
    <row r="3007" spans="1:3" x14ac:dyDescent="0.25">
      <c r="A3007" s="2">
        <v>0</v>
      </c>
      <c r="B3007" s="38">
        <v>0</v>
      </c>
      <c r="C3007" s="79">
        <v>0</v>
      </c>
    </row>
    <row r="3008" spans="1:3" x14ac:dyDescent="0.25">
      <c r="A3008" s="2">
        <v>0</v>
      </c>
      <c r="B3008" s="38">
        <v>0</v>
      </c>
      <c r="C3008" s="79">
        <v>0</v>
      </c>
    </row>
    <row r="3009" spans="1:3" x14ac:dyDescent="0.25">
      <c r="A3009" s="2">
        <v>0</v>
      </c>
      <c r="B3009" s="38">
        <v>0</v>
      </c>
      <c r="C3009" s="79">
        <v>0</v>
      </c>
    </row>
    <row r="3010" spans="1:3" x14ac:dyDescent="0.25">
      <c r="A3010" s="2">
        <v>0</v>
      </c>
      <c r="B3010" s="38">
        <v>0</v>
      </c>
      <c r="C3010" s="79">
        <v>0</v>
      </c>
    </row>
    <row r="3011" spans="1:3" x14ac:dyDescent="0.25">
      <c r="A3011" s="2">
        <v>0</v>
      </c>
      <c r="B3011" s="38">
        <v>0</v>
      </c>
      <c r="C3011" s="79">
        <v>0</v>
      </c>
    </row>
    <row r="3012" spans="1:3" x14ac:dyDescent="0.25">
      <c r="A3012" s="2">
        <v>0</v>
      </c>
      <c r="B3012" s="38">
        <v>0</v>
      </c>
      <c r="C3012" s="79">
        <v>0</v>
      </c>
    </row>
    <row r="3013" spans="1:3" x14ac:dyDescent="0.25">
      <c r="A3013" s="2">
        <v>0</v>
      </c>
      <c r="B3013" s="38">
        <v>0</v>
      </c>
      <c r="C3013" s="79">
        <v>0</v>
      </c>
    </row>
    <row r="3014" spans="1:3" x14ac:dyDescent="0.25">
      <c r="A3014" s="2">
        <v>0</v>
      </c>
      <c r="B3014" s="38">
        <v>0</v>
      </c>
      <c r="C3014" s="79">
        <v>0</v>
      </c>
    </row>
    <row r="3015" spans="1:3" x14ac:dyDescent="0.25">
      <c r="A3015" s="2">
        <v>0</v>
      </c>
      <c r="B3015" s="38">
        <v>0</v>
      </c>
      <c r="C3015" s="79">
        <v>0</v>
      </c>
    </row>
    <row r="3016" spans="1:3" x14ac:dyDescent="0.25">
      <c r="A3016" s="2">
        <v>0</v>
      </c>
      <c r="B3016" s="38">
        <v>0</v>
      </c>
      <c r="C3016" s="79">
        <v>0</v>
      </c>
    </row>
    <row r="3017" spans="1:3" x14ac:dyDescent="0.25">
      <c r="A3017" s="2">
        <v>0</v>
      </c>
      <c r="B3017" s="38">
        <v>0</v>
      </c>
      <c r="C3017" s="79">
        <v>0</v>
      </c>
    </row>
    <row r="3018" spans="1:3" x14ac:dyDescent="0.25">
      <c r="A3018" s="2">
        <v>0</v>
      </c>
      <c r="B3018" s="38">
        <v>0</v>
      </c>
      <c r="C3018" s="79">
        <v>0</v>
      </c>
    </row>
    <row r="3019" spans="1:3" x14ac:dyDescent="0.25">
      <c r="A3019" s="2">
        <v>0</v>
      </c>
      <c r="B3019" s="38">
        <v>0</v>
      </c>
      <c r="C3019" s="79">
        <v>0</v>
      </c>
    </row>
    <row r="3020" spans="1:3" x14ac:dyDescent="0.25">
      <c r="A3020" s="2">
        <v>0</v>
      </c>
      <c r="B3020" s="38">
        <v>0</v>
      </c>
      <c r="C3020" s="79">
        <v>0</v>
      </c>
    </row>
    <row r="3021" spans="1:3" x14ac:dyDescent="0.25">
      <c r="A3021" s="2">
        <v>0</v>
      </c>
      <c r="B3021" s="38">
        <v>0</v>
      </c>
      <c r="C3021" s="79">
        <v>0</v>
      </c>
    </row>
    <row r="3022" spans="1:3" x14ac:dyDescent="0.25">
      <c r="A3022" s="2">
        <v>0</v>
      </c>
      <c r="B3022" s="38">
        <v>0</v>
      </c>
      <c r="C3022" s="79">
        <v>0</v>
      </c>
    </row>
    <row r="3023" spans="1:3" x14ac:dyDescent="0.25">
      <c r="A3023" s="2">
        <v>0</v>
      </c>
      <c r="B3023" s="38">
        <v>0</v>
      </c>
      <c r="C3023" s="79">
        <v>0</v>
      </c>
    </row>
    <row r="3024" spans="1:3" x14ac:dyDescent="0.25">
      <c r="A3024" s="2">
        <v>0</v>
      </c>
      <c r="B3024" s="38">
        <v>0</v>
      </c>
      <c r="C3024" s="79">
        <v>0</v>
      </c>
    </row>
    <row r="3025" spans="1:3" x14ac:dyDescent="0.25">
      <c r="A3025" s="2">
        <v>0</v>
      </c>
      <c r="B3025" s="38">
        <v>0</v>
      </c>
      <c r="C3025" s="79">
        <v>0</v>
      </c>
    </row>
    <row r="3026" spans="1:3" x14ac:dyDescent="0.25">
      <c r="A3026" s="2">
        <v>0</v>
      </c>
      <c r="B3026" s="38">
        <v>0</v>
      </c>
      <c r="C3026" s="79">
        <v>0</v>
      </c>
    </row>
    <row r="3027" spans="1:3" x14ac:dyDescent="0.25">
      <c r="A3027" s="2">
        <v>0</v>
      </c>
      <c r="B3027" s="38">
        <v>0</v>
      </c>
      <c r="C3027" s="79">
        <v>0</v>
      </c>
    </row>
    <row r="3028" spans="1:3" x14ac:dyDescent="0.25">
      <c r="A3028" s="2">
        <v>0</v>
      </c>
      <c r="B3028" s="38">
        <v>0</v>
      </c>
      <c r="C3028" s="79">
        <v>0</v>
      </c>
    </row>
    <row r="3029" spans="1:3" x14ac:dyDescent="0.25">
      <c r="A3029" s="2">
        <v>0</v>
      </c>
      <c r="B3029" s="38">
        <v>0</v>
      </c>
      <c r="C3029" s="79">
        <v>0</v>
      </c>
    </row>
    <row r="3030" spans="1:3" x14ac:dyDescent="0.25">
      <c r="A3030" s="2">
        <v>0</v>
      </c>
      <c r="B3030" s="38">
        <v>0</v>
      </c>
      <c r="C3030" s="79">
        <v>0</v>
      </c>
    </row>
    <row r="3031" spans="1:3" x14ac:dyDescent="0.25">
      <c r="A3031" s="2">
        <v>0</v>
      </c>
      <c r="B3031" s="38">
        <v>0</v>
      </c>
      <c r="C3031" s="79">
        <v>0</v>
      </c>
    </row>
    <row r="3032" spans="1:3" x14ac:dyDescent="0.25">
      <c r="A3032" s="2">
        <v>0</v>
      </c>
      <c r="B3032" s="38">
        <v>0</v>
      </c>
      <c r="C3032" s="79">
        <v>0</v>
      </c>
    </row>
    <row r="3033" spans="1:3" x14ac:dyDescent="0.25">
      <c r="A3033" s="2">
        <v>0</v>
      </c>
      <c r="B3033" s="38">
        <v>0</v>
      </c>
      <c r="C3033" s="79">
        <v>0</v>
      </c>
    </row>
    <row r="3034" spans="1:3" x14ac:dyDescent="0.25">
      <c r="A3034" s="2">
        <v>0</v>
      </c>
      <c r="B3034" s="38">
        <v>0</v>
      </c>
      <c r="C3034" s="79">
        <v>0</v>
      </c>
    </row>
    <row r="3035" spans="1:3" x14ac:dyDescent="0.25">
      <c r="A3035" s="2">
        <v>0</v>
      </c>
      <c r="B3035" s="38">
        <v>0</v>
      </c>
      <c r="C3035" s="79">
        <v>0</v>
      </c>
    </row>
    <row r="3036" spans="1:3" x14ac:dyDescent="0.25">
      <c r="A3036" s="2">
        <v>0</v>
      </c>
      <c r="B3036" s="38">
        <v>0</v>
      </c>
      <c r="C3036" s="79">
        <v>0</v>
      </c>
    </row>
    <row r="3037" spans="1:3" x14ac:dyDescent="0.25">
      <c r="A3037" s="2">
        <v>0</v>
      </c>
      <c r="B3037" s="38">
        <v>0</v>
      </c>
      <c r="C3037" s="79">
        <v>0</v>
      </c>
    </row>
    <row r="3038" spans="1:3" x14ac:dyDescent="0.25">
      <c r="A3038" s="2">
        <v>0</v>
      </c>
      <c r="B3038" s="38">
        <v>0</v>
      </c>
      <c r="C3038" s="79">
        <v>0</v>
      </c>
    </row>
    <row r="3039" spans="1:3" x14ac:dyDescent="0.25">
      <c r="A3039" s="2">
        <v>0</v>
      </c>
      <c r="B3039" s="38">
        <v>0</v>
      </c>
      <c r="C3039" s="79">
        <v>0</v>
      </c>
    </row>
    <row r="3040" spans="1:3" x14ac:dyDescent="0.25">
      <c r="A3040" s="2">
        <v>0</v>
      </c>
      <c r="B3040" s="38">
        <v>0</v>
      </c>
      <c r="C3040" s="79">
        <v>0</v>
      </c>
    </row>
    <row r="3041" spans="1:3" x14ac:dyDescent="0.25">
      <c r="A3041" s="2">
        <v>0</v>
      </c>
      <c r="B3041" s="38">
        <v>0</v>
      </c>
      <c r="C3041" s="79">
        <v>0</v>
      </c>
    </row>
    <row r="3042" spans="1:3" x14ac:dyDescent="0.25">
      <c r="A3042" s="2">
        <v>0</v>
      </c>
      <c r="B3042" s="38">
        <v>0</v>
      </c>
      <c r="C3042" s="79">
        <v>0</v>
      </c>
    </row>
    <row r="3043" spans="1:3" x14ac:dyDescent="0.25">
      <c r="A3043" s="2">
        <v>0</v>
      </c>
      <c r="B3043" s="38">
        <v>0</v>
      </c>
      <c r="C3043" s="79">
        <v>0</v>
      </c>
    </row>
    <row r="3044" spans="1:3" x14ac:dyDescent="0.25">
      <c r="A3044" s="2">
        <v>0</v>
      </c>
      <c r="B3044" s="38">
        <v>0</v>
      </c>
      <c r="C3044" s="79">
        <v>0</v>
      </c>
    </row>
    <row r="3045" spans="1:3" x14ac:dyDescent="0.25">
      <c r="A3045" s="2">
        <v>0</v>
      </c>
      <c r="B3045" s="38">
        <v>0</v>
      </c>
      <c r="C3045" s="79">
        <v>0</v>
      </c>
    </row>
    <row r="3046" spans="1:3" x14ac:dyDescent="0.25">
      <c r="A3046" s="2">
        <v>0</v>
      </c>
      <c r="B3046" s="38">
        <v>0</v>
      </c>
      <c r="C3046" s="79">
        <v>0</v>
      </c>
    </row>
    <row r="3047" spans="1:3" x14ac:dyDescent="0.25">
      <c r="A3047" s="2">
        <v>0</v>
      </c>
      <c r="B3047" s="38">
        <v>0</v>
      </c>
      <c r="C3047" s="79">
        <v>0</v>
      </c>
    </row>
    <row r="3048" spans="1:3" x14ac:dyDescent="0.25">
      <c r="A3048" s="2">
        <v>0</v>
      </c>
      <c r="B3048" s="38">
        <v>0</v>
      </c>
      <c r="C3048" s="79">
        <v>0</v>
      </c>
    </row>
    <row r="3049" spans="1:3" x14ac:dyDescent="0.25">
      <c r="A3049" s="2">
        <v>0</v>
      </c>
      <c r="B3049" s="38">
        <v>0</v>
      </c>
      <c r="C3049" s="79">
        <v>0</v>
      </c>
    </row>
    <row r="3050" spans="1:3" x14ac:dyDescent="0.25">
      <c r="A3050" s="2">
        <v>0</v>
      </c>
      <c r="B3050" s="38">
        <v>0</v>
      </c>
      <c r="C3050" s="79">
        <v>0</v>
      </c>
    </row>
    <row r="3051" spans="1:3" x14ac:dyDescent="0.25">
      <c r="A3051" s="2">
        <v>0</v>
      </c>
      <c r="B3051" s="38">
        <v>0</v>
      </c>
      <c r="C3051" s="79">
        <v>0</v>
      </c>
    </row>
    <row r="3052" spans="1:3" x14ac:dyDescent="0.25">
      <c r="A3052" s="2">
        <v>0</v>
      </c>
      <c r="B3052" s="38">
        <v>0</v>
      </c>
      <c r="C3052" s="79">
        <v>0</v>
      </c>
    </row>
    <row r="3053" spans="1:3" x14ac:dyDescent="0.25">
      <c r="A3053" s="2">
        <v>0</v>
      </c>
      <c r="B3053" s="38">
        <v>0</v>
      </c>
      <c r="C3053" s="79">
        <v>0</v>
      </c>
    </row>
    <row r="3054" spans="1:3" x14ac:dyDescent="0.25">
      <c r="A3054" s="2">
        <v>0</v>
      </c>
      <c r="B3054" s="38">
        <v>0</v>
      </c>
      <c r="C3054" s="79">
        <v>0</v>
      </c>
    </row>
    <row r="3055" spans="1:3" x14ac:dyDescent="0.25">
      <c r="A3055" s="2">
        <v>0</v>
      </c>
      <c r="B3055" s="38">
        <v>0</v>
      </c>
      <c r="C3055" s="79">
        <v>0</v>
      </c>
    </row>
    <row r="3056" spans="1:3" x14ac:dyDescent="0.25">
      <c r="A3056" s="2">
        <v>0</v>
      </c>
      <c r="B3056" s="38">
        <v>0</v>
      </c>
      <c r="C3056" s="79">
        <v>0</v>
      </c>
    </row>
    <row r="3057" spans="1:3" x14ac:dyDescent="0.25">
      <c r="A3057" s="2">
        <v>0</v>
      </c>
      <c r="B3057" s="38">
        <v>0</v>
      </c>
      <c r="C3057" s="79">
        <v>0</v>
      </c>
    </row>
    <row r="3058" spans="1:3" x14ac:dyDescent="0.25">
      <c r="A3058" s="2">
        <v>0</v>
      </c>
      <c r="B3058" s="38">
        <v>0</v>
      </c>
      <c r="C3058" s="79">
        <v>0</v>
      </c>
    </row>
    <row r="3059" spans="1:3" x14ac:dyDescent="0.25">
      <c r="A3059" s="2">
        <v>0</v>
      </c>
      <c r="B3059" s="38">
        <v>0</v>
      </c>
      <c r="C3059" s="79">
        <v>0</v>
      </c>
    </row>
    <row r="3060" spans="1:3" x14ac:dyDescent="0.25">
      <c r="A3060" s="2">
        <v>0</v>
      </c>
      <c r="B3060" s="38">
        <v>0</v>
      </c>
      <c r="C3060" s="79">
        <v>0</v>
      </c>
    </row>
    <row r="3061" spans="1:3" x14ac:dyDescent="0.25">
      <c r="A3061" s="2">
        <v>0</v>
      </c>
      <c r="B3061" s="38">
        <v>0</v>
      </c>
      <c r="C3061" s="79">
        <v>0</v>
      </c>
    </row>
    <row r="3062" spans="1:3" x14ac:dyDescent="0.25">
      <c r="A3062" s="2">
        <v>0</v>
      </c>
      <c r="B3062" s="38">
        <v>0</v>
      </c>
      <c r="C3062" s="79">
        <v>0</v>
      </c>
    </row>
    <row r="3063" spans="1:3" x14ac:dyDescent="0.25">
      <c r="A3063" s="2">
        <v>0</v>
      </c>
      <c r="B3063" s="38">
        <v>0</v>
      </c>
      <c r="C3063" s="79">
        <v>0</v>
      </c>
    </row>
    <row r="3064" spans="1:3" x14ac:dyDescent="0.25">
      <c r="A3064" s="2">
        <v>0</v>
      </c>
      <c r="B3064" s="38">
        <v>0</v>
      </c>
      <c r="C3064" s="79">
        <v>0</v>
      </c>
    </row>
    <row r="3065" spans="1:3" x14ac:dyDescent="0.25">
      <c r="A3065" s="2">
        <v>0</v>
      </c>
      <c r="B3065" s="38">
        <v>0</v>
      </c>
      <c r="C3065" s="79">
        <v>0</v>
      </c>
    </row>
    <row r="3066" spans="1:3" x14ac:dyDescent="0.25">
      <c r="A3066" s="2">
        <v>0</v>
      </c>
      <c r="B3066" s="38">
        <v>0</v>
      </c>
      <c r="C3066" s="79">
        <v>0</v>
      </c>
    </row>
    <row r="3067" spans="1:3" x14ac:dyDescent="0.25">
      <c r="A3067" s="2">
        <v>0</v>
      </c>
      <c r="B3067" s="38">
        <v>0</v>
      </c>
      <c r="C3067" s="79">
        <v>0</v>
      </c>
    </row>
    <row r="3068" spans="1:3" x14ac:dyDescent="0.25">
      <c r="A3068" s="2">
        <v>0</v>
      </c>
      <c r="B3068" s="38">
        <v>0</v>
      </c>
      <c r="C3068" s="79">
        <v>0</v>
      </c>
    </row>
    <row r="3069" spans="1:3" x14ac:dyDescent="0.25">
      <c r="A3069" s="2">
        <v>0</v>
      </c>
      <c r="B3069" s="38">
        <v>0</v>
      </c>
      <c r="C3069" s="79">
        <v>0</v>
      </c>
    </row>
    <row r="3070" spans="1:3" x14ac:dyDescent="0.25">
      <c r="A3070" s="2">
        <v>0</v>
      </c>
      <c r="B3070" s="38">
        <v>0</v>
      </c>
      <c r="C3070" s="79">
        <v>0</v>
      </c>
    </row>
    <row r="3071" spans="1:3" x14ac:dyDescent="0.25">
      <c r="A3071" s="2">
        <v>0</v>
      </c>
      <c r="B3071" s="38">
        <v>0</v>
      </c>
      <c r="C3071" s="79">
        <v>0</v>
      </c>
    </row>
    <row r="3072" spans="1:3" x14ac:dyDescent="0.25">
      <c r="A3072" s="2">
        <v>0</v>
      </c>
      <c r="B3072" s="38">
        <v>0</v>
      </c>
      <c r="C3072" s="79">
        <v>0</v>
      </c>
    </row>
    <row r="3073" spans="1:3" x14ac:dyDescent="0.25">
      <c r="A3073" s="2">
        <v>0</v>
      </c>
      <c r="B3073" s="38">
        <v>0</v>
      </c>
      <c r="C3073" s="79">
        <v>0</v>
      </c>
    </row>
    <row r="3074" spans="1:3" x14ac:dyDescent="0.25">
      <c r="A3074" s="2">
        <v>0</v>
      </c>
      <c r="B3074" s="38">
        <v>0</v>
      </c>
      <c r="C3074" s="79">
        <v>0</v>
      </c>
    </row>
    <row r="3075" spans="1:3" x14ac:dyDescent="0.25">
      <c r="A3075" s="2">
        <v>0</v>
      </c>
      <c r="B3075" s="38">
        <v>0</v>
      </c>
      <c r="C3075" s="79">
        <v>0</v>
      </c>
    </row>
    <row r="3076" spans="1:3" x14ac:dyDescent="0.25">
      <c r="A3076" s="2">
        <v>0</v>
      </c>
      <c r="B3076" s="38">
        <v>0</v>
      </c>
      <c r="C3076" s="79">
        <v>0</v>
      </c>
    </row>
    <row r="3077" spans="1:3" x14ac:dyDescent="0.25">
      <c r="A3077" s="2">
        <v>0</v>
      </c>
      <c r="B3077" s="38">
        <v>0</v>
      </c>
      <c r="C3077" s="79">
        <v>0</v>
      </c>
    </row>
    <row r="3078" spans="1:3" x14ac:dyDescent="0.25">
      <c r="A3078" s="2">
        <v>0</v>
      </c>
      <c r="B3078" s="38">
        <v>0</v>
      </c>
      <c r="C3078" s="79">
        <v>0</v>
      </c>
    </row>
    <row r="3079" spans="1:3" x14ac:dyDescent="0.25">
      <c r="A3079" s="2">
        <v>0</v>
      </c>
      <c r="B3079" s="38">
        <v>0</v>
      </c>
      <c r="C3079" s="79">
        <v>0</v>
      </c>
    </row>
    <row r="3080" spans="1:3" x14ac:dyDescent="0.25">
      <c r="A3080" s="2">
        <v>0</v>
      </c>
      <c r="B3080" s="38">
        <v>0</v>
      </c>
      <c r="C3080" s="79">
        <v>0</v>
      </c>
    </row>
    <row r="3081" spans="1:3" x14ac:dyDescent="0.25">
      <c r="A3081" s="2">
        <v>0</v>
      </c>
      <c r="B3081" s="38">
        <v>0</v>
      </c>
      <c r="C3081" s="79">
        <v>0</v>
      </c>
    </row>
    <row r="3082" spans="1:3" x14ac:dyDescent="0.25">
      <c r="A3082" s="2">
        <v>0</v>
      </c>
      <c r="B3082" s="38">
        <v>0</v>
      </c>
      <c r="C3082" s="79">
        <v>0</v>
      </c>
    </row>
    <row r="3083" spans="1:3" x14ac:dyDescent="0.25">
      <c r="A3083" s="2">
        <v>0</v>
      </c>
      <c r="B3083" s="38">
        <v>0</v>
      </c>
      <c r="C3083" s="79">
        <v>0</v>
      </c>
    </row>
    <row r="3084" spans="1:3" x14ac:dyDescent="0.25">
      <c r="A3084" s="2">
        <v>0</v>
      </c>
      <c r="B3084" s="38">
        <v>0</v>
      </c>
      <c r="C3084" s="79">
        <v>0</v>
      </c>
    </row>
    <row r="3085" spans="1:3" x14ac:dyDescent="0.25">
      <c r="A3085" s="2">
        <v>0</v>
      </c>
      <c r="B3085" s="38">
        <v>0</v>
      </c>
      <c r="C3085" s="79">
        <v>0</v>
      </c>
    </row>
    <row r="3086" spans="1:3" x14ac:dyDescent="0.25">
      <c r="A3086" s="2">
        <v>0</v>
      </c>
      <c r="B3086" s="38">
        <v>0</v>
      </c>
      <c r="C3086" s="79">
        <v>0</v>
      </c>
    </row>
    <row r="3087" spans="1:3" x14ac:dyDescent="0.25">
      <c r="A3087" s="2">
        <v>0</v>
      </c>
      <c r="B3087" s="38">
        <v>0</v>
      </c>
      <c r="C3087" s="79">
        <v>0</v>
      </c>
    </row>
    <row r="3088" spans="1:3" x14ac:dyDescent="0.25">
      <c r="A3088" s="2">
        <v>0</v>
      </c>
      <c r="B3088" s="38">
        <v>0</v>
      </c>
      <c r="C3088" s="79">
        <v>0</v>
      </c>
    </row>
    <row r="3089" spans="1:3" x14ac:dyDescent="0.25">
      <c r="A3089" s="2">
        <v>0</v>
      </c>
      <c r="B3089" s="38">
        <v>0</v>
      </c>
      <c r="C3089" s="79">
        <v>0</v>
      </c>
    </row>
    <row r="3090" spans="1:3" x14ac:dyDescent="0.25">
      <c r="A3090" s="2">
        <v>0</v>
      </c>
      <c r="B3090" s="38">
        <v>0</v>
      </c>
      <c r="C3090" s="79">
        <v>0</v>
      </c>
    </row>
    <row r="3091" spans="1:3" x14ac:dyDescent="0.25">
      <c r="A3091" s="2">
        <v>0</v>
      </c>
      <c r="B3091" s="38">
        <v>0</v>
      </c>
      <c r="C3091" s="79">
        <v>0</v>
      </c>
    </row>
    <row r="3092" spans="1:3" x14ac:dyDescent="0.25">
      <c r="A3092" s="2">
        <v>0</v>
      </c>
      <c r="B3092" s="38">
        <v>0</v>
      </c>
      <c r="C3092" s="79">
        <v>0</v>
      </c>
    </row>
    <row r="3093" spans="1:3" x14ac:dyDescent="0.25">
      <c r="A3093" s="2">
        <v>0</v>
      </c>
      <c r="B3093" s="38">
        <v>0</v>
      </c>
      <c r="C3093" s="79">
        <v>0</v>
      </c>
    </row>
    <row r="3094" spans="1:3" x14ac:dyDescent="0.25">
      <c r="A3094" s="2">
        <v>0</v>
      </c>
      <c r="B3094" s="38">
        <v>0</v>
      </c>
      <c r="C3094" s="79">
        <v>0</v>
      </c>
    </row>
    <row r="3095" spans="1:3" x14ac:dyDescent="0.25">
      <c r="A3095" s="2">
        <v>0</v>
      </c>
      <c r="B3095" s="38">
        <v>0</v>
      </c>
      <c r="C3095" s="79">
        <v>0</v>
      </c>
    </row>
    <row r="3096" spans="1:3" x14ac:dyDescent="0.25">
      <c r="A3096" s="2">
        <v>0</v>
      </c>
      <c r="B3096" s="38">
        <v>0</v>
      </c>
      <c r="C3096" s="79">
        <v>0</v>
      </c>
    </row>
    <row r="3097" spans="1:3" x14ac:dyDescent="0.25">
      <c r="A3097" s="2">
        <v>0</v>
      </c>
      <c r="B3097" s="38">
        <v>0</v>
      </c>
      <c r="C3097" s="79">
        <v>0</v>
      </c>
    </row>
    <row r="3098" spans="1:3" x14ac:dyDescent="0.25">
      <c r="A3098" s="2">
        <v>0</v>
      </c>
      <c r="B3098" s="38">
        <v>0</v>
      </c>
      <c r="C3098" s="79">
        <v>0</v>
      </c>
    </row>
    <row r="3099" spans="1:3" x14ac:dyDescent="0.25">
      <c r="A3099" s="2">
        <v>0</v>
      </c>
      <c r="B3099" s="38">
        <v>0</v>
      </c>
      <c r="C3099" s="79">
        <v>0</v>
      </c>
    </row>
    <row r="3100" spans="1:3" x14ac:dyDescent="0.25">
      <c r="A3100" s="2">
        <v>0</v>
      </c>
      <c r="B3100" s="38">
        <v>0</v>
      </c>
      <c r="C3100" s="79">
        <v>0</v>
      </c>
    </row>
    <row r="3101" spans="1:3" x14ac:dyDescent="0.25">
      <c r="A3101" s="2">
        <v>0</v>
      </c>
      <c r="B3101" s="38">
        <v>0</v>
      </c>
      <c r="C3101" s="79">
        <v>0</v>
      </c>
    </row>
    <row r="3102" spans="1:3" x14ac:dyDescent="0.25">
      <c r="A3102" s="2">
        <v>0</v>
      </c>
      <c r="B3102" s="38">
        <v>0</v>
      </c>
      <c r="C3102" s="79">
        <v>0</v>
      </c>
    </row>
    <row r="3103" spans="1:3" x14ac:dyDescent="0.25">
      <c r="A3103" s="2">
        <v>0</v>
      </c>
      <c r="B3103" s="38">
        <v>0</v>
      </c>
      <c r="C3103" s="79">
        <v>0</v>
      </c>
    </row>
    <row r="3104" spans="1:3" x14ac:dyDescent="0.25">
      <c r="A3104" s="2">
        <v>0</v>
      </c>
      <c r="B3104" s="38">
        <v>0</v>
      </c>
      <c r="C3104" s="79">
        <v>0</v>
      </c>
    </row>
    <row r="3105" spans="1:3" x14ac:dyDescent="0.25">
      <c r="A3105" s="2">
        <v>0</v>
      </c>
      <c r="B3105" s="38">
        <v>0</v>
      </c>
      <c r="C3105" s="79">
        <v>0</v>
      </c>
    </row>
    <row r="3106" spans="1:3" x14ac:dyDescent="0.25">
      <c r="A3106" s="2">
        <v>0</v>
      </c>
      <c r="B3106" s="38">
        <v>0</v>
      </c>
      <c r="C3106" s="79">
        <v>0</v>
      </c>
    </row>
    <row r="3107" spans="1:3" x14ac:dyDescent="0.25">
      <c r="A3107" s="2">
        <v>0</v>
      </c>
      <c r="B3107" s="38">
        <v>0</v>
      </c>
      <c r="C3107" s="79">
        <v>0</v>
      </c>
    </row>
    <row r="3108" spans="1:3" x14ac:dyDescent="0.25">
      <c r="A3108" s="2">
        <v>0</v>
      </c>
      <c r="B3108" s="38">
        <v>0</v>
      </c>
      <c r="C3108" s="79">
        <v>0</v>
      </c>
    </row>
    <row r="3109" spans="1:3" x14ac:dyDescent="0.25">
      <c r="A3109" s="2">
        <v>0</v>
      </c>
      <c r="B3109" s="38">
        <v>0</v>
      </c>
      <c r="C3109" s="79">
        <v>0</v>
      </c>
    </row>
    <row r="3110" spans="1:3" x14ac:dyDescent="0.25">
      <c r="A3110" s="2">
        <v>0</v>
      </c>
      <c r="B3110" s="38">
        <v>0</v>
      </c>
      <c r="C3110" s="79">
        <v>0</v>
      </c>
    </row>
    <row r="3111" spans="1:3" x14ac:dyDescent="0.25">
      <c r="A3111" s="2">
        <v>0</v>
      </c>
      <c r="B3111" s="38">
        <v>0</v>
      </c>
      <c r="C3111" s="79">
        <v>0</v>
      </c>
    </row>
    <row r="3112" spans="1:3" x14ac:dyDescent="0.25">
      <c r="A3112" s="2">
        <v>0</v>
      </c>
      <c r="B3112" s="38">
        <v>0</v>
      </c>
      <c r="C3112" s="79">
        <v>0</v>
      </c>
    </row>
    <row r="3113" spans="1:3" x14ac:dyDescent="0.25">
      <c r="A3113" s="2">
        <v>0</v>
      </c>
      <c r="B3113" s="38">
        <v>0</v>
      </c>
      <c r="C3113" s="79">
        <v>0</v>
      </c>
    </row>
    <row r="3114" spans="1:3" x14ac:dyDescent="0.25">
      <c r="A3114" s="2">
        <v>0</v>
      </c>
      <c r="B3114" s="38">
        <v>0</v>
      </c>
      <c r="C3114" s="79">
        <v>0</v>
      </c>
    </row>
    <row r="3115" spans="1:3" x14ac:dyDescent="0.25">
      <c r="A3115" s="2">
        <v>0</v>
      </c>
      <c r="B3115" s="38">
        <v>0</v>
      </c>
      <c r="C3115" s="79">
        <v>0</v>
      </c>
    </row>
    <row r="3116" spans="1:3" x14ac:dyDescent="0.25">
      <c r="A3116" s="2">
        <v>0</v>
      </c>
      <c r="B3116" s="38">
        <v>0</v>
      </c>
      <c r="C3116" s="79">
        <v>0</v>
      </c>
    </row>
    <row r="3117" spans="1:3" x14ac:dyDescent="0.25">
      <c r="A3117" s="2">
        <v>0</v>
      </c>
      <c r="B3117" s="38">
        <v>0</v>
      </c>
      <c r="C3117" s="79">
        <v>0</v>
      </c>
    </row>
    <row r="3118" spans="1:3" x14ac:dyDescent="0.25">
      <c r="A3118" s="2">
        <v>0</v>
      </c>
      <c r="B3118" s="38">
        <v>0</v>
      </c>
      <c r="C3118" s="79">
        <v>0</v>
      </c>
    </row>
    <row r="3119" spans="1:3" x14ac:dyDescent="0.25">
      <c r="A3119" s="2">
        <v>0</v>
      </c>
      <c r="B3119" s="38">
        <v>0</v>
      </c>
      <c r="C3119" s="79">
        <v>0</v>
      </c>
    </row>
    <row r="3120" spans="1:3" x14ac:dyDescent="0.25">
      <c r="A3120" s="2">
        <v>0</v>
      </c>
      <c r="B3120" s="38">
        <v>0</v>
      </c>
      <c r="C3120" s="79">
        <v>0</v>
      </c>
    </row>
    <row r="3121" spans="1:3" x14ac:dyDescent="0.25">
      <c r="A3121" s="2">
        <v>0</v>
      </c>
      <c r="B3121" s="38">
        <v>0</v>
      </c>
      <c r="C3121" s="79">
        <v>0</v>
      </c>
    </row>
    <row r="3122" spans="1:3" x14ac:dyDescent="0.25">
      <c r="A3122" s="2">
        <v>0</v>
      </c>
      <c r="B3122" s="38">
        <v>0</v>
      </c>
      <c r="C3122" s="79">
        <v>0</v>
      </c>
    </row>
    <row r="3123" spans="1:3" x14ac:dyDescent="0.25">
      <c r="A3123" s="2">
        <v>0</v>
      </c>
      <c r="B3123" s="38">
        <v>0</v>
      </c>
      <c r="C3123" s="79">
        <v>0</v>
      </c>
    </row>
    <row r="3124" spans="1:3" x14ac:dyDescent="0.25">
      <c r="A3124" s="2">
        <v>0</v>
      </c>
      <c r="B3124" s="38">
        <v>0</v>
      </c>
      <c r="C3124" s="79">
        <v>0</v>
      </c>
    </row>
    <row r="3125" spans="1:3" x14ac:dyDescent="0.25">
      <c r="A3125" s="2">
        <v>0</v>
      </c>
      <c r="B3125" s="38">
        <v>0</v>
      </c>
      <c r="C3125" s="79">
        <v>0</v>
      </c>
    </row>
    <row r="3126" spans="1:3" x14ac:dyDescent="0.25">
      <c r="A3126" s="2">
        <v>0</v>
      </c>
      <c r="B3126" s="38">
        <v>0</v>
      </c>
      <c r="C3126" s="79">
        <v>0</v>
      </c>
    </row>
    <row r="3127" spans="1:3" x14ac:dyDescent="0.25">
      <c r="A3127" s="2">
        <v>0</v>
      </c>
      <c r="B3127" s="38">
        <v>0</v>
      </c>
      <c r="C3127" s="79">
        <v>0</v>
      </c>
    </row>
    <row r="3128" spans="1:3" x14ac:dyDescent="0.25">
      <c r="A3128" s="2">
        <v>0</v>
      </c>
      <c r="B3128" s="38">
        <v>0</v>
      </c>
      <c r="C3128" s="79">
        <v>0</v>
      </c>
    </row>
    <row r="3129" spans="1:3" x14ac:dyDescent="0.25">
      <c r="A3129" s="2">
        <v>0</v>
      </c>
      <c r="B3129" s="38">
        <v>0</v>
      </c>
      <c r="C3129" s="79">
        <v>0</v>
      </c>
    </row>
    <row r="3130" spans="1:3" x14ac:dyDescent="0.25">
      <c r="A3130" s="2">
        <v>0</v>
      </c>
      <c r="B3130" s="38">
        <v>0</v>
      </c>
      <c r="C3130" s="79">
        <v>0</v>
      </c>
    </row>
    <row r="3131" spans="1:3" x14ac:dyDescent="0.25">
      <c r="A3131" s="2">
        <v>0</v>
      </c>
      <c r="B3131" s="38">
        <v>0</v>
      </c>
      <c r="C3131" s="79">
        <v>0</v>
      </c>
    </row>
    <row r="3132" spans="1:3" x14ac:dyDescent="0.25">
      <c r="A3132" s="2">
        <v>0</v>
      </c>
      <c r="B3132" s="38">
        <v>0</v>
      </c>
      <c r="C3132" s="79">
        <v>0</v>
      </c>
    </row>
    <row r="3133" spans="1:3" x14ac:dyDescent="0.25">
      <c r="A3133" s="2">
        <v>0</v>
      </c>
      <c r="B3133" s="38">
        <v>0</v>
      </c>
      <c r="C3133" s="79">
        <v>0</v>
      </c>
    </row>
    <row r="3134" spans="1:3" x14ac:dyDescent="0.25">
      <c r="A3134" s="2">
        <v>0</v>
      </c>
      <c r="B3134" s="38">
        <v>0</v>
      </c>
      <c r="C3134" s="79">
        <v>0</v>
      </c>
    </row>
    <row r="3135" spans="1:3" x14ac:dyDescent="0.25">
      <c r="A3135" s="2">
        <v>0</v>
      </c>
      <c r="B3135" s="38">
        <v>0</v>
      </c>
      <c r="C3135" s="79">
        <v>0</v>
      </c>
    </row>
    <row r="3136" spans="1:3" x14ac:dyDescent="0.25">
      <c r="A3136" s="2">
        <v>0</v>
      </c>
      <c r="B3136" s="38">
        <v>0</v>
      </c>
      <c r="C3136" s="79">
        <v>0</v>
      </c>
    </row>
    <row r="3137" spans="1:3" x14ac:dyDescent="0.25">
      <c r="A3137" s="2">
        <v>0</v>
      </c>
      <c r="B3137" s="38">
        <v>0</v>
      </c>
      <c r="C3137" s="79">
        <v>0</v>
      </c>
    </row>
    <row r="3138" spans="1:3" x14ac:dyDescent="0.25">
      <c r="A3138" s="2">
        <v>0</v>
      </c>
      <c r="B3138" s="38">
        <v>0</v>
      </c>
      <c r="C3138" s="79">
        <v>0</v>
      </c>
    </row>
    <row r="3139" spans="1:3" x14ac:dyDescent="0.25">
      <c r="A3139" s="2">
        <v>0</v>
      </c>
      <c r="B3139" s="38">
        <v>0</v>
      </c>
      <c r="C3139" s="79">
        <v>0</v>
      </c>
    </row>
    <row r="3140" spans="1:3" x14ac:dyDescent="0.25">
      <c r="A3140" s="2">
        <v>0</v>
      </c>
      <c r="B3140" s="38">
        <v>0</v>
      </c>
      <c r="C3140" s="79">
        <v>0</v>
      </c>
    </row>
    <row r="3141" spans="1:3" x14ac:dyDescent="0.25">
      <c r="A3141" s="2">
        <v>0</v>
      </c>
      <c r="B3141" s="38">
        <v>0</v>
      </c>
      <c r="C3141" s="79">
        <v>0</v>
      </c>
    </row>
    <row r="3142" spans="1:3" x14ac:dyDescent="0.25">
      <c r="A3142" s="2">
        <v>0</v>
      </c>
      <c r="B3142" s="38">
        <v>0</v>
      </c>
      <c r="C3142" s="79">
        <v>0</v>
      </c>
    </row>
    <row r="3143" spans="1:3" x14ac:dyDescent="0.25">
      <c r="A3143" s="2">
        <v>0</v>
      </c>
      <c r="B3143" s="38">
        <v>0</v>
      </c>
      <c r="C3143" s="79">
        <v>0</v>
      </c>
    </row>
    <row r="3144" spans="1:3" x14ac:dyDescent="0.25">
      <c r="A3144" s="2">
        <v>0</v>
      </c>
      <c r="B3144" s="38">
        <v>0</v>
      </c>
      <c r="C3144" s="79">
        <v>0</v>
      </c>
    </row>
    <row r="3145" spans="1:3" x14ac:dyDescent="0.25">
      <c r="A3145" s="2">
        <v>0</v>
      </c>
      <c r="B3145" s="38">
        <v>0</v>
      </c>
      <c r="C3145" s="79">
        <v>0</v>
      </c>
    </row>
    <row r="3146" spans="1:3" x14ac:dyDescent="0.25">
      <c r="A3146" s="2">
        <v>0</v>
      </c>
      <c r="B3146" s="38">
        <v>0</v>
      </c>
      <c r="C3146" s="79">
        <v>0</v>
      </c>
    </row>
    <row r="3147" spans="1:3" x14ac:dyDescent="0.25">
      <c r="A3147" s="2">
        <v>0</v>
      </c>
      <c r="B3147" s="38">
        <v>0</v>
      </c>
      <c r="C3147" s="79">
        <v>0</v>
      </c>
    </row>
    <row r="3148" spans="1:3" x14ac:dyDescent="0.25">
      <c r="A3148" s="2">
        <v>0</v>
      </c>
      <c r="B3148" s="38">
        <v>0</v>
      </c>
      <c r="C3148" s="79">
        <v>0</v>
      </c>
    </row>
    <row r="3149" spans="1:3" x14ac:dyDescent="0.25">
      <c r="A3149" s="2">
        <v>0</v>
      </c>
      <c r="B3149" s="38">
        <v>0</v>
      </c>
      <c r="C3149" s="79">
        <v>0</v>
      </c>
    </row>
    <row r="3150" spans="1:3" x14ac:dyDescent="0.25">
      <c r="A3150" s="2">
        <v>0</v>
      </c>
      <c r="B3150" s="38">
        <v>0</v>
      </c>
      <c r="C3150" s="79">
        <v>0</v>
      </c>
    </row>
    <row r="3151" spans="1:3" x14ac:dyDescent="0.25">
      <c r="A3151" s="2">
        <v>0</v>
      </c>
      <c r="B3151" s="38">
        <v>0</v>
      </c>
      <c r="C3151" s="79">
        <v>0</v>
      </c>
    </row>
    <row r="3152" spans="1:3" x14ac:dyDescent="0.25">
      <c r="A3152" s="2">
        <v>0</v>
      </c>
      <c r="B3152" s="38">
        <v>0</v>
      </c>
      <c r="C3152" s="79">
        <v>0</v>
      </c>
    </row>
    <row r="3153" spans="1:3" x14ac:dyDescent="0.25">
      <c r="A3153" s="2">
        <v>0</v>
      </c>
      <c r="B3153" s="38">
        <v>0</v>
      </c>
      <c r="C3153" s="79">
        <v>0</v>
      </c>
    </row>
    <row r="3154" spans="1:3" x14ac:dyDescent="0.25">
      <c r="A3154" s="2">
        <v>0</v>
      </c>
      <c r="B3154" s="38">
        <v>0</v>
      </c>
      <c r="C3154" s="79">
        <v>0</v>
      </c>
    </row>
    <row r="3155" spans="1:3" x14ac:dyDescent="0.25">
      <c r="A3155" s="2">
        <v>0</v>
      </c>
      <c r="B3155" s="38">
        <v>0</v>
      </c>
      <c r="C3155" s="79">
        <v>0</v>
      </c>
    </row>
    <row r="3156" spans="1:3" x14ac:dyDescent="0.25">
      <c r="A3156" s="2">
        <v>0</v>
      </c>
      <c r="B3156" s="38">
        <v>0</v>
      </c>
      <c r="C3156" s="79">
        <v>0</v>
      </c>
    </row>
    <row r="3157" spans="1:3" x14ac:dyDescent="0.25">
      <c r="A3157" s="2">
        <v>0</v>
      </c>
      <c r="B3157" s="38">
        <v>0</v>
      </c>
      <c r="C3157" s="79">
        <v>0</v>
      </c>
    </row>
    <row r="3158" spans="1:3" x14ac:dyDescent="0.25">
      <c r="A3158" s="2">
        <v>0</v>
      </c>
      <c r="B3158" s="38">
        <v>0</v>
      </c>
      <c r="C3158" s="79">
        <v>0</v>
      </c>
    </row>
    <row r="3159" spans="1:3" x14ac:dyDescent="0.25">
      <c r="A3159" s="2">
        <v>0</v>
      </c>
      <c r="B3159" s="38">
        <v>0</v>
      </c>
      <c r="C3159" s="79">
        <v>0</v>
      </c>
    </row>
    <row r="3160" spans="1:3" x14ac:dyDescent="0.25">
      <c r="A3160" s="2">
        <v>0</v>
      </c>
      <c r="B3160" s="38">
        <v>0</v>
      </c>
      <c r="C3160" s="79">
        <v>0</v>
      </c>
    </row>
    <row r="3161" spans="1:3" x14ac:dyDescent="0.25">
      <c r="A3161" s="2">
        <v>0</v>
      </c>
      <c r="B3161" s="38">
        <v>0</v>
      </c>
      <c r="C3161" s="79">
        <v>0</v>
      </c>
    </row>
    <row r="3162" spans="1:3" x14ac:dyDescent="0.25">
      <c r="A3162" s="2">
        <v>0</v>
      </c>
      <c r="B3162" s="38">
        <v>0</v>
      </c>
      <c r="C3162" s="79">
        <v>0</v>
      </c>
    </row>
    <row r="3163" spans="1:3" x14ac:dyDescent="0.25">
      <c r="A3163" s="2">
        <v>0</v>
      </c>
      <c r="B3163" s="38">
        <v>0</v>
      </c>
      <c r="C3163" s="79">
        <v>0</v>
      </c>
    </row>
    <row r="3164" spans="1:3" x14ac:dyDescent="0.25">
      <c r="A3164" s="2">
        <v>0</v>
      </c>
      <c r="B3164" s="38">
        <v>0</v>
      </c>
      <c r="C3164" s="79">
        <v>0</v>
      </c>
    </row>
    <row r="3165" spans="1:3" x14ac:dyDescent="0.25">
      <c r="A3165" s="2">
        <v>0</v>
      </c>
      <c r="B3165" s="38">
        <v>0</v>
      </c>
      <c r="C3165" s="79">
        <v>0</v>
      </c>
    </row>
    <row r="3166" spans="1:3" x14ac:dyDescent="0.25">
      <c r="A3166" s="2">
        <v>0</v>
      </c>
      <c r="B3166" s="38">
        <v>0</v>
      </c>
      <c r="C3166" s="79">
        <v>0</v>
      </c>
    </row>
    <row r="3167" spans="1:3" x14ac:dyDescent="0.25">
      <c r="A3167" s="2">
        <v>0</v>
      </c>
      <c r="B3167" s="38">
        <v>0</v>
      </c>
      <c r="C3167" s="79">
        <v>0</v>
      </c>
    </row>
    <row r="3168" spans="1:3" x14ac:dyDescent="0.25">
      <c r="A3168" s="2">
        <v>0</v>
      </c>
      <c r="B3168" s="38">
        <v>0</v>
      </c>
      <c r="C3168" s="79">
        <v>0</v>
      </c>
    </row>
    <row r="3169" spans="1:3" x14ac:dyDescent="0.25">
      <c r="A3169" s="2">
        <v>0</v>
      </c>
      <c r="B3169" s="38">
        <v>0</v>
      </c>
      <c r="C3169" s="79">
        <v>0</v>
      </c>
    </row>
    <row r="3170" spans="1:3" x14ac:dyDescent="0.25">
      <c r="A3170" s="2">
        <v>0</v>
      </c>
      <c r="B3170" s="38">
        <v>0</v>
      </c>
      <c r="C3170" s="79">
        <v>0</v>
      </c>
    </row>
    <row r="3171" spans="1:3" x14ac:dyDescent="0.25">
      <c r="A3171" s="2">
        <v>0</v>
      </c>
      <c r="B3171" s="38">
        <v>0</v>
      </c>
      <c r="C3171" s="79">
        <v>0</v>
      </c>
    </row>
    <row r="3172" spans="1:3" x14ac:dyDescent="0.25">
      <c r="A3172" s="2">
        <v>0</v>
      </c>
      <c r="B3172" s="38">
        <v>0</v>
      </c>
      <c r="C3172" s="79">
        <v>0</v>
      </c>
    </row>
    <row r="3173" spans="1:3" x14ac:dyDescent="0.25">
      <c r="A3173" s="2">
        <v>0</v>
      </c>
      <c r="B3173" s="38">
        <v>0</v>
      </c>
      <c r="C3173" s="79">
        <v>0</v>
      </c>
    </row>
    <row r="3174" spans="1:3" x14ac:dyDescent="0.25">
      <c r="A3174" s="2">
        <v>0</v>
      </c>
      <c r="B3174" s="38">
        <v>0</v>
      </c>
      <c r="C3174" s="79">
        <v>0</v>
      </c>
    </row>
    <row r="3175" spans="1:3" x14ac:dyDescent="0.25">
      <c r="A3175" s="2">
        <v>0</v>
      </c>
      <c r="B3175" s="38">
        <v>0</v>
      </c>
      <c r="C3175" s="79">
        <v>0</v>
      </c>
    </row>
    <row r="3176" spans="1:3" x14ac:dyDescent="0.25">
      <c r="A3176" s="2">
        <v>0</v>
      </c>
      <c r="B3176" s="38">
        <v>0</v>
      </c>
      <c r="C3176" s="79">
        <v>0</v>
      </c>
    </row>
    <row r="3177" spans="1:3" x14ac:dyDescent="0.25">
      <c r="A3177" s="2">
        <v>0</v>
      </c>
      <c r="B3177" s="38">
        <v>0</v>
      </c>
      <c r="C3177" s="79">
        <v>0</v>
      </c>
    </row>
    <row r="3178" spans="1:3" x14ac:dyDescent="0.25">
      <c r="A3178" s="2">
        <v>0</v>
      </c>
      <c r="B3178" s="38">
        <v>0</v>
      </c>
      <c r="C3178" s="79">
        <v>0</v>
      </c>
    </row>
    <row r="3179" spans="1:3" x14ac:dyDescent="0.25">
      <c r="A3179" s="2">
        <v>0</v>
      </c>
      <c r="B3179" s="38">
        <v>0</v>
      </c>
      <c r="C3179" s="79">
        <v>0</v>
      </c>
    </row>
    <row r="3180" spans="1:3" x14ac:dyDescent="0.25">
      <c r="A3180" s="2">
        <v>0</v>
      </c>
      <c r="B3180" s="38">
        <v>0</v>
      </c>
      <c r="C3180" s="79">
        <v>0</v>
      </c>
    </row>
    <row r="3181" spans="1:3" x14ac:dyDescent="0.25">
      <c r="A3181" s="2">
        <v>0</v>
      </c>
      <c r="B3181" s="38">
        <v>0</v>
      </c>
      <c r="C3181" s="79">
        <v>0</v>
      </c>
    </row>
    <row r="3182" spans="1:3" x14ac:dyDescent="0.25">
      <c r="A3182" s="2">
        <v>0</v>
      </c>
      <c r="B3182" s="38">
        <v>0</v>
      </c>
      <c r="C3182" s="79">
        <v>0</v>
      </c>
    </row>
    <row r="3183" spans="1:3" x14ac:dyDescent="0.25">
      <c r="A3183" s="2">
        <v>0</v>
      </c>
      <c r="B3183" s="38">
        <v>0</v>
      </c>
      <c r="C3183" s="79">
        <v>0</v>
      </c>
    </row>
    <row r="3184" spans="1:3" x14ac:dyDescent="0.25">
      <c r="A3184" s="2">
        <v>0</v>
      </c>
      <c r="B3184" s="38">
        <v>0</v>
      </c>
      <c r="C3184" s="79">
        <v>0</v>
      </c>
    </row>
    <row r="3185" spans="1:3" x14ac:dyDescent="0.25">
      <c r="A3185" s="2">
        <v>0</v>
      </c>
      <c r="B3185" s="38">
        <v>0</v>
      </c>
      <c r="C3185" s="79">
        <v>0</v>
      </c>
    </row>
    <row r="3186" spans="1:3" x14ac:dyDescent="0.25">
      <c r="A3186" s="2">
        <v>0</v>
      </c>
      <c r="B3186" s="38">
        <v>0</v>
      </c>
      <c r="C3186" s="79">
        <v>0</v>
      </c>
    </row>
    <row r="3187" spans="1:3" x14ac:dyDescent="0.25">
      <c r="A3187" s="2">
        <v>0</v>
      </c>
      <c r="B3187" s="38">
        <v>0</v>
      </c>
      <c r="C3187" s="79">
        <v>0</v>
      </c>
    </row>
    <row r="3188" spans="1:3" x14ac:dyDescent="0.25">
      <c r="A3188" s="2">
        <v>0</v>
      </c>
      <c r="B3188" s="38">
        <v>0</v>
      </c>
      <c r="C3188" s="79">
        <v>0</v>
      </c>
    </row>
    <row r="3189" spans="1:3" x14ac:dyDescent="0.25">
      <c r="A3189" s="2">
        <v>0</v>
      </c>
      <c r="B3189" s="38">
        <v>0</v>
      </c>
      <c r="C3189" s="79">
        <v>0</v>
      </c>
    </row>
    <row r="3190" spans="1:3" x14ac:dyDescent="0.25">
      <c r="A3190" s="2">
        <v>0</v>
      </c>
      <c r="B3190" s="38">
        <v>0</v>
      </c>
      <c r="C3190" s="79">
        <v>0</v>
      </c>
    </row>
    <row r="3191" spans="1:3" x14ac:dyDescent="0.25">
      <c r="A3191" s="2">
        <v>0</v>
      </c>
      <c r="B3191" s="38">
        <v>0</v>
      </c>
      <c r="C3191" s="79">
        <v>0</v>
      </c>
    </row>
    <row r="3192" spans="1:3" x14ac:dyDescent="0.25">
      <c r="A3192" s="2">
        <v>0</v>
      </c>
      <c r="B3192" s="38">
        <v>0</v>
      </c>
      <c r="C3192" s="79">
        <v>0</v>
      </c>
    </row>
    <row r="3193" spans="1:3" x14ac:dyDescent="0.25">
      <c r="A3193" s="2">
        <v>0</v>
      </c>
      <c r="B3193" s="38">
        <v>0</v>
      </c>
      <c r="C3193" s="79">
        <v>0</v>
      </c>
    </row>
    <row r="3194" spans="1:3" x14ac:dyDescent="0.25">
      <c r="A3194" s="2">
        <v>0</v>
      </c>
      <c r="B3194" s="38">
        <v>0</v>
      </c>
      <c r="C3194" s="79">
        <v>0</v>
      </c>
    </row>
    <row r="3195" spans="1:3" x14ac:dyDescent="0.25">
      <c r="A3195" s="2">
        <v>0</v>
      </c>
      <c r="B3195" s="38">
        <v>0</v>
      </c>
      <c r="C3195" s="79">
        <v>0</v>
      </c>
    </row>
    <row r="3196" spans="1:3" x14ac:dyDescent="0.25">
      <c r="A3196" s="2">
        <v>0</v>
      </c>
      <c r="B3196" s="38">
        <v>0</v>
      </c>
      <c r="C3196" s="79">
        <v>0</v>
      </c>
    </row>
    <row r="3197" spans="1:3" x14ac:dyDescent="0.25">
      <c r="A3197" s="2">
        <v>0</v>
      </c>
      <c r="B3197" s="38">
        <v>0</v>
      </c>
      <c r="C3197" s="79">
        <v>0</v>
      </c>
    </row>
    <row r="3198" spans="1:3" x14ac:dyDescent="0.25">
      <c r="A3198" s="2">
        <v>0</v>
      </c>
      <c r="B3198" s="38">
        <v>0</v>
      </c>
      <c r="C3198" s="79">
        <v>0</v>
      </c>
    </row>
    <row r="3199" spans="1:3" x14ac:dyDescent="0.25">
      <c r="A3199" s="2">
        <v>0</v>
      </c>
      <c r="B3199" s="38">
        <v>0</v>
      </c>
      <c r="C3199" s="79">
        <v>0</v>
      </c>
    </row>
    <row r="3200" spans="1:3" x14ac:dyDescent="0.25">
      <c r="A3200" s="2">
        <v>0</v>
      </c>
      <c r="B3200" s="38">
        <v>0</v>
      </c>
      <c r="C3200" s="79">
        <v>0</v>
      </c>
    </row>
    <row r="3201" spans="1:3" x14ac:dyDescent="0.25">
      <c r="A3201" s="2">
        <v>0</v>
      </c>
      <c r="B3201" s="38">
        <v>0</v>
      </c>
      <c r="C3201" s="79">
        <v>0</v>
      </c>
    </row>
    <row r="3202" spans="1:3" x14ac:dyDescent="0.25">
      <c r="A3202" s="2">
        <v>0</v>
      </c>
      <c r="B3202" s="38">
        <v>0</v>
      </c>
      <c r="C3202" s="79">
        <v>0</v>
      </c>
    </row>
    <row r="3203" spans="1:3" x14ac:dyDescent="0.25">
      <c r="A3203" s="2">
        <v>0</v>
      </c>
      <c r="B3203" s="38">
        <v>0</v>
      </c>
      <c r="C3203" s="79">
        <v>0</v>
      </c>
    </row>
    <row r="3204" spans="1:3" x14ac:dyDescent="0.25">
      <c r="A3204" s="2">
        <v>0</v>
      </c>
      <c r="B3204" s="38">
        <v>0</v>
      </c>
      <c r="C3204" s="79">
        <v>0</v>
      </c>
    </row>
    <row r="3205" spans="1:3" x14ac:dyDescent="0.25">
      <c r="A3205" s="2">
        <v>0</v>
      </c>
      <c r="B3205" s="38">
        <v>0</v>
      </c>
      <c r="C3205" s="79">
        <v>0</v>
      </c>
    </row>
    <row r="3206" spans="1:3" x14ac:dyDescent="0.25">
      <c r="A3206" s="2">
        <v>0</v>
      </c>
      <c r="B3206" s="38">
        <v>0</v>
      </c>
      <c r="C3206" s="79">
        <v>0</v>
      </c>
    </row>
    <row r="3207" spans="1:3" x14ac:dyDescent="0.25">
      <c r="A3207" s="2">
        <v>0</v>
      </c>
      <c r="B3207" s="38">
        <v>0</v>
      </c>
      <c r="C3207" s="79">
        <v>0</v>
      </c>
    </row>
    <row r="3208" spans="1:3" x14ac:dyDescent="0.25">
      <c r="A3208" s="2">
        <v>0</v>
      </c>
      <c r="B3208" s="38">
        <v>0</v>
      </c>
      <c r="C3208" s="79">
        <v>0</v>
      </c>
    </row>
    <row r="3209" spans="1:3" x14ac:dyDescent="0.25">
      <c r="A3209" s="2">
        <v>0</v>
      </c>
      <c r="B3209" s="38">
        <v>0</v>
      </c>
      <c r="C3209" s="79">
        <v>0</v>
      </c>
    </row>
    <row r="3210" spans="1:3" x14ac:dyDescent="0.25">
      <c r="A3210" s="2">
        <v>0</v>
      </c>
      <c r="B3210" s="38">
        <v>0</v>
      </c>
      <c r="C3210" s="79">
        <v>0</v>
      </c>
    </row>
    <row r="3211" spans="1:3" x14ac:dyDescent="0.25">
      <c r="A3211" s="2">
        <v>0</v>
      </c>
      <c r="B3211" s="38">
        <v>0</v>
      </c>
      <c r="C3211" s="79">
        <v>0</v>
      </c>
    </row>
    <row r="3212" spans="1:3" x14ac:dyDescent="0.25">
      <c r="A3212" s="2">
        <v>0</v>
      </c>
      <c r="B3212" s="38">
        <v>0</v>
      </c>
      <c r="C3212" s="79">
        <v>0</v>
      </c>
    </row>
    <row r="3213" spans="1:3" x14ac:dyDescent="0.25">
      <c r="A3213" s="2">
        <v>0</v>
      </c>
      <c r="B3213" s="38">
        <v>0</v>
      </c>
      <c r="C3213" s="79">
        <v>0</v>
      </c>
    </row>
    <row r="3214" spans="1:3" x14ac:dyDescent="0.25">
      <c r="A3214" s="2">
        <v>0</v>
      </c>
      <c r="B3214" s="38">
        <v>0</v>
      </c>
      <c r="C3214" s="79">
        <v>0</v>
      </c>
    </row>
    <row r="3215" spans="1:3" x14ac:dyDescent="0.25">
      <c r="A3215" s="2">
        <v>0</v>
      </c>
      <c r="B3215" s="38">
        <v>0</v>
      </c>
      <c r="C3215" s="79">
        <v>0</v>
      </c>
    </row>
    <row r="3216" spans="1:3" x14ac:dyDescent="0.25">
      <c r="A3216" s="2">
        <v>0</v>
      </c>
      <c r="B3216" s="38">
        <v>0</v>
      </c>
      <c r="C3216" s="79">
        <v>0</v>
      </c>
    </row>
    <row r="3217" spans="1:3" x14ac:dyDescent="0.25">
      <c r="A3217" s="2">
        <v>0</v>
      </c>
      <c r="B3217" s="38">
        <v>0</v>
      </c>
      <c r="C3217" s="79">
        <v>0</v>
      </c>
    </row>
    <row r="3218" spans="1:3" x14ac:dyDescent="0.25">
      <c r="A3218" s="2">
        <v>0</v>
      </c>
      <c r="B3218" s="38">
        <v>0</v>
      </c>
      <c r="C3218" s="79">
        <v>0</v>
      </c>
    </row>
    <row r="3219" spans="1:3" x14ac:dyDescent="0.25">
      <c r="A3219" s="2">
        <v>0</v>
      </c>
      <c r="B3219" s="38">
        <v>0</v>
      </c>
      <c r="C3219" s="79">
        <v>0</v>
      </c>
    </row>
    <row r="3220" spans="1:3" x14ac:dyDescent="0.25">
      <c r="A3220" s="2">
        <v>0</v>
      </c>
      <c r="B3220" s="38">
        <v>0</v>
      </c>
      <c r="C3220" s="79">
        <v>0</v>
      </c>
    </row>
    <row r="3221" spans="1:3" x14ac:dyDescent="0.25">
      <c r="A3221" s="2">
        <v>0</v>
      </c>
      <c r="B3221" s="38">
        <v>0</v>
      </c>
      <c r="C3221" s="79">
        <v>0</v>
      </c>
    </row>
    <row r="3222" spans="1:3" x14ac:dyDescent="0.25">
      <c r="A3222" s="2">
        <v>0</v>
      </c>
      <c r="B3222" s="38">
        <v>0</v>
      </c>
      <c r="C3222" s="79">
        <v>0</v>
      </c>
    </row>
    <row r="3223" spans="1:3" x14ac:dyDescent="0.25">
      <c r="A3223" s="2">
        <v>0</v>
      </c>
      <c r="B3223" s="38">
        <v>0</v>
      </c>
      <c r="C3223" s="79">
        <v>0</v>
      </c>
    </row>
    <row r="3224" spans="1:3" x14ac:dyDescent="0.25">
      <c r="A3224" s="2">
        <v>0</v>
      </c>
      <c r="B3224" s="38">
        <v>0</v>
      </c>
      <c r="C3224" s="79">
        <v>0</v>
      </c>
    </row>
    <row r="3225" spans="1:3" x14ac:dyDescent="0.25">
      <c r="A3225" s="2">
        <v>0</v>
      </c>
      <c r="B3225" s="38">
        <v>0</v>
      </c>
      <c r="C3225" s="79">
        <v>0</v>
      </c>
    </row>
    <row r="3226" spans="1:3" x14ac:dyDescent="0.25">
      <c r="A3226" s="2">
        <v>0</v>
      </c>
      <c r="B3226" s="38">
        <v>0</v>
      </c>
      <c r="C3226" s="79">
        <v>0</v>
      </c>
    </row>
    <row r="3227" spans="1:3" x14ac:dyDescent="0.25">
      <c r="A3227" s="2">
        <v>0</v>
      </c>
      <c r="B3227" s="38">
        <v>0</v>
      </c>
      <c r="C3227" s="79">
        <v>0</v>
      </c>
    </row>
    <row r="3228" spans="1:3" x14ac:dyDescent="0.25">
      <c r="A3228" s="2">
        <v>0</v>
      </c>
      <c r="B3228" s="38">
        <v>0</v>
      </c>
      <c r="C3228" s="79">
        <v>0</v>
      </c>
    </row>
    <row r="3229" spans="1:3" x14ac:dyDescent="0.25">
      <c r="A3229" s="2">
        <v>0</v>
      </c>
      <c r="B3229" s="38">
        <v>0</v>
      </c>
      <c r="C3229" s="79">
        <v>0</v>
      </c>
    </row>
    <row r="3230" spans="1:3" x14ac:dyDescent="0.25">
      <c r="A3230" s="2">
        <v>0</v>
      </c>
      <c r="B3230" s="38">
        <v>0</v>
      </c>
      <c r="C3230" s="79">
        <v>0</v>
      </c>
    </row>
    <row r="3231" spans="1:3" x14ac:dyDescent="0.25">
      <c r="A3231" s="2">
        <v>0</v>
      </c>
      <c r="B3231" s="38">
        <v>0</v>
      </c>
      <c r="C3231" s="79">
        <v>0</v>
      </c>
    </row>
    <row r="3232" spans="1:3" x14ac:dyDescent="0.25">
      <c r="A3232" s="2">
        <v>0</v>
      </c>
      <c r="B3232" s="38">
        <v>0</v>
      </c>
      <c r="C3232" s="79">
        <v>0</v>
      </c>
    </row>
    <row r="3233" spans="1:3" x14ac:dyDescent="0.25">
      <c r="A3233" s="2">
        <v>0</v>
      </c>
      <c r="B3233" s="38">
        <v>0</v>
      </c>
      <c r="C3233" s="79">
        <v>0</v>
      </c>
    </row>
    <row r="3234" spans="1:3" x14ac:dyDescent="0.25">
      <c r="A3234" s="2">
        <v>0</v>
      </c>
      <c r="B3234" s="38">
        <v>0</v>
      </c>
      <c r="C3234" s="79">
        <v>0</v>
      </c>
    </row>
    <row r="3235" spans="1:3" x14ac:dyDescent="0.25">
      <c r="A3235" s="2">
        <v>0</v>
      </c>
      <c r="B3235" s="38">
        <v>0</v>
      </c>
      <c r="C3235" s="79">
        <v>0</v>
      </c>
    </row>
    <row r="3236" spans="1:3" x14ac:dyDescent="0.25">
      <c r="A3236" s="2">
        <v>0</v>
      </c>
      <c r="B3236" s="38">
        <v>0</v>
      </c>
      <c r="C3236" s="79">
        <v>0</v>
      </c>
    </row>
    <row r="3237" spans="1:3" x14ac:dyDescent="0.25">
      <c r="A3237" s="2">
        <v>0</v>
      </c>
      <c r="B3237" s="38">
        <v>0</v>
      </c>
      <c r="C3237" s="79">
        <v>0</v>
      </c>
    </row>
    <row r="3238" spans="1:3" x14ac:dyDescent="0.25">
      <c r="A3238" s="2">
        <v>0</v>
      </c>
      <c r="B3238" s="38">
        <v>0</v>
      </c>
      <c r="C3238" s="79">
        <v>0</v>
      </c>
    </row>
    <row r="3239" spans="1:3" x14ac:dyDescent="0.25">
      <c r="A3239" s="2">
        <v>0</v>
      </c>
      <c r="B3239" s="38">
        <v>0</v>
      </c>
      <c r="C3239" s="79">
        <v>0</v>
      </c>
    </row>
    <row r="3240" spans="1:3" x14ac:dyDescent="0.25">
      <c r="A3240" s="2">
        <v>0</v>
      </c>
      <c r="B3240" s="38">
        <v>0</v>
      </c>
      <c r="C3240" s="79">
        <v>0</v>
      </c>
    </row>
    <row r="3241" spans="1:3" x14ac:dyDescent="0.25">
      <c r="A3241" s="2">
        <v>0</v>
      </c>
      <c r="B3241" s="38">
        <v>0</v>
      </c>
      <c r="C3241" s="79">
        <v>0</v>
      </c>
    </row>
    <row r="3242" spans="1:3" x14ac:dyDescent="0.25">
      <c r="A3242" s="2">
        <v>0</v>
      </c>
      <c r="B3242" s="38">
        <v>0</v>
      </c>
      <c r="C3242" s="79">
        <v>0</v>
      </c>
    </row>
    <row r="3243" spans="1:3" x14ac:dyDescent="0.25">
      <c r="A3243" s="2">
        <v>0</v>
      </c>
      <c r="B3243" s="38">
        <v>0</v>
      </c>
      <c r="C3243" s="79">
        <v>0</v>
      </c>
    </row>
    <row r="3244" spans="1:3" x14ac:dyDescent="0.25">
      <c r="A3244" s="2">
        <v>0</v>
      </c>
      <c r="B3244" s="38">
        <v>0</v>
      </c>
      <c r="C3244" s="79">
        <v>0</v>
      </c>
    </row>
    <row r="3245" spans="1:3" x14ac:dyDescent="0.25">
      <c r="A3245" s="2">
        <v>0</v>
      </c>
      <c r="B3245" s="38">
        <v>0</v>
      </c>
      <c r="C3245" s="79">
        <v>0</v>
      </c>
    </row>
    <row r="3246" spans="1:3" x14ac:dyDescent="0.25">
      <c r="A3246" s="2">
        <v>0</v>
      </c>
      <c r="B3246" s="38">
        <v>0</v>
      </c>
      <c r="C3246" s="79">
        <v>0</v>
      </c>
    </row>
    <row r="3247" spans="1:3" x14ac:dyDescent="0.25">
      <c r="A3247" s="2">
        <v>0</v>
      </c>
      <c r="B3247" s="38">
        <v>0</v>
      </c>
      <c r="C3247" s="79">
        <v>0</v>
      </c>
    </row>
    <row r="3248" spans="1:3" x14ac:dyDescent="0.25">
      <c r="A3248" s="2">
        <v>0</v>
      </c>
      <c r="B3248" s="38">
        <v>0</v>
      </c>
      <c r="C3248" s="79">
        <v>0</v>
      </c>
    </row>
    <row r="3249" spans="1:3" x14ac:dyDescent="0.25">
      <c r="A3249" s="2">
        <v>0</v>
      </c>
      <c r="B3249" s="38">
        <v>0</v>
      </c>
      <c r="C3249" s="79">
        <v>0</v>
      </c>
    </row>
    <row r="3250" spans="1:3" x14ac:dyDescent="0.25">
      <c r="A3250" s="2">
        <v>0</v>
      </c>
      <c r="B3250" s="38">
        <v>0</v>
      </c>
      <c r="C3250" s="79">
        <v>0</v>
      </c>
    </row>
    <row r="3251" spans="1:3" x14ac:dyDescent="0.25">
      <c r="A3251" s="2">
        <v>0</v>
      </c>
      <c r="B3251" s="38">
        <v>0</v>
      </c>
      <c r="C3251" s="79">
        <v>0</v>
      </c>
    </row>
    <row r="3252" spans="1:3" x14ac:dyDescent="0.25">
      <c r="A3252" s="2">
        <v>0</v>
      </c>
      <c r="B3252" s="38">
        <v>0</v>
      </c>
      <c r="C3252" s="79">
        <v>0</v>
      </c>
    </row>
    <row r="3253" spans="1:3" x14ac:dyDescent="0.25">
      <c r="A3253" s="2">
        <v>0</v>
      </c>
      <c r="B3253" s="38">
        <v>0</v>
      </c>
      <c r="C3253" s="79">
        <v>0</v>
      </c>
    </row>
    <row r="3254" spans="1:3" x14ac:dyDescent="0.25">
      <c r="A3254" s="2">
        <v>0</v>
      </c>
      <c r="B3254" s="38">
        <v>0</v>
      </c>
      <c r="C3254" s="79">
        <v>0</v>
      </c>
    </row>
    <row r="3255" spans="1:3" x14ac:dyDescent="0.25">
      <c r="A3255" s="2">
        <v>0</v>
      </c>
      <c r="B3255" s="38">
        <v>0</v>
      </c>
      <c r="C3255" s="79">
        <v>0</v>
      </c>
    </row>
    <row r="3256" spans="1:3" x14ac:dyDescent="0.25">
      <c r="A3256" s="2">
        <v>0</v>
      </c>
      <c r="B3256" s="38">
        <v>0</v>
      </c>
      <c r="C3256" s="79">
        <v>0</v>
      </c>
    </row>
    <row r="3257" spans="1:3" x14ac:dyDescent="0.25">
      <c r="A3257" s="2">
        <v>0</v>
      </c>
      <c r="B3257" s="38">
        <v>0</v>
      </c>
      <c r="C3257" s="79">
        <v>0</v>
      </c>
    </row>
    <row r="3258" spans="1:3" x14ac:dyDescent="0.25">
      <c r="A3258" s="2">
        <v>0</v>
      </c>
      <c r="B3258" s="38">
        <v>0</v>
      </c>
      <c r="C3258" s="79">
        <v>0</v>
      </c>
    </row>
    <row r="3259" spans="1:3" x14ac:dyDescent="0.25">
      <c r="A3259" s="2">
        <v>0</v>
      </c>
      <c r="B3259" s="38">
        <v>0</v>
      </c>
      <c r="C3259" s="79">
        <v>0</v>
      </c>
    </row>
    <row r="3260" spans="1:3" x14ac:dyDescent="0.25">
      <c r="A3260" s="2">
        <v>0</v>
      </c>
      <c r="B3260" s="38">
        <v>0</v>
      </c>
      <c r="C3260" s="79">
        <v>0</v>
      </c>
    </row>
    <row r="3261" spans="1:3" x14ac:dyDescent="0.25">
      <c r="A3261" s="2">
        <v>0</v>
      </c>
      <c r="B3261" s="38">
        <v>0</v>
      </c>
      <c r="C3261" s="79">
        <v>0</v>
      </c>
    </row>
    <row r="3262" spans="1:3" x14ac:dyDescent="0.25">
      <c r="A3262" s="2">
        <v>0</v>
      </c>
      <c r="B3262" s="38">
        <v>0</v>
      </c>
      <c r="C3262" s="79">
        <v>0</v>
      </c>
    </row>
    <row r="3263" spans="1:3" x14ac:dyDescent="0.25">
      <c r="A3263" s="2">
        <v>0</v>
      </c>
      <c r="B3263" s="38">
        <v>0</v>
      </c>
      <c r="C3263" s="79">
        <v>0</v>
      </c>
    </row>
    <row r="3264" spans="1:3" x14ac:dyDescent="0.25">
      <c r="A3264" s="2">
        <v>0</v>
      </c>
      <c r="B3264" s="38">
        <v>0</v>
      </c>
      <c r="C3264" s="79">
        <v>0</v>
      </c>
    </row>
    <row r="3265" spans="1:3" x14ac:dyDescent="0.25">
      <c r="A3265" s="2">
        <v>0</v>
      </c>
      <c r="B3265" s="38">
        <v>0</v>
      </c>
      <c r="C3265" s="79">
        <v>0</v>
      </c>
    </row>
    <row r="3266" spans="1:3" x14ac:dyDescent="0.25">
      <c r="A3266" s="2">
        <v>0</v>
      </c>
      <c r="B3266" s="38">
        <v>0</v>
      </c>
      <c r="C3266" s="79">
        <v>0</v>
      </c>
    </row>
    <row r="3267" spans="1:3" x14ac:dyDescent="0.25">
      <c r="A3267" s="2">
        <v>0</v>
      </c>
      <c r="B3267" s="38">
        <v>0</v>
      </c>
      <c r="C3267" s="79">
        <v>0</v>
      </c>
    </row>
    <row r="3268" spans="1:3" x14ac:dyDescent="0.25">
      <c r="A3268" s="2">
        <v>0</v>
      </c>
      <c r="B3268" s="38">
        <v>0</v>
      </c>
      <c r="C3268" s="79">
        <v>0</v>
      </c>
    </row>
    <row r="3269" spans="1:3" x14ac:dyDescent="0.25">
      <c r="A3269" s="2">
        <v>0</v>
      </c>
      <c r="B3269" s="38">
        <v>0</v>
      </c>
      <c r="C3269" s="79">
        <v>0</v>
      </c>
    </row>
    <row r="3270" spans="1:3" x14ac:dyDescent="0.25">
      <c r="A3270" s="2">
        <v>0</v>
      </c>
      <c r="B3270" s="38">
        <v>0</v>
      </c>
      <c r="C3270" s="79">
        <v>0</v>
      </c>
    </row>
    <row r="3271" spans="1:3" x14ac:dyDescent="0.25">
      <c r="A3271" s="2">
        <v>0</v>
      </c>
      <c r="B3271" s="38">
        <v>0</v>
      </c>
      <c r="C3271" s="79">
        <v>0</v>
      </c>
    </row>
    <row r="3272" spans="1:3" x14ac:dyDescent="0.25">
      <c r="A3272" s="2">
        <v>0</v>
      </c>
      <c r="B3272" s="38">
        <v>0</v>
      </c>
      <c r="C3272" s="79">
        <v>0</v>
      </c>
    </row>
    <row r="3273" spans="1:3" x14ac:dyDescent="0.25">
      <c r="A3273" s="2">
        <v>0</v>
      </c>
      <c r="B3273" s="38">
        <v>0</v>
      </c>
      <c r="C3273" s="79">
        <v>0</v>
      </c>
    </row>
    <row r="3274" spans="1:3" x14ac:dyDescent="0.25">
      <c r="A3274" s="2">
        <v>0</v>
      </c>
      <c r="B3274" s="38">
        <v>0</v>
      </c>
      <c r="C3274" s="79">
        <v>0</v>
      </c>
    </row>
    <row r="3275" spans="1:3" x14ac:dyDescent="0.25">
      <c r="A3275" s="2">
        <v>0</v>
      </c>
      <c r="B3275" s="38">
        <v>0</v>
      </c>
      <c r="C3275" s="79">
        <v>0</v>
      </c>
    </row>
    <row r="3276" spans="1:3" x14ac:dyDescent="0.25">
      <c r="A3276" s="2">
        <v>0</v>
      </c>
      <c r="B3276" s="38">
        <v>0</v>
      </c>
      <c r="C3276" s="79">
        <v>0</v>
      </c>
    </row>
    <row r="3277" spans="1:3" x14ac:dyDescent="0.25">
      <c r="A3277" s="2">
        <v>0</v>
      </c>
      <c r="B3277" s="38">
        <v>0</v>
      </c>
      <c r="C3277" s="79">
        <v>0</v>
      </c>
    </row>
    <row r="3278" spans="1:3" x14ac:dyDescent="0.25">
      <c r="A3278" s="2">
        <v>0</v>
      </c>
      <c r="B3278" s="38">
        <v>0</v>
      </c>
      <c r="C3278" s="79">
        <v>0</v>
      </c>
    </row>
    <row r="3279" spans="1:3" x14ac:dyDescent="0.25">
      <c r="A3279" s="2">
        <v>0</v>
      </c>
      <c r="B3279" s="38">
        <v>0</v>
      </c>
      <c r="C3279" s="79">
        <v>0</v>
      </c>
    </row>
    <row r="3280" spans="1:3" x14ac:dyDescent="0.25">
      <c r="A3280" s="2">
        <v>0</v>
      </c>
      <c r="B3280" s="38">
        <v>0</v>
      </c>
      <c r="C3280" s="79">
        <v>0</v>
      </c>
    </row>
    <row r="3281" spans="1:3" x14ac:dyDescent="0.25">
      <c r="A3281" s="2">
        <v>0</v>
      </c>
      <c r="B3281" s="38">
        <v>0</v>
      </c>
      <c r="C3281" s="79">
        <v>0</v>
      </c>
    </row>
    <row r="3282" spans="1:3" x14ac:dyDescent="0.25">
      <c r="A3282" s="2">
        <v>0</v>
      </c>
      <c r="B3282" s="38">
        <v>0</v>
      </c>
      <c r="C3282" s="79">
        <v>0</v>
      </c>
    </row>
    <row r="3283" spans="1:3" x14ac:dyDescent="0.25">
      <c r="A3283" s="2">
        <v>0</v>
      </c>
      <c r="B3283" s="38">
        <v>0</v>
      </c>
      <c r="C3283" s="79">
        <v>0</v>
      </c>
    </row>
    <row r="3284" spans="1:3" x14ac:dyDescent="0.25">
      <c r="A3284" s="2">
        <v>0</v>
      </c>
      <c r="B3284" s="38">
        <v>0</v>
      </c>
      <c r="C3284" s="79">
        <v>0</v>
      </c>
    </row>
    <row r="3285" spans="1:3" x14ac:dyDescent="0.25">
      <c r="A3285" s="2">
        <v>0</v>
      </c>
      <c r="B3285" s="38">
        <v>0</v>
      </c>
      <c r="C3285" s="79">
        <v>0</v>
      </c>
    </row>
    <row r="3286" spans="1:3" x14ac:dyDescent="0.25">
      <c r="A3286" s="2">
        <v>0</v>
      </c>
      <c r="B3286" s="38">
        <v>0</v>
      </c>
      <c r="C3286" s="79">
        <v>0</v>
      </c>
    </row>
    <row r="3287" spans="1:3" x14ac:dyDescent="0.25">
      <c r="A3287" s="2">
        <v>0</v>
      </c>
      <c r="B3287" s="38">
        <v>0</v>
      </c>
      <c r="C3287" s="79">
        <v>0</v>
      </c>
    </row>
    <row r="3288" spans="1:3" x14ac:dyDescent="0.25">
      <c r="A3288" s="2">
        <v>0</v>
      </c>
      <c r="B3288" s="38">
        <v>0</v>
      </c>
      <c r="C3288" s="79">
        <v>0</v>
      </c>
    </row>
    <row r="3289" spans="1:3" x14ac:dyDescent="0.25">
      <c r="A3289" s="2">
        <v>0</v>
      </c>
      <c r="B3289" s="38">
        <v>0</v>
      </c>
      <c r="C3289" s="79">
        <v>0</v>
      </c>
    </row>
    <row r="3290" spans="1:3" x14ac:dyDescent="0.25">
      <c r="A3290" s="2">
        <v>0</v>
      </c>
      <c r="B3290" s="38">
        <v>0</v>
      </c>
      <c r="C3290" s="79">
        <v>0</v>
      </c>
    </row>
    <row r="3291" spans="1:3" x14ac:dyDescent="0.25">
      <c r="A3291" s="2">
        <v>0</v>
      </c>
      <c r="B3291" s="38">
        <v>0</v>
      </c>
      <c r="C3291" s="79">
        <v>0</v>
      </c>
    </row>
    <row r="3292" spans="1:3" x14ac:dyDescent="0.25">
      <c r="A3292" s="2">
        <v>0</v>
      </c>
      <c r="B3292" s="38">
        <v>0</v>
      </c>
      <c r="C3292" s="79">
        <v>0</v>
      </c>
    </row>
    <row r="3293" spans="1:3" x14ac:dyDescent="0.25">
      <c r="A3293" s="2">
        <v>0</v>
      </c>
      <c r="B3293" s="38">
        <v>0</v>
      </c>
      <c r="C3293" s="79">
        <v>0</v>
      </c>
    </row>
    <row r="3294" spans="1:3" x14ac:dyDescent="0.25">
      <c r="A3294" s="2">
        <v>0</v>
      </c>
      <c r="B3294" s="38">
        <v>0</v>
      </c>
      <c r="C3294" s="79">
        <v>0</v>
      </c>
    </row>
    <row r="3295" spans="1:3" x14ac:dyDescent="0.25">
      <c r="A3295" s="2">
        <v>0</v>
      </c>
      <c r="B3295" s="38">
        <v>0</v>
      </c>
      <c r="C3295" s="79">
        <v>0</v>
      </c>
    </row>
    <row r="3296" spans="1:3" x14ac:dyDescent="0.25">
      <c r="A3296" s="2">
        <v>0</v>
      </c>
      <c r="B3296" s="38">
        <v>0</v>
      </c>
      <c r="C3296" s="79">
        <v>0</v>
      </c>
    </row>
    <row r="3297" spans="1:3" x14ac:dyDescent="0.25">
      <c r="A3297" s="2">
        <v>0</v>
      </c>
      <c r="B3297" s="38">
        <v>0</v>
      </c>
      <c r="C3297" s="79">
        <v>0</v>
      </c>
    </row>
    <row r="3298" spans="1:3" x14ac:dyDescent="0.25">
      <c r="A3298" s="2">
        <v>0</v>
      </c>
      <c r="B3298" s="38">
        <v>0</v>
      </c>
      <c r="C3298" s="79">
        <v>0</v>
      </c>
    </row>
    <row r="3299" spans="1:3" x14ac:dyDescent="0.25">
      <c r="A3299" s="2">
        <v>0</v>
      </c>
      <c r="B3299" s="38">
        <v>0</v>
      </c>
      <c r="C3299" s="79">
        <v>0</v>
      </c>
    </row>
    <row r="3300" spans="1:3" x14ac:dyDescent="0.25">
      <c r="A3300" s="2">
        <v>0</v>
      </c>
      <c r="B3300" s="38">
        <v>0</v>
      </c>
      <c r="C3300" s="79">
        <v>0</v>
      </c>
    </row>
    <row r="3301" spans="1:3" x14ac:dyDescent="0.25">
      <c r="A3301" s="2">
        <v>0</v>
      </c>
      <c r="B3301" s="38">
        <v>0</v>
      </c>
      <c r="C3301" s="79">
        <v>0</v>
      </c>
    </row>
    <row r="3302" spans="1:3" x14ac:dyDescent="0.25">
      <c r="A3302" s="2">
        <v>0</v>
      </c>
      <c r="B3302" s="38">
        <v>0</v>
      </c>
      <c r="C3302" s="79">
        <v>0</v>
      </c>
    </row>
    <row r="3303" spans="1:3" x14ac:dyDescent="0.25">
      <c r="A3303" s="2">
        <v>0</v>
      </c>
      <c r="B3303" s="38">
        <v>0</v>
      </c>
      <c r="C3303" s="79">
        <v>0</v>
      </c>
    </row>
    <row r="3304" spans="1:3" x14ac:dyDescent="0.25">
      <c r="A3304" s="2">
        <v>0</v>
      </c>
      <c r="B3304" s="38">
        <v>0</v>
      </c>
      <c r="C3304" s="79">
        <v>0</v>
      </c>
    </row>
    <row r="3305" spans="1:3" x14ac:dyDescent="0.25">
      <c r="A3305" s="2">
        <v>0</v>
      </c>
      <c r="B3305" s="38">
        <v>0</v>
      </c>
      <c r="C3305" s="79">
        <v>0</v>
      </c>
    </row>
    <row r="3306" spans="1:3" x14ac:dyDescent="0.25">
      <c r="A3306" s="2">
        <v>0</v>
      </c>
      <c r="B3306" s="38">
        <v>0</v>
      </c>
      <c r="C3306" s="79">
        <v>0</v>
      </c>
    </row>
    <row r="3307" spans="1:3" x14ac:dyDescent="0.25">
      <c r="A3307" s="2">
        <v>0</v>
      </c>
      <c r="B3307" s="38">
        <v>0</v>
      </c>
      <c r="C3307" s="79">
        <v>0</v>
      </c>
    </row>
    <row r="3308" spans="1:3" x14ac:dyDescent="0.25">
      <c r="A3308" s="2">
        <v>0</v>
      </c>
      <c r="B3308" s="38">
        <v>0</v>
      </c>
      <c r="C3308" s="79">
        <v>0</v>
      </c>
    </row>
    <row r="3309" spans="1:3" x14ac:dyDescent="0.25">
      <c r="A3309" s="2">
        <v>0</v>
      </c>
      <c r="B3309" s="38">
        <v>0</v>
      </c>
      <c r="C3309" s="79">
        <v>0</v>
      </c>
    </row>
    <row r="3310" spans="1:3" x14ac:dyDescent="0.25">
      <c r="A3310" s="2">
        <v>0</v>
      </c>
      <c r="B3310" s="38">
        <v>0</v>
      </c>
      <c r="C3310" s="79">
        <v>0</v>
      </c>
    </row>
    <row r="3311" spans="1:3" x14ac:dyDescent="0.25">
      <c r="A3311" s="2">
        <v>0</v>
      </c>
      <c r="B3311" s="38">
        <v>0</v>
      </c>
      <c r="C3311" s="79">
        <v>0</v>
      </c>
    </row>
    <row r="3312" spans="1:3" x14ac:dyDescent="0.25">
      <c r="A3312" s="2">
        <v>0</v>
      </c>
      <c r="B3312" s="38">
        <v>0</v>
      </c>
      <c r="C3312" s="79">
        <v>0</v>
      </c>
    </row>
    <row r="3313" spans="1:3" x14ac:dyDescent="0.25">
      <c r="A3313" s="2">
        <v>0</v>
      </c>
      <c r="B3313" s="38">
        <v>0</v>
      </c>
      <c r="C3313" s="79">
        <v>0</v>
      </c>
    </row>
    <row r="3314" spans="1:3" x14ac:dyDescent="0.25">
      <c r="A3314" s="2">
        <v>0</v>
      </c>
      <c r="B3314" s="38">
        <v>0</v>
      </c>
      <c r="C3314" s="79">
        <v>0</v>
      </c>
    </row>
    <row r="3315" spans="1:3" x14ac:dyDescent="0.25">
      <c r="A3315" s="2">
        <v>0</v>
      </c>
      <c r="B3315" s="38">
        <v>0</v>
      </c>
      <c r="C3315" s="79">
        <v>0</v>
      </c>
    </row>
    <row r="3316" spans="1:3" x14ac:dyDescent="0.25">
      <c r="A3316" s="2">
        <v>0</v>
      </c>
      <c r="B3316" s="38">
        <v>0</v>
      </c>
      <c r="C3316" s="79">
        <v>0</v>
      </c>
    </row>
    <row r="3317" spans="1:3" x14ac:dyDescent="0.25">
      <c r="A3317" s="2">
        <v>0</v>
      </c>
      <c r="B3317" s="38">
        <v>0</v>
      </c>
      <c r="C3317" s="79">
        <v>0</v>
      </c>
    </row>
    <row r="3318" spans="1:3" x14ac:dyDescent="0.25">
      <c r="A3318" s="2">
        <v>0</v>
      </c>
      <c r="B3318" s="38">
        <v>0</v>
      </c>
      <c r="C3318" s="79">
        <v>0</v>
      </c>
    </row>
    <row r="3319" spans="1:3" x14ac:dyDescent="0.25">
      <c r="A3319" s="2">
        <v>0</v>
      </c>
      <c r="B3319" s="38">
        <v>0</v>
      </c>
      <c r="C3319" s="79">
        <v>0</v>
      </c>
    </row>
    <row r="3320" spans="1:3" x14ac:dyDescent="0.25">
      <c r="A3320" s="2">
        <v>0</v>
      </c>
      <c r="B3320" s="38">
        <v>0</v>
      </c>
      <c r="C3320" s="79">
        <v>0</v>
      </c>
    </row>
    <row r="3321" spans="1:3" x14ac:dyDescent="0.25">
      <c r="A3321" s="2">
        <v>0</v>
      </c>
      <c r="B3321" s="38">
        <v>0</v>
      </c>
      <c r="C3321" s="79">
        <v>0</v>
      </c>
    </row>
    <row r="3322" spans="1:3" x14ac:dyDescent="0.25">
      <c r="A3322" s="2">
        <v>0</v>
      </c>
      <c r="B3322" s="38">
        <v>0</v>
      </c>
      <c r="C3322" s="79">
        <v>0</v>
      </c>
    </row>
    <row r="3323" spans="1:3" x14ac:dyDescent="0.25">
      <c r="A3323" s="2">
        <v>0</v>
      </c>
      <c r="B3323" s="38">
        <v>0</v>
      </c>
      <c r="C3323" s="79">
        <v>0</v>
      </c>
    </row>
    <row r="3324" spans="1:3" x14ac:dyDescent="0.25">
      <c r="A3324" s="2">
        <v>0</v>
      </c>
      <c r="B3324" s="38">
        <v>0</v>
      </c>
      <c r="C3324" s="79">
        <v>0</v>
      </c>
    </row>
    <row r="3325" spans="1:3" x14ac:dyDescent="0.25">
      <c r="A3325" s="2">
        <v>0</v>
      </c>
      <c r="B3325" s="38">
        <v>0</v>
      </c>
      <c r="C3325" s="79">
        <v>0</v>
      </c>
    </row>
    <row r="3326" spans="1:3" x14ac:dyDescent="0.25">
      <c r="A3326" s="2">
        <v>0</v>
      </c>
      <c r="B3326" s="38">
        <v>0</v>
      </c>
      <c r="C3326" s="79">
        <v>0</v>
      </c>
    </row>
    <row r="3327" spans="1:3" x14ac:dyDescent="0.25">
      <c r="A3327" s="2">
        <v>0</v>
      </c>
      <c r="B3327" s="38">
        <v>0</v>
      </c>
      <c r="C3327" s="79">
        <v>0</v>
      </c>
    </row>
    <row r="3328" spans="1:3" x14ac:dyDescent="0.25">
      <c r="A3328" s="2">
        <v>0</v>
      </c>
      <c r="B3328" s="38">
        <v>0</v>
      </c>
      <c r="C3328" s="79">
        <v>0</v>
      </c>
    </row>
    <row r="3329" spans="1:3" x14ac:dyDescent="0.25">
      <c r="A3329" s="2">
        <v>0</v>
      </c>
      <c r="B3329" s="38">
        <v>0</v>
      </c>
      <c r="C3329" s="79">
        <v>0</v>
      </c>
    </row>
    <row r="3330" spans="1:3" x14ac:dyDescent="0.25">
      <c r="A3330" s="2">
        <v>0</v>
      </c>
      <c r="B3330" s="38">
        <v>0</v>
      </c>
      <c r="C3330" s="79">
        <v>0</v>
      </c>
    </row>
    <row r="3331" spans="1:3" x14ac:dyDescent="0.25">
      <c r="A3331" s="2">
        <v>0</v>
      </c>
      <c r="B3331" s="38">
        <v>0</v>
      </c>
      <c r="C3331" s="79">
        <v>0</v>
      </c>
    </row>
    <row r="3332" spans="1:3" x14ac:dyDescent="0.25">
      <c r="A3332" s="2">
        <v>0</v>
      </c>
      <c r="B3332" s="38">
        <v>0</v>
      </c>
      <c r="C3332" s="79">
        <v>0</v>
      </c>
    </row>
    <row r="3333" spans="1:3" x14ac:dyDescent="0.25">
      <c r="A3333" s="2">
        <v>0</v>
      </c>
      <c r="B3333" s="38">
        <v>0</v>
      </c>
      <c r="C3333" s="79">
        <v>0</v>
      </c>
    </row>
    <row r="3334" spans="1:3" x14ac:dyDescent="0.25">
      <c r="A3334" s="2">
        <v>0</v>
      </c>
      <c r="B3334" s="38">
        <v>0</v>
      </c>
      <c r="C3334" s="79">
        <v>0</v>
      </c>
    </row>
    <row r="3335" spans="1:3" x14ac:dyDescent="0.25">
      <c r="A3335" s="2">
        <v>0</v>
      </c>
      <c r="B3335" s="38">
        <v>0</v>
      </c>
      <c r="C3335" s="79">
        <v>0</v>
      </c>
    </row>
    <row r="3336" spans="1:3" x14ac:dyDescent="0.25">
      <c r="A3336" s="2">
        <v>0</v>
      </c>
      <c r="B3336" s="38">
        <v>0</v>
      </c>
      <c r="C3336" s="79">
        <v>0</v>
      </c>
    </row>
    <row r="3337" spans="1:3" x14ac:dyDescent="0.25">
      <c r="A3337" s="2">
        <v>0</v>
      </c>
      <c r="B3337" s="38">
        <v>0</v>
      </c>
      <c r="C3337" s="79">
        <v>0</v>
      </c>
    </row>
    <row r="3338" spans="1:3" x14ac:dyDescent="0.25">
      <c r="A3338" s="2">
        <v>0</v>
      </c>
      <c r="B3338" s="38">
        <v>0</v>
      </c>
      <c r="C3338" s="79">
        <v>0</v>
      </c>
    </row>
    <row r="3339" spans="1:3" x14ac:dyDescent="0.25">
      <c r="A3339" s="2">
        <v>0</v>
      </c>
      <c r="B3339" s="38">
        <v>0</v>
      </c>
      <c r="C3339" s="79">
        <v>0</v>
      </c>
    </row>
    <row r="3340" spans="1:3" x14ac:dyDescent="0.25">
      <c r="A3340" s="2">
        <v>0</v>
      </c>
      <c r="B3340" s="38">
        <v>0</v>
      </c>
      <c r="C3340" s="79">
        <v>0</v>
      </c>
    </row>
    <row r="3341" spans="1:3" x14ac:dyDescent="0.25">
      <c r="A3341" s="2">
        <v>0</v>
      </c>
      <c r="B3341" s="38">
        <v>0</v>
      </c>
      <c r="C3341" s="79">
        <v>0</v>
      </c>
    </row>
    <row r="3342" spans="1:3" x14ac:dyDescent="0.25">
      <c r="A3342" s="2">
        <v>0</v>
      </c>
      <c r="B3342" s="38">
        <v>0</v>
      </c>
      <c r="C3342" s="79">
        <v>0</v>
      </c>
    </row>
    <row r="3343" spans="1:3" x14ac:dyDescent="0.25">
      <c r="A3343" s="2">
        <v>0</v>
      </c>
      <c r="B3343" s="38">
        <v>0</v>
      </c>
      <c r="C3343" s="79">
        <v>0</v>
      </c>
    </row>
    <row r="3344" spans="1:3" x14ac:dyDescent="0.25">
      <c r="A3344" s="2">
        <v>0</v>
      </c>
      <c r="B3344" s="38">
        <v>0</v>
      </c>
      <c r="C3344" s="79">
        <v>0</v>
      </c>
    </row>
    <row r="3345" spans="1:3" x14ac:dyDescent="0.25">
      <c r="A3345" s="2">
        <v>0</v>
      </c>
      <c r="B3345" s="38">
        <v>0</v>
      </c>
      <c r="C3345" s="79">
        <v>0</v>
      </c>
    </row>
    <row r="3346" spans="1:3" x14ac:dyDescent="0.25">
      <c r="A3346" s="2">
        <v>0</v>
      </c>
      <c r="B3346" s="38">
        <v>0</v>
      </c>
      <c r="C3346" s="79">
        <v>0</v>
      </c>
    </row>
    <row r="3347" spans="1:3" x14ac:dyDescent="0.25">
      <c r="A3347" s="2">
        <v>0</v>
      </c>
      <c r="B3347" s="38">
        <v>0</v>
      </c>
      <c r="C3347" s="79">
        <v>0</v>
      </c>
    </row>
    <row r="3348" spans="1:3" x14ac:dyDescent="0.25">
      <c r="A3348" s="2">
        <v>0</v>
      </c>
      <c r="B3348" s="38">
        <v>0</v>
      </c>
      <c r="C3348" s="79">
        <v>0</v>
      </c>
    </row>
    <row r="3349" spans="1:3" x14ac:dyDescent="0.25">
      <c r="A3349" s="2">
        <v>0</v>
      </c>
      <c r="B3349" s="38">
        <v>0</v>
      </c>
      <c r="C3349" s="79">
        <v>0</v>
      </c>
    </row>
    <row r="3350" spans="1:3" x14ac:dyDescent="0.25">
      <c r="A3350" s="2">
        <v>0</v>
      </c>
      <c r="B3350" s="38">
        <v>0</v>
      </c>
      <c r="C3350" s="79">
        <v>0</v>
      </c>
    </row>
    <row r="3351" spans="1:3" x14ac:dyDescent="0.25">
      <c r="A3351" s="2">
        <v>0</v>
      </c>
      <c r="B3351" s="38">
        <v>0</v>
      </c>
      <c r="C3351" s="79">
        <v>0</v>
      </c>
    </row>
    <row r="3352" spans="1:3" x14ac:dyDescent="0.25">
      <c r="A3352" s="2">
        <v>0</v>
      </c>
      <c r="B3352" s="38">
        <v>0</v>
      </c>
      <c r="C3352" s="79">
        <v>0</v>
      </c>
    </row>
    <row r="3353" spans="1:3" x14ac:dyDescent="0.25">
      <c r="A3353" s="2">
        <v>0</v>
      </c>
      <c r="B3353" s="38">
        <v>0</v>
      </c>
      <c r="C3353" s="79">
        <v>0</v>
      </c>
    </row>
    <row r="3354" spans="1:3" x14ac:dyDescent="0.25">
      <c r="A3354" s="2">
        <v>0</v>
      </c>
      <c r="B3354" s="38">
        <v>0</v>
      </c>
      <c r="C3354" s="79">
        <v>0</v>
      </c>
    </row>
    <row r="3355" spans="1:3" x14ac:dyDescent="0.25">
      <c r="A3355" s="2">
        <v>0</v>
      </c>
      <c r="B3355" s="38">
        <v>0</v>
      </c>
      <c r="C3355" s="79">
        <v>0</v>
      </c>
    </row>
    <row r="3356" spans="1:3" x14ac:dyDescent="0.25">
      <c r="A3356" s="2">
        <v>0</v>
      </c>
      <c r="B3356" s="38">
        <v>0</v>
      </c>
      <c r="C3356" s="79">
        <v>0</v>
      </c>
    </row>
    <row r="3357" spans="1:3" x14ac:dyDescent="0.25">
      <c r="A3357" s="2">
        <v>0</v>
      </c>
      <c r="B3357" s="38">
        <v>0</v>
      </c>
      <c r="C3357" s="79">
        <v>0</v>
      </c>
    </row>
    <row r="3358" spans="1:3" x14ac:dyDescent="0.25">
      <c r="A3358" s="2">
        <v>0</v>
      </c>
      <c r="B3358" s="38">
        <v>0</v>
      </c>
      <c r="C3358" s="79">
        <v>0</v>
      </c>
    </row>
    <row r="3359" spans="1:3" x14ac:dyDescent="0.25">
      <c r="A3359" s="2">
        <v>0</v>
      </c>
      <c r="B3359" s="38">
        <v>0</v>
      </c>
      <c r="C3359" s="79">
        <v>0</v>
      </c>
    </row>
    <row r="3360" spans="1:3" x14ac:dyDescent="0.25">
      <c r="A3360" s="2">
        <v>0</v>
      </c>
      <c r="B3360" s="38">
        <v>0</v>
      </c>
      <c r="C3360" s="79">
        <v>0</v>
      </c>
    </row>
    <row r="3361" spans="1:3" x14ac:dyDescent="0.25">
      <c r="A3361" s="2">
        <v>0</v>
      </c>
      <c r="B3361" s="38">
        <v>0</v>
      </c>
      <c r="C3361" s="79">
        <v>0</v>
      </c>
    </row>
    <row r="3362" spans="1:3" x14ac:dyDescent="0.25">
      <c r="A3362" s="2">
        <v>0</v>
      </c>
      <c r="B3362" s="38">
        <v>0</v>
      </c>
      <c r="C3362" s="79">
        <v>0</v>
      </c>
    </row>
    <row r="3363" spans="1:3" x14ac:dyDescent="0.25">
      <c r="A3363" s="2">
        <v>0</v>
      </c>
      <c r="B3363" s="38">
        <v>0</v>
      </c>
      <c r="C3363" s="79">
        <v>0</v>
      </c>
    </row>
    <row r="3364" spans="1:3" x14ac:dyDescent="0.25">
      <c r="A3364" s="2">
        <v>0</v>
      </c>
      <c r="B3364" s="38">
        <v>0</v>
      </c>
      <c r="C3364" s="79">
        <v>0</v>
      </c>
    </row>
    <row r="3365" spans="1:3" x14ac:dyDescent="0.25">
      <c r="A3365" s="2">
        <v>0</v>
      </c>
      <c r="B3365" s="38">
        <v>0</v>
      </c>
      <c r="C3365" s="79">
        <v>0</v>
      </c>
    </row>
    <row r="3366" spans="1:3" x14ac:dyDescent="0.25">
      <c r="A3366" s="2">
        <v>0</v>
      </c>
      <c r="B3366" s="38">
        <v>0</v>
      </c>
      <c r="C3366" s="79">
        <v>0</v>
      </c>
    </row>
    <row r="3367" spans="1:3" x14ac:dyDescent="0.25">
      <c r="A3367" s="2">
        <v>0</v>
      </c>
      <c r="B3367" s="38">
        <v>0</v>
      </c>
      <c r="C3367" s="79">
        <v>0</v>
      </c>
    </row>
    <row r="3368" spans="1:3" x14ac:dyDescent="0.25">
      <c r="A3368" s="2">
        <v>0</v>
      </c>
      <c r="B3368" s="38">
        <v>0</v>
      </c>
      <c r="C3368" s="79">
        <v>0</v>
      </c>
    </row>
    <row r="3369" spans="1:3" x14ac:dyDescent="0.25">
      <c r="A3369" s="2">
        <v>0</v>
      </c>
      <c r="B3369" s="38">
        <v>0</v>
      </c>
      <c r="C3369" s="79">
        <v>0</v>
      </c>
    </row>
    <row r="3370" spans="1:3" x14ac:dyDescent="0.25">
      <c r="A3370" s="2">
        <v>0</v>
      </c>
      <c r="B3370" s="38">
        <v>0</v>
      </c>
      <c r="C3370" s="79">
        <v>0</v>
      </c>
    </row>
    <row r="3371" spans="1:3" x14ac:dyDescent="0.25">
      <c r="A3371" s="2">
        <v>0</v>
      </c>
      <c r="B3371" s="38">
        <v>0</v>
      </c>
      <c r="C3371" s="79">
        <v>0</v>
      </c>
    </row>
    <row r="3372" spans="1:3" x14ac:dyDescent="0.25">
      <c r="A3372" s="2">
        <v>0</v>
      </c>
      <c r="B3372" s="38">
        <v>0</v>
      </c>
      <c r="C3372" s="79">
        <v>0</v>
      </c>
    </row>
    <row r="3373" spans="1:3" x14ac:dyDescent="0.25">
      <c r="A3373" s="2">
        <v>0</v>
      </c>
      <c r="B3373" s="38">
        <v>0</v>
      </c>
      <c r="C3373" s="79">
        <v>0</v>
      </c>
    </row>
    <row r="3374" spans="1:3" x14ac:dyDescent="0.25">
      <c r="A3374" s="2">
        <v>0</v>
      </c>
      <c r="B3374" s="38">
        <v>0</v>
      </c>
      <c r="C3374" s="79">
        <v>0</v>
      </c>
    </row>
    <row r="3375" spans="1:3" x14ac:dyDescent="0.25">
      <c r="A3375" s="2">
        <v>0</v>
      </c>
      <c r="B3375" s="38">
        <v>0</v>
      </c>
      <c r="C3375" s="79">
        <v>0</v>
      </c>
    </row>
    <row r="3376" spans="1:3" x14ac:dyDescent="0.25">
      <c r="A3376" s="2">
        <v>0</v>
      </c>
      <c r="B3376" s="38">
        <v>0</v>
      </c>
      <c r="C3376" s="79">
        <v>0</v>
      </c>
    </row>
    <row r="3377" spans="1:3" x14ac:dyDescent="0.25">
      <c r="A3377" s="2">
        <v>0</v>
      </c>
      <c r="B3377" s="38">
        <v>0</v>
      </c>
      <c r="C3377" s="79">
        <v>0</v>
      </c>
    </row>
    <row r="3378" spans="1:3" x14ac:dyDescent="0.25">
      <c r="A3378" s="2">
        <v>0</v>
      </c>
      <c r="B3378" s="38">
        <v>0</v>
      </c>
      <c r="C3378" s="79">
        <v>0</v>
      </c>
    </row>
    <row r="3379" spans="1:3" x14ac:dyDescent="0.25">
      <c r="A3379" s="2">
        <v>0</v>
      </c>
      <c r="B3379" s="38">
        <v>0</v>
      </c>
      <c r="C3379" s="79">
        <v>0</v>
      </c>
    </row>
    <row r="3380" spans="1:3" x14ac:dyDescent="0.25">
      <c r="A3380" s="2">
        <v>0</v>
      </c>
      <c r="B3380" s="38">
        <v>0</v>
      </c>
      <c r="C3380" s="79">
        <v>0</v>
      </c>
    </row>
    <row r="3381" spans="1:3" x14ac:dyDescent="0.25">
      <c r="A3381" s="2">
        <v>0</v>
      </c>
      <c r="B3381" s="38">
        <v>0</v>
      </c>
      <c r="C3381" s="79">
        <v>0</v>
      </c>
    </row>
    <row r="3382" spans="1:3" x14ac:dyDescent="0.25">
      <c r="A3382" s="2">
        <v>0</v>
      </c>
      <c r="B3382" s="38">
        <v>0</v>
      </c>
      <c r="C3382" s="79">
        <v>0</v>
      </c>
    </row>
    <row r="3383" spans="1:3" x14ac:dyDescent="0.25">
      <c r="A3383" s="2">
        <v>0</v>
      </c>
      <c r="B3383" s="38">
        <v>0</v>
      </c>
      <c r="C3383" s="79">
        <v>0</v>
      </c>
    </row>
    <row r="3384" spans="1:3" x14ac:dyDescent="0.25">
      <c r="A3384" s="2">
        <v>0</v>
      </c>
      <c r="B3384" s="38">
        <v>0</v>
      </c>
      <c r="C3384" s="79">
        <v>0</v>
      </c>
    </row>
    <row r="3385" spans="1:3" x14ac:dyDescent="0.25">
      <c r="A3385" s="2">
        <v>0</v>
      </c>
      <c r="B3385" s="38">
        <v>0</v>
      </c>
      <c r="C3385" s="79">
        <v>0</v>
      </c>
    </row>
    <row r="3386" spans="1:3" x14ac:dyDescent="0.25">
      <c r="A3386" s="2">
        <v>0</v>
      </c>
      <c r="B3386" s="38">
        <v>0</v>
      </c>
      <c r="C3386" s="79">
        <v>0</v>
      </c>
    </row>
    <row r="3387" spans="1:3" x14ac:dyDescent="0.25">
      <c r="A3387" s="2">
        <v>0</v>
      </c>
      <c r="B3387" s="38">
        <v>0</v>
      </c>
      <c r="C3387" s="79">
        <v>0</v>
      </c>
    </row>
    <row r="3388" spans="1:3" x14ac:dyDescent="0.25">
      <c r="A3388" s="2">
        <v>0</v>
      </c>
      <c r="B3388" s="38">
        <v>0</v>
      </c>
      <c r="C3388" s="79">
        <v>0</v>
      </c>
    </row>
    <row r="3389" spans="1:3" x14ac:dyDescent="0.25">
      <c r="A3389" s="2">
        <v>0</v>
      </c>
      <c r="B3389" s="38">
        <v>0</v>
      </c>
      <c r="C3389" s="79">
        <v>0</v>
      </c>
    </row>
    <row r="3390" spans="1:3" x14ac:dyDescent="0.25">
      <c r="A3390" s="2">
        <v>0</v>
      </c>
      <c r="B3390" s="38">
        <v>0</v>
      </c>
      <c r="C3390" s="79">
        <v>0</v>
      </c>
    </row>
    <row r="3391" spans="1:3" x14ac:dyDescent="0.25">
      <c r="A3391" s="2">
        <v>0</v>
      </c>
      <c r="B3391" s="38">
        <v>0</v>
      </c>
      <c r="C3391" s="79">
        <v>0</v>
      </c>
    </row>
    <row r="3392" spans="1:3" x14ac:dyDescent="0.25">
      <c r="A3392" s="2">
        <v>0</v>
      </c>
      <c r="B3392" s="38">
        <v>0</v>
      </c>
      <c r="C3392" s="79">
        <v>0</v>
      </c>
    </row>
    <row r="3393" spans="1:3" x14ac:dyDescent="0.25">
      <c r="A3393" s="2">
        <v>0</v>
      </c>
      <c r="B3393" s="38">
        <v>0</v>
      </c>
      <c r="C3393" s="79">
        <v>0</v>
      </c>
    </row>
    <row r="3394" spans="1:3" x14ac:dyDescent="0.25">
      <c r="A3394" s="2">
        <v>0</v>
      </c>
      <c r="B3394" s="38">
        <v>0</v>
      </c>
      <c r="C3394" s="79">
        <v>0</v>
      </c>
    </row>
    <row r="3395" spans="1:3" x14ac:dyDescent="0.25">
      <c r="A3395" s="2">
        <v>0</v>
      </c>
      <c r="B3395" s="38">
        <v>0</v>
      </c>
      <c r="C3395" s="79">
        <v>0</v>
      </c>
    </row>
    <row r="3396" spans="1:3" x14ac:dyDescent="0.25">
      <c r="A3396" s="2">
        <v>0</v>
      </c>
      <c r="B3396" s="38">
        <v>0</v>
      </c>
      <c r="C3396" s="79">
        <v>0</v>
      </c>
    </row>
    <row r="3397" spans="1:3" x14ac:dyDescent="0.25">
      <c r="A3397" s="2">
        <v>0</v>
      </c>
      <c r="B3397" s="38">
        <v>0</v>
      </c>
      <c r="C3397" s="79">
        <v>0</v>
      </c>
    </row>
    <row r="3398" spans="1:3" x14ac:dyDescent="0.25">
      <c r="A3398" s="2">
        <v>0</v>
      </c>
      <c r="B3398" s="38">
        <v>0</v>
      </c>
      <c r="C3398" s="79">
        <v>0</v>
      </c>
    </row>
    <row r="3399" spans="1:3" x14ac:dyDescent="0.25">
      <c r="A3399" s="2">
        <v>0</v>
      </c>
      <c r="B3399" s="38">
        <v>0</v>
      </c>
      <c r="C3399" s="79">
        <v>0</v>
      </c>
    </row>
    <row r="3400" spans="1:3" x14ac:dyDescent="0.25">
      <c r="A3400" s="2">
        <v>0</v>
      </c>
      <c r="B3400" s="38">
        <v>0</v>
      </c>
      <c r="C3400" s="79">
        <v>0</v>
      </c>
    </row>
    <row r="3401" spans="1:3" x14ac:dyDescent="0.25">
      <c r="A3401" s="2">
        <v>0</v>
      </c>
      <c r="B3401" s="38">
        <v>0</v>
      </c>
      <c r="C3401" s="79">
        <v>0</v>
      </c>
    </row>
    <row r="3402" spans="1:3" x14ac:dyDescent="0.25">
      <c r="A3402" s="2">
        <v>0</v>
      </c>
      <c r="B3402" s="38">
        <v>0</v>
      </c>
      <c r="C3402" s="79">
        <v>0</v>
      </c>
    </row>
    <row r="3403" spans="1:3" x14ac:dyDescent="0.25">
      <c r="A3403" s="2">
        <v>0</v>
      </c>
      <c r="B3403" s="38">
        <v>0</v>
      </c>
      <c r="C3403" s="79">
        <v>0</v>
      </c>
    </row>
    <row r="3404" spans="1:3" x14ac:dyDescent="0.25">
      <c r="A3404" s="2">
        <v>0</v>
      </c>
      <c r="B3404" s="38">
        <v>0</v>
      </c>
      <c r="C3404" s="79">
        <v>0</v>
      </c>
    </row>
    <row r="3405" spans="1:3" x14ac:dyDescent="0.25">
      <c r="A3405" s="2">
        <v>0</v>
      </c>
      <c r="B3405" s="38">
        <v>0</v>
      </c>
      <c r="C3405" s="79">
        <v>0</v>
      </c>
    </row>
    <row r="3406" spans="1:3" x14ac:dyDescent="0.25">
      <c r="A3406" s="2">
        <v>0</v>
      </c>
      <c r="B3406" s="38">
        <v>0</v>
      </c>
      <c r="C3406" s="79">
        <v>0</v>
      </c>
    </row>
    <row r="3407" spans="1:3" x14ac:dyDescent="0.25">
      <c r="A3407" s="2">
        <v>0</v>
      </c>
      <c r="B3407" s="38">
        <v>0</v>
      </c>
      <c r="C3407" s="79">
        <v>0</v>
      </c>
    </row>
    <row r="3408" spans="1:3" x14ac:dyDescent="0.25">
      <c r="A3408" s="2">
        <v>0</v>
      </c>
      <c r="B3408" s="38">
        <v>0</v>
      </c>
      <c r="C3408" s="79">
        <v>0</v>
      </c>
    </row>
    <row r="3409" spans="1:3" x14ac:dyDescent="0.25">
      <c r="A3409" s="2">
        <v>0</v>
      </c>
      <c r="B3409" s="38">
        <v>0</v>
      </c>
      <c r="C3409" s="79">
        <v>0</v>
      </c>
    </row>
    <row r="3410" spans="1:3" x14ac:dyDescent="0.25">
      <c r="A3410" s="2">
        <v>0</v>
      </c>
      <c r="B3410" s="38">
        <v>0</v>
      </c>
      <c r="C3410" s="79">
        <v>0</v>
      </c>
    </row>
    <row r="3411" spans="1:3" x14ac:dyDescent="0.25">
      <c r="A3411" s="2">
        <v>0</v>
      </c>
      <c r="B3411" s="38">
        <v>0</v>
      </c>
      <c r="C3411" s="79">
        <v>0</v>
      </c>
    </row>
    <row r="3412" spans="1:3" x14ac:dyDescent="0.25">
      <c r="A3412" s="2">
        <v>0</v>
      </c>
      <c r="B3412" s="38">
        <v>0</v>
      </c>
      <c r="C3412" s="79">
        <v>0</v>
      </c>
    </row>
    <row r="3413" spans="1:3" x14ac:dyDescent="0.25">
      <c r="A3413" s="2">
        <v>0</v>
      </c>
      <c r="B3413" s="38">
        <v>0</v>
      </c>
      <c r="C3413" s="79">
        <v>0</v>
      </c>
    </row>
    <row r="3414" spans="1:3" x14ac:dyDescent="0.25">
      <c r="A3414" s="2">
        <v>0</v>
      </c>
      <c r="B3414" s="38">
        <v>0</v>
      </c>
      <c r="C3414" s="79">
        <v>0</v>
      </c>
    </row>
    <row r="3415" spans="1:3" x14ac:dyDescent="0.25">
      <c r="A3415" s="2">
        <v>0</v>
      </c>
      <c r="B3415" s="38">
        <v>0</v>
      </c>
      <c r="C3415" s="79">
        <v>0</v>
      </c>
    </row>
    <row r="3416" spans="1:3" x14ac:dyDescent="0.25">
      <c r="A3416" s="2">
        <v>0</v>
      </c>
      <c r="B3416" s="38">
        <v>0</v>
      </c>
      <c r="C3416" s="79">
        <v>0</v>
      </c>
    </row>
    <row r="3417" spans="1:3" x14ac:dyDescent="0.25">
      <c r="A3417" s="2">
        <v>0</v>
      </c>
      <c r="B3417" s="38">
        <v>0</v>
      </c>
      <c r="C3417" s="79">
        <v>0</v>
      </c>
    </row>
    <row r="3418" spans="1:3" x14ac:dyDescent="0.25">
      <c r="A3418" s="2">
        <v>0</v>
      </c>
      <c r="B3418" s="38">
        <v>0</v>
      </c>
      <c r="C3418" s="79">
        <v>0</v>
      </c>
    </row>
    <row r="3419" spans="1:3" x14ac:dyDescent="0.25">
      <c r="A3419" s="2">
        <v>0</v>
      </c>
      <c r="B3419" s="38">
        <v>0</v>
      </c>
      <c r="C3419" s="79">
        <v>0</v>
      </c>
    </row>
    <row r="3420" spans="1:3" x14ac:dyDescent="0.25">
      <c r="A3420" s="2">
        <v>0</v>
      </c>
      <c r="B3420" s="38">
        <v>0</v>
      </c>
      <c r="C3420" s="79">
        <v>0</v>
      </c>
    </row>
    <row r="3421" spans="1:3" x14ac:dyDescent="0.25">
      <c r="A3421" s="2">
        <v>0</v>
      </c>
      <c r="B3421" s="38">
        <v>0</v>
      </c>
      <c r="C3421" s="79">
        <v>0</v>
      </c>
    </row>
    <row r="3422" spans="1:3" x14ac:dyDescent="0.25">
      <c r="A3422" s="2">
        <v>0</v>
      </c>
      <c r="B3422" s="38">
        <v>0</v>
      </c>
      <c r="C3422" s="79">
        <v>0</v>
      </c>
    </row>
    <row r="3423" spans="1:3" x14ac:dyDescent="0.25">
      <c r="A3423" s="2">
        <v>0</v>
      </c>
      <c r="B3423" s="38">
        <v>0</v>
      </c>
      <c r="C3423" s="79">
        <v>0</v>
      </c>
    </row>
    <row r="3424" spans="1:3" x14ac:dyDescent="0.25">
      <c r="A3424" s="2">
        <v>0</v>
      </c>
      <c r="B3424" s="38">
        <v>0</v>
      </c>
      <c r="C3424" s="79">
        <v>0</v>
      </c>
    </row>
    <row r="3425" spans="1:3" x14ac:dyDescent="0.25">
      <c r="A3425" s="2">
        <v>0</v>
      </c>
      <c r="B3425" s="38">
        <v>0</v>
      </c>
      <c r="C3425" s="79">
        <v>0</v>
      </c>
    </row>
    <row r="3426" spans="1:3" x14ac:dyDescent="0.25">
      <c r="A3426" s="2">
        <v>0</v>
      </c>
      <c r="B3426" s="38">
        <v>0</v>
      </c>
      <c r="C3426" s="79">
        <v>0</v>
      </c>
    </row>
    <row r="3427" spans="1:3" x14ac:dyDescent="0.25">
      <c r="A3427" s="2">
        <v>0</v>
      </c>
      <c r="B3427" s="38">
        <v>0</v>
      </c>
      <c r="C3427" s="79">
        <v>0</v>
      </c>
    </row>
    <row r="3428" spans="1:3" x14ac:dyDescent="0.25">
      <c r="A3428" s="2">
        <v>0</v>
      </c>
      <c r="B3428" s="38">
        <v>0</v>
      </c>
      <c r="C3428" s="79">
        <v>0</v>
      </c>
    </row>
    <row r="3429" spans="1:3" x14ac:dyDescent="0.25">
      <c r="A3429" s="2">
        <v>0</v>
      </c>
      <c r="B3429" s="38">
        <v>0</v>
      </c>
      <c r="C3429" s="79">
        <v>0</v>
      </c>
    </row>
    <row r="3430" spans="1:3" x14ac:dyDescent="0.25">
      <c r="A3430" s="2">
        <v>0</v>
      </c>
      <c r="B3430" s="38">
        <v>0</v>
      </c>
      <c r="C3430" s="79">
        <v>0</v>
      </c>
    </row>
    <row r="3431" spans="1:3" x14ac:dyDescent="0.25">
      <c r="A3431" s="2">
        <v>0</v>
      </c>
      <c r="B3431" s="38">
        <v>0</v>
      </c>
      <c r="C3431" s="79">
        <v>0</v>
      </c>
    </row>
    <row r="3432" spans="1:3" x14ac:dyDescent="0.25">
      <c r="A3432" s="2">
        <v>0</v>
      </c>
      <c r="B3432" s="38">
        <v>0</v>
      </c>
      <c r="C3432" s="79">
        <v>0</v>
      </c>
    </row>
    <row r="3433" spans="1:3" x14ac:dyDescent="0.25">
      <c r="A3433" s="2">
        <v>0</v>
      </c>
      <c r="B3433" s="38">
        <v>0</v>
      </c>
      <c r="C3433" s="79">
        <v>0</v>
      </c>
    </row>
    <row r="3434" spans="1:3" x14ac:dyDescent="0.25">
      <c r="A3434" s="2">
        <v>0</v>
      </c>
      <c r="B3434" s="38">
        <v>0</v>
      </c>
      <c r="C3434" s="79">
        <v>0</v>
      </c>
    </row>
    <row r="3435" spans="1:3" x14ac:dyDescent="0.25">
      <c r="A3435" s="2">
        <v>0</v>
      </c>
      <c r="B3435" s="38">
        <v>0</v>
      </c>
      <c r="C3435" s="79">
        <v>0</v>
      </c>
    </row>
    <row r="3436" spans="1:3" x14ac:dyDescent="0.25">
      <c r="A3436" s="2">
        <v>0</v>
      </c>
      <c r="B3436" s="38">
        <v>0</v>
      </c>
      <c r="C3436" s="79">
        <v>0</v>
      </c>
    </row>
    <row r="3437" spans="1:3" x14ac:dyDescent="0.25">
      <c r="A3437" s="2">
        <v>0</v>
      </c>
      <c r="B3437" s="38">
        <v>0</v>
      </c>
      <c r="C3437" s="79">
        <v>0</v>
      </c>
    </row>
    <row r="3438" spans="1:3" x14ac:dyDescent="0.25">
      <c r="A3438" s="2">
        <v>0</v>
      </c>
      <c r="B3438" s="38">
        <v>0</v>
      </c>
      <c r="C3438" s="79">
        <v>0</v>
      </c>
    </row>
    <row r="3439" spans="1:3" x14ac:dyDescent="0.25">
      <c r="A3439" s="2">
        <v>0</v>
      </c>
      <c r="B3439" s="38">
        <v>0</v>
      </c>
      <c r="C3439" s="79">
        <v>0</v>
      </c>
    </row>
    <row r="3440" spans="1:3" x14ac:dyDescent="0.25">
      <c r="A3440" s="2">
        <v>0</v>
      </c>
      <c r="B3440" s="38">
        <v>0</v>
      </c>
      <c r="C3440" s="79">
        <v>0</v>
      </c>
    </row>
    <row r="3441" spans="1:3" x14ac:dyDescent="0.25">
      <c r="A3441" s="2">
        <v>0</v>
      </c>
      <c r="B3441" s="38">
        <v>0</v>
      </c>
      <c r="C3441" s="79">
        <v>0</v>
      </c>
    </row>
    <row r="3442" spans="1:3" x14ac:dyDescent="0.25">
      <c r="A3442" s="2">
        <v>0</v>
      </c>
      <c r="B3442" s="38">
        <v>0</v>
      </c>
      <c r="C3442" s="79">
        <v>0</v>
      </c>
    </row>
    <row r="3443" spans="1:3" x14ac:dyDescent="0.25">
      <c r="A3443" s="2">
        <v>0</v>
      </c>
      <c r="B3443" s="38">
        <v>0</v>
      </c>
      <c r="C3443" s="79">
        <v>0</v>
      </c>
    </row>
    <row r="3444" spans="1:3" x14ac:dyDescent="0.25">
      <c r="A3444" s="2">
        <v>0</v>
      </c>
      <c r="B3444" s="38">
        <v>0</v>
      </c>
      <c r="C3444" s="79">
        <v>0</v>
      </c>
    </row>
    <row r="3445" spans="1:3" x14ac:dyDescent="0.25">
      <c r="A3445" s="2">
        <v>0</v>
      </c>
      <c r="B3445" s="38">
        <v>0</v>
      </c>
      <c r="C3445" s="79">
        <v>0</v>
      </c>
    </row>
    <row r="3446" spans="1:3" x14ac:dyDescent="0.25">
      <c r="A3446" s="2">
        <v>0</v>
      </c>
      <c r="B3446" s="38">
        <v>0</v>
      </c>
      <c r="C3446" s="79">
        <v>0</v>
      </c>
    </row>
    <row r="3447" spans="1:3" x14ac:dyDescent="0.25">
      <c r="A3447" s="2">
        <v>0</v>
      </c>
      <c r="B3447" s="38">
        <v>0</v>
      </c>
      <c r="C3447" s="79">
        <v>0</v>
      </c>
    </row>
    <row r="3448" spans="1:3" x14ac:dyDescent="0.25">
      <c r="A3448" s="2">
        <v>0</v>
      </c>
      <c r="B3448" s="38">
        <v>0</v>
      </c>
      <c r="C3448" s="79">
        <v>0</v>
      </c>
    </row>
    <row r="3449" spans="1:3" x14ac:dyDescent="0.25">
      <c r="A3449" s="2">
        <v>0</v>
      </c>
      <c r="B3449" s="38">
        <v>0</v>
      </c>
      <c r="C3449" s="79">
        <v>0</v>
      </c>
    </row>
    <row r="3450" spans="1:3" x14ac:dyDescent="0.25">
      <c r="A3450" s="2">
        <v>0</v>
      </c>
      <c r="B3450" s="38">
        <v>0</v>
      </c>
      <c r="C3450" s="79">
        <v>0</v>
      </c>
    </row>
    <row r="3451" spans="1:3" x14ac:dyDescent="0.25">
      <c r="A3451" s="2">
        <v>0</v>
      </c>
      <c r="B3451" s="38">
        <v>0</v>
      </c>
      <c r="C3451" s="79">
        <v>0</v>
      </c>
    </row>
    <row r="3452" spans="1:3" x14ac:dyDescent="0.25">
      <c r="A3452" s="2">
        <v>0</v>
      </c>
      <c r="B3452" s="38">
        <v>0</v>
      </c>
      <c r="C3452" s="79">
        <v>0</v>
      </c>
    </row>
    <row r="3453" spans="1:3" x14ac:dyDescent="0.25">
      <c r="A3453" s="2">
        <v>0</v>
      </c>
      <c r="B3453" s="38">
        <v>0</v>
      </c>
      <c r="C3453" s="79">
        <v>0</v>
      </c>
    </row>
    <row r="3454" spans="1:3" x14ac:dyDescent="0.25">
      <c r="A3454" s="2">
        <v>0</v>
      </c>
      <c r="B3454" s="38">
        <v>0</v>
      </c>
      <c r="C3454" s="79">
        <v>0</v>
      </c>
    </row>
    <row r="3455" spans="1:3" x14ac:dyDescent="0.25">
      <c r="A3455" s="2">
        <v>0</v>
      </c>
      <c r="B3455" s="38">
        <v>0</v>
      </c>
      <c r="C3455" s="79">
        <v>0</v>
      </c>
    </row>
    <row r="3456" spans="1:3" x14ac:dyDescent="0.25">
      <c r="A3456" s="2">
        <v>0</v>
      </c>
      <c r="B3456" s="38">
        <v>0</v>
      </c>
      <c r="C3456" s="79">
        <v>0</v>
      </c>
    </row>
    <row r="3457" spans="1:3" x14ac:dyDescent="0.25">
      <c r="A3457" s="2">
        <v>0</v>
      </c>
      <c r="B3457" s="38">
        <v>0</v>
      </c>
      <c r="C3457" s="79">
        <v>0</v>
      </c>
    </row>
    <row r="3458" spans="1:3" x14ac:dyDescent="0.25">
      <c r="A3458" s="2">
        <v>0</v>
      </c>
      <c r="B3458" s="38">
        <v>0</v>
      </c>
      <c r="C3458" s="79">
        <v>0</v>
      </c>
    </row>
    <row r="3459" spans="1:3" x14ac:dyDescent="0.25">
      <c r="A3459" s="2">
        <v>0</v>
      </c>
      <c r="B3459" s="38">
        <v>0</v>
      </c>
      <c r="C3459" s="79">
        <v>0</v>
      </c>
    </row>
    <row r="3460" spans="1:3" x14ac:dyDescent="0.25">
      <c r="A3460" s="2">
        <v>0</v>
      </c>
      <c r="B3460" s="38">
        <v>0</v>
      </c>
      <c r="C3460" s="79">
        <v>0</v>
      </c>
    </row>
    <row r="3461" spans="1:3" x14ac:dyDescent="0.25">
      <c r="A3461" s="2">
        <v>0</v>
      </c>
      <c r="B3461" s="38">
        <v>0</v>
      </c>
      <c r="C3461" s="79">
        <v>0</v>
      </c>
    </row>
    <row r="3462" spans="1:3" x14ac:dyDescent="0.25">
      <c r="A3462" s="2">
        <v>0</v>
      </c>
      <c r="B3462" s="38">
        <v>0</v>
      </c>
      <c r="C3462" s="79">
        <v>0</v>
      </c>
    </row>
    <row r="3463" spans="1:3" x14ac:dyDescent="0.25">
      <c r="A3463" s="2">
        <v>0</v>
      </c>
      <c r="B3463" s="38">
        <v>0</v>
      </c>
      <c r="C3463" s="79">
        <v>0</v>
      </c>
    </row>
    <row r="3464" spans="1:3" x14ac:dyDescent="0.25">
      <c r="A3464" s="2">
        <v>0</v>
      </c>
      <c r="B3464" s="38">
        <v>0</v>
      </c>
      <c r="C3464" s="79">
        <v>0</v>
      </c>
    </row>
    <row r="3465" spans="1:3" x14ac:dyDescent="0.25">
      <c r="A3465" s="2">
        <v>0</v>
      </c>
      <c r="B3465" s="38">
        <v>0</v>
      </c>
      <c r="C3465" s="79">
        <v>0</v>
      </c>
    </row>
    <row r="3466" spans="1:3" x14ac:dyDescent="0.25">
      <c r="A3466" s="2">
        <v>0</v>
      </c>
      <c r="B3466" s="38">
        <v>0</v>
      </c>
      <c r="C3466" s="79">
        <v>0</v>
      </c>
    </row>
    <row r="3467" spans="1:3" x14ac:dyDescent="0.25">
      <c r="A3467" s="2">
        <v>0</v>
      </c>
      <c r="B3467" s="38">
        <v>0</v>
      </c>
      <c r="C3467" s="79">
        <v>0</v>
      </c>
    </row>
    <row r="3468" spans="1:3" x14ac:dyDescent="0.25">
      <c r="A3468" s="2">
        <v>0</v>
      </c>
      <c r="B3468" s="38">
        <v>0</v>
      </c>
      <c r="C3468" s="79">
        <v>0</v>
      </c>
    </row>
    <row r="3469" spans="1:3" x14ac:dyDescent="0.25">
      <c r="A3469" s="2">
        <v>0</v>
      </c>
      <c r="B3469" s="38">
        <v>0</v>
      </c>
      <c r="C3469" s="79">
        <v>0</v>
      </c>
    </row>
    <row r="3470" spans="1:3" x14ac:dyDescent="0.25">
      <c r="A3470" s="2">
        <v>0</v>
      </c>
      <c r="B3470" s="38">
        <v>0</v>
      </c>
      <c r="C3470" s="79">
        <v>0</v>
      </c>
    </row>
    <row r="3471" spans="1:3" x14ac:dyDescent="0.25">
      <c r="A3471" s="2">
        <v>0</v>
      </c>
      <c r="B3471" s="38">
        <v>0</v>
      </c>
      <c r="C3471" s="79">
        <v>0</v>
      </c>
    </row>
    <row r="3472" spans="1:3" x14ac:dyDescent="0.25">
      <c r="A3472" s="2">
        <v>0</v>
      </c>
      <c r="B3472" s="38">
        <v>0</v>
      </c>
      <c r="C3472" s="79">
        <v>0</v>
      </c>
    </row>
    <row r="3473" spans="1:3" x14ac:dyDescent="0.25">
      <c r="A3473" s="2">
        <v>0</v>
      </c>
      <c r="B3473" s="38">
        <v>0</v>
      </c>
      <c r="C3473" s="79">
        <v>0</v>
      </c>
    </row>
    <row r="3474" spans="1:3" x14ac:dyDescent="0.25">
      <c r="A3474" s="2">
        <v>0</v>
      </c>
      <c r="B3474" s="38">
        <v>0</v>
      </c>
      <c r="C3474" s="79">
        <v>0</v>
      </c>
    </row>
    <row r="3475" spans="1:3" x14ac:dyDescent="0.25">
      <c r="A3475" s="2">
        <v>0</v>
      </c>
      <c r="B3475" s="38">
        <v>0</v>
      </c>
      <c r="C3475" s="79">
        <v>0</v>
      </c>
    </row>
    <row r="3476" spans="1:3" x14ac:dyDescent="0.25">
      <c r="A3476" s="2">
        <v>0</v>
      </c>
      <c r="B3476" s="38">
        <v>0</v>
      </c>
      <c r="C3476" s="79">
        <v>0</v>
      </c>
    </row>
    <row r="3477" spans="1:3" x14ac:dyDescent="0.25">
      <c r="A3477" s="2">
        <v>0</v>
      </c>
      <c r="B3477" s="38">
        <v>0</v>
      </c>
      <c r="C3477" s="79">
        <v>0</v>
      </c>
    </row>
    <row r="3478" spans="1:3" x14ac:dyDescent="0.25">
      <c r="A3478" s="2">
        <v>0</v>
      </c>
      <c r="B3478" s="38">
        <v>0</v>
      </c>
      <c r="C3478" s="79">
        <v>0</v>
      </c>
    </row>
    <row r="3479" spans="1:3" x14ac:dyDescent="0.25">
      <c r="A3479" s="2">
        <v>0</v>
      </c>
      <c r="B3479" s="38">
        <v>0</v>
      </c>
      <c r="C3479" s="79">
        <v>0</v>
      </c>
    </row>
    <row r="3480" spans="1:3" x14ac:dyDescent="0.25">
      <c r="A3480" s="2">
        <v>0</v>
      </c>
      <c r="B3480" s="38">
        <v>0</v>
      </c>
      <c r="C3480" s="79">
        <v>0</v>
      </c>
    </row>
    <row r="3481" spans="1:3" x14ac:dyDescent="0.25">
      <c r="A3481" s="2">
        <v>0</v>
      </c>
      <c r="B3481" s="38">
        <v>0</v>
      </c>
      <c r="C3481" s="79">
        <v>0</v>
      </c>
    </row>
    <row r="3482" spans="1:3" x14ac:dyDescent="0.25">
      <c r="A3482" s="2">
        <v>0</v>
      </c>
      <c r="B3482" s="38">
        <v>0</v>
      </c>
      <c r="C3482" s="79">
        <v>0</v>
      </c>
    </row>
    <row r="3483" spans="1:3" x14ac:dyDescent="0.25">
      <c r="A3483" s="2">
        <v>0</v>
      </c>
      <c r="B3483" s="38">
        <v>0</v>
      </c>
      <c r="C3483" s="79">
        <v>0</v>
      </c>
    </row>
    <row r="3484" spans="1:3" x14ac:dyDescent="0.25">
      <c r="A3484" s="2">
        <v>0</v>
      </c>
      <c r="B3484" s="38">
        <v>0</v>
      </c>
      <c r="C3484" s="79">
        <v>0</v>
      </c>
    </row>
    <row r="3485" spans="1:3" x14ac:dyDescent="0.25">
      <c r="A3485" s="2">
        <v>0</v>
      </c>
      <c r="B3485" s="38">
        <v>0</v>
      </c>
      <c r="C3485" s="79">
        <v>0</v>
      </c>
    </row>
    <row r="3486" spans="1:3" x14ac:dyDescent="0.25">
      <c r="A3486" s="2">
        <v>0</v>
      </c>
      <c r="B3486" s="38">
        <v>0</v>
      </c>
      <c r="C3486" s="79">
        <v>0</v>
      </c>
    </row>
    <row r="3487" spans="1:3" x14ac:dyDescent="0.25">
      <c r="A3487" s="2">
        <v>0</v>
      </c>
      <c r="B3487" s="38">
        <v>0</v>
      </c>
      <c r="C3487" s="79">
        <v>0</v>
      </c>
    </row>
    <row r="3488" spans="1:3" x14ac:dyDescent="0.25">
      <c r="A3488" s="2">
        <v>0</v>
      </c>
      <c r="B3488" s="38">
        <v>0</v>
      </c>
      <c r="C3488" s="79">
        <v>0</v>
      </c>
    </row>
    <row r="3489" spans="1:3" x14ac:dyDescent="0.25">
      <c r="A3489" s="2">
        <v>0</v>
      </c>
      <c r="B3489" s="38">
        <v>0</v>
      </c>
      <c r="C3489" s="79">
        <v>0</v>
      </c>
    </row>
    <row r="3490" spans="1:3" x14ac:dyDescent="0.25">
      <c r="A3490" s="2">
        <v>0</v>
      </c>
      <c r="B3490" s="38">
        <v>0</v>
      </c>
      <c r="C3490" s="79">
        <v>0</v>
      </c>
    </row>
    <row r="3491" spans="1:3" x14ac:dyDescent="0.25">
      <c r="A3491" s="2">
        <v>0</v>
      </c>
      <c r="B3491" s="38">
        <v>0</v>
      </c>
      <c r="C3491" s="79">
        <v>0</v>
      </c>
    </row>
    <row r="3492" spans="1:3" x14ac:dyDescent="0.25">
      <c r="A3492" s="2">
        <v>0</v>
      </c>
      <c r="B3492" s="38">
        <v>0</v>
      </c>
      <c r="C3492" s="79">
        <v>0</v>
      </c>
    </row>
    <row r="3493" spans="1:3" x14ac:dyDescent="0.25">
      <c r="A3493" s="2">
        <v>0</v>
      </c>
      <c r="B3493" s="38">
        <v>0</v>
      </c>
      <c r="C3493" s="79">
        <v>0</v>
      </c>
    </row>
    <row r="3494" spans="1:3" x14ac:dyDescent="0.25">
      <c r="A3494" s="2">
        <v>0</v>
      </c>
      <c r="B3494" s="38">
        <v>0</v>
      </c>
      <c r="C3494" s="79">
        <v>0</v>
      </c>
    </row>
    <row r="3495" spans="1:3" x14ac:dyDescent="0.25">
      <c r="A3495" s="2">
        <v>0</v>
      </c>
      <c r="B3495" s="38">
        <v>0</v>
      </c>
      <c r="C3495" s="79">
        <v>0</v>
      </c>
    </row>
    <row r="3496" spans="1:3" x14ac:dyDescent="0.25">
      <c r="A3496" s="2">
        <v>0</v>
      </c>
      <c r="B3496" s="38">
        <v>0</v>
      </c>
      <c r="C3496" s="79">
        <v>0</v>
      </c>
    </row>
    <row r="3497" spans="1:3" x14ac:dyDescent="0.25">
      <c r="A3497" s="2">
        <v>0</v>
      </c>
      <c r="B3497" s="38">
        <v>0</v>
      </c>
      <c r="C3497" s="79">
        <v>0</v>
      </c>
    </row>
    <row r="3498" spans="1:3" x14ac:dyDescent="0.25">
      <c r="A3498" s="2">
        <v>0</v>
      </c>
      <c r="B3498" s="38">
        <v>0</v>
      </c>
      <c r="C3498" s="79">
        <v>0</v>
      </c>
    </row>
    <row r="3499" spans="1:3" x14ac:dyDescent="0.25">
      <c r="A3499" s="2">
        <v>0</v>
      </c>
      <c r="B3499" s="38">
        <v>0</v>
      </c>
      <c r="C3499" s="79">
        <v>0</v>
      </c>
    </row>
    <row r="3500" spans="1:3" x14ac:dyDescent="0.25">
      <c r="A3500" s="2">
        <v>0</v>
      </c>
      <c r="B3500" s="38">
        <v>0</v>
      </c>
      <c r="C3500" s="79">
        <v>0</v>
      </c>
    </row>
    <row r="3501" spans="1:3" x14ac:dyDescent="0.25">
      <c r="A3501" s="2">
        <v>0</v>
      </c>
      <c r="B3501" s="38">
        <v>0</v>
      </c>
      <c r="C3501" s="79">
        <v>0</v>
      </c>
    </row>
    <row r="3502" spans="1:3" x14ac:dyDescent="0.25">
      <c r="A3502" s="2">
        <v>0</v>
      </c>
      <c r="B3502" s="38">
        <v>0</v>
      </c>
      <c r="C3502" s="79">
        <v>0</v>
      </c>
    </row>
    <row r="3503" spans="1:3" x14ac:dyDescent="0.25">
      <c r="A3503" s="2">
        <v>0</v>
      </c>
      <c r="B3503" s="38">
        <v>0</v>
      </c>
      <c r="C3503" s="79">
        <v>0</v>
      </c>
    </row>
    <row r="3504" spans="1:3" x14ac:dyDescent="0.25">
      <c r="A3504" s="2">
        <v>0</v>
      </c>
      <c r="B3504" s="38">
        <v>0</v>
      </c>
      <c r="C3504" s="79">
        <v>0</v>
      </c>
    </row>
    <row r="3505" spans="1:3" x14ac:dyDescent="0.25">
      <c r="A3505" s="2">
        <v>0</v>
      </c>
      <c r="B3505" s="38">
        <v>0</v>
      </c>
      <c r="C3505" s="79">
        <v>0</v>
      </c>
    </row>
    <row r="3506" spans="1:3" x14ac:dyDescent="0.25">
      <c r="A3506" s="2">
        <v>0</v>
      </c>
      <c r="B3506" s="38">
        <v>0</v>
      </c>
      <c r="C3506" s="79">
        <v>0</v>
      </c>
    </row>
    <row r="3507" spans="1:3" x14ac:dyDescent="0.25">
      <c r="A3507" s="2">
        <v>0</v>
      </c>
      <c r="B3507" s="38">
        <v>0</v>
      </c>
      <c r="C3507" s="79">
        <v>0</v>
      </c>
    </row>
    <row r="3508" spans="1:3" x14ac:dyDescent="0.25">
      <c r="A3508" s="2">
        <v>0</v>
      </c>
      <c r="B3508" s="38">
        <v>0</v>
      </c>
      <c r="C3508" s="79">
        <v>0</v>
      </c>
    </row>
    <row r="3509" spans="1:3" x14ac:dyDescent="0.25">
      <c r="A3509" s="2">
        <v>0</v>
      </c>
      <c r="B3509" s="38">
        <v>0</v>
      </c>
      <c r="C3509" s="79">
        <v>0</v>
      </c>
    </row>
    <row r="3510" spans="1:3" x14ac:dyDescent="0.25">
      <c r="A3510" s="2">
        <v>0</v>
      </c>
      <c r="B3510" s="38">
        <v>0</v>
      </c>
      <c r="C3510" s="79">
        <v>0</v>
      </c>
    </row>
    <row r="3511" spans="1:3" x14ac:dyDescent="0.25">
      <c r="A3511" s="2">
        <v>0</v>
      </c>
      <c r="B3511" s="38">
        <v>0</v>
      </c>
      <c r="C3511" s="79">
        <v>0</v>
      </c>
    </row>
    <row r="3512" spans="1:3" x14ac:dyDescent="0.25">
      <c r="A3512" s="2">
        <v>0</v>
      </c>
      <c r="B3512" s="38">
        <v>0</v>
      </c>
      <c r="C3512" s="79">
        <v>0</v>
      </c>
    </row>
    <row r="3513" spans="1:3" x14ac:dyDescent="0.25">
      <c r="A3513" s="2">
        <v>0</v>
      </c>
      <c r="B3513" s="38">
        <v>0</v>
      </c>
      <c r="C3513" s="79">
        <v>0</v>
      </c>
    </row>
    <row r="3514" spans="1:3" x14ac:dyDescent="0.25">
      <c r="A3514" s="2">
        <v>0</v>
      </c>
      <c r="B3514" s="38">
        <v>0</v>
      </c>
      <c r="C3514" s="79">
        <v>0</v>
      </c>
    </row>
    <row r="3515" spans="1:3" x14ac:dyDescent="0.25">
      <c r="A3515" s="2">
        <v>0</v>
      </c>
      <c r="B3515" s="38">
        <v>0</v>
      </c>
      <c r="C3515" s="79">
        <v>0</v>
      </c>
    </row>
    <row r="3516" spans="1:3" x14ac:dyDescent="0.25">
      <c r="A3516" s="2">
        <v>0</v>
      </c>
      <c r="B3516" s="38">
        <v>0</v>
      </c>
      <c r="C3516" s="79">
        <v>0</v>
      </c>
    </row>
    <row r="3517" spans="1:3" x14ac:dyDescent="0.25">
      <c r="A3517" s="2">
        <v>0</v>
      </c>
      <c r="B3517" s="38">
        <v>0</v>
      </c>
      <c r="C3517" s="79">
        <v>0</v>
      </c>
    </row>
    <row r="3518" spans="1:3" x14ac:dyDescent="0.25">
      <c r="A3518" s="2">
        <v>0</v>
      </c>
      <c r="B3518" s="38">
        <v>0</v>
      </c>
      <c r="C3518" s="79">
        <v>0</v>
      </c>
    </row>
    <row r="3519" spans="1:3" x14ac:dyDescent="0.25">
      <c r="A3519" s="2">
        <v>0</v>
      </c>
      <c r="B3519" s="38">
        <v>0</v>
      </c>
      <c r="C3519" s="79">
        <v>0</v>
      </c>
    </row>
    <row r="3520" spans="1:3" x14ac:dyDescent="0.25">
      <c r="A3520" s="2">
        <v>0</v>
      </c>
      <c r="B3520" s="38">
        <v>0</v>
      </c>
      <c r="C3520" s="79">
        <v>0</v>
      </c>
    </row>
    <row r="3521" spans="1:3" x14ac:dyDescent="0.25">
      <c r="A3521" s="2">
        <v>0</v>
      </c>
      <c r="B3521" s="38">
        <v>0</v>
      </c>
      <c r="C3521" s="79">
        <v>0</v>
      </c>
    </row>
    <row r="3522" spans="1:3" x14ac:dyDescent="0.25">
      <c r="A3522" s="2">
        <v>0</v>
      </c>
      <c r="B3522" s="38">
        <v>0</v>
      </c>
      <c r="C3522" s="79">
        <v>0</v>
      </c>
    </row>
    <row r="3523" spans="1:3" x14ac:dyDescent="0.25">
      <c r="A3523" s="2">
        <v>0</v>
      </c>
      <c r="B3523" s="38">
        <v>0</v>
      </c>
      <c r="C3523" s="79">
        <v>0</v>
      </c>
    </row>
    <row r="3524" spans="1:3" x14ac:dyDescent="0.25">
      <c r="A3524" s="2">
        <v>0</v>
      </c>
      <c r="B3524" s="38">
        <v>0</v>
      </c>
      <c r="C3524" s="79">
        <v>0</v>
      </c>
    </row>
    <row r="3525" spans="1:3" x14ac:dyDescent="0.25">
      <c r="A3525" s="2">
        <v>0</v>
      </c>
      <c r="B3525" s="38">
        <v>0</v>
      </c>
      <c r="C3525" s="79">
        <v>0</v>
      </c>
    </row>
    <row r="3526" spans="1:3" x14ac:dyDescent="0.25">
      <c r="A3526" s="2">
        <v>0</v>
      </c>
      <c r="B3526" s="38">
        <v>0</v>
      </c>
      <c r="C3526" s="79">
        <v>0</v>
      </c>
    </row>
    <row r="3527" spans="1:3" x14ac:dyDescent="0.25">
      <c r="A3527" s="2">
        <v>0</v>
      </c>
      <c r="B3527" s="38">
        <v>0</v>
      </c>
      <c r="C3527" s="79">
        <v>0</v>
      </c>
    </row>
    <row r="3528" spans="1:3" x14ac:dyDescent="0.25">
      <c r="A3528" s="2">
        <v>0</v>
      </c>
      <c r="B3528" s="38">
        <v>0</v>
      </c>
      <c r="C3528" s="79">
        <v>0</v>
      </c>
    </row>
    <row r="3529" spans="1:3" x14ac:dyDescent="0.25">
      <c r="A3529" s="2">
        <v>0</v>
      </c>
      <c r="B3529" s="38">
        <v>0</v>
      </c>
      <c r="C3529" s="79">
        <v>0</v>
      </c>
    </row>
    <row r="3530" spans="1:3" x14ac:dyDescent="0.25">
      <c r="A3530" s="2">
        <v>0</v>
      </c>
      <c r="B3530" s="38">
        <v>0</v>
      </c>
      <c r="C3530" s="79">
        <v>0</v>
      </c>
    </row>
    <row r="3531" spans="1:3" x14ac:dyDescent="0.25">
      <c r="A3531" s="2">
        <v>0</v>
      </c>
      <c r="B3531" s="38">
        <v>0</v>
      </c>
      <c r="C3531" s="79">
        <v>0</v>
      </c>
    </row>
    <row r="3532" spans="1:3" x14ac:dyDescent="0.25">
      <c r="A3532" s="2">
        <v>0</v>
      </c>
      <c r="B3532" s="38">
        <v>0</v>
      </c>
      <c r="C3532" s="79">
        <v>0</v>
      </c>
    </row>
    <row r="3533" spans="1:3" x14ac:dyDescent="0.25">
      <c r="A3533" s="2">
        <v>0</v>
      </c>
      <c r="B3533" s="38">
        <v>0</v>
      </c>
      <c r="C3533" s="79">
        <v>0</v>
      </c>
    </row>
    <row r="3534" spans="1:3" x14ac:dyDescent="0.25">
      <c r="A3534" s="2">
        <v>0</v>
      </c>
      <c r="B3534" s="38">
        <v>0</v>
      </c>
      <c r="C3534" s="79">
        <v>0</v>
      </c>
    </row>
    <row r="3535" spans="1:3" x14ac:dyDescent="0.25">
      <c r="A3535" s="2">
        <v>0</v>
      </c>
      <c r="B3535" s="38">
        <v>0</v>
      </c>
      <c r="C3535" s="79">
        <v>0</v>
      </c>
    </row>
    <row r="3536" spans="1:3" x14ac:dyDescent="0.25">
      <c r="A3536" s="2">
        <v>0</v>
      </c>
      <c r="B3536" s="38">
        <v>0</v>
      </c>
      <c r="C3536" s="79">
        <v>0</v>
      </c>
    </row>
    <row r="3537" spans="1:3" x14ac:dyDescent="0.25">
      <c r="A3537" s="2">
        <v>0</v>
      </c>
      <c r="B3537" s="38">
        <v>0</v>
      </c>
      <c r="C3537" s="79">
        <v>0</v>
      </c>
    </row>
    <row r="3538" spans="1:3" x14ac:dyDescent="0.25">
      <c r="A3538" s="2">
        <v>0</v>
      </c>
      <c r="B3538" s="38">
        <v>0</v>
      </c>
      <c r="C3538" s="79">
        <v>0</v>
      </c>
    </row>
    <row r="3539" spans="1:3" x14ac:dyDescent="0.25">
      <c r="A3539" s="2">
        <v>0</v>
      </c>
      <c r="B3539" s="38">
        <v>0</v>
      </c>
      <c r="C3539" s="79">
        <v>0</v>
      </c>
    </row>
    <row r="3540" spans="1:3" x14ac:dyDescent="0.25">
      <c r="A3540" s="2">
        <v>0</v>
      </c>
      <c r="B3540" s="38">
        <v>0</v>
      </c>
      <c r="C3540" s="79">
        <v>0</v>
      </c>
    </row>
    <row r="3541" spans="1:3" x14ac:dyDescent="0.25">
      <c r="A3541" s="2">
        <v>0</v>
      </c>
      <c r="B3541" s="38">
        <v>0</v>
      </c>
      <c r="C3541" s="79">
        <v>0</v>
      </c>
    </row>
    <row r="3542" spans="1:3" x14ac:dyDescent="0.25">
      <c r="A3542" s="2">
        <v>0</v>
      </c>
      <c r="B3542" s="38">
        <v>0</v>
      </c>
      <c r="C3542" s="79">
        <v>0</v>
      </c>
    </row>
    <row r="3543" spans="1:3" x14ac:dyDescent="0.25">
      <c r="A3543" s="2">
        <v>0</v>
      </c>
      <c r="B3543" s="38">
        <v>0</v>
      </c>
      <c r="C3543" s="79">
        <v>0</v>
      </c>
    </row>
    <row r="3544" spans="1:3" x14ac:dyDescent="0.25">
      <c r="A3544" s="2">
        <v>0</v>
      </c>
      <c r="B3544" s="38">
        <v>0</v>
      </c>
      <c r="C3544" s="79">
        <v>0</v>
      </c>
    </row>
    <row r="3545" spans="1:3" x14ac:dyDescent="0.25">
      <c r="A3545" s="2">
        <v>0</v>
      </c>
      <c r="B3545" s="38">
        <v>0</v>
      </c>
      <c r="C3545" s="79">
        <v>0</v>
      </c>
    </row>
    <row r="3546" spans="1:3" x14ac:dyDescent="0.25">
      <c r="A3546" s="2">
        <v>0</v>
      </c>
      <c r="B3546" s="38">
        <v>0</v>
      </c>
      <c r="C3546" s="79">
        <v>0</v>
      </c>
    </row>
    <row r="3547" spans="1:3" x14ac:dyDescent="0.25">
      <c r="A3547" s="2">
        <v>0</v>
      </c>
      <c r="B3547" s="38">
        <v>0</v>
      </c>
      <c r="C3547" s="79">
        <v>0</v>
      </c>
    </row>
    <row r="3548" spans="1:3" x14ac:dyDescent="0.25">
      <c r="A3548" s="2">
        <v>0</v>
      </c>
      <c r="B3548" s="38">
        <v>0</v>
      </c>
      <c r="C3548" s="79">
        <v>0</v>
      </c>
    </row>
    <row r="3549" spans="1:3" x14ac:dyDescent="0.25">
      <c r="A3549" s="2">
        <v>0</v>
      </c>
      <c r="B3549" s="38">
        <v>0</v>
      </c>
      <c r="C3549" s="79">
        <v>0</v>
      </c>
    </row>
    <row r="3550" spans="1:3" x14ac:dyDescent="0.25">
      <c r="A3550" s="2">
        <v>0</v>
      </c>
      <c r="B3550" s="38">
        <v>0</v>
      </c>
      <c r="C3550" s="79">
        <v>0</v>
      </c>
    </row>
    <row r="3551" spans="1:3" x14ac:dyDescent="0.25">
      <c r="A3551" s="2">
        <v>0</v>
      </c>
      <c r="B3551" s="38">
        <v>0</v>
      </c>
      <c r="C3551" s="79">
        <v>0</v>
      </c>
    </row>
    <row r="3552" spans="1:3" x14ac:dyDescent="0.25">
      <c r="A3552" s="2">
        <v>0</v>
      </c>
      <c r="B3552" s="38">
        <v>0</v>
      </c>
      <c r="C3552" s="79">
        <v>0</v>
      </c>
    </row>
    <row r="3553" spans="1:3" x14ac:dyDescent="0.25">
      <c r="A3553" s="2">
        <v>0</v>
      </c>
      <c r="B3553" s="38">
        <v>0</v>
      </c>
      <c r="C3553" s="79">
        <v>0</v>
      </c>
    </row>
    <row r="3554" spans="1:3" x14ac:dyDescent="0.25">
      <c r="A3554" s="2">
        <v>0</v>
      </c>
      <c r="B3554" s="38">
        <v>0</v>
      </c>
      <c r="C3554" s="79">
        <v>0</v>
      </c>
    </row>
    <row r="3555" spans="1:3" x14ac:dyDescent="0.25">
      <c r="A3555" s="2">
        <v>0</v>
      </c>
      <c r="B3555" s="38">
        <v>0</v>
      </c>
      <c r="C3555" s="79">
        <v>0</v>
      </c>
    </row>
    <row r="3556" spans="1:3" x14ac:dyDescent="0.25">
      <c r="A3556" s="2">
        <v>0</v>
      </c>
      <c r="B3556" s="38">
        <v>0</v>
      </c>
      <c r="C3556" s="79">
        <v>0</v>
      </c>
    </row>
    <row r="3557" spans="1:3" x14ac:dyDescent="0.25">
      <c r="A3557" s="2">
        <v>0</v>
      </c>
      <c r="B3557" s="38">
        <v>0</v>
      </c>
      <c r="C3557" s="79">
        <v>0</v>
      </c>
    </row>
    <row r="3558" spans="1:3" x14ac:dyDescent="0.25">
      <c r="A3558" s="2">
        <v>0</v>
      </c>
      <c r="B3558" s="38">
        <v>0</v>
      </c>
      <c r="C3558" s="79">
        <v>0</v>
      </c>
    </row>
    <row r="3559" spans="1:3" x14ac:dyDescent="0.25">
      <c r="A3559" s="2">
        <v>0</v>
      </c>
      <c r="B3559" s="38">
        <v>0</v>
      </c>
      <c r="C3559" s="79">
        <v>0</v>
      </c>
    </row>
    <row r="3560" spans="1:3" x14ac:dyDescent="0.25">
      <c r="A3560" s="2">
        <v>0</v>
      </c>
      <c r="B3560" s="38">
        <v>0</v>
      </c>
      <c r="C3560" s="79">
        <v>0</v>
      </c>
    </row>
    <row r="3561" spans="1:3" x14ac:dyDescent="0.25">
      <c r="A3561" s="2">
        <v>0</v>
      </c>
      <c r="B3561" s="38">
        <v>0</v>
      </c>
      <c r="C3561" s="79">
        <v>0</v>
      </c>
    </row>
    <row r="3562" spans="1:3" x14ac:dyDescent="0.25">
      <c r="A3562" s="2">
        <v>0</v>
      </c>
      <c r="B3562" s="38">
        <v>0</v>
      </c>
      <c r="C3562" s="79">
        <v>0</v>
      </c>
    </row>
    <row r="3563" spans="1:3" x14ac:dyDescent="0.25">
      <c r="A3563" s="2">
        <v>0</v>
      </c>
      <c r="B3563" s="38">
        <v>0</v>
      </c>
      <c r="C3563" s="79">
        <v>0</v>
      </c>
    </row>
    <row r="3564" spans="1:3" x14ac:dyDescent="0.25">
      <c r="A3564" s="2">
        <v>0</v>
      </c>
      <c r="B3564" s="38">
        <v>0</v>
      </c>
      <c r="C3564" s="79">
        <v>0</v>
      </c>
    </row>
    <row r="3565" spans="1:3" x14ac:dyDescent="0.25">
      <c r="A3565" s="2">
        <v>0</v>
      </c>
      <c r="B3565" s="38">
        <v>0</v>
      </c>
      <c r="C3565" s="79">
        <v>0</v>
      </c>
    </row>
    <row r="3566" spans="1:3" x14ac:dyDescent="0.25">
      <c r="A3566" s="2">
        <v>0</v>
      </c>
      <c r="B3566" s="38">
        <v>0</v>
      </c>
      <c r="C3566" s="79">
        <v>0</v>
      </c>
    </row>
    <row r="3567" spans="1:3" x14ac:dyDescent="0.25">
      <c r="A3567" s="2">
        <v>0</v>
      </c>
      <c r="B3567" s="38">
        <v>0</v>
      </c>
      <c r="C3567" s="79">
        <v>0</v>
      </c>
    </row>
    <row r="3568" spans="1:3" x14ac:dyDescent="0.25">
      <c r="A3568" s="2">
        <v>0</v>
      </c>
      <c r="B3568" s="38">
        <v>0</v>
      </c>
      <c r="C3568" s="79">
        <v>0</v>
      </c>
    </row>
    <row r="3569" spans="1:3" x14ac:dyDescent="0.25">
      <c r="A3569" s="2">
        <v>0</v>
      </c>
      <c r="B3569" s="38">
        <v>0</v>
      </c>
      <c r="C3569" s="79">
        <v>0</v>
      </c>
    </row>
    <row r="3570" spans="1:3" x14ac:dyDescent="0.25">
      <c r="A3570" s="2">
        <v>0</v>
      </c>
      <c r="B3570" s="38">
        <v>0</v>
      </c>
      <c r="C3570" s="79">
        <v>0</v>
      </c>
    </row>
    <row r="3571" spans="1:3" x14ac:dyDescent="0.25">
      <c r="A3571" s="2">
        <v>0</v>
      </c>
      <c r="B3571" s="38">
        <v>0</v>
      </c>
      <c r="C3571" s="79">
        <v>0</v>
      </c>
    </row>
    <row r="3572" spans="1:3" x14ac:dyDescent="0.25">
      <c r="A3572" s="2">
        <v>0</v>
      </c>
      <c r="B3572" s="38">
        <v>0</v>
      </c>
      <c r="C3572" s="79">
        <v>0</v>
      </c>
    </row>
    <row r="3573" spans="1:3" x14ac:dyDescent="0.25">
      <c r="A3573" s="2">
        <v>0</v>
      </c>
      <c r="B3573" s="38">
        <v>0</v>
      </c>
      <c r="C3573" s="79">
        <v>0</v>
      </c>
    </row>
    <row r="3574" spans="1:3" x14ac:dyDescent="0.25">
      <c r="A3574" s="2">
        <v>0</v>
      </c>
      <c r="B3574" s="38">
        <v>0</v>
      </c>
      <c r="C3574" s="79">
        <v>0</v>
      </c>
    </row>
    <row r="3575" spans="1:3" x14ac:dyDescent="0.25">
      <c r="A3575" s="2">
        <v>0</v>
      </c>
      <c r="B3575" s="38">
        <v>0</v>
      </c>
      <c r="C3575" s="79">
        <v>0</v>
      </c>
    </row>
    <row r="3576" spans="1:3" x14ac:dyDescent="0.25">
      <c r="A3576" s="2">
        <v>0</v>
      </c>
      <c r="B3576" s="38">
        <v>0</v>
      </c>
      <c r="C3576" s="79">
        <v>0</v>
      </c>
    </row>
    <row r="3577" spans="1:3" x14ac:dyDescent="0.25">
      <c r="A3577" s="2">
        <v>0</v>
      </c>
      <c r="B3577" s="38">
        <v>0</v>
      </c>
      <c r="C3577" s="79">
        <v>0</v>
      </c>
    </row>
    <row r="3578" spans="1:3" x14ac:dyDescent="0.25">
      <c r="A3578" s="2">
        <v>0</v>
      </c>
      <c r="B3578" s="38">
        <v>0</v>
      </c>
      <c r="C3578" s="79">
        <v>0</v>
      </c>
    </row>
    <row r="3579" spans="1:3" x14ac:dyDescent="0.25">
      <c r="A3579" s="2">
        <v>0</v>
      </c>
      <c r="B3579" s="38">
        <v>0</v>
      </c>
      <c r="C3579" s="79">
        <v>0</v>
      </c>
    </row>
    <row r="3580" spans="1:3" x14ac:dyDescent="0.25">
      <c r="A3580" s="2">
        <v>0</v>
      </c>
      <c r="B3580" s="38">
        <v>0</v>
      </c>
      <c r="C3580" s="79">
        <v>0</v>
      </c>
    </row>
    <row r="3581" spans="1:3" x14ac:dyDescent="0.25">
      <c r="A3581" s="2">
        <v>0</v>
      </c>
      <c r="B3581" s="38">
        <v>0</v>
      </c>
      <c r="C3581" s="79">
        <v>0</v>
      </c>
    </row>
    <row r="3582" spans="1:3" x14ac:dyDescent="0.25">
      <c r="A3582" s="2">
        <v>0</v>
      </c>
      <c r="B3582" s="38">
        <v>0</v>
      </c>
      <c r="C3582" s="79">
        <v>0</v>
      </c>
    </row>
    <row r="3583" spans="1:3" x14ac:dyDescent="0.25">
      <c r="A3583" s="2">
        <v>0</v>
      </c>
      <c r="B3583" s="38">
        <v>0</v>
      </c>
      <c r="C3583" s="79">
        <v>0</v>
      </c>
    </row>
    <row r="3584" spans="1:3" x14ac:dyDescent="0.25">
      <c r="A3584" s="2">
        <v>0</v>
      </c>
      <c r="B3584" s="38">
        <v>0</v>
      </c>
      <c r="C3584" s="79">
        <v>0</v>
      </c>
    </row>
    <row r="3585" spans="1:3" x14ac:dyDescent="0.25">
      <c r="A3585" s="2">
        <v>0</v>
      </c>
      <c r="B3585" s="38">
        <v>0</v>
      </c>
      <c r="C3585" s="79">
        <v>0</v>
      </c>
    </row>
    <row r="3586" spans="1:3" x14ac:dyDescent="0.25">
      <c r="A3586" s="2">
        <v>0</v>
      </c>
      <c r="B3586" s="38">
        <v>0</v>
      </c>
      <c r="C3586" s="79">
        <v>0</v>
      </c>
    </row>
    <row r="3587" spans="1:3" x14ac:dyDescent="0.25">
      <c r="A3587" s="2">
        <v>0</v>
      </c>
      <c r="B3587" s="38">
        <v>0</v>
      </c>
      <c r="C3587" s="79">
        <v>0</v>
      </c>
    </row>
    <row r="3588" spans="1:3" x14ac:dyDescent="0.25">
      <c r="A3588" s="2">
        <v>0</v>
      </c>
      <c r="B3588" s="38">
        <v>0</v>
      </c>
      <c r="C3588" s="79">
        <v>0</v>
      </c>
    </row>
    <row r="3589" spans="1:3" x14ac:dyDescent="0.25">
      <c r="A3589" s="2">
        <v>0</v>
      </c>
      <c r="B3589" s="38">
        <v>0</v>
      </c>
      <c r="C3589" s="79">
        <v>0</v>
      </c>
    </row>
    <row r="3590" spans="1:3" x14ac:dyDescent="0.25">
      <c r="A3590" s="2">
        <v>0</v>
      </c>
      <c r="B3590" s="38">
        <v>0</v>
      </c>
      <c r="C3590" s="79">
        <v>0</v>
      </c>
    </row>
    <row r="3591" spans="1:3" x14ac:dyDescent="0.25">
      <c r="A3591" s="2">
        <v>0</v>
      </c>
      <c r="B3591" s="38">
        <v>0</v>
      </c>
      <c r="C3591" s="79">
        <v>0</v>
      </c>
    </row>
    <row r="3592" spans="1:3" x14ac:dyDescent="0.25">
      <c r="A3592" s="2">
        <v>0</v>
      </c>
      <c r="B3592" s="38">
        <v>0</v>
      </c>
      <c r="C3592" s="79">
        <v>0</v>
      </c>
    </row>
    <row r="3593" spans="1:3" x14ac:dyDescent="0.25">
      <c r="A3593" s="2">
        <v>0</v>
      </c>
      <c r="B3593" s="38">
        <v>0</v>
      </c>
      <c r="C3593" s="79">
        <v>0</v>
      </c>
    </row>
    <row r="3594" spans="1:3" x14ac:dyDescent="0.25">
      <c r="A3594" s="2">
        <v>0</v>
      </c>
      <c r="B3594" s="38">
        <v>0</v>
      </c>
      <c r="C3594" s="79">
        <v>0</v>
      </c>
    </row>
    <row r="3595" spans="1:3" x14ac:dyDescent="0.25">
      <c r="A3595" s="2">
        <v>0</v>
      </c>
      <c r="B3595" s="38">
        <v>0</v>
      </c>
      <c r="C3595" s="79">
        <v>0</v>
      </c>
    </row>
    <row r="3596" spans="1:3" x14ac:dyDescent="0.25">
      <c r="A3596" s="2">
        <v>0</v>
      </c>
      <c r="B3596" s="38">
        <v>0</v>
      </c>
      <c r="C3596" s="79">
        <v>0</v>
      </c>
    </row>
    <row r="3597" spans="1:3" x14ac:dyDescent="0.25">
      <c r="A3597" s="2">
        <v>0</v>
      </c>
      <c r="B3597" s="38">
        <v>0</v>
      </c>
      <c r="C3597" s="79">
        <v>0</v>
      </c>
    </row>
    <row r="3598" spans="1:3" x14ac:dyDescent="0.25">
      <c r="A3598" s="2">
        <v>0</v>
      </c>
      <c r="B3598" s="38">
        <v>0</v>
      </c>
      <c r="C3598" s="79">
        <v>0</v>
      </c>
    </row>
    <row r="3599" spans="1:3" x14ac:dyDescent="0.25">
      <c r="A3599" s="2">
        <v>0</v>
      </c>
      <c r="B3599" s="38">
        <v>0</v>
      </c>
      <c r="C3599" s="79">
        <v>0</v>
      </c>
    </row>
    <row r="3600" spans="1:3" x14ac:dyDescent="0.25">
      <c r="A3600" s="2">
        <v>0</v>
      </c>
      <c r="B3600" s="38">
        <v>0</v>
      </c>
      <c r="C3600" s="79">
        <v>0</v>
      </c>
    </row>
    <row r="3601" spans="1:3" x14ac:dyDescent="0.25">
      <c r="A3601" s="2">
        <v>0</v>
      </c>
      <c r="B3601" s="38">
        <v>0</v>
      </c>
      <c r="C3601" s="79">
        <v>0</v>
      </c>
    </row>
    <row r="3602" spans="1:3" x14ac:dyDescent="0.25">
      <c r="A3602" s="2">
        <v>0</v>
      </c>
      <c r="B3602" s="38">
        <v>0</v>
      </c>
      <c r="C3602" s="79">
        <v>0</v>
      </c>
    </row>
    <row r="3603" spans="1:3" x14ac:dyDescent="0.25">
      <c r="A3603" s="2">
        <v>0</v>
      </c>
      <c r="B3603" s="38">
        <v>0</v>
      </c>
      <c r="C3603" s="79">
        <v>0</v>
      </c>
    </row>
    <row r="3604" spans="1:3" x14ac:dyDescent="0.25">
      <c r="A3604" s="2">
        <v>0</v>
      </c>
      <c r="B3604" s="38">
        <v>0</v>
      </c>
      <c r="C3604" s="79">
        <v>0</v>
      </c>
    </row>
    <row r="3605" spans="1:3" x14ac:dyDescent="0.25">
      <c r="A3605" s="2">
        <v>0</v>
      </c>
      <c r="B3605" s="38">
        <v>0</v>
      </c>
      <c r="C3605" s="79">
        <v>0</v>
      </c>
    </row>
    <row r="3606" spans="1:3" x14ac:dyDescent="0.25">
      <c r="A3606" s="2">
        <v>0</v>
      </c>
      <c r="B3606" s="38">
        <v>0</v>
      </c>
      <c r="C3606" s="79">
        <v>0</v>
      </c>
    </row>
    <row r="3607" spans="1:3" x14ac:dyDescent="0.25">
      <c r="A3607" s="2">
        <v>0</v>
      </c>
      <c r="B3607" s="38">
        <v>0</v>
      </c>
      <c r="C3607" s="79">
        <v>0</v>
      </c>
    </row>
    <row r="3608" spans="1:3" x14ac:dyDescent="0.25">
      <c r="A3608" s="2">
        <v>0</v>
      </c>
      <c r="B3608" s="38">
        <v>0</v>
      </c>
      <c r="C3608" s="79">
        <v>0</v>
      </c>
    </row>
    <row r="3609" spans="1:3" x14ac:dyDescent="0.25">
      <c r="A3609" s="2">
        <v>0</v>
      </c>
      <c r="B3609" s="38">
        <v>0</v>
      </c>
      <c r="C3609" s="79">
        <v>0</v>
      </c>
    </row>
    <row r="3610" spans="1:3" x14ac:dyDescent="0.25">
      <c r="A3610" s="2">
        <v>0</v>
      </c>
      <c r="B3610" s="38">
        <v>0</v>
      </c>
      <c r="C3610" s="79">
        <v>0</v>
      </c>
    </row>
    <row r="3611" spans="1:3" x14ac:dyDescent="0.25">
      <c r="A3611" s="2">
        <v>0</v>
      </c>
      <c r="B3611" s="38">
        <v>0</v>
      </c>
      <c r="C3611" s="79">
        <v>0</v>
      </c>
    </row>
    <row r="3612" spans="1:3" x14ac:dyDescent="0.25">
      <c r="A3612" s="2">
        <v>0</v>
      </c>
      <c r="B3612" s="38">
        <v>0</v>
      </c>
      <c r="C3612" s="79">
        <v>0</v>
      </c>
    </row>
    <row r="3613" spans="1:3" x14ac:dyDescent="0.25">
      <c r="A3613" s="2">
        <v>0</v>
      </c>
      <c r="B3613" s="38">
        <v>0</v>
      </c>
      <c r="C3613" s="79">
        <v>0</v>
      </c>
    </row>
    <row r="3614" spans="1:3" x14ac:dyDescent="0.25">
      <c r="A3614" s="2">
        <v>0</v>
      </c>
      <c r="B3614" s="38">
        <v>0</v>
      </c>
      <c r="C3614" s="79">
        <v>0</v>
      </c>
    </row>
    <row r="3615" spans="1:3" x14ac:dyDescent="0.25">
      <c r="A3615" s="2">
        <v>0</v>
      </c>
      <c r="B3615" s="38">
        <v>0</v>
      </c>
      <c r="C3615" s="79">
        <v>0</v>
      </c>
    </row>
    <row r="3616" spans="1:3" x14ac:dyDescent="0.25">
      <c r="A3616" s="2">
        <v>0</v>
      </c>
      <c r="B3616" s="38">
        <v>0</v>
      </c>
      <c r="C3616" s="79">
        <v>0</v>
      </c>
    </row>
    <row r="3617" spans="1:3" x14ac:dyDescent="0.25">
      <c r="A3617" s="2">
        <v>0</v>
      </c>
      <c r="B3617" s="38">
        <v>0</v>
      </c>
      <c r="C3617" s="79">
        <v>0</v>
      </c>
    </row>
    <row r="3618" spans="1:3" x14ac:dyDescent="0.25">
      <c r="A3618" s="2">
        <v>0</v>
      </c>
      <c r="B3618" s="38">
        <v>0</v>
      </c>
      <c r="C3618" s="79">
        <v>0</v>
      </c>
    </row>
    <row r="3619" spans="1:3" x14ac:dyDescent="0.25">
      <c r="A3619" s="2">
        <v>0</v>
      </c>
      <c r="B3619" s="38">
        <v>0</v>
      </c>
      <c r="C3619" s="79">
        <v>0</v>
      </c>
    </row>
    <row r="3620" spans="1:3" x14ac:dyDescent="0.25">
      <c r="A3620" s="2">
        <v>0</v>
      </c>
      <c r="B3620" s="38">
        <v>0</v>
      </c>
      <c r="C3620" s="79">
        <v>0</v>
      </c>
    </row>
    <row r="3621" spans="1:3" x14ac:dyDescent="0.25">
      <c r="A3621" s="2">
        <v>0</v>
      </c>
      <c r="B3621" s="38">
        <v>0</v>
      </c>
      <c r="C3621" s="79">
        <v>0</v>
      </c>
    </row>
    <row r="3622" spans="1:3" x14ac:dyDescent="0.25">
      <c r="A3622" s="2">
        <v>0</v>
      </c>
      <c r="B3622" s="38">
        <v>0</v>
      </c>
      <c r="C3622" s="79">
        <v>0</v>
      </c>
    </row>
    <row r="3623" spans="1:3" x14ac:dyDescent="0.25">
      <c r="A3623" s="2">
        <v>0</v>
      </c>
      <c r="B3623" s="38">
        <v>0</v>
      </c>
      <c r="C3623" s="79">
        <v>0</v>
      </c>
    </row>
    <row r="3624" spans="1:3" x14ac:dyDescent="0.25">
      <c r="A3624" s="2">
        <v>0</v>
      </c>
      <c r="B3624" s="38">
        <v>0</v>
      </c>
      <c r="C3624" s="79">
        <v>0</v>
      </c>
    </row>
    <row r="3625" spans="1:3" x14ac:dyDescent="0.25">
      <c r="A3625" s="2">
        <v>0</v>
      </c>
      <c r="B3625" s="38">
        <v>0</v>
      </c>
      <c r="C3625" s="79">
        <v>0</v>
      </c>
    </row>
    <row r="3626" spans="1:3" x14ac:dyDescent="0.25">
      <c r="A3626" s="2">
        <v>0</v>
      </c>
      <c r="B3626" s="38">
        <v>0</v>
      </c>
      <c r="C3626" s="79">
        <v>0</v>
      </c>
    </row>
    <row r="3627" spans="1:3" x14ac:dyDescent="0.25">
      <c r="A3627" s="2">
        <v>0</v>
      </c>
      <c r="B3627" s="38">
        <v>0</v>
      </c>
      <c r="C3627" s="79">
        <v>0</v>
      </c>
    </row>
    <row r="3628" spans="1:3" x14ac:dyDescent="0.25">
      <c r="A3628" s="2">
        <v>0</v>
      </c>
      <c r="B3628" s="38">
        <v>0</v>
      </c>
      <c r="C3628" s="79">
        <v>0</v>
      </c>
    </row>
    <row r="3629" spans="1:3" x14ac:dyDescent="0.25">
      <c r="A3629" s="2">
        <v>0</v>
      </c>
      <c r="B3629" s="38">
        <v>0</v>
      </c>
      <c r="C3629" s="79">
        <v>0</v>
      </c>
    </row>
    <row r="3630" spans="1:3" x14ac:dyDescent="0.25">
      <c r="A3630" s="2">
        <v>0</v>
      </c>
      <c r="B3630" s="38">
        <v>0</v>
      </c>
      <c r="C3630" s="79">
        <v>0</v>
      </c>
    </row>
    <row r="3631" spans="1:3" x14ac:dyDescent="0.25">
      <c r="A3631" s="2">
        <v>0</v>
      </c>
      <c r="B3631" s="38">
        <v>0</v>
      </c>
      <c r="C3631" s="79">
        <v>0</v>
      </c>
    </row>
    <row r="3632" spans="1:3" x14ac:dyDescent="0.25">
      <c r="A3632" s="2">
        <v>0</v>
      </c>
      <c r="B3632" s="38">
        <v>0</v>
      </c>
      <c r="C3632" s="79">
        <v>0</v>
      </c>
    </row>
    <row r="3633" spans="1:3" x14ac:dyDescent="0.25">
      <c r="A3633" s="2">
        <v>0</v>
      </c>
      <c r="B3633" s="38">
        <v>0</v>
      </c>
      <c r="C3633" s="79">
        <v>0</v>
      </c>
    </row>
    <row r="3634" spans="1:3" x14ac:dyDescent="0.25">
      <c r="A3634" s="2">
        <v>0</v>
      </c>
      <c r="B3634" s="38">
        <v>0</v>
      </c>
      <c r="C3634" s="79">
        <v>0</v>
      </c>
    </row>
    <row r="3635" spans="1:3" x14ac:dyDescent="0.25">
      <c r="A3635" s="2">
        <v>0</v>
      </c>
      <c r="B3635" s="38">
        <v>0</v>
      </c>
      <c r="C3635" s="79">
        <v>0</v>
      </c>
    </row>
    <row r="3636" spans="1:3" x14ac:dyDescent="0.25">
      <c r="A3636" s="2">
        <v>0</v>
      </c>
      <c r="B3636" s="38">
        <v>0</v>
      </c>
      <c r="C3636" s="79">
        <v>0</v>
      </c>
    </row>
    <row r="3637" spans="1:3" x14ac:dyDescent="0.25">
      <c r="A3637" s="2">
        <v>0</v>
      </c>
      <c r="B3637" s="38">
        <v>0</v>
      </c>
      <c r="C3637" s="79">
        <v>0</v>
      </c>
    </row>
    <row r="3638" spans="1:3" x14ac:dyDescent="0.25">
      <c r="A3638" s="2">
        <v>0</v>
      </c>
      <c r="B3638" s="38">
        <v>0</v>
      </c>
      <c r="C3638" s="79">
        <v>0</v>
      </c>
    </row>
    <row r="3639" spans="1:3" x14ac:dyDescent="0.25">
      <c r="A3639" s="2">
        <v>0</v>
      </c>
      <c r="B3639" s="38">
        <v>0</v>
      </c>
      <c r="C3639" s="79">
        <v>0</v>
      </c>
    </row>
    <row r="3640" spans="1:3" x14ac:dyDescent="0.25">
      <c r="A3640" s="2">
        <v>0</v>
      </c>
      <c r="B3640" s="38">
        <v>0</v>
      </c>
      <c r="C3640" s="79">
        <v>0</v>
      </c>
    </row>
    <row r="3641" spans="1:3" x14ac:dyDescent="0.25">
      <c r="A3641" s="2">
        <v>0</v>
      </c>
      <c r="B3641" s="38">
        <v>0</v>
      </c>
      <c r="C3641" s="79">
        <v>0</v>
      </c>
    </row>
    <row r="3642" spans="1:3" x14ac:dyDescent="0.25">
      <c r="A3642" s="2">
        <v>0</v>
      </c>
      <c r="B3642" s="38">
        <v>0</v>
      </c>
      <c r="C3642" s="79">
        <v>0</v>
      </c>
    </row>
    <row r="3643" spans="1:3" x14ac:dyDescent="0.25">
      <c r="A3643" s="2">
        <v>0</v>
      </c>
      <c r="B3643" s="38">
        <v>0</v>
      </c>
      <c r="C3643" s="79">
        <v>0</v>
      </c>
    </row>
    <row r="3644" spans="1:3" x14ac:dyDescent="0.25">
      <c r="A3644" s="2">
        <v>0</v>
      </c>
      <c r="B3644" s="38">
        <v>0</v>
      </c>
      <c r="C3644" s="79">
        <v>0</v>
      </c>
    </row>
    <row r="3645" spans="1:3" x14ac:dyDescent="0.25">
      <c r="A3645" s="2">
        <v>0</v>
      </c>
      <c r="B3645" s="38">
        <v>0</v>
      </c>
      <c r="C3645" s="79">
        <v>0</v>
      </c>
    </row>
    <row r="3646" spans="1:3" x14ac:dyDescent="0.25">
      <c r="A3646" s="2">
        <v>0</v>
      </c>
      <c r="B3646" s="38">
        <v>0</v>
      </c>
      <c r="C3646" s="79">
        <v>0</v>
      </c>
    </row>
    <row r="3647" spans="1:3" x14ac:dyDescent="0.25">
      <c r="A3647" s="2">
        <v>0</v>
      </c>
      <c r="B3647" s="38">
        <v>0</v>
      </c>
      <c r="C3647" s="79">
        <v>0</v>
      </c>
    </row>
    <row r="3648" spans="1:3" x14ac:dyDescent="0.25">
      <c r="A3648" s="2">
        <v>0</v>
      </c>
      <c r="B3648" s="38">
        <v>0</v>
      </c>
      <c r="C3648" s="79">
        <v>0</v>
      </c>
    </row>
    <row r="3649" spans="1:3" x14ac:dyDescent="0.25">
      <c r="A3649" s="2">
        <v>0</v>
      </c>
      <c r="B3649" s="38">
        <v>0</v>
      </c>
      <c r="C3649" s="79">
        <v>0</v>
      </c>
    </row>
    <row r="3650" spans="1:3" x14ac:dyDescent="0.25">
      <c r="A3650" s="2">
        <v>0</v>
      </c>
      <c r="B3650" s="38">
        <v>0</v>
      </c>
      <c r="C3650" s="79">
        <v>0</v>
      </c>
    </row>
    <row r="3651" spans="1:3" x14ac:dyDescent="0.25">
      <c r="A3651" s="2">
        <v>0</v>
      </c>
      <c r="B3651" s="38">
        <v>0</v>
      </c>
      <c r="C3651" s="79">
        <v>0</v>
      </c>
    </row>
    <row r="3652" spans="1:3" x14ac:dyDescent="0.25">
      <c r="A3652" s="2">
        <v>0</v>
      </c>
      <c r="B3652" s="38">
        <v>0</v>
      </c>
      <c r="C3652" s="79">
        <v>0</v>
      </c>
    </row>
    <row r="3653" spans="1:3" x14ac:dyDescent="0.25">
      <c r="A3653" s="2">
        <v>0</v>
      </c>
      <c r="B3653" s="38">
        <v>0</v>
      </c>
      <c r="C3653" s="79">
        <v>0</v>
      </c>
    </row>
    <row r="3654" spans="1:3" x14ac:dyDescent="0.25">
      <c r="A3654" s="2">
        <v>0</v>
      </c>
      <c r="B3654" s="38">
        <v>0</v>
      </c>
      <c r="C3654" s="79">
        <v>0</v>
      </c>
    </row>
    <row r="3655" spans="1:3" x14ac:dyDescent="0.25">
      <c r="A3655" s="2">
        <v>0</v>
      </c>
      <c r="B3655" s="38">
        <v>0</v>
      </c>
      <c r="C3655" s="79">
        <v>0</v>
      </c>
    </row>
    <row r="3656" spans="1:3" x14ac:dyDescent="0.25">
      <c r="A3656" s="2">
        <v>0</v>
      </c>
      <c r="B3656" s="38">
        <v>0</v>
      </c>
      <c r="C3656" s="79">
        <v>0</v>
      </c>
    </row>
    <row r="3657" spans="1:3" x14ac:dyDescent="0.25">
      <c r="A3657" s="2">
        <v>0</v>
      </c>
      <c r="B3657" s="38">
        <v>0</v>
      </c>
      <c r="C3657" s="79">
        <v>0</v>
      </c>
    </row>
    <row r="3658" spans="1:3" x14ac:dyDescent="0.25">
      <c r="A3658" s="2">
        <v>0</v>
      </c>
      <c r="B3658" s="38">
        <v>0</v>
      </c>
      <c r="C3658" s="79">
        <v>0</v>
      </c>
    </row>
    <row r="3659" spans="1:3" x14ac:dyDescent="0.25">
      <c r="A3659" s="2">
        <v>0</v>
      </c>
      <c r="B3659" s="38">
        <v>0</v>
      </c>
      <c r="C3659" s="79">
        <v>0</v>
      </c>
    </row>
    <row r="3660" spans="1:3" x14ac:dyDescent="0.25">
      <c r="A3660" s="2">
        <v>0</v>
      </c>
      <c r="B3660" s="38">
        <v>0</v>
      </c>
      <c r="C3660" s="79">
        <v>0</v>
      </c>
    </row>
    <row r="3661" spans="1:3" x14ac:dyDescent="0.25">
      <c r="A3661" s="2">
        <v>0</v>
      </c>
      <c r="B3661" s="38">
        <v>0</v>
      </c>
      <c r="C3661" s="79">
        <v>0</v>
      </c>
    </row>
    <row r="3662" spans="1:3" x14ac:dyDescent="0.25">
      <c r="A3662" s="2">
        <v>0</v>
      </c>
      <c r="B3662" s="38">
        <v>0</v>
      </c>
      <c r="C3662" s="79">
        <v>0</v>
      </c>
    </row>
    <row r="3663" spans="1:3" x14ac:dyDescent="0.25">
      <c r="A3663" s="2">
        <v>0</v>
      </c>
      <c r="B3663" s="38">
        <v>0</v>
      </c>
      <c r="C3663" s="79">
        <v>0</v>
      </c>
    </row>
    <row r="3664" spans="1:3" x14ac:dyDescent="0.25">
      <c r="A3664" s="2">
        <v>0</v>
      </c>
      <c r="B3664" s="38">
        <v>0</v>
      </c>
      <c r="C3664" s="79">
        <v>0</v>
      </c>
    </row>
    <row r="3665" spans="1:3" x14ac:dyDescent="0.25">
      <c r="A3665" s="2">
        <v>0</v>
      </c>
      <c r="B3665" s="38">
        <v>0</v>
      </c>
      <c r="C3665" s="79">
        <v>0</v>
      </c>
    </row>
    <row r="3666" spans="1:3" x14ac:dyDescent="0.25">
      <c r="A3666" s="2">
        <v>0</v>
      </c>
      <c r="B3666" s="38">
        <v>0</v>
      </c>
      <c r="C3666" s="79">
        <v>0</v>
      </c>
    </row>
    <row r="3667" spans="1:3" x14ac:dyDescent="0.25">
      <c r="A3667" s="2">
        <v>0</v>
      </c>
      <c r="B3667" s="38">
        <v>0</v>
      </c>
      <c r="C3667" s="79">
        <v>0</v>
      </c>
    </row>
    <row r="3668" spans="1:3" x14ac:dyDescent="0.25">
      <c r="A3668" s="2">
        <v>0</v>
      </c>
      <c r="B3668" s="38">
        <v>0</v>
      </c>
      <c r="C3668" s="79">
        <v>0</v>
      </c>
    </row>
    <row r="3669" spans="1:3" x14ac:dyDescent="0.25">
      <c r="A3669" s="2">
        <v>0</v>
      </c>
      <c r="B3669" s="38">
        <v>0</v>
      </c>
      <c r="C3669" s="79">
        <v>0</v>
      </c>
    </row>
    <row r="3670" spans="1:3" x14ac:dyDescent="0.25">
      <c r="A3670" s="2">
        <v>0</v>
      </c>
      <c r="B3670" s="38">
        <v>0</v>
      </c>
      <c r="C3670" s="79">
        <v>0</v>
      </c>
    </row>
    <row r="3671" spans="1:3" x14ac:dyDescent="0.25">
      <c r="A3671" s="2">
        <v>0</v>
      </c>
      <c r="B3671" s="38">
        <v>0</v>
      </c>
      <c r="C3671" s="79">
        <v>0</v>
      </c>
    </row>
    <row r="3672" spans="1:3" x14ac:dyDescent="0.25">
      <c r="A3672" s="2">
        <v>0</v>
      </c>
      <c r="B3672" s="38">
        <v>0</v>
      </c>
      <c r="C3672" s="79">
        <v>0</v>
      </c>
    </row>
    <row r="3673" spans="1:3" x14ac:dyDescent="0.25">
      <c r="A3673" s="2">
        <v>0</v>
      </c>
      <c r="B3673" s="38">
        <v>0</v>
      </c>
      <c r="C3673" s="79">
        <v>0</v>
      </c>
    </row>
    <row r="3674" spans="1:3" x14ac:dyDescent="0.25">
      <c r="A3674" s="2">
        <v>0</v>
      </c>
      <c r="B3674" s="38">
        <v>0</v>
      </c>
      <c r="C3674" s="79">
        <v>0</v>
      </c>
    </row>
    <row r="3675" spans="1:3" x14ac:dyDescent="0.25">
      <c r="A3675" s="2">
        <v>0</v>
      </c>
      <c r="B3675" s="38">
        <v>0</v>
      </c>
      <c r="C3675" s="79">
        <v>0</v>
      </c>
    </row>
    <row r="3676" spans="1:3" x14ac:dyDescent="0.25">
      <c r="A3676" s="2">
        <v>0</v>
      </c>
      <c r="B3676" s="38">
        <v>0</v>
      </c>
      <c r="C3676" s="79">
        <v>0</v>
      </c>
    </row>
    <row r="3677" spans="1:3" x14ac:dyDescent="0.25">
      <c r="A3677" s="2">
        <v>0</v>
      </c>
      <c r="B3677" s="38">
        <v>0</v>
      </c>
      <c r="C3677" s="79">
        <v>0</v>
      </c>
    </row>
    <row r="3678" spans="1:3" x14ac:dyDescent="0.25">
      <c r="A3678" s="2">
        <v>0</v>
      </c>
      <c r="B3678" s="38">
        <v>0</v>
      </c>
      <c r="C3678" s="79">
        <v>0</v>
      </c>
    </row>
    <row r="3679" spans="1:3" x14ac:dyDescent="0.25">
      <c r="A3679" s="2">
        <v>0</v>
      </c>
      <c r="B3679" s="38">
        <v>0</v>
      </c>
      <c r="C3679" s="79">
        <v>0</v>
      </c>
    </row>
    <row r="3680" spans="1:3" x14ac:dyDescent="0.25">
      <c r="A3680" s="2">
        <v>0</v>
      </c>
      <c r="B3680" s="38">
        <v>0</v>
      </c>
      <c r="C3680" s="79">
        <v>0</v>
      </c>
    </row>
    <row r="3681" spans="1:3" x14ac:dyDescent="0.25">
      <c r="A3681" s="2">
        <v>0</v>
      </c>
      <c r="B3681" s="38">
        <v>0</v>
      </c>
      <c r="C3681" s="79">
        <v>0</v>
      </c>
    </row>
    <row r="3682" spans="1:3" x14ac:dyDescent="0.25">
      <c r="A3682" s="2">
        <v>0</v>
      </c>
      <c r="B3682" s="38">
        <v>0</v>
      </c>
      <c r="C3682" s="79">
        <v>0</v>
      </c>
    </row>
    <row r="3683" spans="1:3" x14ac:dyDescent="0.25">
      <c r="A3683" s="2">
        <v>0</v>
      </c>
      <c r="B3683" s="38">
        <v>0</v>
      </c>
      <c r="C3683" s="79">
        <v>0</v>
      </c>
    </row>
    <row r="3684" spans="1:3" x14ac:dyDescent="0.25">
      <c r="A3684" s="2">
        <v>0</v>
      </c>
      <c r="B3684" s="38">
        <v>0</v>
      </c>
      <c r="C3684" s="79">
        <v>0</v>
      </c>
    </row>
    <row r="3685" spans="1:3" x14ac:dyDescent="0.25">
      <c r="A3685" s="2">
        <v>0</v>
      </c>
      <c r="B3685" s="38">
        <v>0</v>
      </c>
      <c r="C3685" s="79">
        <v>0</v>
      </c>
    </row>
    <row r="3686" spans="1:3" x14ac:dyDescent="0.25">
      <c r="A3686" s="2">
        <v>0</v>
      </c>
      <c r="B3686" s="38">
        <v>0</v>
      </c>
      <c r="C3686" s="79">
        <v>0</v>
      </c>
    </row>
    <row r="3687" spans="1:3" x14ac:dyDescent="0.25">
      <c r="A3687" s="2">
        <v>0</v>
      </c>
      <c r="B3687" s="38">
        <v>0</v>
      </c>
      <c r="C3687" s="79">
        <v>0</v>
      </c>
    </row>
    <row r="3688" spans="1:3" x14ac:dyDescent="0.25">
      <c r="A3688" s="2">
        <v>0</v>
      </c>
      <c r="B3688" s="38">
        <v>0</v>
      </c>
      <c r="C3688" s="79">
        <v>0</v>
      </c>
    </row>
    <row r="3689" spans="1:3" x14ac:dyDescent="0.25">
      <c r="A3689" s="2">
        <v>0</v>
      </c>
      <c r="B3689" s="38">
        <v>0</v>
      </c>
      <c r="C3689" s="79">
        <v>0</v>
      </c>
    </row>
    <row r="3690" spans="1:3" x14ac:dyDescent="0.25">
      <c r="A3690" s="2">
        <v>0</v>
      </c>
      <c r="B3690" s="38">
        <v>0</v>
      </c>
      <c r="C3690" s="79">
        <v>0</v>
      </c>
    </row>
    <row r="3691" spans="1:3" x14ac:dyDescent="0.25">
      <c r="A3691" s="2">
        <v>0</v>
      </c>
      <c r="B3691" s="38">
        <v>0</v>
      </c>
      <c r="C3691" s="79">
        <v>0</v>
      </c>
    </row>
    <row r="3692" spans="1:3" x14ac:dyDescent="0.25">
      <c r="A3692" s="2">
        <v>0</v>
      </c>
      <c r="B3692" s="38">
        <v>0</v>
      </c>
      <c r="C3692" s="79">
        <v>0</v>
      </c>
    </row>
    <row r="3693" spans="1:3" x14ac:dyDescent="0.25">
      <c r="A3693" s="2">
        <v>0</v>
      </c>
      <c r="B3693" s="38">
        <v>0</v>
      </c>
      <c r="C3693" s="79">
        <v>0</v>
      </c>
    </row>
    <row r="3694" spans="1:3" x14ac:dyDescent="0.25">
      <c r="A3694" s="2">
        <v>0</v>
      </c>
      <c r="B3694" s="38">
        <v>0</v>
      </c>
      <c r="C3694" s="79">
        <v>0</v>
      </c>
    </row>
    <row r="3695" spans="1:3" x14ac:dyDescent="0.25">
      <c r="A3695" s="2">
        <v>0</v>
      </c>
      <c r="B3695" s="38">
        <v>0</v>
      </c>
      <c r="C3695" s="79">
        <v>0</v>
      </c>
    </row>
    <row r="3696" spans="1:3" x14ac:dyDescent="0.25">
      <c r="A3696" s="2">
        <v>0</v>
      </c>
      <c r="B3696" s="38">
        <v>0</v>
      </c>
      <c r="C3696" s="79">
        <v>0</v>
      </c>
    </row>
    <row r="3697" spans="1:3" x14ac:dyDescent="0.25">
      <c r="A3697" s="2">
        <v>0</v>
      </c>
      <c r="B3697" s="38">
        <v>0</v>
      </c>
      <c r="C3697" s="79">
        <v>0</v>
      </c>
    </row>
    <row r="3698" spans="1:3" x14ac:dyDescent="0.25">
      <c r="A3698" s="2">
        <v>0</v>
      </c>
      <c r="B3698" s="38">
        <v>0</v>
      </c>
      <c r="C3698" s="79">
        <v>0</v>
      </c>
    </row>
    <row r="3699" spans="1:3" x14ac:dyDescent="0.25">
      <c r="A3699" s="2">
        <v>0</v>
      </c>
      <c r="B3699" s="38">
        <v>0</v>
      </c>
      <c r="C3699" s="79">
        <v>0</v>
      </c>
    </row>
    <row r="3700" spans="1:3" x14ac:dyDescent="0.25">
      <c r="A3700" s="2">
        <v>0</v>
      </c>
      <c r="B3700" s="38">
        <v>0</v>
      </c>
      <c r="C3700" s="79">
        <v>0</v>
      </c>
    </row>
    <row r="3701" spans="1:3" x14ac:dyDescent="0.25">
      <c r="A3701" s="2">
        <v>0</v>
      </c>
      <c r="B3701" s="38">
        <v>0</v>
      </c>
      <c r="C3701" s="79">
        <v>0</v>
      </c>
    </row>
    <row r="3702" spans="1:3" x14ac:dyDescent="0.25">
      <c r="A3702" s="2">
        <v>0</v>
      </c>
      <c r="B3702" s="38">
        <v>0</v>
      </c>
      <c r="C3702" s="79">
        <v>0</v>
      </c>
    </row>
    <row r="3703" spans="1:3" x14ac:dyDescent="0.25">
      <c r="A3703" s="2">
        <v>0</v>
      </c>
      <c r="B3703" s="38">
        <v>0</v>
      </c>
      <c r="C3703" s="79">
        <v>0</v>
      </c>
    </row>
    <row r="3704" spans="1:3" x14ac:dyDescent="0.25">
      <c r="A3704" s="2">
        <v>0</v>
      </c>
      <c r="B3704" s="38">
        <v>0</v>
      </c>
      <c r="C3704" s="79">
        <v>0</v>
      </c>
    </row>
    <row r="3705" spans="1:3" x14ac:dyDescent="0.25">
      <c r="A3705" s="2">
        <v>0</v>
      </c>
      <c r="B3705" s="38">
        <v>0</v>
      </c>
      <c r="C3705" s="79">
        <v>0</v>
      </c>
    </row>
    <row r="3706" spans="1:3" x14ac:dyDescent="0.25">
      <c r="A3706" s="2">
        <v>0</v>
      </c>
      <c r="B3706" s="38">
        <v>0</v>
      </c>
      <c r="C3706" s="79">
        <v>0</v>
      </c>
    </row>
    <row r="3707" spans="1:3" x14ac:dyDescent="0.25">
      <c r="A3707" s="2">
        <v>0</v>
      </c>
      <c r="B3707" s="38">
        <v>0</v>
      </c>
      <c r="C3707" s="79">
        <v>0</v>
      </c>
    </row>
    <row r="3708" spans="1:3" x14ac:dyDescent="0.25">
      <c r="A3708" s="2">
        <v>0</v>
      </c>
      <c r="B3708" s="38">
        <v>0</v>
      </c>
      <c r="C3708" s="79">
        <v>0</v>
      </c>
    </row>
    <row r="3709" spans="1:3" x14ac:dyDescent="0.25">
      <c r="A3709" s="2">
        <v>0</v>
      </c>
      <c r="B3709" s="38">
        <v>0</v>
      </c>
      <c r="C3709" s="79">
        <v>0</v>
      </c>
    </row>
    <row r="3710" spans="1:3" x14ac:dyDescent="0.25">
      <c r="A3710" s="2">
        <v>0</v>
      </c>
      <c r="B3710" s="38">
        <v>0</v>
      </c>
      <c r="C3710" s="79">
        <v>0</v>
      </c>
    </row>
    <row r="3711" spans="1:3" x14ac:dyDescent="0.25">
      <c r="A3711" s="2">
        <v>0</v>
      </c>
      <c r="B3711" s="38">
        <v>0</v>
      </c>
      <c r="C3711" s="79">
        <v>0</v>
      </c>
    </row>
    <row r="3712" spans="1:3" x14ac:dyDescent="0.25">
      <c r="A3712" s="2">
        <v>0</v>
      </c>
      <c r="B3712" s="38">
        <v>0</v>
      </c>
      <c r="C3712" s="79">
        <v>0</v>
      </c>
    </row>
    <row r="3713" spans="1:3" x14ac:dyDescent="0.25">
      <c r="A3713" s="2">
        <v>0</v>
      </c>
      <c r="B3713" s="38">
        <v>0</v>
      </c>
      <c r="C3713" s="79">
        <v>0</v>
      </c>
    </row>
    <row r="3714" spans="1:3" x14ac:dyDescent="0.25">
      <c r="A3714" s="2">
        <v>0</v>
      </c>
      <c r="B3714" s="38">
        <v>0</v>
      </c>
      <c r="C3714" s="79">
        <v>0</v>
      </c>
    </row>
    <row r="3715" spans="1:3" x14ac:dyDescent="0.25">
      <c r="A3715" s="2">
        <v>0</v>
      </c>
      <c r="B3715" s="38">
        <v>0</v>
      </c>
      <c r="C3715" s="79">
        <v>0</v>
      </c>
    </row>
    <row r="3716" spans="1:3" x14ac:dyDescent="0.25">
      <c r="A3716" s="2">
        <v>0</v>
      </c>
      <c r="B3716" s="38">
        <v>0</v>
      </c>
      <c r="C3716" s="79">
        <v>0</v>
      </c>
    </row>
    <row r="3717" spans="1:3" x14ac:dyDescent="0.25">
      <c r="A3717" s="2">
        <v>0</v>
      </c>
      <c r="B3717" s="38">
        <v>0</v>
      </c>
      <c r="C3717" s="79">
        <v>0</v>
      </c>
    </row>
    <row r="3718" spans="1:3" x14ac:dyDescent="0.25">
      <c r="A3718" s="2">
        <v>0</v>
      </c>
      <c r="B3718" s="38">
        <v>0</v>
      </c>
      <c r="C3718" s="79">
        <v>0</v>
      </c>
    </row>
    <row r="3719" spans="1:3" x14ac:dyDescent="0.25">
      <c r="A3719" s="2">
        <v>0</v>
      </c>
      <c r="B3719" s="38">
        <v>0</v>
      </c>
      <c r="C3719" s="79">
        <v>0</v>
      </c>
    </row>
    <row r="3720" spans="1:3" x14ac:dyDescent="0.25">
      <c r="A3720" s="2">
        <v>0</v>
      </c>
      <c r="B3720" s="38">
        <v>0</v>
      </c>
      <c r="C3720" s="79">
        <v>0</v>
      </c>
    </row>
    <row r="3721" spans="1:3" x14ac:dyDescent="0.25">
      <c r="A3721" s="2">
        <v>0</v>
      </c>
      <c r="B3721" s="38">
        <v>0</v>
      </c>
      <c r="C3721" s="79">
        <v>0</v>
      </c>
    </row>
    <row r="3722" spans="1:3" x14ac:dyDescent="0.25">
      <c r="A3722" s="2">
        <v>0</v>
      </c>
      <c r="B3722" s="38">
        <v>0</v>
      </c>
      <c r="C3722" s="79">
        <v>0</v>
      </c>
    </row>
    <row r="3723" spans="1:3" x14ac:dyDescent="0.25">
      <c r="A3723" s="2">
        <v>0</v>
      </c>
      <c r="B3723" s="38">
        <v>0</v>
      </c>
      <c r="C3723" s="79">
        <v>0</v>
      </c>
    </row>
    <row r="3724" spans="1:3" x14ac:dyDescent="0.25">
      <c r="A3724" s="2">
        <v>0</v>
      </c>
      <c r="B3724" s="38">
        <v>0</v>
      </c>
      <c r="C3724" s="79">
        <v>0</v>
      </c>
    </row>
    <row r="3725" spans="1:3" x14ac:dyDescent="0.25">
      <c r="A3725" s="2">
        <v>0</v>
      </c>
      <c r="B3725" s="38">
        <v>0</v>
      </c>
      <c r="C3725" s="79">
        <v>0</v>
      </c>
    </row>
    <row r="3726" spans="1:3" x14ac:dyDescent="0.25">
      <c r="A3726" s="2">
        <v>0</v>
      </c>
      <c r="B3726" s="38">
        <v>0</v>
      </c>
      <c r="C3726" s="79">
        <v>0</v>
      </c>
    </row>
    <row r="3727" spans="1:3" x14ac:dyDescent="0.25">
      <c r="A3727" s="2">
        <v>0</v>
      </c>
      <c r="B3727" s="38">
        <v>0</v>
      </c>
      <c r="C3727" s="79">
        <v>0</v>
      </c>
    </row>
    <row r="3728" spans="1:3" x14ac:dyDescent="0.25">
      <c r="A3728" s="2">
        <v>0</v>
      </c>
      <c r="B3728" s="38">
        <v>0</v>
      </c>
      <c r="C3728" s="79">
        <v>0</v>
      </c>
    </row>
    <row r="3729" spans="1:3" x14ac:dyDescent="0.25">
      <c r="A3729" s="2">
        <v>0</v>
      </c>
      <c r="B3729" s="38">
        <v>0</v>
      </c>
      <c r="C3729" s="79">
        <v>0</v>
      </c>
    </row>
    <row r="3730" spans="1:3" x14ac:dyDescent="0.25">
      <c r="A3730" s="2">
        <v>0</v>
      </c>
      <c r="B3730" s="38">
        <v>0</v>
      </c>
      <c r="C3730" s="79">
        <v>0</v>
      </c>
    </row>
    <row r="3731" spans="1:3" x14ac:dyDescent="0.25">
      <c r="A3731" s="2">
        <v>0</v>
      </c>
      <c r="B3731" s="38">
        <v>0</v>
      </c>
      <c r="C3731" s="79">
        <v>0</v>
      </c>
    </row>
    <row r="3732" spans="1:3" x14ac:dyDescent="0.25">
      <c r="A3732" s="2">
        <v>0</v>
      </c>
      <c r="B3732" s="38">
        <v>0</v>
      </c>
      <c r="C3732" s="79">
        <v>0</v>
      </c>
    </row>
    <row r="3733" spans="1:3" x14ac:dyDescent="0.25">
      <c r="A3733" s="2">
        <v>0</v>
      </c>
      <c r="B3733" s="38">
        <v>0</v>
      </c>
      <c r="C3733" s="79">
        <v>0</v>
      </c>
    </row>
    <row r="3734" spans="1:3" x14ac:dyDescent="0.25">
      <c r="A3734" s="2">
        <v>0</v>
      </c>
      <c r="B3734" s="38">
        <v>0</v>
      </c>
      <c r="C3734" s="79">
        <v>0</v>
      </c>
    </row>
    <row r="3735" spans="1:3" x14ac:dyDescent="0.25">
      <c r="A3735" s="2">
        <v>0</v>
      </c>
      <c r="B3735" s="38">
        <v>0</v>
      </c>
      <c r="C3735" s="79">
        <v>0</v>
      </c>
    </row>
    <row r="3736" spans="1:3" x14ac:dyDescent="0.25">
      <c r="A3736" s="2">
        <v>0</v>
      </c>
      <c r="B3736" s="38">
        <v>0</v>
      </c>
      <c r="C3736" s="79">
        <v>0</v>
      </c>
    </row>
    <row r="3737" spans="1:3" x14ac:dyDescent="0.25">
      <c r="A3737" s="2">
        <v>0</v>
      </c>
      <c r="B3737" s="38">
        <v>0</v>
      </c>
      <c r="C3737" s="79">
        <v>0</v>
      </c>
    </row>
    <row r="3738" spans="1:3" x14ac:dyDescent="0.25">
      <c r="A3738" s="2">
        <v>0</v>
      </c>
      <c r="B3738" s="38">
        <v>0</v>
      </c>
      <c r="C3738" s="79">
        <v>0</v>
      </c>
    </row>
    <row r="3739" spans="1:3" x14ac:dyDescent="0.25">
      <c r="A3739" s="2">
        <v>0</v>
      </c>
      <c r="B3739" s="38">
        <v>0</v>
      </c>
      <c r="C3739" s="79">
        <v>0</v>
      </c>
    </row>
    <row r="3740" spans="1:3" x14ac:dyDescent="0.25">
      <c r="A3740" s="2">
        <v>0</v>
      </c>
      <c r="B3740" s="38">
        <v>0</v>
      </c>
      <c r="C3740" s="79">
        <v>0</v>
      </c>
    </row>
    <row r="3741" spans="1:3" x14ac:dyDescent="0.25">
      <c r="A3741" s="2">
        <v>0</v>
      </c>
      <c r="B3741" s="38">
        <v>0</v>
      </c>
      <c r="C3741" s="79">
        <v>0</v>
      </c>
    </row>
    <row r="3742" spans="1:3" x14ac:dyDescent="0.25">
      <c r="A3742" s="2">
        <v>0</v>
      </c>
      <c r="B3742" s="38">
        <v>0</v>
      </c>
      <c r="C3742" s="79">
        <v>0</v>
      </c>
    </row>
    <row r="3743" spans="1:3" x14ac:dyDescent="0.25">
      <c r="A3743" s="2">
        <v>0</v>
      </c>
      <c r="B3743" s="38">
        <v>0</v>
      </c>
      <c r="C3743" s="79">
        <v>0</v>
      </c>
    </row>
    <row r="3744" spans="1:3" x14ac:dyDescent="0.25">
      <c r="A3744" s="2">
        <v>0</v>
      </c>
      <c r="B3744" s="38">
        <v>0</v>
      </c>
      <c r="C3744" s="79">
        <v>0</v>
      </c>
    </row>
    <row r="3745" spans="1:3" x14ac:dyDescent="0.25">
      <c r="A3745" s="2">
        <v>0</v>
      </c>
      <c r="B3745" s="38">
        <v>0</v>
      </c>
      <c r="C3745" s="79">
        <v>0</v>
      </c>
    </row>
    <row r="3746" spans="1:3" x14ac:dyDescent="0.25">
      <c r="A3746" s="2">
        <v>0</v>
      </c>
      <c r="B3746" s="38">
        <v>0</v>
      </c>
      <c r="C3746" s="79">
        <v>0</v>
      </c>
    </row>
    <row r="3747" spans="1:3" x14ac:dyDescent="0.25">
      <c r="A3747" s="2">
        <v>0</v>
      </c>
      <c r="B3747" s="38">
        <v>0</v>
      </c>
      <c r="C3747" s="79">
        <v>0</v>
      </c>
    </row>
    <row r="3748" spans="1:3" x14ac:dyDescent="0.25">
      <c r="A3748" s="2">
        <v>0</v>
      </c>
      <c r="B3748" s="38">
        <v>0</v>
      </c>
      <c r="C3748" s="79">
        <v>0</v>
      </c>
    </row>
    <row r="3749" spans="1:3" x14ac:dyDescent="0.25">
      <c r="A3749" s="2">
        <v>0</v>
      </c>
      <c r="B3749" s="38">
        <v>0</v>
      </c>
      <c r="C3749" s="79">
        <v>0</v>
      </c>
    </row>
    <row r="3750" spans="1:3" x14ac:dyDescent="0.25">
      <c r="A3750" s="2">
        <v>0</v>
      </c>
      <c r="B3750" s="38">
        <v>0</v>
      </c>
      <c r="C3750" s="79">
        <v>0</v>
      </c>
    </row>
    <row r="3751" spans="1:3" x14ac:dyDescent="0.25">
      <c r="A3751" s="2">
        <v>0</v>
      </c>
      <c r="B3751" s="38">
        <v>0</v>
      </c>
      <c r="C3751" s="79">
        <v>0</v>
      </c>
    </row>
    <row r="3752" spans="1:3" x14ac:dyDescent="0.25">
      <c r="A3752" s="2">
        <v>0</v>
      </c>
      <c r="B3752" s="38">
        <v>0</v>
      </c>
      <c r="C3752" s="79">
        <v>0</v>
      </c>
    </row>
    <row r="3753" spans="1:3" x14ac:dyDescent="0.25">
      <c r="A3753" s="2">
        <v>0</v>
      </c>
      <c r="B3753" s="38">
        <v>0</v>
      </c>
      <c r="C3753" s="79">
        <v>0</v>
      </c>
    </row>
    <row r="3754" spans="1:3" x14ac:dyDescent="0.25">
      <c r="A3754" s="2">
        <v>0</v>
      </c>
      <c r="B3754" s="38">
        <v>0</v>
      </c>
      <c r="C3754" s="79">
        <v>0</v>
      </c>
    </row>
    <row r="3755" spans="1:3" x14ac:dyDescent="0.25">
      <c r="A3755" s="2">
        <v>0</v>
      </c>
      <c r="B3755" s="38">
        <v>0</v>
      </c>
      <c r="C3755" s="79">
        <v>0</v>
      </c>
    </row>
    <row r="3756" spans="1:3" x14ac:dyDescent="0.25">
      <c r="A3756" s="2">
        <v>0</v>
      </c>
      <c r="B3756" s="38">
        <v>0</v>
      </c>
      <c r="C3756" s="79">
        <v>0</v>
      </c>
    </row>
    <row r="3757" spans="1:3" x14ac:dyDescent="0.25">
      <c r="A3757" s="2">
        <v>0</v>
      </c>
      <c r="B3757" s="38">
        <v>0</v>
      </c>
      <c r="C3757" s="79">
        <v>0</v>
      </c>
    </row>
    <row r="3758" spans="1:3" x14ac:dyDescent="0.25">
      <c r="A3758" s="2">
        <v>0</v>
      </c>
      <c r="B3758" s="38">
        <v>0</v>
      </c>
      <c r="C3758" s="79">
        <v>0</v>
      </c>
    </row>
    <row r="3759" spans="1:3" x14ac:dyDescent="0.25">
      <c r="A3759" s="2">
        <v>0</v>
      </c>
      <c r="B3759" s="38">
        <v>0</v>
      </c>
      <c r="C3759" s="79">
        <v>0</v>
      </c>
    </row>
    <row r="3760" spans="1:3" x14ac:dyDescent="0.25">
      <c r="A3760" s="2">
        <v>0</v>
      </c>
      <c r="B3760" s="38">
        <v>0</v>
      </c>
      <c r="C3760" s="79">
        <v>0</v>
      </c>
    </row>
    <row r="3761" spans="1:3" x14ac:dyDescent="0.25">
      <c r="A3761" s="2">
        <v>0</v>
      </c>
      <c r="B3761" s="38">
        <v>0</v>
      </c>
      <c r="C3761" s="79">
        <v>0</v>
      </c>
    </row>
    <row r="3762" spans="1:3" x14ac:dyDescent="0.25">
      <c r="A3762" s="2">
        <v>0</v>
      </c>
      <c r="B3762" s="38">
        <v>0</v>
      </c>
      <c r="C3762" s="79">
        <v>0</v>
      </c>
    </row>
    <row r="3763" spans="1:3" x14ac:dyDescent="0.25">
      <c r="A3763" s="2">
        <v>0</v>
      </c>
      <c r="B3763" s="38">
        <v>0</v>
      </c>
      <c r="C3763" s="79">
        <v>0</v>
      </c>
    </row>
    <row r="3764" spans="1:3" x14ac:dyDescent="0.25">
      <c r="A3764" s="2">
        <v>0</v>
      </c>
      <c r="B3764" s="38">
        <v>0</v>
      </c>
      <c r="C3764" s="79">
        <v>0</v>
      </c>
    </row>
    <row r="3765" spans="1:3" x14ac:dyDescent="0.25">
      <c r="A3765" s="2">
        <v>0</v>
      </c>
      <c r="B3765" s="38">
        <v>0</v>
      </c>
      <c r="C3765" s="79">
        <v>0</v>
      </c>
    </row>
    <row r="3766" spans="1:3" x14ac:dyDescent="0.25">
      <c r="A3766" s="2">
        <v>0</v>
      </c>
      <c r="B3766" s="38">
        <v>0</v>
      </c>
      <c r="C3766" s="79">
        <v>0</v>
      </c>
    </row>
    <row r="3767" spans="1:3" x14ac:dyDescent="0.25">
      <c r="A3767" s="2">
        <v>0</v>
      </c>
      <c r="B3767" s="38">
        <v>0</v>
      </c>
      <c r="C3767" s="79">
        <v>0</v>
      </c>
    </row>
    <row r="3768" spans="1:3" x14ac:dyDescent="0.25">
      <c r="A3768" s="2">
        <v>0</v>
      </c>
      <c r="B3768" s="38">
        <v>0</v>
      </c>
      <c r="C3768" s="79">
        <v>0</v>
      </c>
    </row>
    <row r="3769" spans="1:3" x14ac:dyDescent="0.25">
      <c r="A3769" s="2">
        <v>0</v>
      </c>
      <c r="B3769" s="38">
        <v>0</v>
      </c>
      <c r="C3769" s="79">
        <v>0</v>
      </c>
    </row>
    <row r="3770" spans="1:3" x14ac:dyDescent="0.25">
      <c r="A3770" s="2">
        <v>0</v>
      </c>
      <c r="B3770" s="38">
        <v>0</v>
      </c>
      <c r="C3770" s="79">
        <v>0</v>
      </c>
    </row>
    <row r="3771" spans="1:3" x14ac:dyDescent="0.25">
      <c r="A3771" s="2">
        <v>0</v>
      </c>
      <c r="B3771" s="38">
        <v>0</v>
      </c>
      <c r="C3771" s="79">
        <v>0</v>
      </c>
    </row>
    <row r="3772" spans="1:3" x14ac:dyDescent="0.25">
      <c r="A3772" s="2">
        <v>0</v>
      </c>
      <c r="B3772" s="38">
        <v>0</v>
      </c>
      <c r="C3772" s="79">
        <v>0</v>
      </c>
    </row>
    <row r="3773" spans="1:3" x14ac:dyDescent="0.25">
      <c r="A3773" s="2">
        <v>0</v>
      </c>
      <c r="B3773" s="38">
        <v>0</v>
      </c>
      <c r="C3773" s="79">
        <v>0</v>
      </c>
    </row>
    <row r="3774" spans="1:3" x14ac:dyDescent="0.25">
      <c r="A3774" s="2">
        <v>0</v>
      </c>
      <c r="B3774" s="38">
        <v>0</v>
      </c>
      <c r="C3774" s="79">
        <v>0</v>
      </c>
    </row>
    <row r="3775" spans="1:3" x14ac:dyDescent="0.25">
      <c r="A3775" s="2">
        <v>0</v>
      </c>
      <c r="B3775" s="38">
        <v>0</v>
      </c>
      <c r="C3775" s="79">
        <v>0</v>
      </c>
    </row>
    <row r="3776" spans="1:3" x14ac:dyDescent="0.25">
      <c r="A3776" s="2">
        <v>0</v>
      </c>
      <c r="B3776" s="38">
        <v>0</v>
      </c>
      <c r="C3776" s="79">
        <v>0</v>
      </c>
    </row>
    <row r="3777" spans="1:3" x14ac:dyDescent="0.25">
      <c r="A3777" s="2">
        <v>0</v>
      </c>
      <c r="B3777" s="38">
        <v>0</v>
      </c>
      <c r="C3777" s="79">
        <v>0</v>
      </c>
    </row>
    <row r="3778" spans="1:3" x14ac:dyDescent="0.25">
      <c r="A3778" s="2">
        <v>0</v>
      </c>
      <c r="B3778" s="38">
        <v>0</v>
      </c>
      <c r="C3778" s="79">
        <v>0</v>
      </c>
    </row>
    <row r="3779" spans="1:3" x14ac:dyDescent="0.25">
      <c r="A3779" s="2">
        <v>0</v>
      </c>
      <c r="B3779" s="38">
        <v>0</v>
      </c>
      <c r="C3779" s="79">
        <v>0</v>
      </c>
    </row>
    <row r="3780" spans="1:3" x14ac:dyDescent="0.25">
      <c r="A3780" s="2">
        <v>0</v>
      </c>
      <c r="B3780" s="38">
        <v>0</v>
      </c>
      <c r="C3780" s="79">
        <v>0</v>
      </c>
    </row>
    <row r="3781" spans="1:3" x14ac:dyDescent="0.25">
      <c r="A3781" s="2">
        <v>0</v>
      </c>
      <c r="B3781" s="38">
        <v>0</v>
      </c>
      <c r="C3781" s="79">
        <v>0</v>
      </c>
    </row>
    <row r="3782" spans="1:3" x14ac:dyDescent="0.25">
      <c r="A3782" s="2">
        <v>0</v>
      </c>
      <c r="B3782" s="38">
        <v>0</v>
      </c>
      <c r="C3782" s="79">
        <v>0</v>
      </c>
    </row>
    <row r="3783" spans="1:3" x14ac:dyDescent="0.25">
      <c r="A3783" s="2">
        <v>0</v>
      </c>
      <c r="B3783" s="38">
        <v>0</v>
      </c>
      <c r="C3783" s="79">
        <v>0</v>
      </c>
    </row>
    <row r="3784" spans="1:3" x14ac:dyDescent="0.25">
      <c r="A3784" s="2">
        <v>0</v>
      </c>
      <c r="B3784" s="38">
        <v>0</v>
      </c>
      <c r="C3784" s="79">
        <v>0</v>
      </c>
    </row>
    <row r="3785" spans="1:3" x14ac:dyDescent="0.25">
      <c r="A3785" s="2">
        <v>0</v>
      </c>
      <c r="B3785" s="38">
        <v>0</v>
      </c>
      <c r="C3785" s="79">
        <v>0</v>
      </c>
    </row>
    <row r="3786" spans="1:3" x14ac:dyDescent="0.25">
      <c r="A3786" s="2">
        <v>0</v>
      </c>
      <c r="B3786" s="38">
        <v>0</v>
      </c>
      <c r="C3786" s="79">
        <v>0</v>
      </c>
    </row>
    <row r="3787" spans="1:3" x14ac:dyDescent="0.25">
      <c r="A3787" s="2">
        <v>0</v>
      </c>
      <c r="B3787" s="38">
        <v>0</v>
      </c>
      <c r="C3787" s="79">
        <v>0</v>
      </c>
    </row>
    <row r="3788" spans="1:3" x14ac:dyDescent="0.25">
      <c r="A3788" s="2">
        <v>0</v>
      </c>
      <c r="B3788" s="38">
        <v>0</v>
      </c>
      <c r="C3788" s="79">
        <v>0</v>
      </c>
    </row>
    <row r="3789" spans="1:3" x14ac:dyDescent="0.25">
      <c r="A3789" s="2">
        <v>0</v>
      </c>
      <c r="B3789" s="38">
        <v>0</v>
      </c>
      <c r="C3789" s="79">
        <v>0</v>
      </c>
    </row>
    <row r="3790" spans="1:3" x14ac:dyDescent="0.25">
      <c r="A3790" s="2">
        <v>0</v>
      </c>
      <c r="B3790" s="38">
        <v>0</v>
      </c>
      <c r="C3790" s="79">
        <v>0</v>
      </c>
    </row>
    <row r="3791" spans="1:3" x14ac:dyDescent="0.25">
      <c r="A3791" s="2">
        <v>0</v>
      </c>
      <c r="B3791" s="38">
        <v>0</v>
      </c>
      <c r="C3791" s="79">
        <v>0</v>
      </c>
    </row>
    <row r="3792" spans="1:3" x14ac:dyDescent="0.25">
      <c r="A3792" s="2">
        <v>0</v>
      </c>
      <c r="B3792" s="38">
        <v>0</v>
      </c>
      <c r="C3792" s="79">
        <v>0</v>
      </c>
    </row>
    <row r="3793" spans="1:3" x14ac:dyDescent="0.25">
      <c r="A3793" s="2">
        <v>0</v>
      </c>
      <c r="B3793" s="38">
        <v>0</v>
      </c>
      <c r="C3793" s="79">
        <v>0</v>
      </c>
    </row>
    <row r="3794" spans="1:3" x14ac:dyDescent="0.25">
      <c r="A3794" s="2">
        <v>0</v>
      </c>
      <c r="B3794" s="38">
        <v>0</v>
      </c>
      <c r="C3794" s="79">
        <v>0</v>
      </c>
    </row>
    <row r="3795" spans="1:3" x14ac:dyDescent="0.25">
      <c r="A3795" s="2">
        <v>0</v>
      </c>
      <c r="B3795" s="38">
        <v>0</v>
      </c>
      <c r="C3795" s="79">
        <v>0</v>
      </c>
    </row>
    <row r="3796" spans="1:3" x14ac:dyDescent="0.25">
      <c r="A3796" s="2">
        <v>0</v>
      </c>
      <c r="B3796" s="38">
        <v>0</v>
      </c>
      <c r="C3796" s="79">
        <v>0</v>
      </c>
    </row>
    <row r="3797" spans="1:3" x14ac:dyDescent="0.25">
      <c r="A3797" s="2">
        <v>0</v>
      </c>
      <c r="B3797" s="38">
        <v>0</v>
      </c>
      <c r="C3797" s="79">
        <v>0</v>
      </c>
    </row>
    <row r="3798" spans="1:3" x14ac:dyDescent="0.25">
      <c r="A3798" s="2">
        <v>0</v>
      </c>
      <c r="B3798" s="38">
        <v>0</v>
      </c>
      <c r="C3798" s="79">
        <v>0</v>
      </c>
    </row>
    <row r="3799" spans="1:3" x14ac:dyDescent="0.25">
      <c r="A3799" s="2">
        <v>0</v>
      </c>
      <c r="B3799" s="38">
        <v>0</v>
      </c>
      <c r="C3799" s="79">
        <v>0</v>
      </c>
    </row>
    <row r="3800" spans="1:3" x14ac:dyDescent="0.25">
      <c r="A3800" s="2">
        <v>0</v>
      </c>
      <c r="B3800" s="38">
        <v>0</v>
      </c>
      <c r="C3800" s="79">
        <v>0</v>
      </c>
    </row>
    <row r="3801" spans="1:3" x14ac:dyDescent="0.25">
      <c r="A3801" s="2">
        <v>0</v>
      </c>
      <c r="B3801" s="38">
        <v>0</v>
      </c>
      <c r="C3801" s="79">
        <v>0</v>
      </c>
    </row>
    <row r="3802" spans="1:3" x14ac:dyDescent="0.25">
      <c r="A3802" s="2">
        <v>0</v>
      </c>
      <c r="B3802" s="38">
        <v>0</v>
      </c>
      <c r="C3802" s="79">
        <v>0</v>
      </c>
    </row>
    <row r="3803" spans="1:3" x14ac:dyDescent="0.25">
      <c r="A3803" s="2">
        <v>0</v>
      </c>
      <c r="B3803" s="38">
        <v>0</v>
      </c>
      <c r="C3803" s="79">
        <v>0</v>
      </c>
    </row>
    <row r="3804" spans="1:3" x14ac:dyDescent="0.25">
      <c r="A3804" s="2">
        <v>0</v>
      </c>
      <c r="B3804" s="38">
        <v>0</v>
      </c>
      <c r="C3804" s="79">
        <v>0</v>
      </c>
    </row>
    <row r="3805" spans="1:3" x14ac:dyDescent="0.25">
      <c r="A3805" s="2">
        <v>0</v>
      </c>
      <c r="B3805" s="38">
        <v>0</v>
      </c>
      <c r="C3805" s="79">
        <v>0</v>
      </c>
    </row>
    <row r="3806" spans="1:3" x14ac:dyDescent="0.25">
      <c r="A3806" s="2">
        <v>0</v>
      </c>
      <c r="B3806" s="38">
        <v>0</v>
      </c>
      <c r="C3806" s="79">
        <v>0</v>
      </c>
    </row>
    <row r="3807" spans="1:3" x14ac:dyDescent="0.25">
      <c r="A3807" s="2">
        <v>0</v>
      </c>
      <c r="B3807" s="38">
        <v>0</v>
      </c>
      <c r="C3807" s="79">
        <v>0</v>
      </c>
    </row>
    <row r="3808" spans="1:3" x14ac:dyDescent="0.25">
      <c r="A3808" s="2">
        <v>0</v>
      </c>
      <c r="B3808" s="38">
        <v>0</v>
      </c>
      <c r="C3808" s="79">
        <v>0</v>
      </c>
    </row>
    <row r="3809" spans="1:3" x14ac:dyDescent="0.25">
      <c r="A3809" s="2">
        <v>0</v>
      </c>
      <c r="B3809" s="38">
        <v>0</v>
      </c>
      <c r="C3809" s="79">
        <v>0</v>
      </c>
    </row>
    <row r="3810" spans="1:3" x14ac:dyDescent="0.25">
      <c r="A3810" s="2">
        <v>0</v>
      </c>
      <c r="B3810" s="38">
        <v>0</v>
      </c>
      <c r="C3810" s="79">
        <v>0</v>
      </c>
    </row>
    <row r="3811" spans="1:3" x14ac:dyDescent="0.25">
      <c r="A3811" s="2">
        <v>0</v>
      </c>
      <c r="B3811" s="38">
        <v>0</v>
      </c>
      <c r="C3811" s="79">
        <v>0</v>
      </c>
    </row>
    <row r="3812" spans="1:3" x14ac:dyDescent="0.25">
      <c r="A3812" s="2">
        <v>0</v>
      </c>
      <c r="B3812" s="38">
        <v>0</v>
      </c>
      <c r="C3812" s="79">
        <v>0</v>
      </c>
    </row>
    <row r="3813" spans="1:3" x14ac:dyDescent="0.25">
      <c r="A3813" s="2">
        <v>0</v>
      </c>
      <c r="B3813" s="38">
        <v>0</v>
      </c>
      <c r="C3813" s="79">
        <v>0</v>
      </c>
    </row>
    <row r="3814" spans="1:3" x14ac:dyDescent="0.25">
      <c r="A3814" s="2">
        <v>0</v>
      </c>
      <c r="B3814" s="38">
        <v>0</v>
      </c>
      <c r="C3814" s="79">
        <v>0</v>
      </c>
    </row>
    <row r="3815" spans="1:3" x14ac:dyDescent="0.25">
      <c r="A3815" s="2">
        <v>0</v>
      </c>
      <c r="B3815" s="38">
        <v>0</v>
      </c>
      <c r="C3815" s="79">
        <v>0</v>
      </c>
    </row>
    <row r="3816" spans="1:3" x14ac:dyDescent="0.25">
      <c r="A3816" s="2">
        <v>0</v>
      </c>
      <c r="B3816" s="38">
        <v>0</v>
      </c>
      <c r="C3816" s="79">
        <v>0</v>
      </c>
    </row>
    <row r="3817" spans="1:3" x14ac:dyDescent="0.25">
      <c r="A3817" s="2">
        <v>0</v>
      </c>
      <c r="B3817" s="38">
        <v>0</v>
      </c>
      <c r="C3817" s="79">
        <v>0</v>
      </c>
    </row>
    <row r="3818" spans="1:3" x14ac:dyDescent="0.25">
      <c r="A3818" s="2">
        <v>0</v>
      </c>
      <c r="B3818" s="38">
        <v>0</v>
      </c>
      <c r="C3818" s="79">
        <v>0</v>
      </c>
    </row>
    <row r="3819" spans="1:3" x14ac:dyDescent="0.25">
      <c r="A3819" s="2">
        <v>0</v>
      </c>
      <c r="B3819" s="38">
        <v>0</v>
      </c>
      <c r="C3819" s="79">
        <v>0</v>
      </c>
    </row>
    <row r="3820" spans="1:3" x14ac:dyDescent="0.25">
      <c r="A3820" s="2">
        <v>0</v>
      </c>
      <c r="B3820" s="38">
        <v>0</v>
      </c>
      <c r="C3820" s="79">
        <v>0</v>
      </c>
    </row>
    <row r="3821" spans="1:3" x14ac:dyDescent="0.25">
      <c r="A3821" s="2">
        <v>0</v>
      </c>
      <c r="B3821" s="38">
        <v>0</v>
      </c>
      <c r="C3821" s="79">
        <v>0</v>
      </c>
    </row>
    <row r="3822" spans="1:3" x14ac:dyDescent="0.25">
      <c r="A3822" s="2">
        <v>0</v>
      </c>
      <c r="B3822" s="38">
        <v>0</v>
      </c>
      <c r="C3822" s="79">
        <v>0</v>
      </c>
    </row>
    <row r="3823" spans="1:3" x14ac:dyDescent="0.25">
      <c r="A3823" s="2">
        <v>0</v>
      </c>
      <c r="B3823" s="38">
        <v>0</v>
      </c>
      <c r="C3823" s="79">
        <v>0</v>
      </c>
    </row>
    <row r="3824" spans="1:3" x14ac:dyDescent="0.25">
      <c r="A3824" s="2">
        <v>0</v>
      </c>
      <c r="B3824" s="38">
        <v>0</v>
      </c>
      <c r="C3824" s="79">
        <v>0</v>
      </c>
    </row>
    <row r="3825" spans="1:3" x14ac:dyDescent="0.25">
      <c r="A3825" s="2">
        <v>0</v>
      </c>
      <c r="B3825" s="38">
        <v>0</v>
      </c>
      <c r="C3825" s="79">
        <v>0</v>
      </c>
    </row>
    <row r="3826" spans="1:3" x14ac:dyDescent="0.25">
      <c r="A3826" s="2">
        <v>0</v>
      </c>
      <c r="B3826" s="38">
        <v>0</v>
      </c>
      <c r="C3826" s="79">
        <v>0</v>
      </c>
    </row>
    <row r="3827" spans="1:3" x14ac:dyDescent="0.25">
      <c r="A3827" s="2">
        <v>0</v>
      </c>
      <c r="B3827" s="38">
        <v>0</v>
      </c>
      <c r="C3827" s="79">
        <v>0</v>
      </c>
    </row>
    <row r="3828" spans="1:3" x14ac:dyDescent="0.25">
      <c r="A3828" s="2">
        <v>0</v>
      </c>
      <c r="B3828" s="38">
        <v>0</v>
      </c>
      <c r="C3828" s="79">
        <v>0</v>
      </c>
    </row>
    <row r="3829" spans="1:3" x14ac:dyDescent="0.25">
      <c r="A3829" s="2">
        <v>0</v>
      </c>
      <c r="B3829" s="38">
        <v>0</v>
      </c>
      <c r="C3829" s="79">
        <v>0</v>
      </c>
    </row>
    <row r="3830" spans="1:3" x14ac:dyDescent="0.25">
      <c r="A3830" s="2">
        <v>0</v>
      </c>
      <c r="B3830" s="38">
        <v>0</v>
      </c>
      <c r="C3830" s="79">
        <v>0</v>
      </c>
    </row>
    <row r="3831" spans="1:3" x14ac:dyDescent="0.25">
      <c r="A3831" s="2">
        <v>0</v>
      </c>
      <c r="B3831" s="38">
        <v>0</v>
      </c>
      <c r="C3831" s="79">
        <v>0</v>
      </c>
    </row>
    <row r="3832" spans="1:3" x14ac:dyDescent="0.25">
      <c r="A3832" s="2">
        <v>0</v>
      </c>
      <c r="B3832" s="38">
        <v>0</v>
      </c>
      <c r="C3832" s="79">
        <v>0</v>
      </c>
    </row>
    <row r="3833" spans="1:3" x14ac:dyDescent="0.25">
      <c r="A3833" s="2">
        <v>0</v>
      </c>
      <c r="B3833" s="38">
        <v>0</v>
      </c>
      <c r="C3833" s="79">
        <v>0</v>
      </c>
    </row>
    <row r="3834" spans="1:3" x14ac:dyDescent="0.25">
      <c r="A3834" s="2">
        <v>0</v>
      </c>
      <c r="B3834" s="38">
        <v>0</v>
      </c>
      <c r="C3834" s="79">
        <v>0</v>
      </c>
    </row>
    <row r="3835" spans="1:3" x14ac:dyDescent="0.25">
      <c r="A3835" s="2">
        <v>0</v>
      </c>
      <c r="B3835" s="38">
        <v>0</v>
      </c>
      <c r="C3835" s="79">
        <v>0</v>
      </c>
    </row>
    <row r="3836" spans="1:3" x14ac:dyDescent="0.25">
      <c r="A3836" s="2">
        <v>0</v>
      </c>
      <c r="B3836" s="38">
        <v>0</v>
      </c>
      <c r="C3836" s="79">
        <v>0</v>
      </c>
    </row>
    <row r="3837" spans="1:3" x14ac:dyDescent="0.25">
      <c r="A3837" s="2">
        <v>0</v>
      </c>
      <c r="B3837" s="38">
        <v>0</v>
      </c>
      <c r="C3837" s="79">
        <v>0</v>
      </c>
    </row>
    <row r="3838" spans="1:3" x14ac:dyDescent="0.25">
      <c r="A3838" s="2">
        <v>0</v>
      </c>
      <c r="B3838" s="38">
        <v>0</v>
      </c>
      <c r="C3838" s="79">
        <v>0</v>
      </c>
    </row>
    <row r="3839" spans="1:3" x14ac:dyDescent="0.25">
      <c r="A3839" s="2">
        <v>0</v>
      </c>
      <c r="B3839" s="38">
        <v>0</v>
      </c>
      <c r="C3839" s="79">
        <v>0</v>
      </c>
    </row>
    <row r="3840" spans="1:3" x14ac:dyDescent="0.25">
      <c r="A3840" s="2">
        <v>0</v>
      </c>
      <c r="B3840" s="38">
        <v>0</v>
      </c>
      <c r="C3840" s="79">
        <v>0</v>
      </c>
    </row>
    <row r="3841" spans="1:3" x14ac:dyDescent="0.25">
      <c r="A3841" s="2">
        <v>0</v>
      </c>
      <c r="B3841" s="38">
        <v>0</v>
      </c>
      <c r="C3841" s="79">
        <v>0</v>
      </c>
    </row>
    <row r="3842" spans="1:3" x14ac:dyDescent="0.25">
      <c r="A3842" s="2">
        <v>0</v>
      </c>
      <c r="B3842" s="38">
        <v>0</v>
      </c>
      <c r="C3842" s="79">
        <v>0</v>
      </c>
    </row>
    <row r="3843" spans="1:3" x14ac:dyDescent="0.25">
      <c r="A3843" s="2">
        <v>0</v>
      </c>
      <c r="B3843" s="38">
        <v>0</v>
      </c>
      <c r="C3843" s="79">
        <v>0</v>
      </c>
    </row>
    <row r="3844" spans="1:3" x14ac:dyDescent="0.25">
      <c r="A3844" s="2">
        <v>0</v>
      </c>
      <c r="B3844" s="38">
        <v>0</v>
      </c>
      <c r="C3844" s="79">
        <v>0</v>
      </c>
    </row>
    <row r="3845" spans="1:3" x14ac:dyDescent="0.25">
      <c r="A3845" s="2">
        <v>0</v>
      </c>
      <c r="B3845" s="38">
        <v>0</v>
      </c>
      <c r="C3845" s="79">
        <v>0</v>
      </c>
    </row>
    <row r="3846" spans="1:3" x14ac:dyDescent="0.25">
      <c r="A3846" s="2">
        <v>0</v>
      </c>
      <c r="B3846" s="38">
        <v>0</v>
      </c>
      <c r="C3846" s="79">
        <v>0</v>
      </c>
    </row>
    <row r="3847" spans="1:3" x14ac:dyDescent="0.25">
      <c r="A3847" s="2">
        <v>0</v>
      </c>
      <c r="B3847" s="38">
        <v>0</v>
      </c>
      <c r="C3847" s="79">
        <v>0</v>
      </c>
    </row>
    <row r="3848" spans="1:3" x14ac:dyDescent="0.25">
      <c r="A3848" s="2">
        <v>0</v>
      </c>
      <c r="B3848" s="38">
        <v>0</v>
      </c>
      <c r="C3848" s="79">
        <v>0</v>
      </c>
    </row>
    <row r="3849" spans="1:3" x14ac:dyDescent="0.25">
      <c r="A3849" s="2">
        <v>0</v>
      </c>
      <c r="B3849" s="38">
        <v>0</v>
      </c>
      <c r="C3849" s="79">
        <v>0</v>
      </c>
    </row>
    <row r="3850" spans="1:3" x14ac:dyDescent="0.25">
      <c r="A3850" s="2">
        <v>0</v>
      </c>
      <c r="B3850" s="38">
        <v>0</v>
      </c>
      <c r="C3850" s="79">
        <v>0</v>
      </c>
    </row>
    <row r="3851" spans="1:3" x14ac:dyDescent="0.25">
      <c r="A3851" s="2">
        <v>0</v>
      </c>
      <c r="B3851" s="38">
        <v>0</v>
      </c>
      <c r="C3851" s="79">
        <v>0</v>
      </c>
    </row>
    <row r="3852" spans="1:3" x14ac:dyDescent="0.25">
      <c r="A3852" s="2">
        <v>0</v>
      </c>
      <c r="B3852" s="38">
        <v>0</v>
      </c>
      <c r="C3852" s="79">
        <v>0</v>
      </c>
    </row>
    <row r="3853" spans="1:3" x14ac:dyDescent="0.25">
      <c r="A3853" s="2">
        <v>0</v>
      </c>
      <c r="B3853" s="38">
        <v>0</v>
      </c>
      <c r="C3853" s="79">
        <v>0</v>
      </c>
    </row>
    <row r="3854" spans="1:3" x14ac:dyDescent="0.25">
      <c r="A3854" s="2">
        <v>0</v>
      </c>
      <c r="B3854" s="38">
        <v>0</v>
      </c>
      <c r="C3854" s="79">
        <v>0</v>
      </c>
    </row>
    <row r="3855" spans="1:3" x14ac:dyDescent="0.25">
      <c r="A3855" s="2">
        <v>0</v>
      </c>
      <c r="B3855" s="38">
        <v>0</v>
      </c>
      <c r="C3855" s="79">
        <v>0</v>
      </c>
    </row>
    <row r="3856" spans="1:3" x14ac:dyDescent="0.25">
      <c r="A3856" s="2">
        <v>0</v>
      </c>
      <c r="B3856" s="38">
        <v>0</v>
      </c>
      <c r="C3856" s="79">
        <v>0</v>
      </c>
    </row>
    <row r="3857" spans="1:3" x14ac:dyDescent="0.25">
      <c r="A3857" s="2">
        <v>0</v>
      </c>
      <c r="B3857" s="38">
        <v>0</v>
      </c>
      <c r="C3857" s="79">
        <v>0</v>
      </c>
    </row>
    <row r="3858" spans="1:3" x14ac:dyDescent="0.25">
      <c r="A3858" s="2">
        <v>0</v>
      </c>
      <c r="B3858" s="38">
        <v>0</v>
      </c>
      <c r="C3858" s="79">
        <v>0</v>
      </c>
    </row>
    <row r="3859" spans="1:3" x14ac:dyDescent="0.25">
      <c r="A3859" s="2">
        <v>0</v>
      </c>
      <c r="B3859" s="38">
        <v>0</v>
      </c>
      <c r="C3859" s="79">
        <v>0</v>
      </c>
    </row>
    <row r="3860" spans="1:3" x14ac:dyDescent="0.25">
      <c r="A3860" s="2">
        <v>0</v>
      </c>
      <c r="B3860" s="38">
        <v>0</v>
      </c>
      <c r="C3860" s="79">
        <v>0</v>
      </c>
    </row>
    <row r="3861" spans="1:3" x14ac:dyDescent="0.25">
      <c r="A3861" s="2">
        <v>0</v>
      </c>
      <c r="B3861" s="38">
        <v>0</v>
      </c>
      <c r="C3861" s="79">
        <v>0</v>
      </c>
    </row>
    <row r="3862" spans="1:3" x14ac:dyDescent="0.25">
      <c r="A3862" s="2">
        <v>0</v>
      </c>
      <c r="B3862" s="38">
        <v>0</v>
      </c>
      <c r="C3862" s="79">
        <v>0</v>
      </c>
    </row>
    <row r="3863" spans="1:3" x14ac:dyDescent="0.25">
      <c r="A3863" s="2">
        <v>0</v>
      </c>
      <c r="B3863" s="38">
        <v>0</v>
      </c>
      <c r="C3863" s="79">
        <v>0</v>
      </c>
    </row>
    <row r="3864" spans="1:3" x14ac:dyDescent="0.25">
      <c r="A3864" s="2">
        <v>0</v>
      </c>
      <c r="B3864" s="38">
        <v>0</v>
      </c>
      <c r="C3864" s="79">
        <v>0</v>
      </c>
    </row>
    <row r="3865" spans="1:3" x14ac:dyDescent="0.25">
      <c r="A3865" s="2">
        <v>0</v>
      </c>
      <c r="B3865" s="38">
        <v>0</v>
      </c>
      <c r="C3865" s="79">
        <v>0</v>
      </c>
    </row>
    <row r="3866" spans="1:3" x14ac:dyDescent="0.25">
      <c r="A3866" s="2">
        <v>0</v>
      </c>
      <c r="B3866" s="38">
        <v>0</v>
      </c>
      <c r="C3866" s="79">
        <v>0</v>
      </c>
    </row>
    <row r="3867" spans="1:3" x14ac:dyDescent="0.25">
      <c r="A3867" s="2">
        <v>0</v>
      </c>
      <c r="B3867" s="38">
        <v>0</v>
      </c>
      <c r="C3867" s="79">
        <v>0</v>
      </c>
    </row>
    <row r="3868" spans="1:3" x14ac:dyDescent="0.25">
      <c r="A3868" s="2">
        <v>0</v>
      </c>
      <c r="B3868" s="38">
        <v>0</v>
      </c>
      <c r="C3868" s="79">
        <v>0</v>
      </c>
    </row>
    <row r="3869" spans="1:3" x14ac:dyDescent="0.25">
      <c r="A3869" s="2">
        <v>0</v>
      </c>
      <c r="B3869" s="38">
        <v>0</v>
      </c>
      <c r="C3869" s="79">
        <v>0</v>
      </c>
    </row>
    <row r="3870" spans="1:3" x14ac:dyDescent="0.25">
      <c r="A3870" s="2">
        <v>0</v>
      </c>
      <c r="B3870" s="38">
        <v>0</v>
      </c>
      <c r="C3870" s="79">
        <v>0</v>
      </c>
    </row>
    <row r="3871" spans="1:3" x14ac:dyDescent="0.25">
      <c r="A3871" s="2">
        <v>0</v>
      </c>
      <c r="B3871" s="38">
        <v>0</v>
      </c>
      <c r="C3871" s="79">
        <v>0</v>
      </c>
    </row>
    <row r="3872" spans="1:3" x14ac:dyDescent="0.25">
      <c r="A3872" s="2">
        <v>0</v>
      </c>
      <c r="B3872" s="38">
        <v>0</v>
      </c>
      <c r="C3872" s="79">
        <v>0</v>
      </c>
    </row>
    <row r="3873" spans="1:3" x14ac:dyDescent="0.25">
      <c r="A3873" s="2">
        <v>0</v>
      </c>
      <c r="B3873" s="38">
        <v>0</v>
      </c>
      <c r="C3873" s="79">
        <v>0</v>
      </c>
    </row>
    <row r="3874" spans="1:3" x14ac:dyDescent="0.25">
      <c r="A3874" s="2">
        <v>0</v>
      </c>
      <c r="B3874" s="38">
        <v>0</v>
      </c>
      <c r="C3874" s="79">
        <v>0</v>
      </c>
    </row>
    <row r="3875" spans="1:3" x14ac:dyDescent="0.25">
      <c r="A3875" s="2">
        <v>0</v>
      </c>
      <c r="B3875" s="38">
        <v>0</v>
      </c>
      <c r="C3875" s="79">
        <v>0</v>
      </c>
    </row>
    <row r="3876" spans="1:3" x14ac:dyDescent="0.25">
      <c r="A3876" s="2">
        <v>0</v>
      </c>
      <c r="B3876" s="38">
        <v>0</v>
      </c>
      <c r="C3876" s="79">
        <v>0</v>
      </c>
    </row>
    <row r="3877" spans="1:3" x14ac:dyDescent="0.25">
      <c r="A3877" s="2">
        <v>0</v>
      </c>
      <c r="B3877" s="38">
        <v>0</v>
      </c>
      <c r="C3877" s="79">
        <v>0</v>
      </c>
    </row>
    <row r="3878" spans="1:3" x14ac:dyDescent="0.25">
      <c r="A3878" s="2">
        <v>0</v>
      </c>
      <c r="B3878" s="38">
        <v>0</v>
      </c>
      <c r="C3878" s="79">
        <v>0</v>
      </c>
    </row>
    <row r="3879" spans="1:3" x14ac:dyDescent="0.25">
      <c r="A3879" s="2">
        <v>0</v>
      </c>
      <c r="B3879" s="38">
        <v>0</v>
      </c>
      <c r="C3879" s="79">
        <v>0</v>
      </c>
    </row>
    <row r="3880" spans="1:3" x14ac:dyDescent="0.25">
      <c r="A3880" s="2">
        <v>0</v>
      </c>
      <c r="B3880" s="38">
        <v>0</v>
      </c>
      <c r="C3880" s="79">
        <v>0</v>
      </c>
    </row>
    <row r="3881" spans="1:3" x14ac:dyDescent="0.25">
      <c r="A3881" s="2">
        <v>0</v>
      </c>
      <c r="B3881" s="38">
        <v>0</v>
      </c>
      <c r="C3881" s="79">
        <v>0</v>
      </c>
    </row>
    <row r="3882" spans="1:3" x14ac:dyDescent="0.25">
      <c r="A3882" s="2">
        <v>0</v>
      </c>
      <c r="B3882" s="38">
        <v>0</v>
      </c>
      <c r="C3882" s="79">
        <v>0</v>
      </c>
    </row>
    <row r="3883" spans="1:3" x14ac:dyDescent="0.25">
      <c r="A3883" s="2">
        <v>0</v>
      </c>
      <c r="B3883" s="38">
        <v>0</v>
      </c>
      <c r="C3883" s="79">
        <v>0</v>
      </c>
    </row>
    <row r="3884" spans="1:3" x14ac:dyDescent="0.25">
      <c r="A3884" s="2">
        <v>0</v>
      </c>
      <c r="B3884" s="38">
        <v>0</v>
      </c>
      <c r="C3884" s="79">
        <v>0</v>
      </c>
    </row>
    <row r="3885" spans="1:3" x14ac:dyDescent="0.25">
      <c r="A3885" s="2">
        <v>0</v>
      </c>
      <c r="B3885" s="38">
        <v>0</v>
      </c>
      <c r="C3885" s="79">
        <v>0</v>
      </c>
    </row>
    <row r="3886" spans="1:3" x14ac:dyDescent="0.25">
      <c r="A3886" s="2">
        <v>0</v>
      </c>
      <c r="B3886" s="38">
        <v>0</v>
      </c>
      <c r="C3886" s="79">
        <v>0</v>
      </c>
    </row>
    <row r="3887" spans="1:3" x14ac:dyDescent="0.25">
      <c r="A3887" s="2">
        <v>0</v>
      </c>
      <c r="B3887" s="38">
        <v>0</v>
      </c>
      <c r="C3887" s="79">
        <v>0</v>
      </c>
    </row>
    <row r="3888" spans="1:3" x14ac:dyDescent="0.25">
      <c r="A3888" s="2">
        <v>0</v>
      </c>
      <c r="B3888" s="38">
        <v>0</v>
      </c>
      <c r="C3888" s="79">
        <v>0</v>
      </c>
    </row>
    <row r="3889" spans="1:3" x14ac:dyDescent="0.25">
      <c r="A3889" s="2">
        <v>0</v>
      </c>
      <c r="B3889" s="38">
        <v>0</v>
      </c>
      <c r="C3889" s="79">
        <v>0</v>
      </c>
    </row>
    <row r="3890" spans="1:3" x14ac:dyDescent="0.25">
      <c r="A3890" s="2">
        <v>0</v>
      </c>
      <c r="B3890" s="38">
        <v>0</v>
      </c>
      <c r="C3890" s="79">
        <v>0</v>
      </c>
    </row>
    <row r="3891" spans="1:3" x14ac:dyDescent="0.25">
      <c r="A3891" s="2">
        <v>0</v>
      </c>
      <c r="B3891" s="38">
        <v>0</v>
      </c>
      <c r="C3891" s="79">
        <v>0</v>
      </c>
    </row>
    <row r="3892" spans="1:3" x14ac:dyDescent="0.25">
      <c r="A3892" s="2">
        <v>0</v>
      </c>
      <c r="B3892" s="38">
        <v>0</v>
      </c>
      <c r="C3892" s="79">
        <v>0</v>
      </c>
    </row>
    <row r="3893" spans="1:3" x14ac:dyDescent="0.25">
      <c r="A3893" s="2">
        <v>0</v>
      </c>
      <c r="B3893" s="38">
        <v>0</v>
      </c>
      <c r="C3893" s="79">
        <v>0</v>
      </c>
    </row>
    <row r="3894" spans="1:3" x14ac:dyDescent="0.25">
      <c r="A3894" s="2">
        <v>0</v>
      </c>
      <c r="B3894" s="38">
        <v>0</v>
      </c>
      <c r="C3894" s="79">
        <v>0</v>
      </c>
    </row>
    <row r="3895" spans="1:3" x14ac:dyDescent="0.25">
      <c r="A3895" s="2">
        <v>0</v>
      </c>
      <c r="B3895" s="38">
        <v>0</v>
      </c>
      <c r="C3895" s="79">
        <v>0</v>
      </c>
    </row>
    <row r="3896" spans="1:3" x14ac:dyDescent="0.25">
      <c r="A3896" s="2">
        <v>0</v>
      </c>
      <c r="B3896" s="38">
        <v>0</v>
      </c>
      <c r="C3896" s="79">
        <v>0</v>
      </c>
    </row>
    <row r="3897" spans="1:3" x14ac:dyDescent="0.25">
      <c r="A3897" s="2">
        <v>0</v>
      </c>
      <c r="B3897" s="38">
        <v>0</v>
      </c>
      <c r="C3897" s="79">
        <v>0</v>
      </c>
    </row>
    <row r="3898" spans="1:3" x14ac:dyDescent="0.25">
      <c r="A3898" s="2">
        <v>0</v>
      </c>
      <c r="B3898" s="38">
        <v>0</v>
      </c>
      <c r="C3898" s="79">
        <v>0</v>
      </c>
    </row>
    <row r="3899" spans="1:3" x14ac:dyDescent="0.25">
      <c r="A3899" s="2">
        <v>0</v>
      </c>
      <c r="B3899" s="38">
        <v>0</v>
      </c>
      <c r="C3899" s="79">
        <v>0</v>
      </c>
    </row>
    <row r="3900" spans="1:3" x14ac:dyDescent="0.25">
      <c r="A3900" s="2">
        <v>0</v>
      </c>
      <c r="B3900" s="38">
        <v>0</v>
      </c>
      <c r="C3900" s="79">
        <v>0</v>
      </c>
    </row>
    <row r="3901" spans="1:3" x14ac:dyDescent="0.25">
      <c r="A3901" s="2">
        <v>0</v>
      </c>
      <c r="B3901" s="38">
        <v>0</v>
      </c>
      <c r="C3901" s="79">
        <v>0</v>
      </c>
    </row>
    <row r="3902" spans="1:3" x14ac:dyDescent="0.25">
      <c r="A3902" s="2">
        <v>0</v>
      </c>
      <c r="B3902" s="38">
        <v>0</v>
      </c>
      <c r="C3902" s="79">
        <v>0</v>
      </c>
    </row>
    <row r="3903" spans="1:3" x14ac:dyDescent="0.25">
      <c r="A3903" s="2">
        <v>0</v>
      </c>
      <c r="B3903" s="38">
        <v>0</v>
      </c>
      <c r="C3903" s="79">
        <v>0</v>
      </c>
    </row>
    <row r="3904" spans="1:3" x14ac:dyDescent="0.25">
      <c r="A3904" s="2">
        <v>0</v>
      </c>
      <c r="B3904" s="38">
        <v>0</v>
      </c>
      <c r="C3904" s="79">
        <v>0</v>
      </c>
    </row>
    <row r="3905" spans="1:3" x14ac:dyDescent="0.25">
      <c r="A3905" s="2">
        <v>0</v>
      </c>
      <c r="B3905" s="38">
        <v>0</v>
      </c>
      <c r="C3905" s="79">
        <v>0</v>
      </c>
    </row>
    <row r="3906" spans="1:3" x14ac:dyDescent="0.25">
      <c r="A3906" s="2">
        <v>0</v>
      </c>
      <c r="B3906" s="38">
        <v>0</v>
      </c>
      <c r="C3906" s="79">
        <v>0</v>
      </c>
    </row>
    <row r="3907" spans="1:3" x14ac:dyDescent="0.25">
      <c r="A3907" s="2">
        <v>0</v>
      </c>
      <c r="B3907" s="38">
        <v>0</v>
      </c>
      <c r="C3907" s="79">
        <v>0</v>
      </c>
    </row>
    <row r="3908" spans="1:3" x14ac:dyDescent="0.25">
      <c r="A3908" s="2">
        <v>0</v>
      </c>
      <c r="B3908" s="38">
        <v>0</v>
      </c>
      <c r="C3908" s="79">
        <v>0</v>
      </c>
    </row>
    <row r="3909" spans="1:3" x14ac:dyDescent="0.25">
      <c r="A3909" s="2">
        <v>0</v>
      </c>
      <c r="B3909" s="38">
        <v>0</v>
      </c>
      <c r="C3909" s="79">
        <v>0</v>
      </c>
    </row>
    <row r="3910" spans="1:3" x14ac:dyDescent="0.25">
      <c r="A3910" s="2">
        <v>0</v>
      </c>
      <c r="B3910" s="38">
        <v>0</v>
      </c>
      <c r="C3910" s="79">
        <v>0</v>
      </c>
    </row>
    <row r="3911" spans="1:3" x14ac:dyDescent="0.25">
      <c r="A3911" s="2">
        <v>0</v>
      </c>
      <c r="B3911" s="38">
        <v>0</v>
      </c>
      <c r="C3911" s="79">
        <v>0</v>
      </c>
    </row>
    <row r="3912" spans="1:3" x14ac:dyDescent="0.25">
      <c r="A3912" s="2">
        <v>0</v>
      </c>
      <c r="B3912" s="38">
        <v>0</v>
      </c>
      <c r="C3912" s="79">
        <v>0</v>
      </c>
    </row>
    <row r="3913" spans="1:3" x14ac:dyDescent="0.25">
      <c r="A3913" s="2">
        <v>0</v>
      </c>
      <c r="B3913" s="38">
        <v>0</v>
      </c>
      <c r="C3913" s="79">
        <v>0</v>
      </c>
    </row>
    <row r="3914" spans="1:3" x14ac:dyDescent="0.25">
      <c r="A3914" s="2">
        <v>0</v>
      </c>
      <c r="B3914" s="38">
        <v>0</v>
      </c>
      <c r="C3914" s="79">
        <v>0</v>
      </c>
    </row>
    <row r="3915" spans="1:3" x14ac:dyDescent="0.25">
      <c r="A3915" s="2">
        <v>0</v>
      </c>
      <c r="B3915" s="38">
        <v>0</v>
      </c>
      <c r="C3915" s="79">
        <v>0</v>
      </c>
    </row>
    <row r="3916" spans="1:3" x14ac:dyDescent="0.25">
      <c r="A3916" s="2">
        <v>0</v>
      </c>
      <c r="B3916" s="38">
        <v>0</v>
      </c>
      <c r="C3916" s="79">
        <v>0</v>
      </c>
    </row>
    <row r="3917" spans="1:3" x14ac:dyDescent="0.25">
      <c r="A3917" s="2">
        <v>0</v>
      </c>
      <c r="B3917" s="38">
        <v>0</v>
      </c>
      <c r="C3917" s="79">
        <v>0</v>
      </c>
    </row>
    <row r="3918" spans="1:3" x14ac:dyDescent="0.25">
      <c r="A3918" s="2">
        <v>0</v>
      </c>
      <c r="B3918" s="38">
        <v>0</v>
      </c>
      <c r="C3918" s="79">
        <v>0</v>
      </c>
    </row>
    <row r="3919" spans="1:3" x14ac:dyDescent="0.25">
      <c r="A3919" s="2">
        <v>0</v>
      </c>
      <c r="B3919" s="38">
        <v>0</v>
      </c>
      <c r="C3919" s="79">
        <v>0</v>
      </c>
    </row>
    <row r="3920" spans="1:3" x14ac:dyDescent="0.25">
      <c r="A3920" s="2">
        <v>0</v>
      </c>
      <c r="B3920" s="38">
        <v>0</v>
      </c>
      <c r="C3920" s="79">
        <v>0</v>
      </c>
    </row>
    <row r="3921" spans="1:3" x14ac:dyDescent="0.25">
      <c r="A3921" s="2">
        <v>0</v>
      </c>
      <c r="B3921" s="38">
        <v>0</v>
      </c>
      <c r="C3921" s="79">
        <v>0</v>
      </c>
    </row>
    <row r="3922" spans="1:3" x14ac:dyDescent="0.25">
      <c r="A3922" s="2">
        <v>0</v>
      </c>
      <c r="B3922" s="38">
        <v>0</v>
      </c>
      <c r="C3922" s="79">
        <v>0</v>
      </c>
    </row>
    <row r="3923" spans="1:3" x14ac:dyDescent="0.25">
      <c r="A3923" s="2">
        <v>0</v>
      </c>
      <c r="B3923" s="38">
        <v>0</v>
      </c>
      <c r="C3923" s="79">
        <v>0</v>
      </c>
    </row>
    <row r="3924" spans="1:3" x14ac:dyDescent="0.25">
      <c r="A3924" s="2">
        <v>0</v>
      </c>
      <c r="B3924" s="38">
        <v>0</v>
      </c>
      <c r="C3924" s="79">
        <v>0</v>
      </c>
    </row>
    <row r="3925" spans="1:3" x14ac:dyDescent="0.25">
      <c r="A3925" s="2">
        <v>0</v>
      </c>
      <c r="B3925" s="38">
        <v>0</v>
      </c>
      <c r="C3925" s="79">
        <v>0</v>
      </c>
    </row>
    <row r="3926" spans="1:3" x14ac:dyDescent="0.25">
      <c r="A3926" s="2">
        <v>0</v>
      </c>
      <c r="B3926" s="38">
        <v>0</v>
      </c>
      <c r="C3926" s="79">
        <v>0</v>
      </c>
    </row>
    <row r="3927" spans="1:3" x14ac:dyDescent="0.25">
      <c r="A3927" s="2">
        <v>0</v>
      </c>
      <c r="B3927" s="38">
        <v>0</v>
      </c>
      <c r="C3927" s="79">
        <v>0</v>
      </c>
    </row>
    <row r="3928" spans="1:3" x14ac:dyDescent="0.25">
      <c r="A3928" s="2">
        <v>0</v>
      </c>
      <c r="B3928" s="38">
        <v>0</v>
      </c>
      <c r="C3928" s="79">
        <v>0</v>
      </c>
    </row>
    <row r="3929" spans="1:3" x14ac:dyDescent="0.25">
      <c r="A3929" s="2">
        <v>0</v>
      </c>
      <c r="B3929" s="38">
        <v>0</v>
      </c>
      <c r="C3929" s="79">
        <v>0</v>
      </c>
    </row>
    <row r="3930" spans="1:3" x14ac:dyDescent="0.25">
      <c r="A3930" s="2">
        <v>0</v>
      </c>
      <c r="B3930" s="38">
        <v>0</v>
      </c>
      <c r="C3930" s="79">
        <v>0</v>
      </c>
    </row>
    <row r="3931" spans="1:3" x14ac:dyDescent="0.25">
      <c r="A3931" s="2">
        <v>0</v>
      </c>
      <c r="B3931" s="38">
        <v>0</v>
      </c>
      <c r="C3931" s="79">
        <v>0</v>
      </c>
    </row>
    <row r="3932" spans="1:3" x14ac:dyDescent="0.25">
      <c r="A3932" s="2">
        <v>0</v>
      </c>
      <c r="B3932" s="38">
        <v>0</v>
      </c>
      <c r="C3932" s="79">
        <v>0</v>
      </c>
    </row>
    <row r="3933" spans="1:3" x14ac:dyDescent="0.25">
      <c r="A3933" s="2">
        <v>0</v>
      </c>
      <c r="B3933" s="38">
        <v>0</v>
      </c>
      <c r="C3933" s="79">
        <v>0</v>
      </c>
    </row>
    <row r="3934" spans="1:3" x14ac:dyDescent="0.25">
      <c r="A3934" s="2">
        <v>0</v>
      </c>
      <c r="B3934" s="38">
        <v>0</v>
      </c>
      <c r="C3934" s="79">
        <v>0</v>
      </c>
    </row>
    <row r="3935" spans="1:3" x14ac:dyDescent="0.25">
      <c r="A3935" s="2">
        <v>0</v>
      </c>
      <c r="B3935" s="38">
        <v>0</v>
      </c>
      <c r="C3935" s="79">
        <v>0</v>
      </c>
    </row>
    <row r="3936" spans="1:3" x14ac:dyDescent="0.25">
      <c r="A3936" s="2">
        <v>0</v>
      </c>
      <c r="B3936" s="38">
        <v>0</v>
      </c>
      <c r="C3936" s="79">
        <v>0</v>
      </c>
    </row>
    <row r="3937" spans="1:3" x14ac:dyDescent="0.25">
      <c r="A3937" s="2">
        <v>0</v>
      </c>
      <c r="B3937" s="38">
        <v>0</v>
      </c>
      <c r="C3937" s="79">
        <v>0</v>
      </c>
    </row>
    <row r="3938" spans="1:3" x14ac:dyDescent="0.25">
      <c r="A3938" s="2">
        <v>0</v>
      </c>
      <c r="B3938" s="38">
        <v>0</v>
      </c>
      <c r="C3938" s="79">
        <v>0</v>
      </c>
    </row>
    <row r="3939" spans="1:3" x14ac:dyDescent="0.25">
      <c r="A3939" s="2">
        <v>0</v>
      </c>
      <c r="B3939" s="38">
        <v>0</v>
      </c>
      <c r="C3939" s="79">
        <v>0</v>
      </c>
    </row>
    <row r="3940" spans="1:3" x14ac:dyDescent="0.25">
      <c r="A3940" s="2">
        <v>0</v>
      </c>
      <c r="B3940" s="38">
        <v>0</v>
      </c>
      <c r="C3940" s="79">
        <v>0</v>
      </c>
    </row>
    <row r="3941" spans="1:3" x14ac:dyDescent="0.25">
      <c r="A3941" s="2">
        <v>0</v>
      </c>
      <c r="B3941" s="38">
        <v>0</v>
      </c>
      <c r="C3941" s="79">
        <v>0</v>
      </c>
    </row>
    <row r="3942" spans="1:3" x14ac:dyDescent="0.25">
      <c r="A3942" s="2">
        <v>0</v>
      </c>
      <c r="B3942" s="38">
        <v>0</v>
      </c>
      <c r="C3942" s="79">
        <v>0</v>
      </c>
    </row>
    <row r="3943" spans="1:3" x14ac:dyDescent="0.25">
      <c r="A3943" s="2">
        <v>0</v>
      </c>
      <c r="B3943" s="38">
        <v>0</v>
      </c>
      <c r="C3943" s="79">
        <v>0</v>
      </c>
    </row>
    <row r="3944" spans="1:3" x14ac:dyDescent="0.25">
      <c r="A3944" s="2">
        <v>0</v>
      </c>
      <c r="B3944" s="38">
        <v>0</v>
      </c>
      <c r="C3944" s="79">
        <v>0</v>
      </c>
    </row>
    <row r="3945" spans="1:3" x14ac:dyDescent="0.25">
      <c r="A3945" s="2">
        <v>0</v>
      </c>
      <c r="B3945" s="38">
        <v>0</v>
      </c>
      <c r="C3945" s="79">
        <v>0</v>
      </c>
    </row>
    <row r="3946" spans="1:3" x14ac:dyDescent="0.25">
      <c r="A3946" s="2">
        <v>0</v>
      </c>
      <c r="B3946" s="38">
        <v>0</v>
      </c>
      <c r="C3946" s="79">
        <v>0</v>
      </c>
    </row>
    <row r="3947" spans="1:3" x14ac:dyDescent="0.25">
      <c r="A3947" s="2">
        <v>0</v>
      </c>
      <c r="B3947" s="38">
        <v>0</v>
      </c>
      <c r="C3947" s="79">
        <v>0</v>
      </c>
    </row>
    <row r="3948" spans="1:3" x14ac:dyDescent="0.25">
      <c r="A3948" s="2">
        <v>0</v>
      </c>
      <c r="B3948" s="38">
        <v>0</v>
      </c>
      <c r="C3948" s="79">
        <v>0</v>
      </c>
    </row>
    <row r="3949" spans="1:3" x14ac:dyDescent="0.25">
      <c r="A3949" s="2">
        <v>0</v>
      </c>
      <c r="B3949" s="38">
        <v>0</v>
      </c>
      <c r="C3949" s="79">
        <v>0</v>
      </c>
    </row>
    <row r="3950" spans="1:3" x14ac:dyDescent="0.25">
      <c r="A3950" s="2">
        <v>0</v>
      </c>
      <c r="B3950" s="38">
        <v>0</v>
      </c>
      <c r="C3950" s="79">
        <v>0</v>
      </c>
    </row>
    <row r="3951" spans="1:3" x14ac:dyDescent="0.25">
      <c r="A3951" s="2">
        <v>0</v>
      </c>
      <c r="B3951" s="38">
        <v>0</v>
      </c>
      <c r="C3951" s="79">
        <v>0</v>
      </c>
    </row>
    <row r="3952" spans="1:3" x14ac:dyDescent="0.25">
      <c r="A3952" s="2">
        <v>0</v>
      </c>
      <c r="B3952" s="38">
        <v>0</v>
      </c>
      <c r="C3952" s="79">
        <v>0</v>
      </c>
    </row>
    <row r="3953" spans="1:3" x14ac:dyDescent="0.25">
      <c r="A3953" s="2">
        <v>0</v>
      </c>
      <c r="B3953" s="38">
        <v>0</v>
      </c>
      <c r="C3953" s="79">
        <v>0</v>
      </c>
    </row>
    <row r="3954" spans="1:3" x14ac:dyDescent="0.25">
      <c r="A3954" s="2">
        <v>0</v>
      </c>
      <c r="B3954" s="38">
        <v>0</v>
      </c>
      <c r="C3954" s="79">
        <v>0</v>
      </c>
    </row>
    <row r="3955" spans="1:3" x14ac:dyDescent="0.25">
      <c r="A3955" s="2">
        <v>0</v>
      </c>
      <c r="B3955" s="38">
        <v>0</v>
      </c>
      <c r="C3955" s="79">
        <v>0</v>
      </c>
    </row>
    <row r="3956" spans="1:3" x14ac:dyDescent="0.25">
      <c r="A3956" s="2">
        <v>0</v>
      </c>
      <c r="B3956" s="38">
        <v>0</v>
      </c>
      <c r="C3956" s="79">
        <v>0</v>
      </c>
    </row>
    <row r="3957" spans="1:3" x14ac:dyDescent="0.25">
      <c r="A3957" s="2">
        <v>0</v>
      </c>
      <c r="B3957" s="38">
        <v>0</v>
      </c>
      <c r="C3957" s="79">
        <v>0</v>
      </c>
    </row>
    <row r="3958" spans="1:3" x14ac:dyDescent="0.25">
      <c r="A3958" s="2">
        <v>0</v>
      </c>
      <c r="B3958" s="38">
        <v>0</v>
      </c>
      <c r="C3958" s="79">
        <v>0</v>
      </c>
    </row>
    <row r="3959" spans="1:3" x14ac:dyDescent="0.25">
      <c r="A3959" s="2">
        <v>0</v>
      </c>
      <c r="B3959" s="38">
        <v>0</v>
      </c>
      <c r="C3959" s="79">
        <v>0</v>
      </c>
    </row>
    <row r="3960" spans="1:3" x14ac:dyDescent="0.25">
      <c r="A3960" s="2">
        <v>0</v>
      </c>
      <c r="B3960" s="38">
        <v>0</v>
      </c>
      <c r="C3960" s="79">
        <v>0</v>
      </c>
    </row>
    <row r="3961" spans="1:3" x14ac:dyDescent="0.25">
      <c r="A3961" s="2">
        <v>0</v>
      </c>
      <c r="B3961" s="38">
        <v>0</v>
      </c>
      <c r="C3961" s="79">
        <v>0</v>
      </c>
    </row>
    <row r="3962" spans="1:3" x14ac:dyDescent="0.25">
      <c r="A3962" s="2">
        <v>0</v>
      </c>
      <c r="B3962" s="38">
        <v>0</v>
      </c>
      <c r="C3962" s="79">
        <v>0</v>
      </c>
    </row>
    <row r="3963" spans="1:3" x14ac:dyDescent="0.25">
      <c r="A3963" s="2">
        <v>0</v>
      </c>
      <c r="B3963" s="38">
        <v>0</v>
      </c>
      <c r="C3963" s="79">
        <v>0</v>
      </c>
    </row>
    <row r="3964" spans="1:3" x14ac:dyDescent="0.25">
      <c r="A3964" s="2">
        <v>0</v>
      </c>
      <c r="B3964" s="38">
        <v>0</v>
      </c>
      <c r="C3964" s="79">
        <v>0</v>
      </c>
    </row>
    <row r="3965" spans="1:3" x14ac:dyDescent="0.25">
      <c r="A3965" s="2">
        <v>0</v>
      </c>
      <c r="B3965" s="38">
        <v>0</v>
      </c>
      <c r="C3965" s="79">
        <v>0</v>
      </c>
    </row>
    <row r="3966" spans="1:3" x14ac:dyDescent="0.25">
      <c r="A3966" s="2">
        <v>0</v>
      </c>
      <c r="B3966" s="38">
        <v>0</v>
      </c>
      <c r="C3966" s="79">
        <v>0</v>
      </c>
    </row>
    <row r="3967" spans="1:3" x14ac:dyDescent="0.25">
      <c r="A3967" s="2">
        <v>0</v>
      </c>
      <c r="B3967" s="38">
        <v>0</v>
      </c>
      <c r="C3967" s="79">
        <v>0</v>
      </c>
    </row>
    <row r="3968" spans="1:3" x14ac:dyDescent="0.25">
      <c r="A3968" s="2">
        <v>0</v>
      </c>
      <c r="B3968" s="38">
        <v>0</v>
      </c>
      <c r="C3968" s="79">
        <v>0</v>
      </c>
    </row>
    <row r="3969" spans="1:3" x14ac:dyDescent="0.25">
      <c r="A3969" s="2">
        <v>0</v>
      </c>
      <c r="B3969" s="38">
        <v>0</v>
      </c>
      <c r="C3969" s="79">
        <v>0</v>
      </c>
    </row>
    <row r="3970" spans="1:3" x14ac:dyDescent="0.25">
      <c r="A3970" s="2">
        <v>0</v>
      </c>
      <c r="B3970" s="38">
        <v>0</v>
      </c>
      <c r="C3970" s="79">
        <v>0</v>
      </c>
    </row>
    <row r="3971" spans="1:3" x14ac:dyDescent="0.25">
      <c r="A3971" s="2">
        <v>0</v>
      </c>
      <c r="B3971" s="38">
        <v>0</v>
      </c>
      <c r="C3971" s="79">
        <v>0</v>
      </c>
    </row>
    <row r="3972" spans="1:3" x14ac:dyDescent="0.25">
      <c r="A3972" s="2">
        <v>0</v>
      </c>
      <c r="B3972" s="38">
        <v>0</v>
      </c>
      <c r="C3972" s="79">
        <v>0</v>
      </c>
    </row>
    <row r="3973" spans="1:3" x14ac:dyDescent="0.25">
      <c r="A3973" s="2">
        <v>0</v>
      </c>
      <c r="B3973" s="38">
        <v>0</v>
      </c>
      <c r="C3973" s="79">
        <v>0</v>
      </c>
    </row>
    <row r="3974" spans="1:3" x14ac:dyDescent="0.25">
      <c r="A3974" s="2">
        <v>0</v>
      </c>
      <c r="B3974" s="38">
        <v>0</v>
      </c>
      <c r="C3974" s="79">
        <v>0</v>
      </c>
    </row>
    <row r="3975" spans="1:3" x14ac:dyDescent="0.25">
      <c r="A3975" s="2">
        <v>0</v>
      </c>
      <c r="B3975" s="38">
        <v>0</v>
      </c>
      <c r="C3975" s="79">
        <v>0</v>
      </c>
    </row>
    <row r="3976" spans="1:3" x14ac:dyDescent="0.25">
      <c r="A3976" s="2">
        <v>0</v>
      </c>
      <c r="B3976" s="38">
        <v>0</v>
      </c>
      <c r="C3976" s="79">
        <v>0</v>
      </c>
    </row>
    <row r="3977" spans="1:3" x14ac:dyDescent="0.25">
      <c r="A3977" s="2">
        <v>0</v>
      </c>
      <c r="B3977" s="38">
        <v>0</v>
      </c>
      <c r="C3977" s="79">
        <v>0</v>
      </c>
    </row>
    <row r="3978" spans="1:3" x14ac:dyDescent="0.25">
      <c r="A3978" s="2">
        <v>0</v>
      </c>
      <c r="B3978" s="38">
        <v>0</v>
      </c>
      <c r="C3978" s="79">
        <v>0</v>
      </c>
    </row>
    <row r="3979" spans="1:3" x14ac:dyDescent="0.25">
      <c r="A3979" s="2">
        <v>0</v>
      </c>
      <c r="B3979" s="38">
        <v>0</v>
      </c>
      <c r="C3979" s="79">
        <v>0</v>
      </c>
    </row>
    <row r="3980" spans="1:3" x14ac:dyDescent="0.25">
      <c r="A3980" s="2">
        <v>0</v>
      </c>
      <c r="B3980" s="38">
        <v>0</v>
      </c>
      <c r="C3980" s="79">
        <v>0</v>
      </c>
    </row>
    <row r="3981" spans="1:3" x14ac:dyDescent="0.25">
      <c r="A3981" s="2">
        <v>0</v>
      </c>
      <c r="B3981" s="38">
        <v>0</v>
      </c>
      <c r="C3981" s="79">
        <v>0</v>
      </c>
    </row>
    <row r="3982" spans="1:3" x14ac:dyDescent="0.25">
      <c r="A3982" s="2">
        <v>0</v>
      </c>
      <c r="B3982" s="38">
        <v>0</v>
      </c>
      <c r="C3982" s="79">
        <v>0</v>
      </c>
    </row>
    <row r="3983" spans="1:3" x14ac:dyDescent="0.25">
      <c r="A3983" s="2">
        <v>0</v>
      </c>
      <c r="B3983" s="38">
        <v>0</v>
      </c>
      <c r="C3983" s="79">
        <v>0</v>
      </c>
    </row>
    <row r="3984" spans="1:3" x14ac:dyDescent="0.25">
      <c r="A3984" s="2">
        <v>0</v>
      </c>
      <c r="B3984" s="38">
        <v>0</v>
      </c>
      <c r="C3984" s="79">
        <v>0</v>
      </c>
    </row>
    <row r="3985" spans="1:3" x14ac:dyDescent="0.25">
      <c r="A3985" s="2">
        <v>0</v>
      </c>
      <c r="B3985" s="38">
        <v>0</v>
      </c>
      <c r="C3985" s="79">
        <v>0</v>
      </c>
    </row>
    <row r="3986" spans="1:3" x14ac:dyDescent="0.25">
      <c r="A3986" s="2">
        <v>0</v>
      </c>
      <c r="B3986" s="38">
        <v>0</v>
      </c>
      <c r="C3986" s="79">
        <v>0</v>
      </c>
    </row>
    <row r="3987" spans="1:3" x14ac:dyDescent="0.25">
      <c r="A3987" s="2">
        <v>0</v>
      </c>
      <c r="B3987" s="38">
        <v>0</v>
      </c>
      <c r="C3987" s="79">
        <v>0</v>
      </c>
    </row>
    <row r="3988" spans="1:3" x14ac:dyDescent="0.25">
      <c r="A3988" s="2">
        <v>0</v>
      </c>
      <c r="B3988" s="38">
        <v>0</v>
      </c>
      <c r="C3988" s="79">
        <v>0</v>
      </c>
    </row>
    <row r="3989" spans="1:3" x14ac:dyDescent="0.25">
      <c r="A3989" s="2">
        <v>0</v>
      </c>
      <c r="B3989" s="38">
        <v>0</v>
      </c>
      <c r="C3989" s="79">
        <v>0</v>
      </c>
    </row>
    <row r="3990" spans="1:3" x14ac:dyDescent="0.25">
      <c r="A3990" s="2">
        <v>0</v>
      </c>
      <c r="B3990" s="38">
        <v>0</v>
      </c>
      <c r="C3990" s="79">
        <v>0</v>
      </c>
    </row>
    <row r="3991" spans="1:3" x14ac:dyDescent="0.25">
      <c r="A3991" s="2">
        <v>0</v>
      </c>
      <c r="B3991" s="38">
        <v>0</v>
      </c>
      <c r="C3991" s="79">
        <v>0</v>
      </c>
    </row>
    <row r="3992" spans="1:3" x14ac:dyDescent="0.25">
      <c r="A3992" s="2">
        <v>0</v>
      </c>
      <c r="B3992" s="38">
        <v>0</v>
      </c>
      <c r="C3992" s="79">
        <v>0</v>
      </c>
    </row>
    <row r="3993" spans="1:3" x14ac:dyDescent="0.25">
      <c r="A3993" s="2">
        <v>0</v>
      </c>
      <c r="B3993" s="38">
        <v>0</v>
      </c>
      <c r="C3993" s="79">
        <v>0</v>
      </c>
    </row>
    <row r="3994" spans="1:3" x14ac:dyDescent="0.25">
      <c r="A3994" s="2">
        <v>0</v>
      </c>
      <c r="B3994" s="38">
        <v>0</v>
      </c>
      <c r="C3994" s="79">
        <v>0</v>
      </c>
    </row>
    <row r="3995" spans="1:3" x14ac:dyDescent="0.25">
      <c r="A3995" s="2">
        <v>0</v>
      </c>
      <c r="B3995" s="38">
        <v>0</v>
      </c>
      <c r="C3995" s="79">
        <v>0</v>
      </c>
    </row>
    <row r="3996" spans="1:3" x14ac:dyDescent="0.25">
      <c r="A3996" s="2">
        <v>0</v>
      </c>
      <c r="B3996" s="38">
        <v>0</v>
      </c>
      <c r="C3996" s="79">
        <v>0</v>
      </c>
    </row>
    <row r="3997" spans="1:3" x14ac:dyDescent="0.25">
      <c r="A3997" s="2">
        <v>0</v>
      </c>
      <c r="B3997" s="38">
        <v>0</v>
      </c>
      <c r="C3997" s="79">
        <v>0</v>
      </c>
    </row>
    <row r="3998" spans="1:3" x14ac:dyDescent="0.25">
      <c r="A3998" s="2">
        <v>0</v>
      </c>
      <c r="B3998" s="38">
        <v>0</v>
      </c>
      <c r="C3998" s="79">
        <v>0</v>
      </c>
    </row>
    <row r="3999" spans="1:3" x14ac:dyDescent="0.25">
      <c r="A3999" s="2">
        <v>0</v>
      </c>
      <c r="B3999" s="38">
        <v>0</v>
      </c>
      <c r="C3999" s="79">
        <v>0</v>
      </c>
    </row>
    <row r="4000" spans="1:3" x14ac:dyDescent="0.25">
      <c r="A4000" s="2">
        <v>0</v>
      </c>
      <c r="B4000" s="38">
        <v>0</v>
      </c>
      <c r="C4000" s="79">
        <v>0</v>
      </c>
    </row>
    <row r="4001" spans="1:3" x14ac:dyDescent="0.25">
      <c r="A4001" s="2">
        <v>0</v>
      </c>
      <c r="B4001" s="38">
        <v>0</v>
      </c>
      <c r="C4001" s="79">
        <v>0</v>
      </c>
    </row>
    <row r="4002" spans="1:3" x14ac:dyDescent="0.25">
      <c r="A4002" s="2">
        <v>0</v>
      </c>
      <c r="B4002" s="38">
        <v>0</v>
      </c>
      <c r="C4002" s="79">
        <v>0</v>
      </c>
    </row>
    <row r="4003" spans="1:3" x14ac:dyDescent="0.25">
      <c r="A4003" s="2">
        <v>0</v>
      </c>
      <c r="B4003" s="38">
        <v>0</v>
      </c>
      <c r="C4003" s="79">
        <v>0</v>
      </c>
    </row>
    <row r="4004" spans="1:3" x14ac:dyDescent="0.25">
      <c r="A4004" s="2">
        <v>0</v>
      </c>
      <c r="B4004" s="38">
        <v>0</v>
      </c>
      <c r="C4004" s="79">
        <v>0</v>
      </c>
    </row>
    <row r="4005" spans="1:3" x14ac:dyDescent="0.25">
      <c r="A4005" s="2">
        <v>0</v>
      </c>
      <c r="B4005" s="38">
        <v>0</v>
      </c>
      <c r="C4005" s="79">
        <v>0</v>
      </c>
    </row>
    <row r="4006" spans="1:3" x14ac:dyDescent="0.25">
      <c r="A4006" s="2">
        <v>0</v>
      </c>
      <c r="B4006" s="38">
        <v>0</v>
      </c>
      <c r="C4006" s="79">
        <v>0</v>
      </c>
    </row>
    <row r="4007" spans="1:3" x14ac:dyDescent="0.25">
      <c r="A4007" s="2">
        <v>0</v>
      </c>
      <c r="B4007" s="38">
        <v>0</v>
      </c>
      <c r="C4007" s="79">
        <v>0</v>
      </c>
    </row>
    <row r="4008" spans="1:3" x14ac:dyDescent="0.25">
      <c r="A4008" s="2">
        <v>0</v>
      </c>
      <c r="B4008" s="38">
        <v>0</v>
      </c>
      <c r="C4008" s="79">
        <v>0</v>
      </c>
    </row>
    <row r="4009" spans="1:3" x14ac:dyDescent="0.25">
      <c r="A4009" s="2">
        <v>0</v>
      </c>
      <c r="B4009" s="38">
        <v>0</v>
      </c>
      <c r="C4009" s="79">
        <v>0</v>
      </c>
    </row>
    <row r="4010" spans="1:3" x14ac:dyDescent="0.25">
      <c r="A4010" s="2">
        <v>0</v>
      </c>
      <c r="B4010" s="38">
        <v>0</v>
      </c>
      <c r="C4010" s="79">
        <v>0</v>
      </c>
    </row>
    <row r="4011" spans="1:3" x14ac:dyDescent="0.25">
      <c r="A4011" s="2">
        <v>0</v>
      </c>
      <c r="B4011" s="38">
        <v>0</v>
      </c>
      <c r="C4011" s="79">
        <v>0</v>
      </c>
    </row>
    <row r="4012" spans="1:3" x14ac:dyDescent="0.25">
      <c r="A4012" s="2">
        <v>0</v>
      </c>
      <c r="B4012" s="38">
        <v>0</v>
      </c>
      <c r="C4012" s="79">
        <v>0</v>
      </c>
    </row>
    <row r="4013" spans="1:3" x14ac:dyDescent="0.25">
      <c r="A4013" s="2">
        <v>0</v>
      </c>
      <c r="B4013" s="38">
        <v>0</v>
      </c>
      <c r="C4013" s="79">
        <v>0</v>
      </c>
    </row>
    <row r="4014" spans="1:3" x14ac:dyDescent="0.25">
      <c r="A4014" s="2">
        <v>0</v>
      </c>
      <c r="B4014" s="38">
        <v>0</v>
      </c>
      <c r="C4014" s="79">
        <v>0</v>
      </c>
    </row>
    <row r="4015" spans="1:3" x14ac:dyDescent="0.25">
      <c r="A4015" s="2">
        <v>0</v>
      </c>
      <c r="B4015" s="38">
        <v>0</v>
      </c>
      <c r="C4015" s="79">
        <v>0</v>
      </c>
    </row>
    <row r="4016" spans="1:3" x14ac:dyDescent="0.25">
      <c r="A4016" s="2">
        <v>0</v>
      </c>
      <c r="B4016" s="38">
        <v>0</v>
      </c>
      <c r="C4016" s="79">
        <v>0</v>
      </c>
    </row>
    <row r="4017" spans="1:3" x14ac:dyDescent="0.25">
      <c r="A4017" s="2">
        <v>0</v>
      </c>
      <c r="B4017" s="38">
        <v>0</v>
      </c>
      <c r="C4017" s="79">
        <v>0</v>
      </c>
    </row>
    <row r="4018" spans="1:3" x14ac:dyDescent="0.25">
      <c r="A4018" s="2">
        <v>0</v>
      </c>
      <c r="B4018" s="38">
        <v>0</v>
      </c>
      <c r="C4018" s="79">
        <v>0</v>
      </c>
    </row>
    <row r="4019" spans="1:3" x14ac:dyDescent="0.25">
      <c r="A4019" s="2">
        <v>0</v>
      </c>
      <c r="B4019" s="38">
        <v>0</v>
      </c>
      <c r="C4019" s="79">
        <v>0</v>
      </c>
    </row>
    <row r="4020" spans="1:3" x14ac:dyDescent="0.25">
      <c r="A4020" s="2">
        <v>0</v>
      </c>
      <c r="B4020" s="38">
        <v>0</v>
      </c>
      <c r="C4020" s="79">
        <v>0</v>
      </c>
    </row>
    <row r="4021" spans="1:3" x14ac:dyDescent="0.25">
      <c r="A4021" s="2">
        <v>0</v>
      </c>
      <c r="B4021" s="38">
        <v>0</v>
      </c>
      <c r="C4021" s="79">
        <v>0</v>
      </c>
    </row>
    <row r="4022" spans="1:3" x14ac:dyDescent="0.25">
      <c r="A4022" s="2">
        <v>0</v>
      </c>
      <c r="B4022" s="38">
        <v>0</v>
      </c>
      <c r="C4022" s="79">
        <v>0</v>
      </c>
    </row>
    <row r="4023" spans="1:3" x14ac:dyDescent="0.25">
      <c r="A4023" s="2">
        <v>0</v>
      </c>
      <c r="B4023" s="38">
        <v>0</v>
      </c>
      <c r="C4023" s="79">
        <v>0</v>
      </c>
    </row>
    <row r="4024" spans="1:3" x14ac:dyDescent="0.25">
      <c r="A4024" s="2">
        <v>0</v>
      </c>
      <c r="B4024" s="38">
        <v>0</v>
      </c>
      <c r="C4024" s="79">
        <v>0</v>
      </c>
    </row>
    <row r="4025" spans="1:3" x14ac:dyDescent="0.25">
      <c r="A4025" s="2">
        <v>0</v>
      </c>
      <c r="B4025" s="38">
        <v>0</v>
      </c>
      <c r="C4025" s="79">
        <v>0</v>
      </c>
    </row>
    <row r="4026" spans="1:3" x14ac:dyDescent="0.25">
      <c r="A4026" s="2">
        <v>0</v>
      </c>
      <c r="B4026" s="38">
        <v>0</v>
      </c>
      <c r="C4026" s="79">
        <v>0</v>
      </c>
    </row>
    <row r="4027" spans="1:3" x14ac:dyDescent="0.25">
      <c r="A4027" s="2">
        <v>0</v>
      </c>
      <c r="B4027" s="38">
        <v>0</v>
      </c>
      <c r="C4027" s="79">
        <v>0</v>
      </c>
    </row>
    <row r="4028" spans="1:3" x14ac:dyDescent="0.25">
      <c r="A4028" s="2">
        <v>0</v>
      </c>
      <c r="B4028" s="38">
        <v>0</v>
      </c>
      <c r="C4028" s="79">
        <v>0</v>
      </c>
    </row>
    <row r="4029" spans="1:3" x14ac:dyDescent="0.25">
      <c r="A4029" s="2">
        <v>0</v>
      </c>
      <c r="B4029" s="38">
        <v>0</v>
      </c>
      <c r="C4029" s="79">
        <v>0</v>
      </c>
    </row>
    <row r="4030" spans="1:3" x14ac:dyDescent="0.25">
      <c r="A4030" s="2">
        <v>0</v>
      </c>
      <c r="B4030" s="38">
        <v>0</v>
      </c>
      <c r="C4030" s="79">
        <v>0</v>
      </c>
    </row>
    <row r="4031" spans="1:3" x14ac:dyDescent="0.25">
      <c r="A4031" s="2">
        <v>0</v>
      </c>
      <c r="B4031" s="38">
        <v>0</v>
      </c>
      <c r="C4031" s="79">
        <v>0</v>
      </c>
    </row>
    <row r="4032" spans="1:3" x14ac:dyDescent="0.25">
      <c r="A4032" s="2">
        <v>0</v>
      </c>
      <c r="B4032" s="38">
        <v>0</v>
      </c>
      <c r="C4032" s="79">
        <v>0</v>
      </c>
    </row>
    <row r="4033" spans="1:3" x14ac:dyDescent="0.25">
      <c r="A4033" s="2">
        <v>0</v>
      </c>
      <c r="B4033" s="38">
        <v>0</v>
      </c>
      <c r="C4033" s="79">
        <v>0</v>
      </c>
    </row>
    <row r="4034" spans="1:3" x14ac:dyDescent="0.25">
      <c r="A4034" s="2">
        <v>0</v>
      </c>
      <c r="B4034" s="38">
        <v>0</v>
      </c>
      <c r="C4034" s="79">
        <v>0</v>
      </c>
    </row>
    <row r="4035" spans="1:3" x14ac:dyDescent="0.25">
      <c r="A4035" s="2">
        <v>0</v>
      </c>
      <c r="B4035" s="38">
        <v>0</v>
      </c>
      <c r="C4035" s="79">
        <v>0</v>
      </c>
    </row>
    <row r="4036" spans="1:3" x14ac:dyDescent="0.25">
      <c r="A4036" s="2">
        <v>0</v>
      </c>
      <c r="B4036" s="38">
        <v>0</v>
      </c>
      <c r="C4036" s="79">
        <v>0</v>
      </c>
    </row>
    <row r="4037" spans="1:3" x14ac:dyDescent="0.25">
      <c r="A4037" s="2">
        <v>0</v>
      </c>
      <c r="B4037" s="38">
        <v>0</v>
      </c>
      <c r="C4037" s="79">
        <v>0</v>
      </c>
    </row>
    <row r="4038" spans="1:3" x14ac:dyDescent="0.25">
      <c r="A4038" s="2">
        <v>0</v>
      </c>
      <c r="B4038" s="38">
        <v>0</v>
      </c>
      <c r="C4038" s="79">
        <v>0</v>
      </c>
    </row>
    <row r="4039" spans="1:3" x14ac:dyDescent="0.25">
      <c r="A4039" s="2">
        <v>0</v>
      </c>
      <c r="B4039" s="38">
        <v>0</v>
      </c>
      <c r="C4039" s="79">
        <v>0</v>
      </c>
    </row>
    <row r="4040" spans="1:3" x14ac:dyDescent="0.25">
      <c r="A4040" s="2">
        <v>0</v>
      </c>
      <c r="B4040" s="38">
        <v>0</v>
      </c>
      <c r="C4040" s="79">
        <v>0</v>
      </c>
    </row>
    <row r="4041" spans="1:3" x14ac:dyDescent="0.25">
      <c r="A4041" s="2">
        <v>0</v>
      </c>
      <c r="B4041" s="38">
        <v>0</v>
      </c>
      <c r="C4041" s="79">
        <v>0</v>
      </c>
    </row>
    <row r="4042" spans="1:3" x14ac:dyDescent="0.25">
      <c r="A4042" s="2">
        <v>0</v>
      </c>
      <c r="B4042" s="38">
        <v>0</v>
      </c>
      <c r="C4042" s="79">
        <v>0</v>
      </c>
    </row>
    <row r="4043" spans="1:3" x14ac:dyDescent="0.25">
      <c r="A4043" s="2">
        <v>0</v>
      </c>
      <c r="B4043" s="38">
        <v>0</v>
      </c>
      <c r="C4043" s="79">
        <v>0</v>
      </c>
    </row>
    <row r="4044" spans="1:3" x14ac:dyDescent="0.25">
      <c r="A4044" s="2">
        <v>0</v>
      </c>
      <c r="B4044" s="38">
        <v>0</v>
      </c>
      <c r="C4044" s="79">
        <v>0</v>
      </c>
    </row>
    <row r="4045" spans="1:3" x14ac:dyDescent="0.25">
      <c r="A4045" s="2">
        <v>0</v>
      </c>
      <c r="B4045" s="38">
        <v>0</v>
      </c>
      <c r="C4045" s="79">
        <v>0</v>
      </c>
    </row>
    <row r="4046" spans="1:3" x14ac:dyDescent="0.25">
      <c r="A4046" s="2">
        <v>0</v>
      </c>
      <c r="B4046" s="38">
        <v>0</v>
      </c>
      <c r="C4046" s="79">
        <v>0</v>
      </c>
    </row>
    <row r="4047" spans="1:3" x14ac:dyDescent="0.25">
      <c r="A4047" s="2">
        <v>0</v>
      </c>
      <c r="B4047" s="38">
        <v>0</v>
      </c>
      <c r="C4047" s="79">
        <v>0</v>
      </c>
    </row>
    <row r="4048" spans="1:3" x14ac:dyDescent="0.25">
      <c r="A4048" s="2">
        <v>0</v>
      </c>
      <c r="B4048" s="38">
        <v>0</v>
      </c>
      <c r="C4048" s="79">
        <v>0</v>
      </c>
    </row>
    <row r="4049" spans="1:3" x14ac:dyDescent="0.25">
      <c r="A4049" s="2">
        <v>0</v>
      </c>
      <c r="B4049" s="38">
        <v>0</v>
      </c>
      <c r="C4049" s="79">
        <v>0</v>
      </c>
    </row>
    <row r="4050" spans="1:3" x14ac:dyDescent="0.25">
      <c r="A4050" s="2">
        <v>0</v>
      </c>
      <c r="B4050" s="38">
        <v>0</v>
      </c>
      <c r="C4050" s="79">
        <v>0</v>
      </c>
    </row>
    <row r="4051" spans="1:3" x14ac:dyDescent="0.25">
      <c r="A4051" s="2">
        <v>0</v>
      </c>
      <c r="B4051" s="38">
        <v>0</v>
      </c>
      <c r="C4051" s="79">
        <v>0</v>
      </c>
    </row>
    <row r="4052" spans="1:3" x14ac:dyDescent="0.25">
      <c r="A4052" s="2">
        <v>0</v>
      </c>
      <c r="B4052" s="38">
        <v>0</v>
      </c>
      <c r="C4052" s="79">
        <v>0</v>
      </c>
    </row>
    <row r="4053" spans="1:3" x14ac:dyDescent="0.25">
      <c r="A4053" s="2">
        <v>0</v>
      </c>
      <c r="B4053" s="38">
        <v>0</v>
      </c>
      <c r="C4053" s="79">
        <v>0</v>
      </c>
    </row>
    <row r="4054" spans="1:3" x14ac:dyDescent="0.25">
      <c r="A4054" s="2">
        <v>0</v>
      </c>
      <c r="B4054" s="38">
        <v>0</v>
      </c>
      <c r="C4054" s="79">
        <v>0</v>
      </c>
    </row>
    <row r="4055" spans="1:3" x14ac:dyDescent="0.25">
      <c r="A4055" s="2">
        <v>0</v>
      </c>
      <c r="B4055" s="38">
        <v>0</v>
      </c>
      <c r="C4055" s="79">
        <v>0</v>
      </c>
    </row>
    <row r="4056" spans="1:3" x14ac:dyDescent="0.25">
      <c r="A4056" s="2">
        <v>0</v>
      </c>
      <c r="B4056" s="38">
        <v>0</v>
      </c>
      <c r="C4056" s="79">
        <v>0</v>
      </c>
    </row>
    <row r="4057" spans="1:3" x14ac:dyDescent="0.25">
      <c r="A4057" s="2">
        <v>0</v>
      </c>
      <c r="B4057" s="38">
        <v>0</v>
      </c>
      <c r="C4057" s="79">
        <v>0</v>
      </c>
    </row>
    <row r="4058" spans="1:3" x14ac:dyDescent="0.25">
      <c r="A4058" s="2">
        <v>0</v>
      </c>
      <c r="B4058" s="38">
        <v>0</v>
      </c>
      <c r="C4058" s="79">
        <v>0</v>
      </c>
    </row>
    <row r="4059" spans="1:3" x14ac:dyDescent="0.25">
      <c r="A4059" s="2">
        <v>0</v>
      </c>
      <c r="B4059" s="38">
        <v>0</v>
      </c>
      <c r="C4059" s="79">
        <v>0</v>
      </c>
    </row>
    <row r="4060" spans="1:3" x14ac:dyDescent="0.25">
      <c r="A4060" s="2">
        <v>0</v>
      </c>
      <c r="B4060" s="38">
        <v>0</v>
      </c>
      <c r="C4060" s="79">
        <v>0</v>
      </c>
    </row>
    <row r="4061" spans="1:3" x14ac:dyDescent="0.25">
      <c r="A4061" s="2">
        <v>0</v>
      </c>
      <c r="B4061" s="38">
        <v>0</v>
      </c>
      <c r="C4061" s="79">
        <v>0</v>
      </c>
    </row>
    <row r="4062" spans="1:3" x14ac:dyDescent="0.25">
      <c r="A4062" s="2">
        <v>0</v>
      </c>
      <c r="B4062" s="38">
        <v>0</v>
      </c>
      <c r="C4062" s="79">
        <v>0</v>
      </c>
    </row>
    <row r="4063" spans="1:3" x14ac:dyDescent="0.25">
      <c r="A4063" s="2">
        <v>0</v>
      </c>
      <c r="B4063" s="38">
        <v>0</v>
      </c>
      <c r="C4063" s="79">
        <v>0</v>
      </c>
    </row>
    <row r="4064" spans="1:3" x14ac:dyDescent="0.25">
      <c r="A4064" s="2">
        <v>0</v>
      </c>
      <c r="B4064" s="38">
        <v>0</v>
      </c>
      <c r="C4064" s="79">
        <v>0</v>
      </c>
    </row>
    <row r="4065" spans="1:3" x14ac:dyDescent="0.25">
      <c r="A4065" s="2">
        <v>0</v>
      </c>
      <c r="B4065" s="38">
        <v>0</v>
      </c>
      <c r="C4065" s="79">
        <v>0</v>
      </c>
    </row>
    <row r="4066" spans="1:3" x14ac:dyDescent="0.25">
      <c r="A4066" s="2">
        <v>0</v>
      </c>
      <c r="B4066" s="38">
        <v>0</v>
      </c>
      <c r="C4066" s="79">
        <v>0</v>
      </c>
    </row>
    <row r="4067" spans="1:3" x14ac:dyDescent="0.25">
      <c r="A4067" s="2">
        <v>0</v>
      </c>
      <c r="B4067" s="38">
        <v>0</v>
      </c>
      <c r="C4067" s="79">
        <v>0</v>
      </c>
    </row>
    <row r="4068" spans="1:3" x14ac:dyDescent="0.25">
      <c r="A4068" s="2">
        <v>0</v>
      </c>
      <c r="B4068" s="38">
        <v>0</v>
      </c>
      <c r="C4068" s="79">
        <v>0</v>
      </c>
    </row>
    <row r="4069" spans="1:3" x14ac:dyDescent="0.25">
      <c r="A4069" s="2">
        <v>0</v>
      </c>
      <c r="B4069" s="38">
        <v>0</v>
      </c>
      <c r="C4069" s="79">
        <v>0</v>
      </c>
    </row>
    <row r="4070" spans="1:3" x14ac:dyDescent="0.25">
      <c r="A4070" s="2">
        <v>0</v>
      </c>
      <c r="B4070" s="38">
        <v>0</v>
      </c>
      <c r="C4070" s="79">
        <v>0</v>
      </c>
    </row>
    <row r="4071" spans="1:3" x14ac:dyDescent="0.25">
      <c r="A4071" s="2">
        <v>0</v>
      </c>
      <c r="B4071" s="38">
        <v>0</v>
      </c>
      <c r="C4071" s="79">
        <v>0</v>
      </c>
    </row>
    <row r="4072" spans="1:3" x14ac:dyDescent="0.25">
      <c r="A4072" s="2">
        <v>0</v>
      </c>
      <c r="B4072" s="38">
        <v>0</v>
      </c>
      <c r="C4072" s="79">
        <v>0</v>
      </c>
    </row>
    <row r="4073" spans="1:3" x14ac:dyDescent="0.25">
      <c r="A4073" s="2">
        <v>0</v>
      </c>
      <c r="B4073" s="38">
        <v>0</v>
      </c>
      <c r="C4073" s="79">
        <v>0</v>
      </c>
    </row>
    <row r="4074" spans="1:3" x14ac:dyDescent="0.25">
      <c r="A4074" s="2">
        <v>0</v>
      </c>
      <c r="B4074" s="38">
        <v>0</v>
      </c>
      <c r="C4074" s="79">
        <v>0</v>
      </c>
    </row>
    <row r="4075" spans="1:3" x14ac:dyDescent="0.25">
      <c r="A4075" s="2">
        <v>0</v>
      </c>
      <c r="B4075" s="38">
        <v>0</v>
      </c>
      <c r="C4075" s="79">
        <v>0</v>
      </c>
    </row>
    <row r="4076" spans="1:3" x14ac:dyDescent="0.25">
      <c r="A4076" s="2">
        <v>0</v>
      </c>
      <c r="B4076" s="38">
        <v>0</v>
      </c>
      <c r="C4076" s="79">
        <v>0</v>
      </c>
    </row>
    <row r="4077" spans="1:3" x14ac:dyDescent="0.25">
      <c r="A4077" s="2">
        <v>0</v>
      </c>
      <c r="B4077" s="38">
        <v>0</v>
      </c>
      <c r="C4077" s="79">
        <v>0</v>
      </c>
    </row>
    <row r="4078" spans="1:3" x14ac:dyDescent="0.25">
      <c r="A4078" s="2">
        <v>0</v>
      </c>
      <c r="B4078" s="38">
        <v>0</v>
      </c>
      <c r="C4078" s="79">
        <v>0</v>
      </c>
    </row>
    <row r="4079" spans="1:3" x14ac:dyDescent="0.25">
      <c r="A4079" s="2">
        <v>0</v>
      </c>
      <c r="B4079" s="38">
        <v>0</v>
      </c>
      <c r="C4079" s="79">
        <v>0</v>
      </c>
    </row>
    <row r="4080" spans="1:3" x14ac:dyDescent="0.25">
      <c r="A4080" s="2">
        <v>0</v>
      </c>
      <c r="B4080" s="38">
        <v>0</v>
      </c>
      <c r="C4080" s="79">
        <v>0</v>
      </c>
    </row>
    <row r="4081" spans="1:3" x14ac:dyDescent="0.25">
      <c r="A4081" s="2">
        <v>0</v>
      </c>
      <c r="B4081" s="38">
        <v>0</v>
      </c>
      <c r="C4081" s="79">
        <v>0</v>
      </c>
    </row>
    <row r="4082" spans="1:3" x14ac:dyDescent="0.25">
      <c r="A4082" s="2">
        <v>0</v>
      </c>
      <c r="B4082" s="38">
        <v>0</v>
      </c>
      <c r="C4082" s="79">
        <v>0</v>
      </c>
    </row>
    <row r="4083" spans="1:3" x14ac:dyDescent="0.25">
      <c r="A4083" s="2">
        <v>0</v>
      </c>
      <c r="B4083" s="38">
        <v>0</v>
      </c>
      <c r="C4083" s="79">
        <v>0</v>
      </c>
    </row>
    <row r="4084" spans="1:3" x14ac:dyDescent="0.25">
      <c r="A4084" s="2">
        <v>0</v>
      </c>
      <c r="B4084" s="38">
        <v>0</v>
      </c>
      <c r="C4084" s="79">
        <v>0</v>
      </c>
    </row>
    <row r="4085" spans="1:3" x14ac:dyDescent="0.25">
      <c r="A4085" s="2">
        <v>0</v>
      </c>
      <c r="B4085" s="38">
        <v>0</v>
      </c>
      <c r="C4085" s="79">
        <v>0</v>
      </c>
    </row>
    <row r="4086" spans="1:3" x14ac:dyDescent="0.25">
      <c r="A4086" s="2">
        <v>0</v>
      </c>
      <c r="B4086" s="38">
        <v>0</v>
      </c>
      <c r="C4086" s="79">
        <v>0</v>
      </c>
    </row>
    <row r="4087" spans="1:3" x14ac:dyDescent="0.25">
      <c r="A4087" s="2">
        <v>0</v>
      </c>
      <c r="B4087" s="38">
        <v>0</v>
      </c>
      <c r="C4087" s="79">
        <v>0</v>
      </c>
    </row>
    <row r="4088" spans="1:3" x14ac:dyDescent="0.25">
      <c r="A4088" s="2">
        <v>0</v>
      </c>
      <c r="B4088" s="38">
        <v>0</v>
      </c>
      <c r="C4088" s="79">
        <v>0</v>
      </c>
    </row>
    <row r="4089" spans="1:3" x14ac:dyDescent="0.25">
      <c r="A4089" s="2">
        <v>0</v>
      </c>
      <c r="B4089" s="38">
        <v>0</v>
      </c>
      <c r="C4089" s="79">
        <v>0</v>
      </c>
    </row>
    <row r="4090" spans="1:3" x14ac:dyDescent="0.25">
      <c r="A4090" s="2">
        <v>0</v>
      </c>
      <c r="B4090" s="38">
        <v>0</v>
      </c>
      <c r="C4090" s="79">
        <v>0</v>
      </c>
    </row>
    <row r="4091" spans="1:3" x14ac:dyDescent="0.25">
      <c r="A4091" s="2">
        <v>0</v>
      </c>
      <c r="B4091" s="38">
        <v>0</v>
      </c>
      <c r="C4091" s="79">
        <v>0</v>
      </c>
    </row>
    <row r="4092" spans="1:3" x14ac:dyDescent="0.25">
      <c r="A4092" s="2">
        <v>0</v>
      </c>
      <c r="B4092" s="38">
        <v>0</v>
      </c>
      <c r="C4092" s="79">
        <v>0</v>
      </c>
    </row>
    <row r="4093" spans="1:3" x14ac:dyDescent="0.25">
      <c r="A4093" s="2">
        <v>0</v>
      </c>
      <c r="B4093" s="38">
        <v>0</v>
      </c>
      <c r="C4093" s="79">
        <v>0</v>
      </c>
    </row>
    <row r="4094" spans="1:3" x14ac:dyDescent="0.25">
      <c r="A4094" s="2">
        <v>0</v>
      </c>
      <c r="B4094" s="38">
        <v>0</v>
      </c>
      <c r="C4094" s="79">
        <v>0</v>
      </c>
    </row>
    <row r="4095" spans="1:3" x14ac:dyDescent="0.25">
      <c r="A4095" s="2">
        <v>0</v>
      </c>
      <c r="B4095" s="38">
        <v>0</v>
      </c>
      <c r="C4095" s="79">
        <v>0</v>
      </c>
    </row>
    <row r="4096" spans="1:3" x14ac:dyDescent="0.25">
      <c r="A4096" s="2">
        <v>0</v>
      </c>
      <c r="B4096" s="38">
        <v>0</v>
      </c>
      <c r="C4096" s="79">
        <v>0</v>
      </c>
    </row>
    <row r="4097" spans="1:3" x14ac:dyDescent="0.25">
      <c r="A4097" s="2">
        <v>0</v>
      </c>
      <c r="B4097" s="38">
        <v>0</v>
      </c>
      <c r="C4097" s="79">
        <v>0</v>
      </c>
    </row>
    <row r="4098" spans="1:3" x14ac:dyDescent="0.25">
      <c r="A4098" s="2">
        <v>0</v>
      </c>
      <c r="B4098" s="38">
        <v>0</v>
      </c>
      <c r="C4098" s="79">
        <v>0</v>
      </c>
    </row>
    <row r="4099" spans="1:3" x14ac:dyDescent="0.25">
      <c r="A4099" s="2">
        <v>0</v>
      </c>
      <c r="B4099" s="38">
        <v>0</v>
      </c>
      <c r="C4099" s="79">
        <v>0</v>
      </c>
    </row>
    <row r="4100" spans="1:3" x14ac:dyDescent="0.25">
      <c r="A4100" s="2">
        <v>0</v>
      </c>
      <c r="B4100" s="38">
        <v>0</v>
      </c>
      <c r="C4100" s="79">
        <v>0</v>
      </c>
    </row>
    <row r="4101" spans="1:3" x14ac:dyDescent="0.25">
      <c r="A4101" s="2">
        <v>0</v>
      </c>
      <c r="B4101" s="38">
        <v>0</v>
      </c>
      <c r="C4101" s="79">
        <v>0</v>
      </c>
    </row>
    <row r="4102" spans="1:3" x14ac:dyDescent="0.25">
      <c r="A4102" s="2">
        <v>0</v>
      </c>
      <c r="B4102" s="38">
        <v>0</v>
      </c>
      <c r="C4102" s="79">
        <v>0</v>
      </c>
    </row>
    <row r="4103" spans="1:3" x14ac:dyDescent="0.25">
      <c r="A4103" s="2">
        <v>0</v>
      </c>
      <c r="B4103" s="38">
        <v>0</v>
      </c>
      <c r="C4103" s="79">
        <v>0</v>
      </c>
    </row>
    <row r="4104" spans="1:3" x14ac:dyDescent="0.25">
      <c r="A4104" s="2">
        <v>0</v>
      </c>
      <c r="B4104" s="38">
        <v>0</v>
      </c>
      <c r="C4104" s="79">
        <v>0</v>
      </c>
    </row>
    <row r="4105" spans="1:3" x14ac:dyDescent="0.25">
      <c r="A4105" s="2">
        <v>0</v>
      </c>
      <c r="B4105" s="38">
        <v>0</v>
      </c>
      <c r="C4105" s="79">
        <v>0</v>
      </c>
    </row>
    <row r="4106" spans="1:3" x14ac:dyDescent="0.25">
      <c r="A4106" s="2">
        <v>0</v>
      </c>
      <c r="B4106" s="38">
        <v>0</v>
      </c>
      <c r="C4106" s="79">
        <v>0</v>
      </c>
    </row>
    <row r="4107" spans="1:3" x14ac:dyDescent="0.25">
      <c r="A4107" s="2">
        <v>0</v>
      </c>
      <c r="B4107" s="38">
        <v>0</v>
      </c>
      <c r="C4107" s="79">
        <v>0</v>
      </c>
    </row>
    <row r="4108" spans="1:3" x14ac:dyDescent="0.25">
      <c r="A4108" s="2">
        <v>0</v>
      </c>
      <c r="B4108" s="38">
        <v>0</v>
      </c>
      <c r="C4108" s="79">
        <v>0</v>
      </c>
    </row>
    <row r="4109" spans="1:3" x14ac:dyDescent="0.25">
      <c r="A4109" s="2">
        <v>0</v>
      </c>
      <c r="B4109" s="38">
        <v>0</v>
      </c>
      <c r="C4109" s="79">
        <v>0</v>
      </c>
    </row>
    <row r="4110" spans="1:3" x14ac:dyDescent="0.25">
      <c r="A4110" s="2">
        <v>0</v>
      </c>
      <c r="B4110" s="38">
        <v>0</v>
      </c>
      <c r="C4110" s="79">
        <v>0</v>
      </c>
    </row>
    <row r="4111" spans="1:3" x14ac:dyDescent="0.25">
      <c r="A4111" s="2">
        <v>0</v>
      </c>
      <c r="B4111" s="38">
        <v>0</v>
      </c>
      <c r="C4111" s="79">
        <v>0</v>
      </c>
    </row>
    <row r="4112" spans="1:3" x14ac:dyDescent="0.25">
      <c r="A4112" s="2">
        <v>0</v>
      </c>
      <c r="B4112" s="38">
        <v>0</v>
      </c>
      <c r="C4112" s="79">
        <v>0</v>
      </c>
    </row>
    <row r="4113" spans="1:3" x14ac:dyDescent="0.25">
      <c r="A4113" s="2">
        <v>0</v>
      </c>
      <c r="B4113" s="38">
        <v>0</v>
      </c>
      <c r="C4113" s="79">
        <v>0</v>
      </c>
    </row>
    <row r="4114" spans="1:3" x14ac:dyDescent="0.25">
      <c r="A4114" s="2">
        <v>0</v>
      </c>
      <c r="B4114" s="38">
        <v>0</v>
      </c>
      <c r="C4114" s="79">
        <v>0</v>
      </c>
    </row>
    <row r="4115" spans="1:3" x14ac:dyDescent="0.25">
      <c r="A4115" s="2">
        <v>0</v>
      </c>
      <c r="B4115" s="38">
        <v>0</v>
      </c>
      <c r="C4115" s="79">
        <v>0</v>
      </c>
    </row>
    <row r="4116" spans="1:3" x14ac:dyDescent="0.25">
      <c r="A4116" s="2">
        <v>0</v>
      </c>
      <c r="B4116" s="38">
        <v>0</v>
      </c>
      <c r="C4116" s="79">
        <v>0</v>
      </c>
    </row>
    <row r="4117" spans="1:3" x14ac:dyDescent="0.25">
      <c r="A4117" s="2">
        <v>0</v>
      </c>
      <c r="B4117" s="38">
        <v>0</v>
      </c>
      <c r="C4117" s="79">
        <v>0</v>
      </c>
    </row>
    <row r="4118" spans="1:3" x14ac:dyDescent="0.25">
      <c r="A4118" s="2">
        <v>0</v>
      </c>
      <c r="B4118" s="38">
        <v>0</v>
      </c>
      <c r="C4118" s="79">
        <v>0</v>
      </c>
    </row>
    <row r="4119" spans="1:3" x14ac:dyDescent="0.25">
      <c r="A4119" s="2">
        <v>0</v>
      </c>
      <c r="B4119" s="38">
        <v>0</v>
      </c>
      <c r="C4119" s="79">
        <v>0</v>
      </c>
    </row>
    <row r="4120" spans="1:3" x14ac:dyDescent="0.25">
      <c r="A4120" s="2">
        <v>0</v>
      </c>
      <c r="B4120" s="38">
        <v>0</v>
      </c>
      <c r="C4120" s="79">
        <v>0</v>
      </c>
    </row>
    <row r="4121" spans="1:3" x14ac:dyDescent="0.25">
      <c r="A4121" s="2">
        <v>0</v>
      </c>
      <c r="B4121" s="38">
        <v>0</v>
      </c>
      <c r="C4121" s="79">
        <v>0</v>
      </c>
    </row>
    <row r="4122" spans="1:3" x14ac:dyDescent="0.25">
      <c r="A4122" s="2">
        <v>0</v>
      </c>
      <c r="B4122" s="38">
        <v>0</v>
      </c>
      <c r="C4122" s="79">
        <v>0</v>
      </c>
    </row>
    <row r="4123" spans="1:3" x14ac:dyDescent="0.25">
      <c r="A4123" s="2">
        <v>0</v>
      </c>
      <c r="B4123" s="38">
        <v>0</v>
      </c>
      <c r="C4123" s="79">
        <v>0</v>
      </c>
    </row>
    <row r="4124" spans="1:3" x14ac:dyDescent="0.25">
      <c r="A4124" s="2">
        <v>0</v>
      </c>
      <c r="B4124" s="38">
        <v>0</v>
      </c>
      <c r="C4124" s="79">
        <v>0</v>
      </c>
    </row>
    <row r="4125" spans="1:3" x14ac:dyDescent="0.25">
      <c r="A4125" s="2">
        <v>0</v>
      </c>
      <c r="B4125" s="38">
        <v>0</v>
      </c>
      <c r="C4125" s="79">
        <v>0</v>
      </c>
    </row>
    <row r="4126" spans="1:3" x14ac:dyDescent="0.25">
      <c r="A4126" s="2">
        <v>0</v>
      </c>
      <c r="B4126" s="38">
        <v>0</v>
      </c>
      <c r="C4126" s="79">
        <v>0</v>
      </c>
    </row>
    <row r="4127" spans="1:3" x14ac:dyDescent="0.25">
      <c r="A4127" s="2">
        <v>0</v>
      </c>
      <c r="B4127" s="38">
        <v>0</v>
      </c>
      <c r="C4127" s="79">
        <v>0</v>
      </c>
    </row>
    <row r="4128" spans="1:3" x14ac:dyDescent="0.25">
      <c r="A4128" s="2">
        <v>0</v>
      </c>
      <c r="B4128" s="38">
        <v>0</v>
      </c>
      <c r="C4128" s="79">
        <v>0</v>
      </c>
    </row>
    <row r="4129" spans="1:3" x14ac:dyDescent="0.25">
      <c r="A4129" s="2">
        <v>0</v>
      </c>
      <c r="B4129" s="38">
        <v>0</v>
      </c>
      <c r="C4129" s="79">
        <v>0</v>
      </c>
    </row>
    <row r="4130" spans="1:3" x14ac:dyDescent="0.25">
      <c r="A4130" s="2">
        <v>0</v>
      </c>
      <c r="B4130" s="38">
        <v>0</v>
      </c>
      <c r="C4130" s="79">
        <v>0</v>
      </c>
    </row>
    <row r="4131" spans="1:3" x14ac:dyDescent="0.25">
      <c r="A4131" s="2">
        <v>0</v>
      </c>
      <c r="B4131" s="38">
        <v>0</v>
      </c>
      <c r="C4131" s="79">
        <v>0</v>
      </c>
    </row>
    <row r="4132" spans="1:3" x14ac:dyDescent="0.25">
      <c r="A4132" s="2">
        <v>0</v>
      </c>
      <c r="B4132" s="38">
        <v>0</v>
      </c>
      <c r="C4132" s="79">
        <v>0</v>
      </c>
    </row>
    <row r="4133" spans="1:3" x14ac:dyDescent="0.25">
      <c r="A4133" s="2">
        <v>0</v>
      </c>
      <c r="B4133" s="38">
        <v>0</v>
      </c>
      <c r="C4133" s="79">
        <v>0</v>
      </c>
    </row>
    <row r="4134" spans="1:3" x14ac:dyDescent="0.25">
      <c r="A4134" s="2">
        <v>0</v>
      </c>
      <c r="B4134" s="38">
        <v>0</v>
      </c>
      <c r="C4134" s="79">
        <v>0</v>
      </c>
    </row>
    <row r="4135" spans="1:3" x14ac:dyDescent="0.25">
      <c r="A4135" s="2">
        <v>0</v>
      </c>
      <c r="B4135" s="38">
        <v>0</v>
      </c>
      <c r="C4135" s="79">
        <v>0</v>
      </c>
    </row>
    <row r="4136" spans="1:3" x14ac:dyDescent="0.25">
      <c r="A4136" s="2">
        <v>0</v>
      </c>
      <c r="B4136" s="38">
        <v>0</v>
      </c>
      <c r="C4136" s="79">
        <v>0</v>
      </c>
    </row>
    <row r="4137" spans="1:3" x14ac:dyDescent="0.25">
      <c r="A4137" s="2">
        <v>0</v>
      </c>
      <c r="B4137" s="38">
        <v>0</v>
      </c>
      <c r="C4137" s="79">
        <v>0</v>
      </c>
    </row>
    <row r="4138" spans="1:3" x14ac:dyDescent="0.25">
      <c r="A4138" s="2">
        <v>0</v>
      </c>
      <c r="B4138" s="38">
        <v>0</v>
      </c>
      <c r="C4138" s="79">
        <v>0</v>
      </c>
    </row>
    <row r="4139" spans="1:3" x14ac:dyDescent="0.25">
      <c r="A4139" s="2">
        <v>0</v>
      </c>
      <c r="B4139" s="38">
        <v>0</v>
      </c>
      <c r="C4139" s="79">
        <v>0</v>
      </c>
    </row>
    <row r="4140" spans="1:3" x14ac:dyDescent="0.25">
      <c r="A4140" s="2">
        <v>0</v>
      </c>
      <c r="B4140" s="38">
        <v>0</v>
      </c>
      <c r="C4140" s="79">
        <v>0</v>
      </c>
    </row>
    <row r="4141" spans="1:3" x14ac:dyDescent="0.25">
      <c r="A4141" s="2">
        <v>0</v>
      </c>
      <c r="B4141" s="38">
        <v>0</v>
      </c>
      <c r="C4141" s="79">
        <v>0</v>
      </c>
    </row>
    <row r="4142" spans="1:3" x14ac:dyDescent="0.25">
      <c r="A4142" s="2">
        <v>0</v>
      </c>
      <c r="B4142" s="38">
        <v>0</v>
      </c>
      <c r="C4142" s="79">
        <v>0</v>
      </c>
    </row>
    <row r="4143" spans="1:3" x14ac:dyDescent="0.25">
      <c r="A4143" s="2">
        <v>0</v>
      </c>
      <c r="B4143" s="38">
        <v>0</v>
      </c>
      <c r="C4143" s="79">
        <v>0</v>
      </c>
    </row>
    <row r="4144" spans="1:3" x14ac:dyDescent="0.25">
      <c r="A4144" s="2">
        <v>0</v>
      </c>
      <c r="B4144" s="38">
        <v>0</v>
      </c>
      <c r="C4144" s="79">
        <v>0</v>
      </c>
    </row>
    <row r="4145" spans="1:3" x14ac:dyDescent="0.25">
      <c r="A4145" s="2">
        <v>0</v>
      </c>
      <c r="B4145" s="38">
        <v>0</v>
      </c>
      <c r="C4145" s="79">
        <v>0</v>
      </c>
    </row>
    <row r="4146" spans="1:3" x14ac:dyDescent="0.25">
      <c r="A4146" s="2">
        <v>0</v>
      </c>
      <c r="B4146" s="38">
        <v>0</v>
      </c>
      <c r="C4146" s="79">
        <v>0</v>
      </c>
    </row>
    <row r="4147" spans="1:3" x14ac:dyDescent="0.25">
      <c r="A4147" s="2">
        <v>0</v>
      </c>
      <c r="B4147" s="38">
        <v>0</v>
      </c>
      <c r="C4147" s="79">
        <v>0</v>
      </c>
    </row>
    <row r="4148" spans="1:3" x14ac:dyDescent="0.25">
      <c r="A4148" s="2">
        <v>0</v>
      </c>
      <c r="B4148" s="38">
        <v>0</v>
      </c>
      <c r="C4148" s="79">
        <v>0</v>
      </c>
    </row>
    <row r="4149" spans="1:3" x14ac:dyDescent="0.25">
      <c r="A4149" s="2">
        <v>0</v>
      </c>
      <c r="B4149" s="38">
        <v>0</v>
      </c>
      <c r="C4149" s="79">
        <v>0</v>
      </c>
    </row>
    <row r="4150" spans="1:3" x14ac:dyDescent="0.25">
      <c r="A4150" s="2">
        <v>0</v>
      </c>
      <c r="B4150" s="38">
        <v>0</v>
      </c>
      <c r="C4150" s="79">
        <v>0</v>
      </c>
    </row>
    <row r="4151" spans="1:3" x14ac:dyDescent="0.25">
      <c r="A4151" s="2">
        <v>0</v>
      </c>
      <c r="B4151" s="38">
        <v>0</v>
      </c>
      <c r="C4151" s="79">
        <v>0</v>
      </c>
    </row>
    <row r="4152" spans="1:3" x14ac:dyDescent="0.25">
      <c r="A4152" s="2">
        <v>0</v>
      </c>
      <c r="B4152" s="38">
        <v>0</v>
      </c>
      <c r="C4152" s="79">
        <v>0</v>
      </c>
    </row>
    <row r="4153" spans="1:3" x14ac:dyDescent="0.25">
      <c r="A4153" s="2">
        <v>0</v>
      </c>
      <c r="B4153" s="38">
        <v>0</v>
      </c>
      <c r="C4153" s="79">
        <v>0</v>
      </c>
    </row>
    <row r="4154" spans="1:3" x14ac:dyDescent="0.25">
      <c r="A4154" s="2">
        <v>0</v>
      </c>
      <c r="B4154" s="38">
        <v>0</v>
      </c>
      <c r="C4154" s="79">
        <v>0</v>
      </c>
    </row>
    <row r="4155" spans="1:3" x14ac:dyDescent="0.25">
      <c r="A4155" s="2">
        <v>0</v>
      </c>
      <c r="B4155" s="38">
        <v>0</v>
      </c>
      <c r="C4155" s="79">
        <v>0</v>
      </c>
    </row>
    <row r="4156" spans="1:3" x14ac:dyDescent="0.25">
      <c r="A4156" s="2">
        <v>0</v>
      </c>
      <c r="B4156" s="38">
        <v>0</v>
      </c>
      <c r="C4156" s="79">
        <v>0</v>
      </c>
    </row>
    <row r="4157" spans="1:3" x14ac:dyDescent="0.25">
      <c r="A4157" s="2">
        <v>0</v>
      </c>
      <c r="B4157" s="38">
        <v>0</v>
      </c>
      <c r="C4157" s="79">
        <v>0</v>
      </c>
    </row>
    <row r="4158" spans="1:3" x14ac:dyDescent="0.25">
      <c r="A4158" s="2">
        <v>0</v>
      </c>
      <c r="B4158" s="38">
        <v>0</v>
      </c>
      <c r="C4158" s="79">
        <v>0</v>
      </c>
    </row>
    <row r="4159" spans="1:3" x14ac:dyDescent="0.25">
      <c r="A4159" s="2">
        <v>0</v>
      </c>
      <c r="B4159" s="38">
        <v>0</v>
      </c>
      <c r="C4159" s="79">
        <v>0</v>
      </c>
    </row>
    <row r="4160" spans="1:3" x14ac:dyDescent="0.25">
      <c r="A4160" s="2">
        <v>0</v>
      </c>
      <c r="B4160" s="38">
        <v>0</v>
      </c>
      <c r="C4160" s="79">
        <v>0</v>
      </c>
    </row>
    <row r="4161" spans="1:3" x14ac:dyDescent="0.25">
      <c r="A4161" s="2">
        <v>0</v>
      </c>
      <c r="B4161" s="38">
        <v>0</v>
      </c>
      <c r="C4161" s="79">
        <v>0</v>
      </c>
    </row>
    <row r="4162" spans="1:3" x14ac:dyDescent="0.25">
      <c r="A4162" s="2">
        <v>0</v>
      </c>
      <c r="B4162" s="38">
        <v>0</v>
      </c>
      <c r="C4162" s="79">
        <v>0</v>
      </c>
    </row>
    <row r="4163" spans="1:3" x14ac:dyDescent="0.25">
      <c r="A4163" s="2">
        <v>0</v>
      </c>
      <c r="B4163" s="38">
        <v>0</v>
      </c>
      <c r="C4163" s="79">
        <v>0</v>
      </c>
    </row>
    <row r="4164" spans="1:3" x14ac:dyDescent="0.25">
      <c r="A4164" s="2">
        <v>0</v>
      </c>
      <c r="B4164" s="38">
        <v>0</v>
      </c>
      <c r="C4164" s="79">
        <v>0</v>
      </c>
    </row>
    <row r="4165" spans="1:3" x14ac:dyDescent="0.25">
      <c r="A4165" s="2">
        <v>0</v>
      </c>
      <c r="B4165" s="38">
        <v>0</v>
      </c>
      <c r="C4165" s="79">
        <v>0</v>
      </c>
    </row>
    <row r="4166" spans="1:3" x14ac:dyDescent="0.25">
      <c r="A4166" s="2">
        <v>0</v>
      </c>
      <c r="B4166" s="38">
        <v>0</v>
      </c>
      <c r="C4166" s="79">
        <v>0</v>
      </c>
    </row>
    <row r="4167" spans="1:3" x14ac:dyDescent="0.25">
      <c r="A4167" s="2">
        <v>0</v>
      </c>
      <c r="B4167" s="38">
        <v>0</v>
      </c>
      <c r="C4167" s="79">
        <v>0</v>
      </c>
    </row>
    <row r="4168" spans="1:3" x14ac:dyDescent="0.25">
      <c r="A4168" s="2">
        <v>0</v>
      </c>
      <c r="B4168" s="38">
        <v>0</v>
      </c>
      <c r="C4168" s="79">
        <v>0</v>
      </c>
    </row>
    <row r="4169" spans="1:3" x14ac:dyDescent="0.25">
      <c r="A4169" s="2">
        <v>0</v>
      </c>
      <c r="B4169" s="38">
        <v>0</v>
      </c>
      <c r="C4169" s="79">
        <v>0</v>
      </c>
    </row>
    <row r="4170" spans="1:3" x14ac:dyDescent="0.25">
      <c r="A4170" s="2">
        <v>0</v>
      </c>
      <c r="B4170" s="38">
        <v>0</v>
      </c>
      <c r="C4170" s="79">
        <v>0</v>
      </c>
    </row>
    <row r="4171" spans="1:3" x14ac:dyDescent="0.25">
      <c r="A4171" s="2">
        <v>0</v>
      </c>
      <c r="B4171" s="38">
        <v>0</v>
      </c>
      <c r="C4171" s="79">
        <v>0</v>
      </c>
    </row>
    <row r="4172" spans="1:3" x14ac:dyDescent="0.25">
      <c r="A4172" s="2">
        <v>0</v>
      </c>
      <c r="B4172" s="38">
        <v>0</v>
      </c>
      <c r="C4172" s="79">
        <v>0</v>
      </c>
    </row>
    <row r="4173" spans="1:3" x14ac:dyDescent="0.25">
      <c r="A4173" s="2">
        <v>0</v>
      </c>
      <c r="B4173" s="38">
        <v>0</v>
      </c>
      <c r="C4173" s="79">
        <v>0</v>
      </c>
    </row>
    <row r="4174" spans="1:3" x14ac:dyDescent="0.25">
      <c r="A4174" s="2">
        <v>0</v>
      </c>
      <c r="B4174" s="38">
        <v>0</v>
      </c>
      <c r="C4174" s="79">
        <v>0</v>
      </c>
    </row>
    <row r="4175" spans="1:3" x14ac:dyDescent="0.25">
      <c r="A4175" s="2">
        <v>0</v>
      </c>
      <c r="B4175" s="38">
        <v>0</v>
      </c>
      <c r="C4175" s="79">
        <v>0</v>
      </c>
    </row>
    <row r="4176" spans="1:3" x14ac:dyDescent="0.25">
      <c r="A4176" s="2">
        <v>0</v>
      </c>
      <c r="B4176" s="38">
        <v>0</v>
      </c>
      <c r="C4176" s="79">
        <v>0</v>
      </c>
    </row>
    <row r="4177" spans="1:3" x14ac:dyDescent="0.25">
      <c r="A4177" s="2">
        <v>0</v>
      </c>
      <c r="B4177" s="38">
        <v>0</v>
      </c>
      <c r="C4177" s="79">
        <v>0</v>
      </c>
    </row>
    <row r="4178" spans="1:3" x14ac:dyDescent="0.25">
      <c r="A4178" s="2">
        <v>0</v>
      </c>
      <c r="B4178" s="38">
        <v>0</v>
      </c>
      <c r="C4178" s="79">
        <v>0</v>
      </c>
    </row>
    <row r="4179" spans="1:3" x14ac:dyDescent="0.25">
      <c r="A4179" s="2">
        <v>0</v>
      </c>
      <c r="B4179" s="38">
        <v>0</v>
      </c>
      <c r="C4179" s="79">
        <v>0</v>
      </c>
    </row>
    <row r="4180" spans="1:3" x14ac:dyDescent="0.25">
      <c r="A4180" s="2">
        <v>0</v>
      </c>
      <c r="B4180" s="38">
        <v>0</v>
      </c>
      <c r="C4180" s="79">
        <v>0</v>
      </c>
    </row>
    <row r="4181" spans="1:3" x14ac:dyDescent="0.25">
      <c r="A4181" s="2">
        <v>0</v>
      </c>
      <c r="B4181" s="38">
        <v>0</v>
      </c>
      <c r="C4181" s="79">
        <v>0</v>
      </c>
    </row>
    <row r="4182" spans="1:3" x14ac:dyDescent="0.25">
      <c r="A4182" s="2">
        <v>0</v>
      </c>
      <c r="B4182" s="38">
        <v>0</v>
      </c>
      <c r="C4182" s="79">
        <v>0</v>
      </c>
    </row>
    <row r="4183" spans="1:3" x14ac:dyDescent="0.25">
      <c r="A4183" s="2">
        <v>0</v>
      </c>
      <c r="B4183" s="38">
        <v>0</v>
      </c>
      <c r="C4183" s="79">
        <v>0</v>
      </c>
    </row>
    <row r="4184" spans="1:3" x14ac:dyDescent="0.25">
      <c r="A4184" s="2">
        <v>0</v>
      </c>
      <c r="B4184" s="38">
        <v>0</v>
      </c>
      <c r="C4184" s="79">
        <v>0</v>
      </c>
    </row>
    <row r="4185" spans="1:3" x14ac:dyDescent="0.25">
      <c r="A4185" s="2">
        <v>0</v>
      </c>
      <c r="B4185" s="38">
        <v>0</v>
      </c>
      <c r="C4185" s="79">
        <v>0</v>
      </c>
    </row>
    <row r="4186" spans="1:3" x14ac:dyDescent="0.25">
      <c r="A4186" s="2">
        <v>0</v>
      </c>
      <c r="B4186" s="38">
        <v>0</v>
      </c>
      <c r="C4186" s="79">
        <v>0</v>
      </c>
    </row>
    <row r="4187" spans="1:3" x14ac:dyDescent="0.25">
      <c r="A4187" s="2">
        <v>0</v>
      </c>
      <c r="B4187" s="38">
        <v>0</v>
      </c>
      <c r="C4187" s="79">
        <v>0</v>
      </c>
    </row>
    <row r="4188" spans="1:3" x14ac:dyDescent="0.25">
      <c r="A4188" s="2">
        <v>0</v>
      </c>
      <c r="B4188" s="38">
        <v>0</v>
      </c>
      <c r="C4188" s="79">
        <v>0</v>
      </c>
    </row>
    <row r="4189" spans="1:3" x14ac:dyDescent="0.25">
      <c r="A4189" s="2">
        <v>0</v>
      </c>
      <c r="B4189" s="38">
        <v>0</v>
      </c>
      <c r="C4189" s="79">
        <v>0</v>
      </c>
    </row>
    <row r="4190" spans="1:3" x14ac:dyDescent="0.25">
      <c r="A4190" s="2">
        <v>0</v>
      </c>
      <c r="B4190" s="38">
        <v>0</v>
      </c>
      <c r="C4190" s="79">
        <v>0</v>
      </c>
    </row>
    <row r="4191" spans="1:3" x14ac:dyDescent="0.25">
      <c r="A4191" s="2">
        <v>0</v>
      </c>
      <c r="B4191" s="38">
        <v>0</v>
      </c>
      <c r="C4191" s="79">
        <v>0</v>
      </c>
    </row>
    <row r="4192" spans="1:3" x14ac:dyDescent="0.25">
      <c r="A4192" s="2">
        <v>0</v>
      </c>
      <c r="B4192" s="38">
        <v>0</v>
      </c>
      <c r="C4192" s="79">
        <v>0</v>
      </c>
    </row>
    <row r="4193" spans="1:3" x14ac:dyDescent="0.25">
      <c r="A4193" s="2">
        <v>0</v>
      </c>
      <c r="B4193" s="38">
        <v>0</v>
      </c>
      <c r="C4193" s="79">
        <v>0</v>
      </c>
    </row>
    <row r="4194" spans="1:3" x14ac:dyDescent="0.25">
      <c r="A4194" s="2">
        <v>0</v>
      </c>
      <c r="B4194" s="38">
        <v>0</v>
      </c>
      <c r="C4194" s="79">
        <v>0</v>
      </c>
    </row>
    <row r="4195" spans="1:3" x14ac:dyDescent="0.25">
      <c r="A4195" s="2">
        <v>0</v>
      </c>
      <c r="B4195" s="38">
        <v>0</v>
      </c>
      <c r="C4195" s="79">
        <v>0</v>
      </c>
    </row>
    <row r="4196" spans="1:3" x14ac:dyDescent="0.25">
      <c r="A4196" s="2">
        <v>0</v>
      </c>
      <c r="B4196" s="38">
        <v>0</v>
      </c>
      <c r="C4196" s="79">
        <v>0</v>
      </c>
    </row>
    <row r="4197" spans="1:3" x14ac:dyDescent="0.25">
      <c r="A4197" s="2">
        <v>0</v>
      </c>
      <c r="B4197" s="38">
        <v>0</v>
      </c>
      <c r="C4197" s="79">
        <v>0</v>
      </c>
    </row>
    <row r="4198" spans="1:3" x14ac:dyDescent="0.25">
      <c r="A4198" s="2">
        <v>0</v>
      </c>
      <c r="B4198" s="38">
        <v>0</v>
      </c>
      <c r="C4198" s="79">
        <v>0</v>
      </c>
    </row>
    <row r="4199" spans="1:3" x14ac:dyDescent="0.25">
      <c r="A4199" s="2">
        <v>0</v>
      </c>
      <c r="B4199" s="38">
        <v>0</v>
      </c>
      <c r="C4199" s="79">
        <v>0</v>
      </c>
    </row>
    <row r="4200" spans="1:3" x14ac:dyDescent="0.25">
      <c r="A4200" s="2">
        <v>0</v>
      </c>
      <c r="B4200" s="38">
        <v>0</v>
      </c>
      <c r="C4200" s="79">
        <v>0</v>
      </c>
    </row>
    <row r="4201" spans="1:3" x14ac:dyDescent="0.25">
      <c r="A4201" s="2">
        <v>0</v>
      </c>
      <c r="B4201" s="38">
        <v>0</v>
      </c>
      <c r="C4201" s="79">
        <v>0</v>
      </c>
    </row>
    <row r="4202" spans="1:3" x14ac:dyDescent="0.25">
      <c r="A4202" s="2">
        <v>0</v>
      </c>
      <c r="B4202" s="38">
        <v>0</v>
      </c>
      <c r="C4202" s="79">
        <v>0</v>
      </c>
    </row>
    <row r="4203" spans="1:3" x14ac:dyDescent="0.25">
      <c r="A4203" s="2">
        <v>0</v>
      </c>
      <c r="B4203" s="38">
        <v>0</v>
      </c>
      <c r="C4203" s="79">
        <v>0</v>
      </c>
    </row>
    <row r="4204" spans="1:3" x14ac:dyDescent="0.25">
      <c r="A4204" s="2">
        <v>0</v>
      </c>
      <c r="B4204" s="38">
        <v>0</v>
      </c>
      <c r="C4204" s="79">
        <v>0</v>
      </c>
    </row>
    <row r="4205" spans="1:3" x14ac:dyDescent="0.25">
      <c r="A4205" s="2">
        <v>0</v>
      </c>
      <c r="B4205" s="38">
        <v>0</v>
      </c>
      <c r="C4205" s="79">
        <v>0</v>
      </c>
    </row>
    <row r="4206" spans="1:3" x14ac:dyDescent="0.25">
      <c r="A4206" s="2">
        <v>0</v>
      </c>
      <c r="B4206" s="38">
        <v>0</v>
      </c>
      <c r="C4206" s="79">
        <v>0</v>
      </c>
    </row>
    <row r="4207" spans="1:3" x14ac:dyDescent="0.25">
      <c r="A4207" s="2">
        <v>0</v>
      </c>
      <c r="B4207" s="38">
        <v>0</v>
      </c>
      <c r="C4207" s="79">
        <v>0</v>
      </c>
    </row>
    <row r="4208" spans="1:3" x14ac:dyDescent="0.25">
      <c r="A4208" s="2">
        <v>0</v>
      </c>
      <c r="B4208" s="38">
        <v>0</v>
      </c>
      <c r="C4208" s="79">
        <v>0</v>
      </c>
    </row>
    <row r="4209" spans="1:3" x14ac:dyDescent="0.25">
      <c r="A4209" s="2">
        <v>0</v>
      </c>
      <c r="B4209" s="38">
        <v>0</v>
      </c>
      <c r="C4209" s="79">
        <v>0</v>
      </c>
    </row>
    <row r="4210" spans="1:3" x14ac:dyDescent="0.25">
      <c r="A4210" s="2">
        <v>0</v>
      </c>
      <c r="B4210" s="38">
        <v>0</v>
      </c>
      <c r="C4210" s="79">
        <v>0</v>
      </c>
    </row>
    <row r="4211" spans="1:3" x14ac:dyDescent="0.25">
      <c r="A4211" s="2">
        <v>0</v>
      </c>
      <c r="B4211" s="38">
        <v>0</v>
      </c>
      <c r="C4211" s="79">
        <v>0</v>
      </c>
    </row>
    <row r="4212" spans="1:3" x14ac:dyDescent="0.25">
      <c r="A4212" s="2">
        <v>0</v>
      </c>
      <c r="B4212" s="38">
        <v>0</v>
      </c>
      <c r="C4212" s="79">
        <v>0</v>
      </c>
    </row>
    <row r="4213" spans="1:3" x14ac:dyDescent="0.25">
      <c r="A4213" s="2">
        <v>0</v>
      </c>
      <c r="B4213" s="38">
        <v>0</v>
      </c>
      <c r="C4213" s="79">
        <v>0</v>
      </c>
    </row>
    <row r="4214" spans="1:3" x14ac:dyDescent="0.25">
      <c r="A4214" s="2">
        <v>0</v>
      </c>
      <c r="B4214" s="38">
        <v>0</v>
      </c>
      <c r="C4214" s="79">
        <v>0</v>
      </c>
    </row>
    <row r="4215" spans="1:3" x14ac:dyDescent="0.25">
      <c r="A4215" s="2">
        <v>0</v>
      </c>
      <c r="B4215" s="38">
        <v>0</v>
      </c>
      <c r="C4215" s="79">
        <v>0</v>
      </c>
    </row>
    <row r="4216" spans="1:3" x14ac:dyDescent="0.25">
      <c r="A4216" s="2">
        <v>0</v>
      </c>
      <c r="B4216" s="38">
        <v>0</v>
      </c>
      <c r="C4216" s="79">
        <v>0</v>
      </c>
    </row>
    <row r="4217" spans="1:3" x14ac:dyDescent="0.25">
      <c r="A4217" s="2">
        <v>0</v>
      </c>
      <c r="B4217" s="38">
        <v>0</v>
      </c>
      <c r="C4217" s="79">
        <v>0</v>
      </c>
    </row>
    <row r="4218" spans="1:3" x14ac:dyDescent="0.25">
      <c r="A4218" s="2">
        <v>0</v>
      </c>
      <c r="B4218" s="38">
        <v>0</v>
      </c>
      <c r="C4218" s="79">
        <v>0</v>
      </c>
    </row>
    <row r="4219" spans="1:3" x14ac:dyDescent="0.25">
      <c r="A4219" s="2">
        <v>0</v>
      </c>
      <c r="B4219" s="38">
        <v>0</v>
      </c>
      <c r="C4219" s="79">
        <v>0</v>
      </c>
    </row>
    <row r="4220" spans="1:3" x14ac:dyDescent="0.25">
      <c r="A4220" s="2">
        <v>0</v>
      </c>
      <c r="B4220" s="38">
        <v>0</v>
      </c>
      <c r="C4220" s="79">
        <v>0</v>
      </c>
    </row>
    <row r="4221" spans="1:3" x14ac:dyDescent="0.25">
      <c r="A4221" s="2">
        <v>0</v>
      </c>
      <c r="B4221" s="38">
        <v>0</v>
      </c>
      <c r="C4221" s="79">
        <v>0</v>
      </c>
    </row>
    <row r="4222" spans="1:3" x14ac:dyDescent="0.25">
      <c r="A4222" s="2">
        <v>0</v>
      </c>
      <c r="B4222" s="38">
        <v>0</v>
      </c>
      <c r="C4222" s="79">
        <v>0</v>
      </c>
    </row>
    <row r="4223" spans="1:3" x14ac:dyDescent="0.25">
      <c r="A4223" s="2">
        <v>0</v>
      </c>
      <c r="B4223" s="38">
        <v>0</v>
      </c>
      <c r="C4223" s="79">
        <v>0</v>
      </c>
    </row>
    <row r="4224" spans="1:3" x14ac:dyDescent="0.25">
      <c r="A4224" s="2">
        <v>0</v>
      </c>
      <c r="B4224" s="38">
        <v>0</v>
      </c>
      <c r="C4224" s="79">
        <v>0</v>
      </c>
    </row>
    <row r="4225" spans="1:3" x14ac:dyDescent="0.25">
      <c r="A4225" s="2">
        <v>0</v>
      </c>
      <c r="B4225" s="38">
        <v>0</v>
      </c>
      <c r="C4225" s="79">
        <v>0</v>
      </c>
    </row>
    <row r="4226" spans="1:3" x14ac:dyDescent="0.25">
      <c r="A4226" s="2">
        <v>0</v>
      </c>
      <c r="B4226" s="38">
        <v>0</v>
      </c>
      <c r="C4226" s="79">
        <v>0</v>
      </c>
    </row>
    <row r="4227" spans="1:3" x14ac:dyDescent="0.25">
      <c r="A4227" s="2">
        <v>0</v>
      </c>
      <c r="B4227" s="38">
        <v>0</v>
      </c>
      <c r="C4227" s="79">
        <v>0</v>
      </c>
    </row>
    <row r="4228" spans="1:3" x14ac:dyDescent="0.25">
      <c r="A4228" s="2">
        <v>0</v>
      </c>
      <c r="B4228" s="38">
        <v>0</v>
      </c>
      <c r="C4228" s="79">
        <v>0</v>
      </c>
    </row>
    <row r="4229" spans="1:3" x14ac:dyDescent="0.25">
      <c r="A4229" s="2">
        <v>0</v>
      </c>
      <c r="B4229" s="38">
        <v>0</v>
      </c>
      <c r="C4229" s="79">
        <v>0</v>
      </c>
    </row>
    <row r="4230" spans="1:3" x14ac:dyDescent="0.25">
      <c r="A4230" s="2">
        <v>0</v>
      </c>
      <c r="B4230" s="38">
        <v>0</v>
      </c>
      <c r="C4230" s="79">
        <v>0</v>
      </c>
    </row>
    <row r="4231" spans="1:3" x14ac:dyDescent="0.25">
      <c r="A4231" s="2">
        <v>0</v>
      </c>
      <c r="B4231" s="38">
        <v>0</v>
      </c>
      <c r="C4231" s="79">
        <v>0</v>
      </c>
    </row>
    <row r="4232" spans="1:3" x14ac:dyDescent="0.25">
      <c r="A4232" s="2">
        <v>0</v>
      </c>
      <c r="B4232" s="38">
        <v>0</v>
      </c>
      <c r="C4232" s="79">
        <v>0</v>
      </c>
    </row>
    <row r="4233" spans="1:3" x14ac:dyDescent="0.25">
      <c r="A4233" s="2">
        <v>0</v>
      </c>
      <c r="B4233" s="38">
        <v>0</v>
      </c>
      <c r="C4233" s="79">
        <v>0</v>
      </c>
    </row>
    <row r="4234" spans="1:3" x14ac:dyDescent="0.25">
      <c r="A4234" s="2">
        <v>0</v>
      </c>
      <c r="B4234" s="38">
        <v>0</v>
      </c>
      <c r="C4234" s="79">
        <v>0</v>
      </c>
    </row>
    <row r="4235" spans="1:3" x14ac:dyDescent="0.25">
      <c r="A4235" s="2">
        <v>0</v>
      </c>
      <c r="B4235" s="38">
        <v>0</v>
      </c>
      <c r="C4235" s="79">
        <v>0</v>
      </c>
    </row>
    <row r="4236" spans="1:3" x14ac:dyDescent="0.25">
      <c r="A4236" s="2">
        <v>0</v>
      </c>
      <c r="B4236" s="38">
        <v>0</v>
      </c>
      <c r="C4236" s="79">
        <v>0</v>
      </c>
    </row>
    <row r="4237" spans="1:3" x14ac:dyDescent="0.25">
      <c r="A4237" s="2">
        <v>0</v>
      </c>
      <c r="B4237" s="38">
        <v>0</v>
      </c>
      <c r="C4237" s="79">
        <v>0</v>
      </c>
    </row>
    <row r="4238" spans="1:3" x14ac:dyDescent="0.25">
      <c r="A4238" s="2">
        <v>0</v>
      </c>
      <c r="B4238" s="38">
        <v>0</v>
      </c>
      <c r="C4238" s="79">
        <v>0</v>
      </c>
    </row>
    <row r="4239" spans="1:3" x14ac:dyDescent="0.25">
      <c r="A4239" s="2">
        <v>0</v>
      </c>
      <c r="B4239" s="38">
        <v>0</v>
      </c>
      <c r="C4239" s="79">
        <v>0</v>
      </c>
    </row>
    <row r="4240" spans="1:3" x14ac:dyDescent="0.25">
      <c r="A4240" s="2">
        <v>0</v>
      </c>
      <c r="B4240" s="38">
        <v>0</v>
      </c>
      <c r="C4240" s="79">
        <v>0</v>
      </c>
    </row>
    <row r="4241" spans="1:3" x14ac:dyDescent="0.25">
      <c r="A4241" s="2">
        <v>0</v>
      </c>
      <c r="B4241" s="38">
        <v>0</v>
      </c>
      <c r="C4241" s="79">
        <v>0</v>
      </c>
    </row>
    <row r="4242" spans="1:3" x14ac:dyDescent="0.25">
      <c r="A4242" s="2">
        <v>0</v>
      </c>
      <c r="B4242" s="38">
        <v>0</v>
      </c>
      <c r="C4242" s="79">
        <v>0</v>
      </c>
    </row>
    <row r="4243" spans="1:3" x14ac:dyDescent="0.25">
      <c r="A4243" s="2">
        <v>0</v>
      </c>
      <c r="B4243" s="38">
        <v>0</v>
      </c>
      <c r="C4243" s="79">
        <v>0</v>
      </c>
    </row>
    <row r="4244" spans="1:3" x14ac:dyDescent="0.25">
      <c r="A4244" s="2">
        <v>0</v>
      </c>
      <c r="B4244" s="38">
        <v>0</v>
      </c>
      <c r="C4244" s="79">
        <v>0</v>
      </c>
    </row>
    <row r="4245" spans="1:3" x14ac:dyDescent="0.25">
      <c r="A4245" s="2">
        <v>0</v>
      </c>
      <c r="B4245" s="38">
        <v>0</v>
      </c>
      <c r="C4245" s="79">
        <v>0</v>
      </c>
    </row>
    <row r="4246" spans="1:3" x14ac:dyDescent="0.25">
      <c r="A4246" s="2">
        <v>0</v>
      </c>
      <c r="B4246" s="38">
        <v>0</v>
      </c>
      <c r="C4246" s="79">
        <v>0</v>
      </c>
    </row>
    <row r="4247" spans="1:3" x14ac:dyDescent="0.25">
      <c r="A4247" s="2">
        <v>0</v>
      </c>
      <c r="B4247" s="38">
        <v>0</v>
      </c>
      <c r="C4247" s="79">
        <v>0</v>
      </c>
    </row>
    <row r="4248" spans="1:3" x14ac:dyDescent="0.25">
      <c r="A4248" s="2">
        <v>0</v>
      </c>
      <c r="B4248" s="38">
        <v>0</v>
      </c>
      <c r="C4248" s="79">
        <v>0</v>
      </c>
    </row>
    <row r="4249" spans="1:3" x14ac:dyDescent="0.25">
      <c r="A4249" s="2">
        <v>0</v>
      </c>
      <c r="B4249" s="38">
        <v>0</v>
      </c>
      <c r="C4249" s="79">
        <v>0</v>
      </c>
    </row>
    <row r="4250" spans="1:3" x14ac:dyDescent="0.25">
      <c r="A4250" s="2">
        <v>0</v>
      </c>
      <c r="B4250" s="38">
        <v>0</v>
      </c>
      <c r="C4250" s="79">
        <v>0</v>
      </c>
    </row>
    <row r="4251" spans="1:3" x14ac:dyDescent="0.25">
      <c r="A4251" s="2">
        <v>0</v>
      </c>
      <c r="B4251" s="38">
        <v>0</v>
      </c>
      <c r="C4251" s="79">
        <v>0</v>
      </c>
    </row>
    <row r="4252" spans="1:3" x14ac:dyDescent="0.25">
      <c r="A4252" s="2">
        <v>0</v>
      </c>
      <c r="B4252" s="38">
        <v>0</v>
      </c>
      <c r="C4252" s="79">
        <v>0</v>
      </c>
    </row>
    <row r="4253" spans="1:3" x14ac:dyDescent="0.25">
      <c r="A4253" s="2">
        <v>0</v>
      </c>
      <c r="B4253" s="38">
        <v>0</v>
      </c>
      <c r="C4253" s="79">
        <v>0</v>
      </c>
    </row>
    <row r="4254" spans="1:3" x14ac:dyDescent="0.25">
      <c r="A4254" s="2">
        <v>0</v>
      </c>
      <c r="B4254" s="38">
        <v>0</v>
      </c>
      <c r="C4254" s="79">
        <v>0</v>
      </c>
    </row>
    <row r="4255" spans="1:3" x14ac:dyDescent="0.25">
      <c r="A4255" s="2">
        <v>0</v>
      </c>
      <c r="B4255" s="38">
        <v>0</v>
      </c>
      <c r="C4255" s="79">
        <v>0</v>
      </c>
    </row>
    <row r="4256" spans="1:3" x14ac:dyDescent="0.25">
      <c r="A4256" s="2">
        <v>0</v>
      </c>
      <c r="B4256" s="38">
        <v>0</v>
      </c>
      <c r="C4256" s="79">
        <v>0</v>
      </c>
    </row>
    <row r="4257" spans="1:3" x14ac:dyDescent="0.25">
      <c r="A4257" s="2">
        <v>0</v>
      </c>
      <c r="B4257" s="38">
        <v>0</v>
      </c>
      <c r="C4257" s="79">
        <v>0</v>
      </c>
    </row>
    <row r="4258" spans="1:3" x14ac:dyDescent="0.25">
      <c r="A4258" s="2">
        <v>0</v>
      </c>
      <c r="B4258" s="38">
        <v>0</v>
      </c>
      <c r="C4258" s="79">
        <v>0</v>
      </c>
    </row>
    <row r="4259" spans="1:3" x14ac:dyDescent="0.25">
      <c r="A4259" s="2">
        <v>0</v>
      </c>
      <c r="B4259" s="38">
        <v>0</v>
      </c>
      <c r="C4259" s="79">
        <v>0</v>
      </c>
    </row>
    <row r="4260" spans="1:3" x14ac:dyDescent="0.25">
      <c r="A4260" s="2">
        <v>0</v>
      </c>
      <c r="B4260" s="38">
        <v>0</v>
      </c>
      <c r="C4260" s="79">
        <v>0</v>
      </c>
    </row>
    <row r="4261" spans="1:3" x14ac:dyDescent="0.25">
      <c r="A4261" s="2">
        <v>0</v>
      </c>
      <c r="B4261" s="38">
        <v>0</v>
      </c>
      <c r="C4261" s="79">
        <v>0</v>
      </c>
    </row>
    <row r="4262" spans="1:3" x14ac:dyDescent="0.25">
      <c r="A4262" s="2">
        <v>0</v>
      </c>
      <c r="B4262" s="38">
        <v>0</v>
      </c>
      <c r="C4262" s="79">
        <v>0</v>
      </c>
    </row>
    <row r="4263" spans="1:3" x14ac:dyDescent="0.25">
      <c r="A4263" s="2">
        <v>0</v>
      </c>
      <c r="B4263" s="38">
        <v>0</v>
      </c>
      <c r="C4263" s="79">
        <v>0</v>
      </c>
    </row>
    <row r="4264" spans="1:3" x14ac:dyDescent="0.25">
      <c r="A4264" s="2">
        <v>0</v>
      </c>
      <c r="B4264" s="38">
        <v>0</v>
      </c>
      <c r="C4264" s="79">
        <v>0</v>
      </c>
    </row>
    <row r="4265" spans="1:3" x14ac:dyDescent="0.25">
      <c r="A4265" s="2">
        <v>0</v>
      </c>
      <c r="B4265" s="38">
        <v>0</v>
      </c>
      <c r="C4265" s="79">
        <v>0</v>
      </c>
    </row>
    <row r="4266" spans="1:3" x14ac:dyDescent="0.25">
      <c r="A4266" s="2">
        <v>0</v>
      </c>
      <c r="B4266" s="38">
        <v>0</v>
      </c>
      <c r="C4266" s="79">
        <v>0</v>
      </c>
    </row>
    <row r="4267" spans="1:3" x14ac:dyDescent="0.25">
      <c r="A4267" s="2">
        <v>0</v>
      </c>
      <c r="B4267" s="38">
        <v>0</v>
      </c>
      <c r="C4267" s="79">
        <v>0</v>
      </c>
    </row>
    <row r="4268" spans="1:3" x14ac:dyDescent="0.25">
      <c r="A4268" s="2">
        <v>0</v>
      </c>
      <c r="B4268" s="38">
        <v>0</v>
      </c>
      <c r="C4268" s="79">
        <v>0</v>
      </c>
    </row>
    <row r="4269" spans="1:3" x14ac:dyDescent="0.25">
      <c r="A4269" s="2">
        <v>0</v>
      </c>
      <c r="B4269" s="38">
        <v>0</v>
      </c>
      <c r="C4269" s="79">
        <v>0</v>
      </c>
    </row>
    <row r="4270" spans="1:3" x14ac:dyDescent="0.25">
      <c r="A4270" s="2">
        <v>0</v>
      </c>
      <c r="B4270" s="38">
        <v>0</v>
      </c>
      <c r="C4270" s="79">
        <v>0</v>
      </c>
    </row>
    <row r="4271" spans="1:3" x14ac:dyDescent="0.25">
      <c r="A4271" s="2">
        <v>0</v>
      </c>
      <c r="B4271" s="38">
        <v>0</v>
      </c>
      <c r="C4271" s="79">
        <v>0</v>
      </c>
    </row>
    <row r="4272" spans="1:3" x14ac:dyDescent="0.25">
      <c r="A4272" s="2">
        <v>0</v>
      </c>
      <c r="B4272" s="38">
        <v>0</v>
      </c>
      <c r="C4272" s="79">
        <v>0</v>
      </c>
    </row>
    <row r="4273" spans="1:3" x14ac:dyDescent="0.25">
      <c r="A4273" s="2">
        <v>0</v>
      </c>
      <c r="B4273" s="38">
        <v>0</v>
      </c>
      <c r="C4273" s="79">
        <v>0</v>
      </c>
    </row>
    <row r="4274" spans="1:3" x14ac:dyDescent="0.25">
      <c r="A4274" s="2">
        <v>0</v>
      </c>
      <c r="B4274" s="38">
        <v>0</v>
      </c>
      <c r="C4274" s="79">
        <v>0</v>
      </c>
    </row>
    <row r="4275" spans="1:3" x14ac:dyDescent="0.25">
      <c r="A4275" s="2">
        <v>0</v>
      </c>
      <c r="B4275" s="38">
        <v>0</v>
      </c>
      <c r="C4275" s="79">
        <v>0</v>
      </c>
    </row>
    <row r="4276" spans="1:3" x14ac:dyDescent="0.25">
      <c r="A4276" s="2">
        <v>0</v>
      </c>
      <c r="B4276" s="38">
        <v>0</v>
      </c>
      <c r="C4276" s="79">
        <v>0</v>
      </c>
    </row>
    <row r="4277" spans="1:3" x14ac:dyDescent="0.25">
      <c r="A4277" s="2">
        <v>0</v>
      </c>
      <c r="B4277" s="38">
        <v>0</v>
      </c>
      <c r="C4277" s="79">
        <v>0</v>
      </c>
    </row>
    <row r="4278" spans="1:3" x14ac:dyDescent="0.25">
      <c r="A4278" s="2">
        <v>0</v>
      </c>
      <c r="B4278" s="38">
        <v>0</v>
      </c>
      <c r="C4278" s="79">
        <v>0</v>
      </c>
    </row>
    <row r="4279" spans="1:3" x14ac:dyDescent="0.25">
      <c r="A4279" s="2">
        <v>0</v>
      </c>
      <c r="B4279" s="38">
        <v>0</v>
      </c>
      <c r="C4279" s="79">
        <v>0</v>
      </c>
    </row>
    <row r="4280" spans="1:3" x14ac:dyDescent="0.25">
      <c r="A4280" s="2">
        <v>0</v>
      </c>
      <c r="B4280" s="38">
        <v>0</v>
      </c>
      <c r="C4280" s="79">
        <v>0</v>
      </c>
    </row>
    <row r="4281" spans="1:3" x14ac:dyDescent="0.25">
      <c r="A4281" s="2">
        <v>0</v>
      </c>
      <c r="B4281" s="38">
        <v>0</v>
      </c>
      <c r="C4281" s="79">
        <v>0</v>
      </c>
    </row>
    <row r="4282" spans="1:3" x14ac:dyDescent="0.25">
      <c r="A4282" s="2">
        <v>0</v>
      </c>
      <c r="B4282" s="38">
        <v>0</v>
      </c>
      <c r="C4282" s="79">
        <v>0</v>
      </c>
    </row>
    <row r="4283" spans="1:3" x14ac:dyDescent="0.25">
      <c r="A4283" s="2">
        <v>0</v>
      </c>
      <c r="B4283" s="38">
        <v>0</v>
      </c>
      <c r="C4283" s="79">
        <v>0</v>
      </c>
    </row>
    <row r="4284" spans="1:3" x14ac:dyDescent="0.25">
      <c r="A4284" s="2">
        <v>0</v>
      </c>
      <c r="B4284" s="38">
        <v>0</v>
      </c>
      <c r="C4284" s="79">
        <v>0</v>
      </c>
    </row>
    <row r="4285" spans="1:3" x14ac:dyDescent="0.25">
      <c r="A4285" s="2">
        <v>0</v>
      </c>
      <c r="B4285" s="38">
        <v>0</v>
      </c>
      <c r="C4285" s="79">
        <v>0</v>
      </c>
    </row>
    <row r="4286" spans="1:3" x14ac:dyDescent="0.25">
      <c r="A4286" s="2">
        <v>0</v>
      </c>
      <c r="B4286" s="38">
        <v>0</v>
      </c>
      <c r="C4286" s="79">
        <v>0</v>
      </c>
    </row>
    <row r="4287" spans="1:3" x14ac:dyDescent="0.25">
      <c r="A4287" s="2">
        <v>0</v>
      </c>
      <c r="B4287" s="38">
        <v>0</v>
      </c>
      <c r="C4287" s="79">
        <v>0</v>
      </c>
    </row>
    <row r="4288" spans="1:3" x14ac:dyDescent="0.25">
      <c r="A4288" s="2">
        <v>0</v>
      </c>
      <c r="B4288" s="38">
        <v>0</v>
      </c>
      <c r="C4288" s="79">
        <v>0</v>
      </c>
    </row>
    <row r="4289" spans="1:3" x14ac:dyDescent="0.25">
      <c r="A4289" s="2">
        <v>0</v>
      </c>
      <c r="B4289" s="38">
        <v>0</v>
      </c>
      <c r="C4289" s="79">
        <v>0</v>
      </c>
    </row>
    <row r="4290" spans="1:3" x14ac:dyDescent="0.25">
      <c r="A4290" s="2">
        <v>0</v>
      </c>
      <c r="B4290" s="38">
        <v>0</v>
      </c>
      <c r="C4290" s="79">
        <v>0</v>
      </c>
    </row>
    <row r="4291" spans="1:3" x14ac:dyDescent="0.25">
      <c r="A4291" s="2">
        <v>0</v>
      </c>
      <c r="B4291" s="38">
        <v>0</v>
      </c>
      <c r="C4291" s="79">
        <v>0</v>
      </c>
    </row>
    <row r="4292" spans="1:3" x14ac:dyDescent="0.25">
      <c r="A4292" s="2">
        <v>0</v>
      </c>
      <c r="B4292" s="38">
        <v>0</v>
      </c>
      <c r="C4292" s="79">
        <v>0</v>
      </c>
    </row>
    <row r="4293" spans="1:3" x14ac:dyDescent="0.25">
      <c r="A4293" s="2">
        <v>0</v>
      </c>
      <c r="B4293" s="38">
        <v>0</v>
      </c>
      <c r="C4293" s="79">
        <v>0</v>
      </c>
    </row>
    <row r="4294" spans="1:3" x14ac:dyDescent="0.25">
      <c r="A4294" s="2">
        <v>0</v>
      </c>
      <c r="B4294" s="38">
        <v>0</v>
      </c>
      <c r="C4294" s="79">
        <v>0</v>
      </c>
    </row>
    <row r="4295" spans="1:3" x14ac:dyDescent="0.25">
      <c r="A4295" s="2">
        <v>0</v>
      </c>
      <c r="B4295" s="38">
        <v>0</v>
      </c>
      <c r="C4295" s="79">
        <v>0</v>
      </c>
    </row>
    <row r="4296" spans="1:3" x14ac:dyDescent="0.25">
      <c r="A4296" s="2">
        <v>0</v>
      </c>
      <c r="B4296" s="38">
        <v>0</v>
      </c>
      <c r="C4296" s="79">
        <v>0</v>
      </c>
    </row>
    <row r="4297" spans="1:3" x14ac:dyDescent="0.25">
      <c r="A4297" s="2">
        <v>0</v>
      </c>
      <c r="B4297" s="38">
        <v>0</v>
      </c>
      <c r="C4297" s="79">
        <v>0</v>
      </c>
    </row>
    <row r="4298" spans="1:3" x14ac:dyDescent="0.25">
      <c r="A4298" s="2">
        <v>0</v>
      </c>
      <c r="B4298" s="38">
        <v>0</v>
      </c>
      <c r="C4298" s="79">
        <v>0</v>
      </c>
    </row>
    <row r="4299" spans="1:3" x14ac:dyDescent="0.25">
      <c r="A4299" s="2">
        <v>0</v>
      </c>
      <c r="B4299" s="38">
        <v>0</v>
      </c>
      <c r="C4299" s="79">
        <v>0</v>
      </c>
    </row>
    <row r="4300" spans="1:3" x14ac:dyDescent="0.25">
      <c r="A4300" s="2">
        <v>0</v>
      </c>
      <c r="B4300" s="38">
        <v>0</v>
      </c>
      <c r="C4300" s="79">
        <v>0</v>
      </c>
    </row>
    <row r="4301" spans="1:3" x14ac:dyDescent="0.25">
      <c r="A4301" s="2">
        <v>0</v>
      </c>
      <c r="B4301" s="38">
        <v>0</v>
      </c>
      <c r="C4301" s="79">
        <v>0</v>
      </c>
    </row>
    <row r="4302" spans="1:3" x14ac:dyDescent="0.25">
      <c r="A4302" s="2">
        <v>0</v>
      </c>
      <c r="B4302" s="38">
        <v>0</v>
      </c>
      <c r="C4302" s="79">
        <v>0</v>
      </c>
    </row>
    <row r="4303" spans="1:3" x14ac:dyDescent="0.25">
      <c r="A4303" s="2">
        <v>0</v>
      </c>
      <c r="B4303" s="38">
        <v>0</v>
      </c>
      <c r="C4303" s="79">
        <v>0</v>
      </c>
    </row>
    <row r="4304" spans="1:3" x14ac:dyDescent="0.25">
      <c r="A4304" s="2">
        <v>0</v>
      </c>
      <c r="B4304" s="38">
        <v>0</v>
      </c>
      <c r="C4304" s="79">
        <v>0</v>
      </c>
    </row>
    <row r="4305" spans="1:3" x14ac:dyDescent="0.25">
      <c r="A4305" s="2">
        <v>0</v>
      </c>
      <c r="B4305" s="38">
        <v>0</v>
      </c>
      <c r="C4305" s="79">
        <v>0</v>
      </c>
    </row>
    <row r="4306" spans="1:3" x14ac:dyDescent="0.25">
      <c r="A4306" s="2">
        <v>0</v>
      </c>
      <c r="B4306" s="38">
        <v>0</v>
      </c>
      <c r="C4306" s="79">
        <v>0</v>
      </c>
    </row>
    <row r="4307" spans="1:3" x14ac:dyDescent="0.25">
      <c r="A4307" s="2">
        <v>0</v>
      </c>
      <c r="B4307" s="38">
        <v>0</v>
      </c>
      <c r="C4307" s="79">
        <v>0</v>
      </c>
    </row>
    <row r="4308" spans="1:3" x14ac:dyDescent="0.25">
      <c r="A4308" s="2">
        <v>0</v>
      </c>
      <c r="B4308" s="38">
        <v>0</v>
      </c>
      <c r="C4308" s="79">
        <v>0</v>
      </c>
    </row>
    <row r="4309" spans="1:3" x14ac:dyDescent="0.25">
      <c r="A4309" s="2">
        <v>0</v>
      </c>
      <c r="B4309" s="38">
        <v>0</v>
      </c>
      <c r="C4309" s="79">
        <v>0</v>
      </c>
    </row>
    <row r="4310" spans="1:3" x14ac:dyDescent="0.25">
      <c r="A4310" s="2">
        <v>0</v>
      </c>
      <c r="B4310" s="38">
        <v>0</v>
      </c>
      <c r="C4310" s="79">
        <v>0</v>
      </c>
    </row>
    <row r="4311" spans="1:3" x14ac:dyDescent="0.25">
      <c r="A4311" s="2">
        <v>0</v>
      </c>
      <c r="B4311" s="38">
        <v>0</v>
      </c>
      <c r="C4311" s="79">
        <v>0</v>
      </c>
    </row>
    <row r="4312" spans="1:3" x14ac:dyDescent="0.25">
      <c r="A4312" s="2">
        <v>0</v>
      </c>
      <c r="B4312" s="38">
        <v>0</v>
      </c>
      <c r="C4312" s="79">
        <v>0</v>
      </c>
    </row>
    <row r="4313" spans="1:3" x14ac:dyDescent="0.25">
      <c r="A4313" s="2">
        <v>0</v>
      </c>
      <c r="B4313" s="38">
        <v>0</v>
      </c>
      <c r="C4313" s="79">
        <v>0</v>
      </c>
    </row>
    <row r="4314" spans="1:3" x14ac:dyDescent="0.25">
      <c r="A4314" s="2">
        <v>0</v>
      </c>
      <c r="B4314" s="38">
        <v>0</v>
      </c>
      <c r="C4314" s="79">
        <v>0</v>
      </c>
    </row>
    <row r="4315" spans="1:3" x14ac:dyDescent="0.25">
      <c r="A4315" s="2">
        <v>0</v>
      </c>
      <c r="B4315" s="38">
        <v>0</v>
      </c>
      <c r="C4315" s="79">
        <v>0</v>
      </c>
    </row>
    <row r="4316" spans="1:3" x14ac:dyDescent="0.25">
      <c r="A4316" s="2">
        <v>0</v>
      </c>
      <c r="B4316" s="38">
        <v>0</v>
      </c>
      <c r="C4316" s="79">
        <v>0</v>
      </c>
    </row>
    <row r="4317" spans="1:3" x14ac:dyDescent="0.25">
      <c r="A4317" s="2">
        <v>0</v>
      </c>
      <c r="B4317" s="38">
        <v>0</v>
      </c>
      <c r="C4317" s="79">
        <v>0</v>
      </c>
    </row>
    <row r="4318" spans="1:3" x14ac:dyDescent="0.25">
      <c r="A4318" s="2">
        <v>0</v>
      </c>
      <c r="B4318" s="38">
        <v>0</v>
      </c>
      <c r="C4318" s="79">
        <v>0</v>
      </c>
    </row>
    <row r="4319" spans="1:3" x14ac:dyDescent="0.25">
      <c r="A4319" s="2">
        <v>0</v>
      </c>
      <c r="B4319" s="38">
        <v>0</v>
      </c>
      <c r="C4319" s="79">
        <v>0</v>
      </c>
    </row>
    <row r="4320" spans="1:3" x14ac:dyDescent="0.25">
      <c r="A4320" s="2">
        <v>0</v>
      </c>
      <c r="B4320" s="38">
        <v>0</v>
      </c>
      <c r="C4320" s="79">
        <v>0</v>
      </c>
    </row>
    <row r="4321" spans="1:3" x14ac:dyDescent="0.25">
      <c r="A4321" s="2">
        <v>0</v>
      </c>
      <c r="B4321" s="38">
        <v>0</v>
      </c>
      <c r="C4321" s="79">
        <v>0</v>
      </c>
    </row>
    <row r="4322" spans="1:3" x14ac:dyDescent="0.25">
      <c r="A4322" s="2">
        <v>0</v>
      </c>
      <c r="B4322" s="38">
        <v>0</v>
      </c>
      <c r="C4322" s="79">
        <v>0</v>
      </c>
    </row>
    <row r="4323" spans="1:3" x14ac:dyDescent="0.25">
      <c r="A4323" s="2">
        <v>0</v>
      </c>
      <c r="B4323" s="38">
        <v>0</v>
      </c>
      <c r="C4323" s="79">
        <v>0</v>
      </c>
    </row>
    <row r="4324" spans="1:3" x14ac:dyDescent="0.25">
      <c r="A4324" s="2">
        <v>0</v>
      </c>
      <c r="B4324" s="38">
        <v>0</v>
      </c>
      <c r="C4324" s="79">
        <v>0</v>
      </c>
    </row>
    <row r="4325" spans="1:3" x14ac:dyDescent="0.25">
      <c r="A4325" s="2">
        <v>0</v>
      </c>
      <c r="B4325" s="38">
        <v>0</v>
      </c>
      <c r="C4325" s="79">
        <v>0</v>
      </c>
    </row>
    <row r="4326" spans="1:3" x14ac:dyDescent="0.25">
      <c r="A4326" s="2">
        <v>0</v>
      </c>
      <c r="B4326" s="38">
        <v>0</v>
      </c>
      <c r="C4326" s="79">
        <v>0</v>
      </c>
    </row>
    <row r="4327" spans="1:3" x14ac:dyDescent="0.25">
      <c r="A4327" s="2">
        <v>0</v>
      </c>
      <c r="B4327" s="38">
        <v>0</v>
      </c>
      <c r="C4327" s="79">
        <v>0</v>
      </c>
    </row>
    <row r="4328" spans="1:3" x14ac:dyDescent="0.25">
      <c r="A4328" s="2">
        <v>0</v>
      </c>
      <c r="B4328" s="38">
        <v>0</v>
      </c>
      <c r="C4328" s="79">
        <v>0</v>
      </c>
    </row>
    <row r="4329" spans="1:3" x14ac:dyDescent="0.25">
      <c r="A4329" s="2">
        <v>0</v>
      </c>
      <c r="B4329" s="38">
        <v>0</v>
      </c>
      <c r="C4329" s="79">
        <v>0</v>
      </c>
    </row>
    <row r="4330" spans="1:3" x14ac:dyDescent="0.25">
      <c r="A4330" s="2">
        <v>0</v>
      </c>
      <c r="B4330" s="38">
        <v>0</v>
      </c>
      <c r="C4330" s="79">
        <v>0</v>
      </c>
    </row>
    <row r="4331" spans="1:3" x14ac:dyDescent="0.25">
      <c r="A4331" s="2">
        <v>0</v>
      </c>
      <c r="B4331" s="38">
        <v>0</v>
      </c>
      <c r="C4331" s="79">
        <v>0</v>
      </c>
    </row>
    <row r="4332" spans="1:3" x14ac:dyDescent="0.25">
      <c r="A4332" s="2">
        <v>0</v>
      </c>
      <c r="B4332" s="38">
        <v>0</v>
      </c>
      <c r="C4332" s="79">
        <v>0</v>
      </c>
    </row>
    <row r="4333" spans="1:3" x14ac:dyDescent="0.25">
      <c r="A4333" s="2">
        <v>0</v>
      </c>
      <c r="B4333" s="38">
        <v>0</v>
      </c>
      <c r="C4333" s="79">
        <v>0</v>
      </c>
    </row>
    <row r="4334" spans="1:3" x14ac:dyDescent="0.25">
      <c r="A4334" s="2">
        <v>0</v>
      </c>
      <c r="B4334" s="38">
        <v>0</v>
      </c>
      <c r="C4334" s="79">
        <v>0</v>
      </c>
    </row>
    <row r="4335" spans="1:3" x14ac:dyDescent="0.25">
      <c r="A4335" s="2">
        <v>0</v>
      </c>
      <c r="B4335" s="38">
        <v>0</v>
      </c>
      <c r="C4335" s="79">
        <v>0</v>
      </c>
    </row>
    <row r="4336" spans="1:3" x14ac:dyDescent="0.25">
      <c r="A4336" s="2">
        <v>0</v>
      </c>
      <c r="B4336" s="38">
        <v>0</v>
      </c>
      <c r="C4336" s="79">
        <v>0</v>
      </c>
    </row>
    <row r="4337" spans="1:3" x14ac:dyDescent="0.25">
      <c r="A4337" s="2">
        <v>0</v>
      </c>
      <c r="B4337" s="38">
        <v>0</v>
      </c>
      <c r="C4337" s="79">
        <v>0</v>
      </c>
    </row>
    <row r="4338" spans="1:3" x14ac:dyDescent="0.25">
      <c r="A4338" s="2">
        <v>0</v>
      </c>
      <c r="B4338" s="38">
        <v>0</v>
      </c>
      <c r="C4338" s="79">
        <v>0</v>
      </c>
    </row>
    <row r="4339" spans="1:3" x14ac:dyDescent="0.25">
      <c r="A4339" s="2">
        <v>0</v>
      </c>
      <c r="B4339" s="38">
        <v>0</v>
      </c>
      <c r="C4339" s="79">
        <v>0</v>
      </c>
    </row>
    <row r="4340" spans="1:3" x14ac:dyDescent="0.25">
      <c r="A4340" s="2">
        <v>0</v>
      </c>
      <c r="B4340" s="38">
        <v>0</v>
      </c>
      <c r="C4340" s="79">
        <v>0</v>
      </c>
    </row>
    <row r="4341" spans="1:3" x14ac:dyDescent="0.25">
      <c r="A4341" s="2">
        <v>0</v>
      </c>
      <c r="B4341" s="38">
        <v>0</v>
      </c>
      <c r="C4341" s="79">
        <v>0</v>
      </c>
    </row>
    <row r="4342" spans="1:3" x14ac:dyDescent="0.25">
      <c r="A4342" s="2">
        <v>0</v>
      </c>
      <c r="B4342" s="38">
        <v>0</v>
      </c>
      <c r="C4342" s="79">
        <v>0</v>
      </c>
    </row>
    <row r="4343" spans="1:3" x14ac:dyDescent="0.25">
      <c r="A4343" s="2">
        <v>0</v>
      </c>
      <c r="B4343" s="38">
        <v>0</v>
      </c>
      <c r="C4343" s="79">
        <v>0</v>
      </c>
    </row>
    <row r="4344" spans="1:3" x14ac:dyDescent="0.25">
      <c r="A4344" s="2">
        <v>0</v>
      </c>
      <c r="B4344" s="38">
        <v>0</v>
      </c>
      <c r="C4344" s="79">
        <v>0</v>
      </c>
    </row>
    <row r="4345" spans="1:3" x14ac:dyDescent="0.25">
      <c r="A4345" s="2">
        <v>0</v>
      </c>
      <c r="B4345" s="38">
        <v>0</v>
      </c>
      <c r="C4345" s="79">
        <v>0</v>
      </c>
    </row>
    <row r="4346" spans="1:3" x14ac:dyDescent="0.25">
      <c r="A4346" s="2">
        <v>0</v>
      </c>
      <c r="B4346" s="38">
        <v>0</v>
      </c>
      <c r="C4346" s="79">
        <v>0</v>
      </c>
    </row>
    <row r="4347" spans="1:3" x14ac:dyDescent="0.25">
      <c r="A4347" s="2">
        <v>0</v>
      </c>
      <c r="B4347" s="38">
        <v>0</v>
      </c>
      <c r="C4347" s="79">
        <v>0</v>
      </c>
    </row>
    <row r="4348" spans="1:3" x14ac:dyDescent="0.25">
      <c r="A4348" s="2">
        <v>0</v>
      </c>
      <c r="B4348" s="38">
        <v>0</v>
      </c>
      <c r="C4348" s="79">
        <v>0</v>
      </c>
    </row>
    <row r="4349" spans="1:3" x14ac:dyDescent="0.25">
      <c r="A4349" s="2">
        <v>0</v>
      </c>
      <c r="B4349" s="38">
        <v>0</v>
      </c>
      <c r="C4349" s="79">
        <v>0</v>
      </c>
    </row>
    <row r="4350" spans="1:3" x14ac:dyDescent="0.25">
      <c r="A4350" s="2">
        <v>0</v>
      </c>
      <c r="B4350" s="38">
        <v>0</v>
      </c>
      <c r="C4350" s="79">
        <v>0</v>
      </c>
    </row>
    <row r="4351" spans="1:3" x14ac:dyDescent="0.25">
      <c r="A4351" s="2">
        <v>0</v>
      </c>
      <c r="B4351" s="38">
        <v>0</v>
      </c>
      <c r="C4351" s="79">
        <v>0</v>
      </c>
    </row>
    <row r="4352" spans="1:3" x14ac:dyDescent="0.25">
      <c r="A4352" s="2">
        <v>0</v>
      </c>
      <c r="B4352" s="38">
        <v>0</v>
      </c>
      <c r="C4352" s="79">
        <v>0</v>
      </c>
    </row>
    <row r="4353" spans="1:3" x14ac:dyDescent="0.25">
      <c r="A4353" s="2">
        <v>0</v>
      </c>
      <c r="B4353" s="38">
        <v>0</v>
      </c>
      <c r="C4353" s="79">
        <v>0</v>
      </c>
    </row>
    <row r="4354" spans="1:3" x14ac:dyDescent="0.25">
      <c r="A4354" s="2">
        <v>0</v>
      </c>
      <c r="B4354" s="38">
        <v>0</v>
      </c>
      <c r="C4354" s="79">
        <v>0</v>
      </c>
    </row>
    <row r="4355" spans="1:3" x14ac:dyDescent="0.25">
      <c r="A4355" s="2">
        <v>0</v>
      </c>
      <c r="B4355" s="38">
        <v>0</v>
      </c>
      <c r="C4355" s="79">
        <v>0</v>
      </c>
    </row>
    <row r="4356" spans="1:3" x14ac:dyDescent="0.25">
      <c r="A4356" s="2">
        <v>0</v>
      </c>
      <c r="B4356" s="38">
        <v>0</v>
      </c>
      <c r="C4356" s="79">
        <v>0</v>
      </c>
    </row>
    <row r="4357" spans="1:3" x14ac:dyDescent="0.25">
      <c r="A4357" s="2">
        <v>0</v>
      </c>
      <c r="B4357" s="38">
        <v>0</v>
      </c>
      <c r="C4357" s="79">
        <v>0</v>
      </c>
    </row>
    <row r="4358" spans="1:3" x14ac:dyDescent="0.25">
      <c r="A4358" s="2">
        <v>0</v>
      </c>
      <c r="B4358" s="38">
        <v>0</v>
      </c>
      <c r="C4358" s="79">
        <v>0</v>
      </c>
    </row>
    <row r="4359" spans="1:3" x14ac:dyDescent="0.25">
      <c r="A4359" s="2">
        <v>0</v>
      </c>
      <c r="B4359" s="38">
        <v>0</v>
      </c>
      <c r="C4359" s="79">
        <v>0</v>
      </c>
    </row>
    <row r="4360" spans="1:3" x14ac:dyDescent="0.25">
      <c r="A4360" s="2">
        <v>0</v>
      </c>
      <c r="B4360" s="38">
        <v>0</v>
      </c>
      <c r="C4360" s="79">
        <v>0</v>
      </c>
    </row>
    <row r="4361" spans="1:3" x14ac:dyDescent="0.25">
      <c r="A4361" s="2">
        <v>0</v>
      </c>
      <c r="B4361" s="38">
        <v>0</v>
      </c>
      <c r="C4361" s="79">
        <v>0</v>
      </c>
    </row>
    <row r="4362" spans="1:3" x14ac:dyDescent="0.25">
      <c r="A4362" s="2">
        <v>0</v>
      </c>
      <c r="B4362" s="38">
        <v>0</v>
      </c>
      <c r="C4362" s="79">
        <v>0</v>
      </c>
    </row>
    <row r="4363" spans="1:3" x14ac:dyDescent="0.25">
      <c r="A4363" s="2">
        <v>0</v>
      </c>
      <c r="B4363" s="38">
        <v>0</v>
      </c>
      <c r="C4363" s="79">
        <v>0</v>
      </c>
    </row>
    <row r="4364" spans="1:3" x14ac:dyDescent="0.25">
      <c r="A4364" s="2">
        <v>0</v>
      </c>
      <c r="B4364" s="38">
        <v>0</v>
      </c>
      <c r="C4364" s="79">
        <v>0</v>
      </c>
    </row>
    <row r="4365" spans="1:3" x14ac:dyDescent="0.25">
      <c r="A4365" s="2">
        <v>0</v>
      </c>
      <c r="B4365" s="38">
        <v>0</v>
      </c>
      <c r="C4365" s="79">
        <v>0</v>
      </c>
    </row>
    <row r="4366" spans="1:3" x14ac:dyDescent="0.25">
      <c r="A4366" s="2">
        <v>0</v>
      </c>
      <c r="B4366" s="38">
        <v>0</v>
      </c>
      <c r="C4366" s="79">
        <v>0</v>
      </c>
    </row>
    <row r="4367" spans="1:3" x14ac:dyDescent="0.25">
      <c r="A4367" s="2">
        <v>0</v>
      </c>
      <c r="B4367" s="38">
        <v>0</v>
      </c>
      <c r="C4367" s="79">
        <v>0</v>
      </c>
    </row>
    <row r="4368" spans="1:3" x14ac:dyDescent="0.25">
      <c r="A4368" s="2">
        <v>0</v>
      </c>
      <c r="B4368" s="38">
        <v>0</v>
      </c>
      <c r="C4368" s="79">
        <v>0</v>
      </c>
    </row>
    <row r="4369" spans="1:3" x14ac:dyDescent="0.25">
      <c r="A4369" s="2">
        <v>0</v>
      </c>
      <c r="B4369" s="38">
        <v>0</v>
      </c>
      <c r="C4369" s="79">
        <v>0</v>
      </c>
    </row>
    <row r="4370" spans="1:3" x14ac:dyDescent="0.25">
      <c r="A4370" s="2">
        <v>0</v>
      </c>
      <c r="B4370" s="38">
        <v>0</v>
      </c>
      <c r="C4370" s="79">
        <v>0</v>
      </c>
    </row>
    <row r="4371" spans="1:3" x14ac:dyDescent="0.25">
      <c r="A4371" s="2">
        <v>0</v>
      </c>
      <c r="B4371" s="38">
        <v>0</v>
      </c>
      <c r="C4371" s="79">
        <v>0</v>
      </c>
    </row>
    <row r="4372" spans="1:3" x14ac:dyDescent="0.25">
      <c r="A4372" s="2">
        <v>0</v>
      </c>
      <c r="B4372" s="38">
        <v>0</v>
      </c>
      <c r="C4372" s="79">
        <v>0</v>
      </c>
    </row>
    <row r="4373" spans="1:3" x14ac:dyDescent="0.25">
      <c r="A4373" s="2">
        <v>0</v>
      </c>
      <c r="B4373" s="38">
        <v>0</v>
      </c>
      <c r="C4373" s="79">
        <v>0</v>
      </c>
    </row>
    <row r="4374" spans="1:3" x14ac:dyDescent="0.25">
      <c r="A4374" s="2">
        <v>0</v>
      </c>
      <c r="B4374" s="38">
        <v>0</v>
      </c>
      <c r="C4374" s="79">
        <v>0</v>
      </c>
    </row>
    <row r="4375" spans="1:3" x14ac:dyDescent="0.25">
      <c r="A4375" s="2">
        <v>0</v>
      </c>
      <c r="B4375" s="38">
        <v>0</v>
      </c>
      <c r="C4375" s="79">
        <v>0</v>
      </c>
    </row>
    <row r="4376" spans="1:3" x14ac:dyDescent="0.25">
      <c r="A4376" s="2">
        <v>0</v>
      </c>
      <c r="B4376" s="38">
        <v>0</v>
      </c>
      <c r="C4376" s="79">
        <v>0</v>
      </c>
    </row>
    <row r="4377" spans="1:3" x14ac:dyDescent="0.25">
      <c r="A4377" s="2">
        <v>0</v>
      </c>
      <c r="B4377" s="38">
        <v>0</v>
      </c>
      <c r="C4377" s="79">
        <v>0</v>
      </c>
    </row>
    <row r="4378" spans="1:3" x14ac:dyDescent="0.25">
      <c r="A4378" s="2">
        <v>0</v>
      </c>
      <c r="B4378" s="38">
        <v>0</v>
      </c>
      <c r="C4378" s="79">
        <v>0</v>
      </c>
    </row>
    <row r="4379" spans="1:3" x14ac:dyDescent="0.25">
      <c r="A4379" s="2">
        <v>0</v>
      </c>
      <c r="B4379" s="38">
        <v>0</v>
      </c>
      <c r="C4379" s="79">
        <v>0</v>
      </c>
    </row>
    <row r="4380" spans="1:3" x14ac:dyDescent="0.25">
      <c r="A4380" s="2">
        <v>0</v>
      </c>
      <c r="B4380" s="38">
        <v>0</v>
      </c>
      <c r="C4380" s="79">
        <v>0</v>
      </c>
    </row>
    <row r="4381" spans="1:3" x14ac:dyDescent="0.25">
      <c r="A4381" s="2">
        <v>0</v>
      </c>
      <c r="B4381" s="38">
        <v>0</v>
      </c>
      <c r="C4381" s="79">
        <v>0</v>
      </c>
    </row>
    <row r="4382" spans="1:3" x14ac:dyDescent="0.25">
      <c r="A4382" s="2">
        <v>0</v>
      </c>
      <c r="B4382" s="38">
        <v>0</v>
      </c>
      <c r="C4382" s="79">
        <v>0</v>
      </c>
    </row>
    <row r="4383" spans="1:3" x14ac:dyDescent="0.25">
      <c r="A4383" s="2">
        <v>0</v>
      </c>
      <c r="B4383" s="38">
        <v>0</v>
      </c>
      <c r="C4383" s="79">
        <v>0</v>
      </c>
    </row>
    <row r="4384" spans="1:3" x14ac:dyDescent="0.25">
      <c r="A4384" s="2">
        <v>0</v>
      </c>
      <c r="B4384" s="38">
        <v>0</v>
      </c>
      <c r="C4384" s="79">
        <v>0</v>
      </c>
    </row>
    <row r="4385" spans="1:3" x14ac:dyDescent="0.25">
      <c r="A4385" s="2">
        <v>0</v>
      </c>
      <c r="B4385" s="38">
        <v>0</v>
      </c>
      <c r="C4385" s="79">
        <v>0</v>
      </c>
    </row>
    <row r="4386" spans="1:3" x14ac:dyDescent="0.25">
      <c r="A4386" s="2">
        <v>0</v>
      </c>
      <c r="B4386" s="38">
        <v>0</v>
      </c>
      <c r="C4386" s="79">
        <v>0</v>
      </c>
    </row>
    <row r="4387" spans="1:3" x14ac:dyDescent="0.25">
      <c r="A4387" s="2">
        <v>0</v>
      </c>
      <c r="B4387" s="38">
        <v>0</v>
      </c>
      <c r="C4387" s="79">
        <v>0</v>
      </c>
    </row>
    <row r="4388" spans="1:3" x14ac:dyDescent="0.25">
      <c r="A4388" s="2">
        <v>0</v>
      </c>
      <c r="B4388" s="38">
        <v>0</v>
      </c>
      <c r="C4388" s="79">
        <v>0</v>
      </c>
    </row>
    <row r="4389" spans="1:3" x14ac:dyDescent="0.25">
      <c r="A4389" s="2">
        <v>0</v>
      </c>
      <c r="B4389" s="38">
        <v>0</v>
      </c>
      <c r="C4389" s="79">
        <v>0</v>
      </c>
    </row>
    <row r="4390" spans="1:3" x14ac:dyDescent="0.25">
      <c r="A4390" s="2">
        <v>0</v>
      </c>
      <c r="B4390" s="38">
        <v>0</v>
      </c>
      <c r="C4390" s="79">
        <v>0</v>
      </c>
    </row>
    <row r="4391" spans="1:3" x14ac:dyDescent="0.25">
      <c r="A4391" s="2">
        <v>0</v>
      </c>
      <c r="B4391" s="38">
        <v>0</v>
      </c>
      <c r="C4391" s="79">
        <v>0</v>
      </c>
    </row>
    <row r="4392" spans="1:3" x14ac:dyDescent="0.25">
      <c r="A4392" s="2">
        <v>0</v>
      </c>
      <c r="B4392" s="38">
        <v>0</v>
      </c>
      <c r="C4392" s="79">
        <v>0</v>
      </c>
    </row>
    <row r="4393" spans="1:3" x14ac:dyDescent="0.25">
      <c r="A4393" s="2">
        <v>0</v>
      </c>
      <c r="B4393" s="38">
        <v>0</v>
      </c>
      <c r="C4393" s="79">
        <v>0</v>
      </c>
    </row>
    <row r="4394" spans="1:3" x14ac:dyDescent="0.25">
      <c r="A4394" s="2">
        <v>0</v>
      </c>
      <c r="B4394" s="38">
        <v>0</v>
      </c>
      <c r="C4394" s="79">
        <v>0</v>
      </c>
    </row>
    <row r="4395" spans="1:3" x14ac:dyDescent="0.25">
      <c r="A4395" s="2">
        <v>0</v>
      </c>
      <c r="B4395" s="38">
        <v>0</v>
      </c>
      <c r="C4395" s="79">
        <v>0</v>
      </c>
    </row>
    <row r="4396" spans="1:3" x14ac:dyDescent="0.25">
      <c r="A4396" s="2">
        <v>0</v>
      </c>
      <c r="B4396" s="38">
        <v>0</v>
      </c>
      <c r="C4396" s="79">
        <v>0</v>
      </c>
    </row>
    <row r="4397" spans="1:3" x14ac:dyDescent="0.25">
      <c r="A4397" s="2">
        <v>0</v>
      </c>
      <c r="B4397" s="38">
        <v>0</v>
      </c>
      <c r="C4397" s="79">
        <v>0</v>
      </c>
    </row>
    <row r="4398" spans="1:3" x14ac:dyDescent="0.25">
      <c r="A4398" s="2">
        <v>0</v>
      </c>
      <c r="B4398" s="38">
        <v>0</v>
      </c>
      <c r="C4398" s="79">
        <v>0</v>
      </c>
    </row>
    <row r="4399" spans="1:3" x14ac:dyDescent="0.25">
      <c r="A4399" s="2">
        <v>0</v>
      </c>
      <c r="B4399" s="38">
        <v>0</v>
      </c>
      <c r="C4399" s="79">
        <v>0</v>
      </c>
    </row>
    <row r="4400" spans="1:3" x14ac:dyDescent="0.25">
      <c r="A4400" s="2">
        <v>0</v>
      </c>
      <c r="B4400" s="38">
        <v>0</v>
      </c>
      <c r="C4400" s="79">
        <v>0</v>
      </c>
    </row>
    <row r="4401" spans="1:3" x14ac:dyDescent="0.25">
      <c r="A4401" s="2">
        <v>0</v>
      </c>
      <c r="B4401" s="38">
        <v>0</v>
      </c>
      <c r="C4401" s="79">
        <v>0</v>
      </c>
    </row>
    <row r="4402" spans="1:3" x14ac:dyDescent="0.25">
      <c r="A4402" s="2">
        <v>0</v>
      </c>
      <c r="B4402" s="38">
        <v>0</v>
      </c>
      <c r="C4402" s="79">
        <v>0</v>
      </c>
    </row>
    <row r="4403" spans="1:3" x14ac:dyDescent="0.25">
      <c r="A4403" s="2">
        <v>0</v>
      </c>
      <c r="B4403" s="38">
        <v>0</v>
      </c>
      <c r="C4403" s="79">
        <v>0</v>
      </c>
    </row>
    <row r="4404" spans="1:3" x14ac:dyDescent="0.25">
      <c r="A4404" s="2">
        <v>0</v>
      </c>
      <c r="B4404" s="38">
        <v>0</v>
      </c>
      <c r="C4404" s="79">
        <v>0</v>
      </c>
    </row>
    <row r="4405" spans="1:3" x14ac:dyDescent="0.25">
      <c r="A4405" s="2">
        <v>0</v>
      </c>
      <c r="B4405" s="38">
        <v>0</v>
      </c>
      <c r="C4405" s="79">
        <v>0</v>
      </c>
    </row>
    <row r="4406" spans="1:3" x14ac:dyDescent="0.25">
      <c r="A4406" s="2">
        <v>0</v>
      </c>
      <c r="B4406" s="38">
        <v>0</v>
      </c>
      <c r="C4406" s="79">
        <v>0</v>
      </c>
    </row>
    <row r="4407" spans="1:3" x14ac:dyDescent="0.25">
      <c r="A4407" s="2">
        <v>0</v>
      </c>
      <c r="B4407" s="38">
        <v>0</v>
      </c>
      <c r="C4407" s="79">
        <v>0</v>
      </c>
    </row>
    <row r="4408" spans="1:3" x14ac:dyDescent="0.25">
      <c r="A4408" s="2">
        <v>0</v>
      </c>
      <c r="B4408" s="38">
        <v>0</v>
      </c>
      <c r="C4408" s="79">
        <v>0</v>
      </c>
    </row>
    <row r="4409" spans="1:3" x14ac:dyDescent="0.25">
      <c r="A4409" s="2">
        <v>0</v>
      </c>
      <c r="B4409" s="38">
        <v>0</v>
      </c>
      <c r="C4409" s="79">
        <v>0</v>
      </c>
    </row>
    <row r="4410" spans="1:3" x14ac:dyDescent="0.25">
      <c r="A4410" s="2">
        <v>0</v>
      </c>
      <c r="B4410" s="38">
        <v>0</v>
      </c>
      <c r="C4410" s="79">
        <v>0</v>
      </c>
    </row>
    <row r="4411" spans="1:3" x14ac:dyDescent="0.25">
      <c r="A4411" s="2">
        <v>0</v>
      </c>
      <c r="B4411" s="38">
        <v>0</v>
      </c>
      <c r="C4411" s="79">
        <v>0</v>
      </c>
    </row>
    <row r="4412" spans="1:3" x14ac:dyDescent="0.25">
      <c r="A4412" s="2">
        <v>0</v>
      </c>
      <c r="B4412" s="38">
        <v>0</v>
      </c>
      <c r="C4412" s="79">
        <v>0</v>
      </c>
    </row>
    <row r="4413" spans="1:3" x14ac:dyDescent="0.25">
      <c r="A4413" s="2">
        <v>0</v>
      </c>
      <c r="B4413" s="38">
        <v>0</v>
      </c>
      <c r="C4413" s="79">
        <v>0</v>
      </c>
    </row>
    <row r="4414" spans="1:3" x14ac:dyDescent="0.25">
      <c r="A4414" s="2">
        <v>0</v>
      </c>
      <c r="B4414" s="38">
        <v>0</v>
      </c>
      <c r="C4414" s="79">
        <v>0</v>
      </c>
    </row>
    <row r="4415" spans="1:3" x14ac:dyDescent="0.25">
      <c r="A4415" s="2">
        <v>0</v>
      </c>
      <c r="B4415" s="38">
        <v>0</v>
      </c>
      <c r="C4415" s="79">
        <v>0</v>
      </c>
    </row>
    <row r="4416" spans="1:3" x14ac:dyDescent="0.25">
      <c r="A4416" s="2">
        <v>0</v>
      </c>
      <c r="B4416" s="38">
        <v>0</v>
      </c>
      <c r="C4416" s="79">
        <v>0</v>
      </c>
    </row>
    <row r="4417" spans="1:3" x14ac:dyDescent="0.25">
      <c r="A4417" s="2">
        <v>0</v>
      </c>
      <c r="B4417" s="38">
        <v>0</v>
      </c>
      <c r="C4417" s="79">
        <v>0</v>
      </c>
    </row>
    <row r="4418" spans="1:3" x14ac:dyDescent="0.25">
      <c r="A4418" s="2">
        <v>0</v>
      </c>
      <c r="B4418" s="38">
        <v>0</v>
      </c>
      <c r="C4418" s="79">
        <v>0</v>
      </c>
    </row>
    <row r="4419" spans="1:3" x14ac:dyDescent="0.25">
      <c r="A4419" s="2">
        <v>0</v>
      </c>
      <c r="B4419" s="38">
        <v>0</v>
      </c>
      <c r="C4419" s="79">
        <v>0</v>
      </c>
    </row>
    <row r="4420" spans="1:3" x14ac:dyDescent="0.25">
      <c r="A4420" s="2">
        <v>0</v>
      </c>
      <c r="B4420" s="38">
        <v>0</v>
      </c>
      <c r="C4420" s="79">
        <v>0</v>
      </c>
    </row>
    <row r="4421" spans="1:3" x14ac:dyDescent="0.25">
      <c r="A4421" s="2">
        <v>0</v>
      </c>
      <c r="B4421" s="38">
        <v>0</v>
      </c>
      <c r="C4421" s="79">
        <v>0</v>
      </c>
    </row>
    <row r="4422" spans="1:3" x14ac:dyDescent="0.25">
      <c r="A4422" s="2">
        <v>0</v>
      </c>
      <c r="B4422" s="38">
        <v>0</v>
      </c>
      <c r="C4422" s="79">
        <v>0</v>
      </c>
    </row>
    <row r="4423" spans="1:3" x14ac:dyDescent="0.25">
      <c r="A4423" s="2">
        <v>0</v>
      </c>
      <c r="B4423" s="38">
        <v>0</v>
      </c>
      <c r="C4423" s="79">
        <v>0</v>
      </c>
    </row>
    <row r="4424" spans="1:3" x14ac:dyDescent="0.25">
      <c r="A4424" s="2">
        <v>0</v>
      </c>
      <c r="B4424" s="38">
        <v>0</v>
      </c>
      <c r="C4424" s="79">
        <v>0</v>
      </c>
    </row>
    <row r="4425" spans="1:3" x14ac:dyDescent="0.25">
      <c r="A4425" s="2">
        <v>0</v>
      </c>
      <c r="B4425" s="38">
        <v>0</v>
      </c>
      <c r="C4425" s="79">
        <v>0</v>
      </c>
    </row>
    <row r="4426" spans="1:3" x14ac:dyDescent="0.25">
      <c r="A4426" s="2">
        <v>0</v>
      </c>
      <c r="B4426" s="38">
        <v>0</v>
      </c>
      <c r="C4426" s="79">
        <v>0</v>
      </c>
    </row>
    <row r="4427" spans="1:3" x14ac:dyDescent="0.25">
      <c r="A4427" s="2">
        <v>0</v>
      </c>
      <c r="B4427" s="38">
        <v>0</v>
      </c>
      <c r="C4427" s="79">
        <v>0</v>
      </c>
    </row>
    <row r="4428" spans="1:3" x14ac:dyDescent="0.25">
      <c r="A4428" s="2">
        <v>0</v>
      </c>
      <c r="B4428" s="38">
        <v>0</v>
      </c>
      <c r="C4428" s="79">
        <v>0</v>
      </c>
    </row>
    <row r="4429" spans="1:3" x14ac:dyDescent="0.25">
      <c r="A4429" s="2">
        <v>0</v>
      </c>
      <c r="B4429" s="38">
        <v>0</v>
      </c>
      <c r="C4429" s="79">
        <v>0</v>
      </c>
    </row>
    <row r="4430" spans="1:3" x14ac:dyDescent="0.25">
      <c r="A4430" s="2">
        <v>0</v>
      </c>
      <c r="B4430" s="38">
        <v>0</v>
      </c>
      <c r="C4430" s="79">
        <v>0</v>
      </c>
    </row>
    <row r="4431" spans="1:3" x14ac:dyDescent="0.25">
      <c r="A4431" s="2">
        <v>0</v>
      </c>
      <c r="B4431" s="38">
        <v>0</v>
      </c>
      <c r="C4431" s="79">
        <v>0</v>
      </c>
    </row>
    <row r="4432" spans="1:3" x14ac:dyDescent="0.25">
      <c r="A4432" s="2">
        <v>0</v>
      </c>
      <c r="B4432" s="38">
        <v>0</v>
      </c>
      <c r="C4432" s="79">
        <v>0</v>
      </c>
    </row>
    <row r="4433" spans="1:3" x14ac:dyDescent="0.25">
      <c r="A4433" s="2">
        <v>0</v>
      </c>
      <c r="B4433" s="38">
        <v>0</v>
      </c>
      <c r="C4433" s="79">
        <v>0</v>
      </c>
    </row>
    <row r="4434" spans="1:3" x14ac:dyDescent="0.25">
      <c r="A4434" s="2">
        <v>0</v>
      </c>
      <c r="B4434" s="38">
        <v>0</v>
      </c>
      <c r="C4434" s="79">
        <v>0</v>
      </c>
    </row>
    <row r="4435" spans="1:3" x14ac:dyDescent="0.25">
      <c r="A4435" s="2">
        <v>0</v>
      </c>
      <c r="B4435" s="38">
        <v>0</v>
      </c>
      <c r="C4435" s="79">
        <v>0</v>
      </c>
    </row>
    <row r="4436" spans="1:3" x14ac:dyDescent="0.25">
      <c r="A4436" s="2">
        <v>0</v>
      </c>
      <c r="B4436" s="38">
        <v>0</v>
      </c>
      <c r="C4436" s="79">
        <v>0</v>
      </c>
    </row>
    <row r="4437" spans="1:3" x14ac:dyDescent="0.25">
      <c r="A4437" s="2">
        <v>0</v>
      </c>
      <c r="B4437" s="38">
        <v>0</v>
      </c>
      <c r="C4437" s="79">
        <v>0</v>
      </c>
    </row>
    <row r="4438" spans="1:3" x14ac:dyDescent="0.25">
      <c r="A4438" s="2">
        <v>0</v>
      </c>
      <c r="B4438" s="38">
        <v>0</v>
      </c>
      <c r="C4438" s="79">
        <v>0</v>
      </c>
    </row>
    <row r="4439" spans="1:3" x14ac:dyDescent="0.25">
      <c r="A4439" s="2">
        <v>0</v>
      </c>
      <c r="B4439" s="38">
        <v>0</v>
      </c>
      <c r="C4439" s="79">
        <v>0</v>
      </c>
    </row>
    <row r="4440" spans="1:3" x14ac:dyDescent="0.25">
      <c r="A4440" s="2">
        <v>0</v>
      </c>
      <c r="B4440" s="38">
        <v>0</v>
      </c>
      <c r="C4440" s="79">
        <v>0</v>
      </c>
    </row>
    <row r="4441" spans="1:3" x14ac:dyDescent="0.25">
      <c r="A4441" s="2">
        <v>0</v>
      </c>
      <c r="B4441" s="38">
        <v>0</v>
      </c>
      <c r="C4441" s="79">
        <v>0</v>
      </c>
    </row>
    <row r="4442" spans="1:3" x14ac:dyDescent="0.25">
      <c r="A4442" s="2">
        <v>0</v>
      </c>
      <c r="B4442" s="38">
        <v>0</v>
      </c>
      <c r="C4442" s="79">
        <v>0</v>
      </c>
    </row>
    <row r="4443" spans="1:3" x14ac:dyDescent="0.25">
      <c r="A4443" s="2">
        <v>0</v>
      </c>
      <c r="B4443" s="38">
        <v>0</v>
      </c>
      <c r="C4443" s="79">
        <v>0</v>
      </c>
    </row>
    <row r="4444" spans="1:3" x14ac:dyDescent="0.25">
      <c r="A4444" s="2">
        <v>0</v>
      </c>
      <c r="B4444" s="38">
        <v>0</v>
      </c>
      <c r="C4444" s="79">
        <v>0</v>
      </c>
    </row>
    <row r="4445" spans="1:3" x14ac:dyDescent="0.25">
      <c r="A4445" s="2">
        <v>0</v>
      </c>
      <c r="B4445" s="38">
        <v>0</v>
      </c>
      <c r="C4445" s="79">
        <v>0</v>
      </c>
    </row>
    <row r="4446" spans="1:3" x14ac:dyDescent="0.25">
      <c r="A4446" s="2">
        <v>0</v>
      </c>
      <c r="B4446" s="38">
        <v>0</v>
      </c>
      <c r="C4446" s="79">
        <v>0</v>
      </c>
    </row>
    <row r="4447" spans="1:3" x14ac:dyDescent="0.25">
      <c r="A4447" s="2">
        <v>0</v>
      </c>
      <c r="B4447" s="38">
        <v>0</v>
      </c>
      <c r="C4447" s="79">
        <v>0</v>
      </c>
    </row>
    <row r="4448" spans="1:3" x14ac:dyDescent="0.25">
      <c r="A4448" s="2">
        <v>0</v>
      </c>
      <c r="B4448" s="38">
        <v>0</v>
      </c>
      <c r="C4448" s="79">
        <v>0</v>
      </c>
    </row>
    <row r="4449" spans="1:3" x14ac:dyDescent="0.25">
      <c r="A4449" s="2">
        <v>0</v>
      </c>
      <c r="B4449" s="38">
        <v>0</v>
      </c>
      <c r="C4449" s="79">
        <v>0</v>
      </c>
    </row>
    <row r="4450" spans="1:3" x14ac:dyDescent="0.25">
      <c r="A4450" s="2">
        <v>0</v>
      </c>
      <c r="B4450" s="38">
        <v>0</v>
      </c>
      <c r="C4450" s="79">
        <v>0</v>
      </c>
    </row>
    <row r="4451" spans="1:3" x14ac:dyDescent="0.25">
      <c r="A4451" s="2">
        <v>0</v>
      </c>
      <c r="B4451" s="38">
        <v>0</v>
      </c>
      <c r="C4451" s="79">
        <v>0</v>
      </c>
    </row>
    <row r="4452" spans="1:3" x14ac:dyDescent="0.25">
      <c r="A4452" s="2">
        <v>0</v>
      </c>
      <c r="B4452" s="38">
        <v>0</v>
      </c>
      <c r="C4452" s="79">
        <v>0</v>
      </c>
    </row>
    <row r="4453" spans="1:3" x14ac:dyDescent="0.25">
      <c r="A4453" s="2">
        <v>0</v>
      </c>
      <c r="B4453" s="38">
        <v>0</v>
      </c>
      <c r="C4453" s="79">
        <v>0</v>
      </c>
    </row>
    <row r="4454" spans="1:3" x14ac:dyDescent="0.25">
      <c r="A4454" s="2">
        <v>0</v>
      </c>
      <c r="B4454" s="38">
        <v>0</v>
      </c>
      <c r="C4454" s="79">
        <v>0</v>
      </c>
    </row>
    <row r="4455" spans="1:3" x14ac:dyDescent="0.25">
      <c r="A4455" s="2">
        <v>0</v>
      </c>
      <c r="B4455" s="38">
        <v>0</v>
      </c>
      <c r="C4455" s="79">
        <v>0</v>
      </c>
    </row>
    <row r="4456" spans="1:3" x14ac:dyDescent="0.25">
      <c r="A4456" s="2">
        <v>0</v>
      </c>
      <c r="B4456" s="38">
        <v>0</v>
      </c>
      <c r="C4456" s="79">
        <v>0</v>
      </c>
    </row>
    <row r="4457" spans="1:3" x14ac:dyDescent="0.25">
      <c r="A4457" s="2">
        <v>0</v>
      </c>
      <c r="B4457" s="38">
        <v>0</v>
      </c>
      <c r="C4457" s="79">
        <v>0</v>
      </c>
    </row>
    <row r="4458" spans="1:3" x14ac:dyDescent="0.25">
      <c r="A4458" s="2">
        <v>0</v>
      </c>
      <c r="B4458" s="38">
        <v>0</v>
      </c>
      <c r="C4458" s="79">
        <v>0</v>
      </c>
    </row>
    <row r="4459" spans="1:3" x14ac:dyDescent="0.25">
      <c r="A4459" s="2">
        <v>0</v>
      </c>
      <c r="B4459" s="38">
        <v>0</v>
      </c>
      <c r="C4459" s="79">
        <v>0</v>
      </c>
    </row>
    <row r="4460" spans="1:3" x14ac:dyDescent="0.25">
      <c r="A4460" s="2">
        <v>0</v>
      </c>
      <c r="B4460" s="38">
        <v>0</v>
      </c>
      <c r="C4460" s="79">
        <v>0</v>
      </c>
    </row>
    <row r="4461" spans="1:3" x14ac:dyDescent="0.25">
      <c r="A4461" s="2">
        <v>0</v>
      </c>
      <c r="B4461" s="38">
        <v>0</v>
      </c>
      <c r="C4461" s="79">
        <v>0</v>
      </c>
    </row>
    <row r="4462" spans="1:3" x14ac:dyDescent="0.25">
      <c r="A4462" s="2">
        <v>0</v>
      </c>
      <c r="B4462" s="38">
        <v>0</v>
      </c>
      <c r="C4462" s="79">
        <v>0</v>
      </c>
    </row>
    <row r="4463" spans="1:3" x14ac:dyDescent="0.25">
      <c r="A4463" s="2">
        <v>0</v>
      </c>
      <c r="B4463" s="38">
        <v>0</v>
      </c>
      <c r="C4463" s="79">
        <v>0</v>
      </c>
    </row>
    <row r="4464" spans="1:3" x14ac:dyDescent="0.25">
      <c r="A4464" s="2">
        <v>0</v>
      </c>
      <c r="B4464" s="38">
        <v>0</v>
      </c>
      <c r="C4464" s="79">
        <v>0</v>
      </c>
    </row>
    <row r="4465" spans="1:3" x14ac:dyDescent="0.25">
      <c r="A4465" s="2">
        <v>0</v>
      </c>
      <c r="B4465" s="38">
        <v>0</v>
      </c>
      <c r="C4465" s="79">
        <v>0</v>
      </c>
    </row>
    <row r="4466" spans="1:3" x14ac:dyDescent="0.25">
      <c r="A4466" s="2">
        <v>0</v>
      </c>
      <c r="B4466" s="38">
        <v>0</v>
      </c>
      <c r="C4466" s="79">
        <v>0</v>
      </c>
    </row>
    <row r="4467" spans="1:3" x14ac:dyDescent="0.25">
      <c r="A4467" s="2">
        <v>0</v>
      </c>
      <c r="B4467" s="38">
        <v>0</v>
      </c>
      <c r="C4467" s="79">
        <v>0</v>
      </c>
    </row>
    <row r="4468" spans="1:3" x14ac:dyDescent="0.25">
      <c r="A4468" s="2">
        <v>0</v>
      </c>
      <c r="B4468" s="38">
        <v>0</v>
      </c>
      <c r="C4468" s="79">
        <v>0</v>
      </c>
    </row>
    <row r="4469" spans="1:3" x14ac:dyDescent="0.25">
      <c r="A4469" s="2">
        <v>0</v>
      </c>
      <c r="B4469" s="38">
        <v>0</v>
      </c>
      <c r="C4469" s="79">
        <v>0</v>
      </c>
    </row>
    <row r="4470" spans="1:3" x14ac:dyDescent="0.25">
      <c r="A4470" s="2">
        <v>0</v>
      </c>
      <c r="B4470" s="38">
        <v>0</v>
      </c>
      <c r="C4470" s="79">
        <v>0</v>
      </c>
    </row>
    <row r="4471" spans="1:3" x14ac:dyDescent="0.25">
      <c r="A4471" s="2">
        <v>0</v>
      </c>
      <c r="B4471" s="38">
        <v>0</v>
      </c>
      <c r="C4471" s="79">
        <v>0</v>
      </c>
    </row>
    <row r="4472" spans="1:3" x14ac:dyDescent="0.25">
      <c r="A4472" s="2">
        <v>0</v>
      </c>
      <c r="B4472" s="38">
        <v>0</v>
      </c>
      <c r="C4472" s="79">
        <v>0</v>
      </c>
    </row>
    <row r="4473" spans="1:3" x14ac:dyDescent="0.25">
      <c r="A4473" s="2">
        <v>0</v>
      </c>
      <c r="B4473" s="38">
        <v>0</v>
      </c>
      <c r="C4473" s="79">
        <v>0</v>
      </c>
    </row>
    <row r="4474" spans="1:3" x14ac:dyDescent="0.25">
      <c r="A4474" s="2">
        <v>0</v>
      </c>
      <c r="B4474" s="38">
        <v>0</v>
      </c>
      <c r="C4474" s="79">
        <v>0</v>
      </c>
    </row>
    <row r="4475" spans="1:3" x14ac:dyDescent="0.25">
      <c r="A4475" s="2">
        <v>0</v>
      </c>
      <c r="B4475" s="38">
        <v>0</v>
      </c>
      <c r="C4475" s="79">
        <v>0</v>
      </c>
    </row>
    <row r="4476" spans="1:3" x14ac:dyDescent="0.25">
      <c r="A4476" s="2">
        <v>0</v>
      </c>
      <c r="B4476" s="38">
        <v>0</v>
      </c>
      <c r="C4476" s="79">
        <v>0</v>
      </c>
    </row>
    <row r="4477" spans="1:3" x14ac:dyDescent="0.25">
      <c r="A4477" s="2">
        <v>0</v>
      </c>
      <c r="B4477" s="38">
        <v>0</v>
      </c>
      <c r="C4477" s="79">
        <v>0</v>
      </c>
    </row>
    <row r="4478" spans="1:3" x14ac:dyDescent="0.25">
      <c r="A4478" s="2">
        <v>0</v>
      </c>
      <c r="B4478" s="38">
        <v>0</v>
      </c>
      <c r="C4478" s="79">
        <v>0</v>
      </c>
    </row>
    <row r="4479" spans="1:3" x14ac:dyDescent="0.25">
      <c r="A4479" s="2">
        <v>0</v>
      </c>
      <c r="B4479" s="38">
        <v>0</v>
      </c>
      <c r="C4479" s="79">
        <v>0</v>
      </c>
    </row>
    <row r="4480" spans="1:3" x14ac:dyDescent="0.25">
      <c r="A4480" s="2">
        <v>0</v>
      </c>
      <c r="B4480" s="38">
        <v>0</v>
      </c>
      <c r="C4480" s="79">
        <v>0</v>
      </c>
    </row>
    <row r="4481" spans="1:3" x14ac:dyDescent="0.25">
      <c r="A4481" s="2">
        <v>0</v>
      </c>
      <c r="B4481" s="38">
        <v>0</v>
      </c>
      <c r="C4481" s="79">
        <v>0</v>
      </c>
    </row>
    <row r="4482" spans="1:3" x14ac:dyDescent="0.25">
      <c r="A4482" s="2">
        <v>0</v>
      </c>
      <c r="B4482" s="38">
        <v>0</v>
      </c>
      <c r="C4482" s="79">
        <v>0</v>
      </c>
    </row>
    <row r="4483" spans="1:3" x14ac:dyDescent="0.25">
      <c r="A4483" s="2">
        <v>0</v>
      </c>
      <c r="B4483" s="38">
        <v>0</v>
      </c>
      <c r="C4483" s="79">
        <v>0</v>
      </c>
    </row>
    <row r="4484" spans="1:3" x14ac:dyDescent="0.25">
      <c r="A4484" s="2">
        <v>0</v>
      </c>
      <c r="B4484" s="38">
        <v>0</v>
      </c>
      <c r="C4484" s="79">
        <v>0</v>
      </c>
    </row>
    <row r="4485" spans="1:3" x14ac:dyDescent="0.25">
      <c r="A4485" s="2">
        <v>0</v>
      </c>
      <c r="B4485" s="38">
        <v>0</v>
      </c>
      <c r="C4485" s="79">
        <v>0</v>
      </c>
    </row>
    <row r="4486" spans="1:3" x14ac:dyDescent="0.25">
      <c r="A4486" s="2">
        <v>0</v>
      </c>
      <c r="B4486" s="38">
        <v>0</v>
      </c>
      <c r="C4486" s="79">
        <v>0</v>
      </c>
    </row>
    <row r="4487" spans="1:3" x14ac:dyDescent="0.25">
      <c r="A4487" s="2">
        <v>0</v>
      </c>
      <c r="B4487" s="38">
        <v>0</v>
      </c>
      <c r="C4487" s="79">
        <v>0</v>
      </c>
    </row>
    <row r="4488" spans="1:3" x14ac:dyDescent="0.25">
      <c r="A4488" s="2">
        <v>0</v>
      </c>
      <c r="B4488" s="38">
        <v>0</v>
      </c>
      <c r="C4488" s="79">
        <v>0</v>
      </c>
    </row>
    <row r="4489" spans="1:3" x14ac:dyDescent="0.25">
      <c r="A4489" s="2">
        <v>0</v>
      </c>
      <c r="B4489" s="38">
        <v>0</v>
      </c>
      <c r="C4489" s="79">
        <v>0</v>
      </c>
    </row>
    <row r="4490" spans="1:3" x14ac:dyDescent="0.25">
      <c r="A4490" s="2">
        <v>0</v>
      </c>
      <c r="B4490" s="38">
        <v>0</v>
      </c>
      <c r="C4490" s="79">
        <v>0</v>
      </c>
    </row>
    <row r="4491" spans="1:3" x14ac:dyDescent="0.25">
      <c r="A4491" s="2">
        <v>0</v>
      </c>
      <c r="B4491" s="38">
        <v>0</v>
      </c>
      <c r="C4491" s="79">
        <v>0</v>
      </c>
    </row>
    <row r="4492" spans="1:3" x14ac:dyDescent="0.25">
      <c r="A4492" s="2">
        <v>0</v>
      </c>
      <c r="B4492" s="38">
        <v>0</v>
      </c>
      <c r="C4492" s="79">
        <v>0</v>
      </c>
    </row>
    <row r="4493" spans="1:3" x14ac:dyDescent="0.25">
      <c r="A4493" s="2">
        <v>0</v>
      </c>
      <c r="B4493" s="38">
        <v>0</v>
      </c>
      <c r="C4493" s="79">
        <v>0</v>
      </c>
    </row>
    <row r="4494" spans="1:3" x14ac:dyDescent="0.25">
      <c r="A4494" s="2">
        <v>0</v>
      </c>
      <c r="B4494" s="38">
        <v>0</v>
      </c>
      <c r="C4494" s="79">
        <v>0</v>
      </c>
    </row>
    <row r="4495" spans="1:3" x14ac:dyDescent="0.25">
      <c r="A4495" s="2">
        <v>0</v>
      </c>
      <c r="B4495" s="38">
        <v>0</v>
      </c>
      <c r="C4495" s="79">
        <v>0</v>
      </c>
    </row>
    <row r="4496" spans="1:3" x14ac:dyDescent="0.25">
      <c r="A4496" s="2">
        <v>0</v>
      </c>
      <c r="B4496" s="38">
        <v>0</v>
      </c>
      <c r="C4496" s="79">
        <v>0</v>
      </c>
    </row>
    <row r="4497" spans="1:3" x14ac:dyDescent="0.25">
      <c r="A4497" s="2">
        <v>0</v>
      </c>
      <c r="B4497" s="38">
        <v>0</v>
      </c>
      <c r="C4497" s="79">
        <v>0</v>
      </c>
    </row>
    <row r="4498" spans="1:3" x14ac:dyDescent="0.25">
      <c r="A4498" s="2">
        <v>0</v>
      </c>
      <c r="B4498" s="38">
        <v>0</v>
      </c>
      <c r="C4498" s="79">
        <v>0</v>
      </c>
    </row>
    <row r="4499" spans="1:3" x14ac:dyDescent="0.25">
      <c r="A4499" s="2">
        <v>0</v>
      </c>
      <c r="B4499" s="38">
        <v>0</v>
      </c>
      <c r="C4499" s="79">
        <v>0</v>
      </c>
    </row>
    <row r="4500" spans="1:3" x14ac:dyDescent="0.25">
      <c r="A4500" s="2">
        <v>0</v>
      </c>
      <c r="B4500" s="38">
        <v>0</v>
      </c>
      <c r="C4500" s="79">
        <v>0</v>
      </c>
    </row>
    <row r="4501" spans="1:3" x14ac:dyDescent="0.25">
      <c r="A4501" s="2">
        <v>0</v>
      </c>
      <c r="B4501" s="38">
        <v>0</v>
      </c>
      <c r="C4501" s="79">
        <v>0</v>
      </c>
    </row>
    <row r="4502" spans="1:3" x14ac:dyDescent="0.25">
      <c r="A4502" s="2">
        <v>0</v>
      </c>
      <c r="B4502" s="38">
        <v>0</v>
      </c>
      <c r="C4502" s="79">
        <v>0</v>
      </c>
    </row>
    <row r="4503" spans="1:3" x14ac:dyDescent="0.25">
      <c r="A4503" s="2">
        <v>0</v>
      </c>
      <c r="B4503" s="38">
        <v>0</v>
      </c>
      <c r="C4503" s="79">
        <v>0</v>
      </c>
    </row>
    <row r="4504" spans="1:3" x14ac:dyDescent="0.25">
      <c r="A4504" s="2">
        <v>0</v>
      </c>
      <c r="B4504" s="38">
        <v>0</v>
      </c>
      <c r="C4504" s="79">
        <v>0</v>
      </c>
    </row>
    <row r="4505" spans="1:3" x14ac:dyDescent="0.25">
      <c r="A4505" s="2">
        <v>0</v>
      </c>
      <c r="B4505" s="38">
        <v>0</v>
      </c>
      <c r="C4505" s="79">
        <v>0</v>
      </c>
    </row>
    <row r="4506" spans="1:3" x14ac:dyDescent="0.25">
      <c r="A4506" s="2">
        <v>0</v>
      </c>
      <c r="B4506" s="38">
        <v>0</v>
      </c>
      <c r="C4506" s="79">
        <v>0</v>
      </c>
    </row>
    <row r="4507" spans="1:3" x14ac:dyDescent="0.25">
      <c r="A4507" s="2">
        <v>0</v>
      </c>
      <c r="B4507" s="38">
        <v>0</v>
      </c>
      <c r="C4507" s="79">
        <v>0</v>
      </c>
    </row>
    <row r="4508" spans="1:3" x14ac:dyDescent="0.25">
      <c r="A4508" s="2">
        <v>0</v>
      </c>
      <c r="B4508" s="38">
        <v>0</v>
      </c>
      <c r="C4508" s="79">
        <v>0</v>
      </c>
    </row>
    <row r="4509" spans="1:3" x14ac:dyDescent="0.25">
      <c r="A4509" s="2">
        <v>0</v>
      </c>
      <c r="B4509" s="38">
        <v>0</v>
      </c>
      <c r="C4509" s="79">
        <v>0</v>
      </c>
    </row>
    <row r="4510" spans="1:3" x14ac:dyDescent="0.25">
      <c r="A4510" s="2">
        <v>0</v>
      </c>
      <c r="B4510" s="38">
        <v>0</v>
      </c>
      <c r="C4510" s="79">
        <v>0</v>
      </c>
    </row>
    <row r="4511" spans="1:3" x14ac:dyDescent="0.25">
      <c r="A4511" s="2">
        <v>0</v>
      </c>
      <c r="B4511" s="38">
        <v>0</v>
      </c>
      <c r="C4511" s="79">
        <v>0</v>
      </c>
    </row>
    <row r="4512" spans="1:3" x14ac:dyDescent="0.25">
      <c r="A4512" s="2">
        <v>0</v>
      </c>
      <c r="B4512" s="38">
        <v>0</v>
      </c>
      <c r="C4512" s="79">
        <v>0</v>
      </c>
    </row>
    <row r="4513" spans="1:3" x14ac:dyDescent="0.25">
      <c r="A4513" s="2">
        <v>0</v>
      </c>
      <c r="B4513" s="38">
        <v>0</v>
      </c>
      <c r="C4513" s="79">
        <v>0</v>
      </c>
    </row>
    <row r="4514" spans="1:3" x14ac:dyDescent="0.25">
      <c r="A4514" s="2">
        <v>0</v>
      </c>
      <c r="B4514" s="38">
        <v>0</v>
      </c>
      <c r="C4514" s="79">
        <v>0</v>
      </c>
    </row>
    <row r="4515" spans="1:3" x14ac:dyDescent="0.25">
      <c r="A4515" s="2">
        <v>0</v>
      </c>
      <c r="B4515" s="38">
        <v>0</v>
      </c>
      <c r="C4515" s="79">
        <v>0</v>
      </c>
    </row>
    <row r="4516" spans="1:3" x14ac:dyDescent="0.25">
      <c r="A4516" s="2">
        <v>0</v>
      </c>
      <c r="B4516" s="38">
        <v>0</v>
      </c>
      <c r="C4516" s="79">
        <v>0</v>
      </c>
    </row>
    <row r="4517" spans="1:3" x14ac:dyDescent="0.25">
      <c r="A4517" s="2">
        <v>0</v>
      </c>
      <c r="B4517" s="38">
        <v>0</v>
      </c>
      <c r="C4517" s="79">
        <v>0</v>
      </c>
    </row>
    <row r="4518" spans="1:3" x14ac:dyDescent="0.25">
      <c r="A4518" s="2">
        <v>0</v>
      </c>
      <c r="B4518" s="38">
        <v>0</v>
      </c>
      <c r="C4518" s="79">
        <v>0</v>
      </c>
    </row>
    <row r="4519" spans="1:3" x14ac:dyDescent="0.25">
      <c r="A4519" s="2">
        <v>0</v>
      </c>
      <c r="B4519" s="38">
        <v>0</v>
      </c>
      <c r="C4519" s="79">
        <v>0</v>
      </c>
    </row>
    <row r="4520" spans="1:3" x14ac:dyDescent="0.25">
      <c r="A4520" s="2">
        <v>0</v>
      </c>
      <c r="B4520" s="38">
        <v>0</v>
      </c>
      <c r="C4520" s="79">
        <v>0</v>
      </c>
    </row>
    <row r="4521" spans="1:3" x14ac:dyDescent="0.25">
      <c r="A4521" s="2">
        <v>0</v>
      </c>
      <c r="B4521" s="38">
        <v>0</v>
      </c>
      <c r="C4521" s="79">
        <v>0</v>
      </c>
    </row>
    <row r="4522" spans="1:3" x14ac:dyDescent="0.25">
      <c r="A4522" s="2">
        <v>0</v>
      </c>
      <c r="B4522" s="38">
        <v>0</v>
      </c>
      <c r="C4522" s="79">
        <v>0</v>
      </c>
    </row>
    <row r="4523" spans="1:3" x14ac:dyDescent="0.25">
      <c r="A4523" s="2">
        <v>0</v>
      </c>
      <c r="B4523" s="38">
        <v>0</v>
      </c>
      <c r="C4523" s="79">
        <v>0</v>
      </c>
    </row>
    <row r="4524" spans="1:3" x14ac:dyDescent="0.25">
      <c r="A4524" s="2">
        <v>0</v>
      </c>
      <c r="B4524" s="38">
        <v>0</v>
      </c>
      <c r="C4524" s="79">
        <v>0</v>
      </c>
    </row>
    <row r="4525" spans="1:3" x14ac:dyDescent="0.25">
      <c r="A4525" s="2">
        <v>0</v>
      </c>
      <c r="B4525" s="38">
        <v>0</v>
      </c>
      <c r="C4525" s="79">
        <v>0</v>
      </c>
    </row>
    <row r="4526" spans="1:3" x14ac:dyDescent="0.25">
      <c r="A4526" s="2">
        <v>0</v>
      </c>
      <c r="B4526" s="38">
        <v>0</v>
      </c>
      <c r="C4526" s="79">
        <v>0</v>
      </c>
    </row>
    <row r="4527" spans="1:3" x14ac:dyDescent="0.25">
      <c r="A4527" s="2">
        <v>0</v>
      </c>
      <c r="B4527" s="38">
        <v>0</v>
      </c>
      <c r="C4527" s="79">
        <v>0</v>
      </c>
    </row>
    <row r="4528" spans="1:3" x14ac:dyDescent="0.25">
      <c r="A4528" s="2">
        <v>0</v>
      </c>
      <c r="B4528" s="38">
        <v>0</v>
      </c>
      <c r="C4528" s="79">
        <v>0</v>
      </c>
    </row>
    <row r="4529" spans="1:3" x14ac:dyDescent="0.25">
      <c r="A4529" s="2">
        <v>0</v>
      </c>
      <c r="B4529" s="38">
        <v>0</v>
      </c>
      <c r="C4529" s="79">
        <v>0</v>
      </c>
    </row>
    <row r="4530" spans="1:3" x14ac:dyDescent="0.25">
      <c r="A4530" s="2">
        <v>0</v>
      </c>
      <c r="B4530" s="38">
        <v>0</v>
      </c>
      <c r="C4530" s="79">
        <v>0</v>
      </c>
    </row>
    <row r="4531" spans="1:3" x14ac:dyDescent="0.25">
      <c r="A4531" s="2">
        <v>0</v>
      </c>
      <c r="B4531" s="38">
        <v>0</v>
      </c>
      <c r="C4531" s="79">
        <v>0</v>
      </c>
    </row>
    <row r="4532" spans="1:3" x14ac:dyDescent="0.25">
      <c r="A4532" s="2">
        <v>0</v>
      </c>
      <c r="B4532" s="38">
        <v>0</v>
      </c>
      <c r="C4532" s="79">
        <v>0</v>
      </c>
    </row>
    <row r="4533" spans="1:3" x14ac:dyDescent="0.25">
      <c r="A4533" s="2">
        <v>0</v>
      </c>
      <c r="B4533" s="38">
        <v>0</v>
      </c>
      <c r="C4533" s="79">
        <v>0</v>
      </c>
    </row>
    <row r="4534" spans="1:3" x14ac:dyDescent="0.25">
      <c r="A4534" s="2">
        <v>0</v>
      </c>
      <c r="B4534" s="38">
        <v>0</v>
      </c>
      <c r="C4534" s="79">
        <v>0</v>
      </c>
    </row>
    <row r="4535" spans="1:3" x14ac:dyDescent="0.25">
      <c r="A4535" s="2">
        <v>0</v>
      </c>
      <c r="B4535" s="38">
        <v>0</v>
      </c>
      <c r="C4535" s="79">
        <v>0</v>
      </c>
    </row>
    <row r="4536" spans="1:3" x14ac:dyDescent="0.25">
      <c r="A4536" s="2">
        <v>0</v>
      </c>
      <c r="B4536" s="38">
        <v>0</v>
      </c>
      <c r="C4536" s="79">
        <v>0</v>
      </c>
    </row>
    <row r="4537" spans="1:3" x14ac:dyDescent="0.25">
      <c r="A4537" s="2">
        <v>0</v>
      </c>
      <c r="B4537" s="38">
        <v>0</v>
      </c>
      <c r="C4537" s="79">
        <v>0</v>
      </c>
    </row>
    <row r="4538" spans="1:3" x14ac:dyDescent="0.25">
      <c r="A4538" s="2">
        <v>0</v>
      </c>
      <c r="B4538" s="38">
        <v>0</v>
      </c>
      <c r="C4538" s="79">
        <v>0</v>
      </c>
    </row>
    <row r="4539" spans="1:3" x14ac:dyDescent="0.25">
      <c r="A4539" s="2">
        <v>0</v>
      </c>
      <c r="B4539" s="38">
        <v>0</v>
      </c>
      <c r="C4539" s="79">
        <v>0</v>
      </c>
    </row>
    <row r="4540" spans="1:3" x14ac:dyDescent="0.25">
      <c r="A4540" s="2">
        <v>0</v>
      </c>
      <c r="B4540" s="38">
        <v>0</v>
      </c>
      <c r="C4540" s="79">
        <v>0</v>
      </c>
    </row>
    <row r="4541" spans="1:3" x14ac:dyDescent="0.25">
      <c r="A4541" s="2">
        <v>0</v>
      </c>
      <c r="B4541" s="38">
        <v>0</v>
      </c>
      <c r="C4541" s="79">
        <v>0</v>
      </c>
    </row>
    <row r="4542" spans="1:3" x14ac:dyDescent="0.25">
      <c r="A4542" s="2">
        <v>0</v>
      </c>
      <c r="B4542" s="38">
        <v>0</v>
      </c>
      <c r="C4542" s="79">
        <v>0</v>
      </c>
    </row>
    <row r="4543" spans="1:3" x14ac:dyDescent="0.25">
      <c r="A4543" s="2">
        <v>0</v>
      </c>
      <c r="B4543" s="38">
        <v>0</v>
      </c>
      <c r="C4543" s="79">
        <v>0</v>
      </c>
    </row>
    <row r="4544" spans="1:3" x14ac:dyDescent="0.25">
      <c r="A4544" s="2">
        <v>0</v>
      </c>
      <c r="B4544" s="38">
        <v>0</v>
      </c>
      <c r="C4544" s="79">
        <v>0</v>
      </c>
    </row>
    <row r="4545" spans="1:3" x14ac:dyDescent="0.25">
      <c r="A4545" s="2">
        <v>0</v>
      </c>
      <c r="B4545" s="38">
        <v>0</v>
      </c>
      <c r="C4545" s="79">
        <v>0</v>
      </c>
    </row>
    <row r="4546" spans="1:3" x14ac:dyDescent="0.25">
      <c r="A4546" s="2">
        <v>0</v>
      </c>
      <c r="B4546" s="38">
        <v>0</v>
      </c>
      <c r="C4546" s="79">
        <v>0</v>
      </c>
    </row>
    <row r="4547" spans="1:3" x14ac:dyDescent="0.25">
      <c r="A4547" s="2">
        <v>0</v>
      </c>
      <c r="B4547" s="38">
        <v>0</v>
      </c>
      <c r="C4547" s="79">
        <v>0</v>
      </c>
    </row>
    <row r="4548" spans="1:3" x14ac:dyDescent="0.25">
      <c r="A4548" s="2">
        <v>0</v>
      </c>
      <c r="B4548" s="38">
        <v>0</v>
      </c>
      <c r="C4548" s="79">
        <v>0</v>
      </c>
    </row>
    <row r="4549" spans="1:3" x14ac:dyDescent="0.25">
      <c r="A4549" s="2">
        <v>0</v>
      </c>
      <c r="B4549" s="38">
        <v>0</v>
      </c>
      <c r="C4549" s="79">
        <v>0</v>
      </c>
    </row>
    <row r="4550" spans="1:3" x14ac:dyDescent="0.25">
      <c r="A4550" s="2">
        <v>0</v>
      </c>
      <c r="B4550" s="38">
        <v>0</v>
      </c>
      <c r="C4550" s="79">
        <v>0</v>
      </c>
    </row>
    <row r="4551" spans="1:3" x14ac:dyDescent="0.25">
      <c r="A4551" s="2">
        <v>0</v>
      </c>
      <c r="B4551" s="38">
        <v>0</v>
      </c>
      <c r="C4551" s="79">
        <v>0</v>
      </c>
    </row>
    <row r="4552" spans="1:3" x14ac:dyDescent="0.25">
      <c r="A4552" s="2">
        <v>0</v>
      </c>
      <c r="B4552" s="38">
        <v>0</v>
      </c>
      <c r="C4552" s="79">
        <v>0</v>
      </c>
    </row>
    <row r="4553" spans="1:3" x14ac:dyDescent="0.25">
      <c r="A4553" s="2">
        <v>0</v>
      </c>
      <c r="B4553" s="38">
        <v>0</v>
      </c>
      <c r="C4553" s="79">
        <v>0</v>
      </c>
    </row>
    <row r="4554" spans="1:3" x14ac:dyDescent="0.25">
      <c r="A4554" s="2">
        <v>0</v>
      </c>
      <c r="B4554" s="38">
        <v>0</v>
      </c>
      <c r="C4554" s="79">
        <v>0</v>
      </c>
    </row>
    <row r="4555" spans="1:3" x14ac:dyDescent="0.25">
      <c r="A4555" s="2">
        <v>0</v>
      </c>
      <c r="B4555" s="38">
        <v>0</v>
      </c>
      <c r="C4555" s="79">
        <v>0</v>
      </c>
    </row>
    <row r="4556" spans="1:3" x14ac:dyDescent="0.25">
      <c r="A4556" s="2">
        <v>0</v>
      </c>
      <c r="B4556" s="38">
        <v>0</v>
      </c>
      <c r="C4556" s="79">
        <v>0</v>
      </c>
    </row>
    <row r="4557" spans="1:3" x14ac:dyDescent="0.25">
      <c r="A4557" s="2">
        <v>0</v>
      </c>
      <c r="B4557" s="38">
        <v>0</v>
      </c>
      <c r="C4557" s="79">
        <v>0</v>
      </c>
    </row>
    <row r="4558" spans="1:3" x14ac:dyDescent="0.25">
      <c r="A4558" s="2">
        <v>0</v>
      </c>
      <c r="B4558" s="38">
        <v>0</v>
      </c>
      <c r="C4558" s="79">
        <v>0</v>
      </c>
    </row>
    <row r="4559" spans="1:3" x14ac:dyDescent="0.25">
      <c r="A4559" s="2">
        <v>0</v>
      </c>
      <c r="B4559" s="38">
        <v>0</v>
      </c>
      <c r="C4559" s="79">
        <v>0</v>
      </c>
    </row>
    <row r="4560" spans="1:3" x14ac:dyDescent="0.25">
      <c r="A4560" s="2">
        <v>0</v>
      </c>
      <c r="B4560" s="38">
        <v>0</v>
      </c>
      <c r="C4560" s="79">
        <v>0</v>
      </c>
    </row>
    <row r="4561" spans="1:3" x14ac:dyDescent="0.25">
      <c r="A4561" s="2">
        <v>0</v>
      </c>
      <c r="B4561" s="38">
        <v>0</v>
      </c>
      <c r="C4561" s="79">
        <v>0</v>
      </c>
    </row>
    <row r="4562" spans="1:3" x14ac:dyDescent="0.25">
      <c r="A4562" s="2">
        <v>0</v>
      </c>
      <c r="B4562" s="38">
        <v>0</v>
      </c>
      <c r="C4562" s="79">
        <v>0</v>
      </c>
    </row>
    <row r="4563" spans="1:3" x14ac:dyDescent="0.25">
      <c r="A4563" s="2">
        <v>0</v>
      </c>
      <c r="B4563" s="38">
        <v>0</v>
      </c>
      <c r="C4563" s="79">
        <v>0</v>
      </c>
    </row>
    <row r="4564" spans="1:3" x14ac:dyDescent="0.25">
      <c r="A4564" s="2">
        <v>0</v>
      </c>
      <c r="B4564" s="38">
        <v>0</v>
      </c>
      <c r="C4564" s="79">
        <v>0</v>
      </c>
    </row>
    <row r="4565" spans="1:3" x14ac:dyDescent="0.25">
      <c r="A4565" s="2">
        <v>0</v>
      </c>
      <c r="B4565" s="38">
        <v>0</v>
      </c>
      <c r="C4565" s="79">
        <v>0</v>
      </c>
    </row>
    <row r="4566" spans="1:3" x14ac:dyDescent="0.25">
      <c r="A4566" s="2">
        <v>0</v>
      </c>
      <c r="B4566" s="38">
        <v>0</v>
      </c>
      <c r="C4566" s="79">
        <v>0</v>
      </c>
    </row>
    <row r="4567" spans="1:3" x14ac:dyDescent="0.25">
      <c r="A4567" s="2">
        <v>0</v>
      </c>
      <c r="B4567" s="38">
        <v>0</v>
      </c>
      <c r="C4567" s="79">
        <v>0</v>
      </c>
    </row>
    <row r="4568" spans="1:3" x14ac:dyDescent="0.25">
      <c r="A4568" s="2">
        <v>0</v>
      </c>
      <c r="B4568" s="38">
        <v>0</v>
      </c>
      <c r="C4568" s="79">
        <v>0</v>
      </c>
    </row>
    <row r="4569" spans="1:3" x14ac:dyDescent="0.25">
      <c r="A4569" s="2">
        <v>0</v>
      </c>
      <c r="B4569" s="38">
        <v>0</v>
      </c>
      <c r="C4569" s="79">
        <v>0</v>
      </c>
    </row>
    <row r="4570" spans="1:3" x14ac:dyDescent="0.25">
      <c r="A4570" s="2">
        <v>0</v>
      </c>
      <c r="B4570" s="38">
        <v>0</v>
      </c>
      <c r="C4570" s="79">
        <v>0</v>
      </c>
    </row>
    <row r="4571" spans="1:3" x14ac:dyDescent="0.25">
      <c r="A4571" s="2">
        <v>0</v>
      </c>
      <c r="B4571" s="38">
        <v>0</v>
      </c>
      <c r="C4571" s="79">
        <v>0</v>
      </c>
    </row>
    <row r="4572" spans="1:3" x14ac:dyDescent="0.25">
      <c r="A4572" s="2">
        <v>0</v>
      </c>
      <c r="B4572" s="38">
        <v>0</v>
      </c>
      <c r="C4572" s="79">
        <v>0</v>
      </c>
    </row>
    <row r="4573" spans="1:3" x14ac:dyDescent="0.25">
      <c r="A4573" s="2">
        <v>0</v>
      </c>
      <c r="B4573" s="38">
        <v>0</v>
      </c>
      <c r="C4573" s="79">
        <v>0</v>
      </c>
    </row>
    <row r="4574" spans="1:3" x14ac:dyDescent="0.25">
      <c r="A4574" s="2">
        <v>0</v>
      </c>
      <c r="B4574" s="38">
        <v>0</v>
      </c>
      <c r="C4574" s="79">
        <v>0</v>
      </c>
    </row>
    <row r="4575" spans="1:3" x14ac:dyDescent="0.25">
      <c r="A4575" s="2">
        <v>0</v>
      </c>
      <c r="B4575" s="38">
        <v>0</v>
      </c>
      <c r="C4575" s="79">
        <v>0</v>
      </c>
    </row>
    <row r="4576" spans="1:3" x14ac:dyDescent="0.25">
      <c r="A4576" s="2">
        <v>0</v>
      </c>
      <c r="B4576" s="38">
        <v>0</v>
      </c>
      <c r="C4576" s="79">
        <v>0</v>
      </c>
    </row>
    <row r="4577" spans="1:3" x14ac:dyDescent="0.25">
      <c r="A4577" s="2">
        <v>0</v>
      </c>
      <c r="B4577" s="38">
        <v>0</v>
      </c>
      <c r="C4577" s="79">
        <v>0</v>
      </c>
    </row>
    <row r="4578" spans="1:3" x14ac:dyDescent="0.25">
      <c r="A4578" s="2">
        <v>0</v>
      </c>
      <c r="B4578" s="38">
        <v>0</v>
      </c>
      <c r="C4578" s="79">
        <v>0</v>
      </c>
    </row>
    <row r="4579" spans="1:3" x14ac:dyDescent="0.25">
      <c r="A4579" s="2">
        <v>0</v>
      </c>
      <c r="B4579" s="38">
        <v>0</v>
      </c>
      <c r="C4579" s="79">
        <v>0</v>
      </c>
    </row>
    <row r="4580" spans="1:3" x14ac:dyDescent="0.25">
      <c r="A4580" s="2">
        <v>0</v>
      </c>
      <c r="B4580" s="38">
        <v>0</v>
      </c>
      <c r="C4580" s="79">
        <v>0</v>
      </c>
    </row>
    <row r="4581" spans="1:3" x14ac:dyDescent="0.25">
      <c r="A4581" s="2">
        <v>0</v>
      </c>
      <c r="B4581" s="38">
        <v>0</v>
      </c>
      <c r="C4581" s="79">
        <v>0</v>
      </c>
    </row>
    <row r="4582" spans="1:3" x14ac:dyDescent="0.25">
      <c r="A4582" s="2">
        <v>0</v>
      </c>
      <c r="B4582" s="38">
        <v>0</v>
      </c>
      <c r="C4582" s="79">
        <v>0</v>
      </c>
    </row>
    <row r="4583" spans="1:3" x14ac:dyDescent="0.25">
      <c r="A4583" s="2">
        <v>0</v>
      </c>
      <c r="B4583" s="38">
        <v>0</v>
      </c>
      <c r="C4583" s="79">
        <v>0</v>
      </c>
    </row>
    <row r="4584" spans="1:3" x14ac:dyDescent="0.25">
      <c r="A4584" s="2">
        <v>0</v>
      </c>
      <c r="B4584" s="38">
        <v>0</v>
      </c>
      <c r="C4584" s="79">
        <v>0</v>
      </c>
    </row>
    <row r="4585" spans="1:3" x14ac:dyDescent="0.25">
      <c r="A4585" s="2">
        <v>0</v>
      </c>
      <c r="B4585" s="38">
        <v>0</v>
      </c>
      <c r="C4585" s="79">
        <v>0</v>
      </c>
    </row>
    <row r="4586" spans="1:3" x14ac:dyDescent="0.25">
      <c r="A4586" s="2">
        <v>0</v>
      </c>
      <c r="B4586" s="38">
        <v>0</v>
      </c>
      <c r="C4586" s="79">
        <v>0</v>
      </c>
    </row>
    <row r="4587" spans="1:3" x14ac:dyDescent="0.25">
      <c r="A4587" s="2">
        <v>0</v>
      </c>
      <c r="B4587" s="38">
        <v>0</v>
      </c>
      <c r="C4587" s="79">
        <v>0</v>
      </c>
    </row>
    <row r="4588" spans="1:3" x14ac:dyDescent="0.25">
      <c r="A4588" s="2">
        <v>0</v>
      </c>
      <c r="B4588" s="38">
        <v>0</v>
      </c>
      <c r="C4588" s="79">
        <v>0</v>
      </c>
    </row>
    <row r="4589" spans="1:3" x14ac:dyDescent="0.25">
      <c r="A4589" s="2">
        <v>0</v>
      </c>
      <c r="B4589" s="38">
        <v>0</v>
      </c>
      <c r="C4589" s="79">
        <v>0</v>
      </c>
    </row>
    <row r="4590" spans="1:3" x14ac:dyDescent="0.25">
      <c r="A4590" s="2">
        <v>0</v>
      </c>
      <c r="B4590" s="38">
        <v>0</v>
      </c>
      <c r="C4590" s="79">
        <v>0</v>
      </c>
    </row>
    <row r="4591" spans="1:3" x14ac:dyDescent="0.25">
      <c r="A4591" s="2">
        <v>0</v>
      </c>
      <c r="B4591" s="38">
        <v>0</v>
      </c>
      <c r="C4591" s="79">
        <v>0</v>
      </c>
    </row>
    <row r="4592" spans="1:3" x14ac:dyDescent="0.25">
      <c r="A4592" s="2">
        <v>0</v>
      </c>
      <c r="B4592" s="38">
        <v>0</v>
      </c>
      <c r="C4592" s="79">
        <v>0</v>
      </c>
    </row>
    <row r="4593" spans="1:3" x14ac:dyDescent="0.25">
      <c r="A4593" s="2">
        <v>0</v>
      </c>
      <c r="B4593" s="38">
        <v>0</v>
      </c>
      <c r="C4593" s="79">
        <v>0</v>
      </c>
    </row>
    <row r="4594" spans="1:3" x14ac:dyDescent="0.25">
      <c r="A4594" s="2">
        <v>0</v>
      </c>
      <c r="B4594" s="38">
        <v>0</v>
      </c>
      <c r="C4594" s="79">
        <v>0</v>
      </c>
    </row>
    <row r="4595" spans="1:3" x14ac:dyDescent="0.25">
      <c r="A4595" s="2">
        <v>0</v>
      </c>
      <c r="B4595" s="38">
        <v>0</v>
      </c>
      <c r="C4595" s="79">
        <v>0</v>
      </c>
    </row>
    <row r="4596" spans="1:3" x14ac:dyDescent="0.25">
      <c r="A4596" s="2">
        <v>0</v>
      </c>
      <c r="B4596" s="38">
        <v>0</v>
      </c>
      <c r="C4596" s="79">
        <v>0</v>
      </c>
    </row>
    <row r="4597" spans="1:3" x14ac:dyDescent="0.25">
      <c r="A4597" s="2">
        <v>0</v>
      </c>
      <c r="B4597" s="38">
        <v>0</v>
      </c>
      <c r="C4597" s="79">
        <v>0</v>
      </c>
    </row>
    <row r="4598" spans="1:3" x14ac:dyDescent="0.25">
      <c r="A4598" s="2">
        <v>0</v>
      </c>
      <c r="B4598" s="38">
        <v>0</v>
      </c>
      <c r="C4598" s="79">
        <v>0</v>
      </c>
    </row>
    <row r="4599" spans="1:3" x14ac:dyDescent="0.25">
      <c r="A4599" s="2">
        <v>0</v>
      </c>
      <c r="B4599" s="38">
        <v>0</v>
      </c>
      <c r="C4599" s="79">
        <v>0</v>
      </c>
    </row>
    <row r="4600" spans="1:3" x14ac:dyDescent="0.25">
      <c r="A4600" s="2">
        <v>0</v>
      </c>
      <c r="B4600" s="38">
        <v>0</v>
      </c>
      <c r="C4600" s="79">
        <v>0</v>
      </c>
    </row>
    <row r="4601" spans="1:3" x14ac:dyDescent="0.25">
      <c r="A4601" s="2">
        <v>0</v>
      </c>
      <c r="B4601" s="38">
        <v>0</v>
      </c>
      <c r="C4601" s="79">
        <v>0</v>
      </c>
    </row>
    <row r="4602" spans="1:3" x14ac:dyDescent="0.25">
      <c r="A4602" s="2">
        <v>0</v>
      </c>
      <c r="B4602" s="38">
        <v>0</v>
      </c>
      <c r="C4602" s="79">
        <v>0</v>
      </c>
    </row>
    <row r="4603" spans="1:3" x14ac:dyDescent="0.25">
      <c r="A4603" s="2">
        <v>0</v>
      </c>
      <c r="B4603" s="38">
        <v>0</v>
      </c>
      <c r="C4603" s="79">
        <v>0</v>
      </c>
    </row>
    <row r="4604" spans="1:3" x14ac:dyDescent="0.25">
      <c r="A4604" s="2">
        <v>0</v>
      </c>
      <c r="B4604" s="38">
        <v>0</v>
      </c>
      <c r="C4604" s="79">
        <v>0</v>
      </c>
    </row>
    <row r="4605" spans="1:3" x14ac:dyDescent="0.25">
      <c r="A4605" s="2">
        <v>0</v>
      </c>
      <c r="B4605" s="38">
        <v>0</v>
      </c>
      <c r="C4605" s="79">
        <v>0</v>
      </c>
    </row>
    <row r="4606" spans="1:3" x14ac:dyDescent="0.25">
      <c r="A4606" s="2">
        <v>0</v>
      </c>
      <c r="B4606" s="38">
        <v>0</v>
      </c>
      <c r="C4606" s="79">
        <v>0</v>
      </c>
    </row>
    <row r="4607" spans="1:3" x14ac:dyDescent="0.25">
      <c r="A4607" s="2">
        <v>0</v>
      </c>
      <c r="B4607" s="38">
        <v>0</v>
      </c>
      <c r="C4607" s="79">
        <v>0</v>
      </c>
    </row>
    <row r="4608" spans="1:3" x14ac:dyDescent="0.25">
      <c r="A4608" s="2">
        <v>0</v>
      </c>
      <c r="B4608" s="38">
        <v>0</v>
      </c>
      <c r="C4608" s="79">
        <v>0</v>
      </c>
    </row>
    <row r="4609" spans="1:3" x14ac:dyDescent="0.25">
      <c r="A4609" s="2">
        <v>0</v>
      </c>
      <c r="B4609" s="38">
        <v>0</v>
      </c>
      <c r="C4609" s="79">
        <v>0</v>
      </c>
    </row>
    <row r="4610" spans="1:3" x14ac:dyDescent="0.25">
      <c r="A4610" s="2">
        <v>0</v>
      </c>
      <c r="B4610" s="38">
        <v>0</v>
      </c>
      <c r="C4610" s="79">
        <v>0</v>
      </c>
    </row>
    <row r="4611" spans="1:3" x14ac:dyDescent="0.25">
      <c r="A4611" s="2">
        <v>0</v>
      </c>
      <c r="B4611" s="38">
        <v>0</v>
      </c>
      <c r="C4611" s="79">
        <v>0</v>
      </c>
    </row>
    <row r="4612" spans="1:3" x14ac:dyDescent="0.25">
      <c r="A4612" s="2">
        <v>0</v>
      </c>
      <c r="B4612" s="38">
        <v>0</v>
      </c>
      <c r="C4612" s="79">
        <v>0</v>
      </c>
    </row>
    <row r="4613" spans="1:3" x14ac:dyDescent="0.25">
      <c r="A4613" s="2">
        <v>0</v>
      </c>
      <c r="B4613" s="38">
        <v>0</v>
      </c>
      <c r="C4613" s="79">
        <v>0</v>
      </c>
    </row>
    <row r="4614" spans="1:3" x14ac:dyDescent="0.25">
      <c r="A4614" s="2">
        <v>0</v>
      </c>
      <c r="B4614" s="38">
        <v>0</v>
      </c>
      <c r="C4614" s="79">
        <v>0</v>
      </c>
    </row>
    <row r="4615" spans="1:3" x14ac:dyDescent="0.25">
      <c r="A4615" s="2">
        <v>0</v>
      </c>
      <c r="B4615" s="38">
        <v>0</v>
      </c>
      <c r="C4615" s="79">
        <v>0</v>
      </c>
    </row>
    <row r="4616" spans="1:3" x14ac:dyDescent="0.25">
      <c r="A4616" s="2">
        <v>0</v>
      </c>
      <c r="B4616" s="38">
        <v>0</v>
      </c>
      <c r="C4616" s="79">
        <v>0</v>
      </c>
    </row>
    <row r="4617" spans="1:3" x14ac:dyDescent="0.25">
      <c r="A4617" s="2">
        <v>0</v>
      </c>
      <c r="B4617" s="38">
        <v>0</v>
      </c>
      <c r="C4617" s="79">
        <v>0</v>
      </c>
    </row>
    <row r="4618" spans="1:3" x14ac:dyDescent="0.25">
      <c r="A4618" s="2">
        <v>0</v>
      </c>
      <c r="B4618" s="38">
        <v>0</v>
      </c>
      <c r="C4618" s="79">
        <v>0</v>
      </c>
    </row>
    <row r="4619" spans="1:3" x14ac:dyDescent="0.25">
      <c r="A4619" s="2">
        <v>0</v>
      </c>
      <c r="B4619" s="38">
        <v>0</v>
      </c>
      <c r="C4619" s="79">
        <v>0</v>
      </c>
    </row>
    <row r="4620" spans="1:3" x14ac:dyDescent="0.25">
      <c r="A4620" s="2">
        <v>0</v>
      </c>
      <c r="B4620" s="38">
        <v>0</v>
      </c>
      <c r="C4620" s="79">
        <v>0</v>
      </c>
    </row>
    <row r="4621" spans="1:3" x14ac:dyDescent="0.25">
      <c r="A4621" s="2">
        <v>0</v>
      </c>
      <c r="B4621" s="38">
        <v>0</v>
      </c>
      <c r="C4621" s="79">
        <v>0</v>
      </c>
    </row>
    <row r="4622" spans="1:3" x14ac:dyDescent="0.25">
      <c r="A4622" s="2">
        <v>0</v>
      </c>
      <c r="B4622" s="38">
        <v>0</v>
      </c>
      <c r="C4622" s="79">
        <v>0</v>
      </c>
    </row>
    <row r="4623" spans="1:3" x14ac:dyDescent="0.25">
      <c r="A4623" s="2">
        <v>0</v>
      </c>
      <c r="B4623" s="38">
        <v>0</v>
      </c>
      <c r="C4623" s="79">
        <v>0</v>
      </c>
    </row>
    <row r="4624" spans="1:3" x14ac:dyDescent="0.25">
      <c r="A4624" s="2">
        <v>0</v>
      </c>
      <c r="B4624" s="38">
        <v>0</v>
      </c>
      <c r="C4624" s="79">
        <v>0</v>
      </c>
    </row>
    <row r="4625" spans="1:3" x14ac:dyDescent="0.25">
      <c r="A4625" s="2">
        <v>0</v>
      </c>
      <c r="B4625" s="38">
        <v>0</v>
      </c>
      <c r="C4625" s="79">
        <v>0</v>
      </c>
    </row>
    <row r="4626" spans="1:3" x14ac:dyDescent="0.25">
      <c r="A4626" s="2">
        <v>0</v>
      </c>
      <c r="B4626" s="38">
        <v>0</v>
      </c>
      <c r="C4626" s="79">
        <v>0</v>
      </c>
    </row>
    <row r="4627" spans="1:3" x14ac:dyDescent="0.25">
      <c r="A4627" s="2">
        <v>0</v>
      </c>
      <c r="B4627" s="38">
        <v>0</v>
      </c>
      <c r="C4627" s="79">
        <v>0</v>
      </c>
    </row>
    <row r="4628" spans="1:3" x14ac:dyDescent="0.25">
      <c r="A4628" s="2">
        <v>0</v>
      </c>
      <c r="B4628" s="38">
        <v>0</v>
      </c>
      <c r="C4628" s="79">
        <v>0</v>
      </c>
    </row>
    <row r="4629" spans="1:3" x14ac:dyDescent="0.25">
      <c r="A4629" s="2">
        <v>0</v>
      </c>
      <c r="B4629" s="38">
        <v>0</v>
      </c>
      <c r="C4629" s="79">
        <v>0</v>
      </c>
    </row>
    <row r="4630" spans="1:3" x14ac:dyDescent="0.25">
      <c r="A4630" s="2">
        <v>0</v>
      </c>
      <c r="B4630" s="38">
        <v>0</v>
      </c>
      <c r="C4630" s="79">
        <v>0</v>
      </c>
    </row>
    <row r="4631" spans="1:3" x14ac:dyDescent="0.25">
      <c r="A4631" s="2">
        <v>0</v>
      </c>
      <c r="B4631" s="38">
        <v>0</v>
      </c>
      <c r="C4631" s="79">
        <v>0</v>
      </c>
    </row>
    <row r="4632" spans="1:3" x14ac:dyDescent="0.25">
      <c r="A4632" s="2">
        <v>0</v>
      </c>
      <c r="B4632" s="38">
        <v>0</v>
      </c>
      <c r="C4632" s="79">
        <v>0</v>
      </c>
    </row>
    <row r="4633" spans="1:3" x14ac:dyDescent="0.25">
      <c r="A4633" s="2">
        <v>0</v>
      </c>
      <c r="B4633" s="38">
        <v>0</v>
      </c>
      <c r="C4633" s="79">
        <v>0</v>
      </c>
    </row>
    <row r="4634" spans="1:3" x14ac:dyDescent="0.25">
      <c r="A4634" s="2">
        <v>0</v>
      </c>
      <c r="B4634" s="38">
        <v>0</v>
      </c>
      <c r="C4634" s="79">
        <v>0</v>
      </c>
    </row>
    <row r="4635" spans="1:3" x14ac:dyDescent="0.25">
      <c r="A4635" s="2">
        <v>0</v>
      </c>
      <c r="B4635" s="38">
        <v>0</v>
      </c>
      <c r="C4635" s="79">
        <v>0</v>
      </c>
    </row>
    <row r="4636" spans="1:3" x14ac:dyDescent="0.25">
      <c r="A4636" s="2">
        <v>0</v>
      </c>
      <c r="B4636" s="38">
        <v>0</v>
      </c>
      <c r="C4636" s="79">
        <v>0</v>
      </c>
    </row>
    <row r="4637" spans="1:3" x14ac:dyDescent="0.25">
      <c r="A4637" s="2">
        <v>0</v>
      </c>
      <c r="B4637" s="38">
        <v>0</v>
      </c>
      <c r="C4637" s="79">
        <v>0</v>
      </c>
    </row>
    <row r="4638" spans="1:3" x14ac:dyDescent="0.25">
      <c r="A4638" s="2">
        <v>0</v>
      </c>
      <c r="B4638" s="38">
        <v>0</v>
      </c>
      <c r="C4638" s="79">
        <v>0</v>
      </c>
    </row>
    <row r="4639" spans="1:3" x14ac:dyDescent="0.25">
      <c r="A4639" s="2">
        <v>0</v>
      </c>
      <c r="B4639" s="38">
        <v>0</v>
      </c>
      <c r="C4639" s="79">
        <v>0</v>
      </c>
    </row>
    <row r="4640" spans="1:3" x14ac:dyDescent="0.25">
      <c r="A4640" s="2">
        <v>0</v>
      </c>
      <c r="B4640" s="38">
        <v>0</v>
      </c>
      <c r="C4640" s="79">
        <v>0</v>
      </c>
    </row>
    <row r="4641" spans="1:3" x14ac:dyDescent="0.25">
      <c r="A4641" s="2">
        <v>0</v>
      </c>
      <c r="B4641" s="38">
        <v>0</v>
      </c>
      <c r="C4641" s="79">
        <v>0</v>
      </c>
    </row>
    <row r="4642" spans="1:3" x14ac:dyDescent="0.25">
      <c r="A4642" s="2">
        <v>0</v>
      </c>
      <c r="B4642" s="38">
        <v>0</v>
      </c>
      <c r="C4642" s="79">
        <v>0</v>
      </c>
    </row>
    <row r="4643" spans="1:3" x14ac:dyDescent="0.25">
      <c r="A4643" s="2">
        <v>0</v>
      </c>
      <c r="B4643" s="38">
        <v>0</v>
      </c>
      <c r="C4643" s="79">
        <v>0</v>
      </c>
    </row>
    <row r="4644" spans="1:3" x14ac:dyDescent="0.25">
      <c r="A4644" s="2">
        <v>0</v>
      </c>
      <c r="B4644" s="38">
        <v>0</v>
      </c>
      <c r="C4644" s="79">
        <v>0</v>
      </c>
    </row>
    <row r="4645" spans="1:3" x14ac:dyDescent="0.25">
      <c r="A4645" s="2">
        <v>0</v>
      </c>
      <c r="B4645" s="38">
        <v>0</v>
      </c>
      <c r="C4645" s="79">
        <v>0</v>
      </c>
    </row>
    <row r="4646" spans="1:3" x14ac:dyDescent="0.25">
      <c r="A4646" s="2">
        <v>0</v>
      </c>
      <c r="B4646" s="38">
        <v>0</v>
      </c>
      <c r="C4646" s="79">
        <v>0</v>
      </c>
    </row>
    <row r="4647" spans="1:3" x14ac:dyDescent="0.25">
      <c r="A4647" s="2">
        <v>0</v>
      </c>
      <c r="B4647" s="38">
        <v>0</v>
      </c>
      <c r="C4647" s="79">
        <v>0</v>
      </c>
    </row>
    <row r="4648" spans="1:3" x14ac:dyDescent="0.25">
      <c r="A4648" s="2">
        <v>0</v>
      </c>
      <c r="B4648" s="38">
        <v>0</v>
      </c>
      <c r="C4648" s="79">
        <v>0</v>
      </c>
    </row>
    <row r="4649" spans="1:3" x14ac:dyDescent="0.25">
      <c r="A4649" s="2">
        <v>0</v>
      </c>
      <c r="B4649" s="38">
        <v>0</v>
      </c>
      <c r="C4649" s="79">
        <v>0</v>
      </c>
    </row>
    <row r="4650" spans="1:3" x14ac:dyDescent="0.25">
      <c r="A4650" s="2">
        <v>0</v>
      </c>
      <c r="B4650" s="38">
        <v>0</v>
      </c>
      <c r="C4650" s="79">
        <v>0</v>
      </c>
    </row>
    <row r="4651" spans="1:3" x14ac:dyDescent="0.25">
      <c r="A4651" s="2">
        <v>0</v>
      </c>
      <c r="B4651" s="38">
        <v>0</v>
      </c>
      <c r="C4651" s="79">
        <v>0</v>
      </c>
    </row>
    <row r="4652" spans="1:3" x14ac:dyDescent="0.25">
      <c r="A4652" s="2">
        <v>0</v>
      </c>
      <c r="B4652" s="38">
        <v>0</v>
      </c>
      <c r="C4652" s="79">
        <v>0</v>
      </c>
    </row>
    <row r="4653" spans="1:3" x14ac:dyDescent="0.25">
      <c r="A4653" s="2">
        <v>0</v>
      </c>
      <c r="B4653" s="38">
        <v>0</v>
      </c>
      <c r="C4653" s="79">
        <v>0</v>
      </c>
    </row>
    <row r="4654" spans="1:3" x14ac:dyDescent="0.25">
      <c r="A4654" s="2">
        <v>0</v>
      </c>
      <c r="B4654" s="38">
        <v>0</v>
      </c>
      <c r="C4654" s="79">
        <v>0</v>
      </c>
    </row>
    <row r="4655" spans="1:3" x14ac:dyDescent="0.25">
      <c r="A4655" s="2">
        <v>0</v>
      </c>
      <c r="B4655" s="38">
        <v>0</v>
      </c>
      <c r="C4655" s="79">
        <v>0</v>
      </c>
    </row>
    <row r="4656" spans="1:3" x14ac:dyDescent="0.25">
      <c r="A4656" s="2">
        <v>0</v>
      </c>
      <c r="B4656" s="38">
        <v>0</v>
      </c>
      <c r="C4656" s="79">
        <v>0</v>
      </c>
    </row>
    <row r="4657" spans="1:3" x14ac:dyDescent="0.25">
      <c r="A4657" s="2">
        <v>0</v>
      </c>
      <c r="B4657" s="38">
        <v>0</v>
      </c>
      <c r="C4657" s="79">
        <v>0</v>
      </c>
    </row>
    <row r="4658" spans="1:3" x14ac:dyDescent="0.25">
      <c r="A4658" s="2">
        <v>0</v>
      </c>
      <c r="B4658" s="38">
        <v>0</v>
      </c>
      <c r="C4658" s="79">
        <v>0</v>
      </c>
    </row>
    <row r="4659" spans="1:3" x14ac:dyDescent="0.25">
      <c r="A4659" s="2">
        <v>0</v>
      </c>
      <c r="B4659" s="38">
        <v>0</v>
      </c>
      <c r="C4659" s="79">
        <v>0</v>
      </c>
    </row>
    <row r="4660" spans="1:3" x14ac:dyDescent="0.25">
      <c r="A4660" s="2">
        <v>0</v>
      </c>
      <c r="B4660" s="38">
        <v>0</v>
      </c>
      <c r="C4660" s="79">
        <v>0</v>
      </c>
    </row>
    <row r="4661" spans="1:3" x14ac:dyDescent="0.25">
      <c r="A4661" s="2">
        <v>0</v>
      </c>
      <c r="B4661" s="38">
        <v>0</v>
      </c>
      <c r="C4661" s="79">
        <v>0</v>
      </c>
    </row>
    <row r="4662" spans="1:3" x14ac:dyDescent="0.25">
      <c r="A4662" s="2">
        <v>0</v>
      </c>
      <c r="B4662" s="38">
        <v>0</v>
      </c>
      <c r="C4662" s="79">
        <v>0</v>
      </c>
    </row>
    <row r="4663" spans="1:3" x14ac:dyDescent="0.25">
      <c r="A4663" s="2">
        <v>0</v>
      </c>
      <c r="B4663" s="38">
        <v>0</v>
      </c>
      <c r="C4663" s="79">
        <v>0</v>
      </c>
    </row>
    <row r="4664" spans="1:3" x14ac:dyDescent="0.25">
      <c r="A4664" s="2">
        <v>0</v>
      </c>
      <c r="B4664" s="38">
        <v>0</v>
      </c>
      <c r="C4664" s="79">
        <v>0</v>
      </c>
    </row>
    <row r="4665" spans="1:3" x14ac:dyDescent="0.25">
      <c r="A4665" s="2">
        <v>0</v>
      </c>
      <c r="B4665" s="38">
        <v>0</v>
      </c>
      <c r="C4665" s="79">
        <v>0</v>
      </c>
    </row>
    <row r="4666" spans="1:3" x14ac:dyDescent="0.25">
      <c r="A4666" s="2">
        <v>0</v>
      </c>
      <c r="B4666" s="38">
        <v>0</v>
      </c>
      <c r="C4666" s="79">
        <v>0</v>
      </c>
    </row>
    <row r="4667" spans="1:3" x14ac:dyDescent="0.25">
      <c r="A4667" s="2">
        <v>0</v>
      </c>
      <c r="B4667" s="38">
        <v>0</v>
      </c>
      <c r="C4667" s="79">
        <v>0</v>
      </c>
    </row>
    <row r="4668" spans="1:3" x14ac:dyDescent="0.25">
      <c r="A4668" s="2">
        <v>0</v>
      </c>
      <c r="B4668" s="38">
        <v>0</v>
      </c>
      <c r="C4668" s="79">
        <v>0</v>
      </c>
    </row>
    <row r="4669" spans="1:3" x14ac:dyDescent="0.25">
      <c r="A4669" s="2">
        <v>0</v>
      </c>
      <c r="B4669" s="38">
        <v>0</v>
      </c>
      <c r="C4669" s="79">
        <v>0</v>
      </c>
    </row>
    <row r="4670" spans="1:3" x14ac:dyDescent="0.25">
      <c r="A4670" s="2">
        <v>0</v>
      </c>
      <c r="B4670" s="38">
        <v>0</v>
      </c>
      <c r="C4670" s="79">
        <v>0</v>
      </c>
    </row>
    <row r="4671" spans="1:3" x14ac:dyDescent="0.25">
      <c r="A4671" s="2">
        <v>0</v>
      </c>
      <c r="B4671" s="38">
        <v>0</v>
      </c>
      <c r="C4671" s="79">
        <v>0</v>
      </c>
    </row>
    <row r="4672" spans="1:3" x14ac:dyDescent="0.25">
      <c r="A4672" s="2">
        <v>0</v>
      </c>
      <c r="B4672" s="38">
        <v>0</v>
      </c>
      <c r="C4672" s="79">
        <v>0</v>
      </c>
    </row>
    <row r="4673" spans="1:3" x14ac:dyDescent="0.25">
      <c r="A4673" s="2">
        <v>0</v>
      </c>
      <c r="B4673" s="38">
        <v>0</v>
      </c>
      <c r="C4673" s="79">
        <v>0</v>
      </c>
    </row>
    <row r="4674" spans="1:3" x14ac:dyDescent="0.25">
      <c r="A4674" s="2">
        <v>0</v>
      </c>
      <c r="B4674" s="38">
        <v>0</v>
      </c>
      <c r="C4674" s="79">
        <v>0</v>
      </c>
    </row>
    <row r="4675" spans="1:3" x14ac:dyDescent="0.25">
      <c r="A4675" s="2">
        <v>0</v>
      </c>
      <c r="B4675" s="38">
        <v>0</v>
      </c>
      <c r="C4675" s="79">
        <v>0</v>
      </c>
    </row>
    <row r="4676" spans="1:3" x14ac:dyDescent="0.25">
      <c r="A4676" s="2">
        <v>0</v>
      </c>
      <c r="B4676" s="38">
        <v>0</v>
      </c>
      <c r="C4676" s="79">
        <v>0</v>
      </c>
    </row>
    <row r="4677" spans="1:3" x14ac:dyDescent="0.25">
      <c r="A4677" s="2">
        <v>0</v>
      </c>
      <c r="B4677" s="38">
        <v>0</v>
      </c>
      <c r="C4677" s="79">
        <v>0</v>
      </c>
    </row>
    <row r="4678" spans="1:3" x14ac:dyDescent="0.25">
      <c r="A4678" s="2">
        <v>0</v>
      </c>
      <c r="B4678" s="38">
        <v>0</v>
      </c>
      <c r="C4678" s="79">
        <v>0</v>
      </c>
    </row>
    <row r="4679" spans="1:3" x14ac:dyDescent="0.25">
      <c r="A4679" s="2">
        <v>0</v>
      </c>
      <c r="B4679" s="38">
        <v>0</v>
      </c>
      <c r="C4679" s="79">
        <v>0</v>
      </c>
    </row>
    <row r="4680" spans="1:3" x14ac:dyDescent="0.25">
      <c r="A4680" s="2">
        <v>0</v>
      </c>
      <c r="B4680" s="38">
        <v>0</v>
      </c>
      <c r="C4680" s="79">
        <v>0</v>
      </c>
    </row>
    <row r="4681" spans="1:3" x14ac:dyDescent="0.25">
      <c r="A4681" s="2">
        <v>0</v>
      </c>
      <c r="B4681" s="38">
        <v>0</v>
      </c>
      <c r="C4681" s="79">
        <v>0</v>
      </c>
    </row>
    <row r="4682" spans="1:3" x14ac:dyDescent="0.25">
      <c r="A4682" s="2">
        <v>0</v>
      </c>
      <c r="B4682" s="38">
        <v>0</v>
      </c>
      <c r="C4682" s="79">
        <v>0</v>
      </c>
    </row>
    <row r="4683" spans="1:3" x14ac:dyDescent="0.25">
      <c r="A4683" s="2">
        <v>0</v>
      </c>
      <c r="B4683" s="38">
        <v>0</v>
      </c>
      <c r="C4683" s="79">
        <v>0</v>
      </c>
    </row>
    <row r="4684" spans="1:3" x14ac:dyDescent="0.25">
      <c r="A4684" s="2">
        <v>0</v>
      </c>
      <c r="B4684" s="38">
        <v>0</v>
      </c>
      <c r="C4684" s="79">
        <v>0</v>
      </c>
    </row>
    <row r="4685" spans="1:3" x14ac:dyDescent="0.25">
      <c r="A4685" s="2">
        <v>0</v>
      </c>
      <c r="B4685" s="38">
        <v>0</v>
      </c>
      <c r="C4685" s="79">
        <v>0</v>
      </c>
    </row>
    <row r="4686" spans="1:3" x14ac:dyDescent="0.25">
      <c r="A4686" s="2">
        <v>0</v>
      </c>
      <c r="B4686" s="38">
        <v>0</v>
      </c>
      <c r="C4686" s="79">
        <v>0</v>
      </c>
    </row>
    <row r="4687" spans="1:3" x14ac:dyDescent="0.25">
      <c r="A4687" s="2">
        <v>0</v>
      </c>
      <c r="B4687" s="38">
        <v>0</v>
      </c>
      <c r="C4687" s="79">
        <v>0</v>
      </c>
    </row>
    <row r="4688" spans="1:3" x14ac:dyDescent="0.25">
      <c r="A4688" s="2">
        <v>0</v>
      </c>
      <c r="B4688" s="38">
        <v>0</v>
      </c>
      <c r="C4688" s="79">
        <v>0</v>
      </c>
    </row>
    <row r="4689" spans="1:3" x14ac:dyDescent="0.25">
      <c r="A4689" s="2">
        <v>0</v>
      </c>
      <c r="B4689" s="38">
        <v>0</v>
      </c>
      <c r="C4689" s="79">
        <v>0</v>
      </c>
    </row>
    <row r="4690" spans="1:3" x14ac:dyDescent="0.25">
      <c r="A4690" s="2">
        <v>0</v>
      </c>
      <c r="B4690" s="38">
        <v>0</v>
      </c>
      <c r="C4690" s="79">
        <v>0</v>
      </c>
    </row>
    <row r="4691" spans="1:3" x14ac:dyDescent="0.25">
      <c r="A4691" s="2">
        <v>0</v>
      </c>
      <c r="B4691" s="38">
        <v>0</v>
      </c>
      <c r="C4691" s="79">
        <v>0</v>
      </c>
    </row>
    <row r="4692" spans="1:3" x14ac:dyDescent="0.25">
      <c r="A4692" s="2">
        <v>0</v>
      </c>
      <c r="B4692" s="38">
        <v>0</v>
      </c>
      <c r="C4692" s="79">
        <v>0</v>
      </c>
    </row>
    <row r="4693" spans="1:3" x14ac:dyDescent="0.25">
      <c r="A4693" s="2">
        <v>0</v>
      </c>
      <c r="B4693" s="38">
        <v>0</v>
      </c>
      <c r="C4693" s="79">
        <v>0</v>
      </c>
    </row>
    <row r="4694" spans="1:3" x14ac:dyDescent="0.25">
      <c r="A4694" s="2">
        <v>0</v>
      </c>
      <c r="B4694" s="38">
        <v>0</v>
      </c>
      <c r="C4694" s="79">
        <v>0</v>
      </c>
    </row>
    <row r="4695" spans="1:3" x14ac:dyDescent="0.25">
      <c r="A4695" s="2">
        <v>0</v>
      </c>
      <c r="B4695" s="38">
        <v>0</v>
      </c>
      <c r="C4695" s="79">
        <v>0</v>
      </c>
    </row>
    <row r="4696" spans="1:3" x14ac:dyDescent="0.25">
      <c r="A4696" s="2">
        <v>0</v>
      </c>
      <c r="B4696" s="38">
        <v>0</v>
      </c>
      <c r="C4696" s="79">
        <v>0</v>
      </c>
    </row>
    <row r="4697" spans="1:3" x14ac:dyDescent="0.25">
      <c r="A4697" s="2">
        <v>0</v>
      </c>
      <c r="B4697" s="38">
        <v>0</v>
      </c>
      <c r="C4697" s="79">
        <v>0</v>
      </c>
    </row>
    <row r="4698" spans="1:3" x14ac:dyDescent="0.25">
      <c r="A4698" s="2">
        <v>0</v>
      </c>
      <c r="B4698" s="38">
        <v>0</v>
      </c>
      <c r="C4698" s="79">
        <v>0</v>
      </c>
    </row>
    <row r="4699" spans="1:3" x14ac:dyDescent="0.25">
      <c r="A4699" s="2">
        <v>0</v>
      </c>
      <c r="B4699" s="38">
        <v>0</v>
      </c>
      <c r="C4699" s="79">
        <v>0</v>
      </c>
    </row>
    <row r="4700" spans="1:3" x14ac:dyDescent="0.25">
      <c r="A4700" s="2">
        <v>0</v>
      </c>
      <c r="B4700" s="38">
        <v>0</v>
      </c>
      <c r="C4700" s="79">
        <v>0</v>
      </c>
    </row>
    <row r="4701" spans="1:3" x14ac:dyDescent="0.25">
      <c r="A4701" s="2">
        <v>0</v>
      </c>
      <c r="B4701" s="38">
        <v>0</v>
      </c>
      <c r="C4701" s="79">
        <v>0</v>
      </c>
    </row>
    <row r="4702" spans="1:3" x14ac:dyDescent="0.25">
      <c r="A4702" s="2">
        <v>0</v>
      </c>
      <c r="B4702" s="38">
        <v>0</v>
      </c>
      <c r="C4702" s="79">
        <v>0</v>
      </c>
    </row>
    <row r="4703" spans="1:3" x14ac:dyDescent="0.25">
      <c r="A4703" s="2">
        <v>0</v>
      </c>
      <c r="B4703" s="38">
        <v>0</v>
      </c>
      <c r="C4703" s="79">
        <v>0</v>
      </c>
    </row>
    <row r="4704" spans="1:3" x14ac:dyDescent="0.25">
      <c r="A4704" s="2">
        <v>0</v>
      </c>
      <c r="B4704" s="38">
        <v>0</v>
      </c>
      <c r="C4704" s="79">
        <v>0</v>
      </c>
    </row>
    <row r="4705" spans="1:3" x14ac:dyDescent="0.25">
      <c r="A4705" s="2">
        <v>0</v>
      </c>
      <c r="B4705" s="38">
        <v>0</v>
      </c>
      <c r="C4705" s="79">
        <v>0</v>
      </c>
    </row>
    <row r="4706" spans="1:3" x14ac:dyDescent="0.25">
      <c r="A4706" s="2">
        <v>0</v>
      </c>
      <c r="B4706" s="38">
        <v>0</v>
      </c>
      <c r="C4706" s="79">
        <v>0</v>
      </c>
    </row>
    <row r="4707" spans="1:3" x14ac:dyDescent="0.25">
      <c r="A4707" s="2">
        <v>0</v>
      </c>
      <c r="B4707" s="38">
        <v>0</v>
      </c>
      <c r="C4707" s="79">
        <v>0</v>
      </c>
    </row>
    <row r="4708" spans="1:3" x14ac:dyDescent="0.25">
      <c r="A4708" s="2">
        <v>0</v>
      </c>
      <c r="B4708" s="38">
        <v>0</v>
      </c>
      <c r="C4708" s="79">
        <v>0</v>
      </c>
    </row>
    <row r="4709" spans="1:3" x14ac:dyDescent="0.25">
      <c r="A4709" s="2">
        <v>0</v>
      </c>
      <c r="B4709" s="38">
        <v>0</v>
      </c>
      <c r="C4709" s="79">
        <v>0</v>
      </c>
    </row>
    <row r="4710" spans="1:3" x14ac:dyDescent="0.25">
      <c r="A4710" s="2">
        <v>0</v>
      </c>
      <c r="B4710" s="38">
        <v>0</v>
      </c>
      <c r="C4710" s="79">
        <v>0</v>
      </c>
    </row>
    <row r="4711" spans="1:3" x14ac:dyDescent="0.25">
      <c r="A4711" s="2">
        <v>0</v>
      </c>
      <c r="B4711" s="38">
        <v>0</v>
      </c>
      <c r="C4711" s="79">
        <v>0</v>
      </c>
    </row>
    <row r="4712" spans="1:3" x14ac:dyDescent="0.25">
      <c r="A4712" s="2">
        <v>0</v>
      </c>
      <c r="B4712" s="38">
        <v>0</v>
      </c>
      <c r="C4712" s="79">
        <v>0</v>
      </c>
    </row>
    <row r="4713" spans="1:3" x14ac:dyDescent="0.25">
      <c r="A4713" s="2">
        <v>0</v>
      </c>
      <c r="B4713" s="38">
        <v>0</v>
      </c>
      <c r="C4713" s="79">
        <v>0</v>
      </c>
    </row>
    <row r="4714" spans="1:3" x14ac:dyDescent="0.25">
      <c r="A4714" s="2">
        <v>0</v>
      </c>
      <c r="B4714" s="38">
        <v>0</v>
      </c>
      <c r="C4714" s="79">
        <v>0</v>
      </c>
    </row>
    <row r="4715" spans="1:3" x14ac:dyDescent="0.25">
      <c r="A4715" s="2">
        <v>0</v>
      </c>
      <c r="B4715" s="38">
        <v>0</v>
      </c>
      <c r="C4715" s="79">
        <v>0</v>
      </c>
    </row>
    <row r="4716" spans="1:3" x14ac:dyDescent="0.25">
      <c r="A4716" s="2">
        <v>0</v>
      </c>
      <c r="B4716" s="38">
        <v>0</v>
      </c>
      <c r="C4716" s="79">
        <v>0</v>
      </c>
    </row>
    <row r="4717" spans="1:3" x14ac:dyDescent="0.25">
      <c r="A4717" s="2">
        <v>0</v>
      </c>
      <c r="B4717" s="38">
        <v>0</v>
      </c>
      <c r="C4717" s="79">
        <v>0</v>
      </c>
    </row>
    <row r="4718" spans="1:3" x14ac:dyDescent="0.25">
      <c r="A4718" s="2">
        <v>0</v>
      </c>
      <c r="B4718" s="38">
        <v>0</v>
      </c>
      <c r="C4718" s="79">
        <v>0</v>
      </c>
    </row>
    <row r="4719" spans="1:3" x14ac:dyDescent="0.25">
      <c r="A4719" s="2">
        <v>0</v>
      </c>
      <c r="B4719" s="38">
        <v>0</v>
      </c>
      <c r="C4719" s="79">
        <v>0</v>
      </c>
    </row>
    <row r="4720" spans="1:3" x14ac:dyDescent="0.25">
      <c r="A4720" s="2">
        <v>0</v>
      </c>
      <c r="B4720" s="38">
        <v>0</v>
      </c>
      <c r="C4720" s="79">
        <v>0</v>
      </c>
    </row>
    <row r="4721" spans="1:3" x14ac:dyDescent="0.25">
      <c r="A4721" s="2">
        <v>0</v>
      </c>
      <c r="B4721" s="38">
        <v>0</v>
      </c>
      <c r="C4721" s="79">
        <v>0</v>
      </c>
    </row>
    <row r="4722" spans="1:3" x14ac:dyDescent="0.25">
      <c r="A4722" s="2">
        <v>0</v>
      </c>
      <c r="B4722" s="38">
        <v>0</v>
      </c>
      <c r="C4722" s="79">
        <v>0</v>
      </c>
    </row>
    <row r="4723" spans="1:3" x14ac:dyDescent="0.25">
      <c r="A4723" s="2">
        <v>0</v>
      </c>
      <c r="B4723" s="38">
        <v>0</v>
      </c>
      <c r="C4723" s="79">
        <v>0</v>
      </c>
    </row>
    <row r="4724" spans="1:3" x14ac:dyDescent="0.25">
      <c r="A4724" s="2">
        <v>0</v>
      </c>
      <c r="B4724" s="38">
        <v>0</v>
      </c>
      <c r="C4724" s="79">
        <v>0</v>
      </c>
    </row>
    <row r="4725" spans="1:3" x14ac:dyDescent="0.25">
      <c r="A4725" s="2">
        <v>0</v>
      </c>
      <c r="B4725" s="38">
        <v>0</v>
      </c>
      <c r="C4725" s="79">
        <v>0</v>
      </c>
    </row>
    <row r="4726" spans="1:3" x14ac:dyDescent="0.25">
      <c r="A4726" s="2">
        <v>0</v>
      </c>
      <c r="B4726" s="38">
        <v>0</v>
      </c>
      <c r="C4726" s="79">
        <v>0</v>
      </c>
    </row>
    <row r="4727" spans="1:3" x14ac:dyDescent="0.25">
      <c r="A4727" s="2">
        <v>0</v>
      </c>
      <c r="B4727" s="38">
        <v>0</v>
      </c>
      <c r="C4727" s="79">
        <v>0</v>
      </c>
    </row>
    <row r="4728" spans="1:3" x14ac:dyDescent="0.25">
      <c r="A4728" s="2">
        <v>0</v>
      </c>
      <c r="B4728" s="38">
        <v>0</v>
      </c>
      <c r="C4728" s="79">
        <v>0</v>
      </c>
    </row>
    <row r="4729" spans="1:3" x14ac:dyDescent="0.25">
      <c r="A4729" s="2">
        <v>0</v>
      </c>
      <c r="B4729" s="38">
        <v>0</v>
      </c>
      <c r="C4729" s="79">
        <v>0</v>
      </c>
    </row>
    <row r="4730" spans="1:3" x14ac:dyDescent="0.25">
      <c r="A4730" s="2">
        <v>0</v>
      </c>
      <c r="B4730" s="38">
        <v>0</v>
      </c>
      <c r="C4730" s="79">
        <v>0</v>
      </c>
    </row>
    <row r="4731" spans="1:3" x14ac:dyDescent="0.25">
      <c r="A4731" s="2">
        <v>0</v>
      </c>
      <c r="B4731" s="38">
        <v>0</v>
      </c>
      <c r="C4731" s="79">
        <v>0</v>
      </c>
    </row>
    <row r="4732" spans="1:3" x14ac:dyDescent="0.25">
      <c r="A4732" s="2">
        <v>0</v>
      </c>
      <c r="B4732" s="38">
        <v>0</v>
      </c>
      <c r="C4732" s="79">
        <v>0</v>
      </c>
    </row>
    <row r="4733" spans="1:3" x14ac:dyDescent="0.25">
      <c r="A4733" s="2">
        <v>0</v>
      </c>
      <c r="B4733" s="38">
        <v>0</v>
      </c>
      <c r="C4733" s="79">
        <v>0</v>
      </c>
    </row>
    <row r="4734" spans="1:3" x14ac:dyDescent="0.25">
      <c r="A4734" s="2">
        <v>0</v>
      </c>
      <c r="B4734" s="38">
        <v>0</v>
      </c>
      <c r="C4734" s="79">
        <v>0</v>
      </c>
    </row>
    <row r="4735" spans="1:3" x14ac:dyDescent="0.25">
      <c r="A4735" s="2">
        <v>0</v>
      </c>
      <c r="B4735" s="38">
        <v>0</v>
      </c>
      <c r="C4735" s="79">
        <v>0</v>
      </c>
    </row>
    <row r="4736" spans="1:3" x14ac:dyDescent="0.25">
      <c r="A4736" s="2">
        <v>0</v>
      </c>
      <c r="B4736" s="38">
        <v>0</v>
      </c>
      <c r="C4736" s="79">
        <v>0</v>
      </c>
    </row>
    <row r="4737" spans="1:3" x14ac:dyDescent="0.25">
      <c r="A4737" s="2">
        <v>0</v>
      </c>
      <c r="B4737" s="38">
        <v>0</v>
      </c>
      <c r="C4737" s="79">
        <v>0</v>
      </c>
    </row>
    <row r="4738" spans="1:3" x14ac:dyDescent="0.25">
      <c r="A4738" s="2">
        <v>0</v>
      </c>
      <c r="B4738" s="38">
        <v>0</v>
      </c>
      <c r="C4738" s="79">
        <v>0</v>
      </c>
    </row>
    <row r="4739" spans="1:3" x14ac:dyDescent="0.25">
      <c r="A4739" s="2">
        <v>0</v>
      </c>
      <c r="B4739" s="38">
        <v>0</v>
      </c>
      <c r="C4739" s="79">
        <v>0</v>
      </c>
    </row>
    <row r="4740" spans="1:3" x14ac:dyDescent="0.25">
      <c r="A4740" s="2">
        <v>0</v>
      </c>
      <c r="B4740" s="38">
        <v>0</v>
      </c>
      <c r="C4740" s="79">
        <v>0</v>
      </c>
    </row>
    <row r="4741" spans="1:3" x14ac:dyDescent="0.25">
      <c r="A4741" s="2">
        <v>0</v>
      </c>
      <c r="B4741" s="38">
        <v>0</v>
      </c>
      <c r="C4741" s="79">
        <v>0</v>
      </c>
    </row>
    <row r="4742" spans="1:3" x14ac:dyDescent="0.25">
      <c r="A4742" s="2">
        <v>0</v>
      </c>
      <c r="B4742" s="38">
        <v>0</v>
      </c>
      <c r="C4742" s="79">
        <v>0</v>
      </c>
    </row>
    <row r="4743" spans="1:3" x14ac:dyDescent="0.25">
      <c r="A4743" s="2">
        <v>0</v>
      </c>
      <c r="B4743" s="38">
        <v>0</v>
      </c>
      <c r="C4743" s="79">
        <v>0</v>
      </c>
    </row>
    <row r="4744" spans="1:3" x14ac:dyDescent="0.25">
      <c r="A4744" s="2">
        <v>0</v>
      </c>
      <c r="B4744" s="38">
        <v>0</v>
      </c>
      <c r="C4744" s="79">
        <v>0</v>
      </c>
    </row>
    <row r="4745" spans="1:3" x14ac:dyDescent="0.25">
      <c r="A4745" s="2">
        <v>0</v>
      </c>
      <c r="B4745" s="38">
        <v>0</v>
      </c>
      <c r="C4745" s="79">
        <v>0</v>
      </c>
    </row>
    <row r="4746" spans="1:3" x14ac:dyDescent="0.25">
      <c r="A4746" s="2">
        <v>0</v>
      </c>
      <c r="B4746" s="38">
        <v>0</v>
      </c>
      <c r="C4746" s="79">
        <v>0</v>
      </c>
    </row>
    <row r="4747" spans="1:3" x14ac:dyDescent="0.25">
      <c r="A4747" s="2">
        <v>0</v>
      </c>
      <c r="B4747" s="38">
        <v>0</v>
      </c>
      <c r="C4747" s="79">
        <v>0</v>
      </c>
    </row>
    <row r="4748" spans="1:3" x14ac:dyDescent="0.25">
      <c r="A4748" s="2">
        <v>0</v>
      </c>
      <c r="B4748" s="38">
        <v>0</v>
      </c>
      <c r="C4748" s="79">
        <v>0</v>
      </c>
    </row>
    <row r="4749" spans="1:3" x14ac:dyDescent="0.25">
      <c r="A4749" s="2">
        <v>0</v>
      </c>
      <c r="B4749" s="38">
        <v>0</v>
      </c>
      <c r="C4749" s="79">
        <v>0</v>
      </c>
    </row>
    <row r="4750" spans="1:3" x14ac:dyDescent="0.25">
      <c r="A4750" s="2">
        <v>0</v>
      </c>
      <c r="B4750" s="38">
        <v>0</v>
      </c>
      <c r="C4750" s="79">
        <v>0</v>
      </c>
    </row>
    <row r="4751" spans="1:3" x14ac:dyDescent="0.25">
      <c r="A4751" s="2">
        <v>0</v>
      </c>
      <c r="B4751" s="38">
        <v>0</v>
      </c>
      <c r="C4751" s="79">
        <v>0</v>
      </c>
    </row>
    <row r="4752" spans="1:3" x14ac:dyDescent="0.25">
      <c r="A4752" s="2">
        <v>0</v>
      </c>
      <c r="B4752" s="38">
        <v>0</v>
      </c>
      <c r="C4752" s="79">
        <v>0</v>
      </c>
    </row>
    <row r="4753" spans="1:3" x14ac:dyDescent="0.25">
      <c r="A4753" s="2">
        <v>0</v>
      </c>
      <c r="B4753" s="38">
        <v>0</v>
      </c>
      <c r="C4753" s="79">
        <v>0</v>
      </c>
    </row>
    <row r="4754" spans="1:3" x14ac:dyDescent="0.25">
      <c r="A4754" s="2">
        <v>0</v>
      </c>
      <c r="B4754" s="38">
        <v>0</v>
      </c>
      <c r="C4754" s="79">
        <v>0</v>
      </c>
    </row>
    <row r="4755" spans="1:3" x14ac:dyDescent="0.25">
      <c r="A4755" s="2">
        <v>0</v>
      </c>
      <c r="B4755" s="38">
        <v>0</v>
      </c>
      <c r="C4755" s="79">
        <v>0</v>
      </c>
    </row>
    <row r="4756" spans="1:3" x14ac:dyDescent="0.25">
      <c r="A4756" s="2">
        <v>0</v>
      </c>
      <c r="B4756" s="38">
        <v>0</v>
      </c>
      <c r="C4756" s="79">
        <v>0</v>
      </c>
    </row>
    <row r="4757" spans="1:3" x14ac:dyDescent="0.25">
      <c r="A4757" s="2">
        <v>0</v>
      </c>
      <c r="B4757" s="38">
        <v>0</v>
      </c>
      <c r="C4757" s="79">
        <v>0</v>
      </c>
    </row>
    <row r="4758" spans="1:3" x14ac:dyDescent="0.25">
      <c r="A4758" s="2">
        <v>0</v>
      </c>
      <c r="B4758" s="38">
        <v>0</v>
      </c>
      <c r="C4758" s="79">
        <v>0</v>
      </c>
    </row>
    <row r="4759" spans="1:3" x14ac:dyDescent="0.25">
      <c r="A4759" s="2">
        <v>0</v>
      </c>
      <c r="B4759" s="38">
        <v>0</v>
      </c>
      <c r="C4759" s="79">
        <v>0</v>
      </c>
    </row>
    <row r="4760" spans="1:3" x14ac:dyDescent="0.25">
      <c r="A4760" s="2">
        <v>0</v>
      </c>
      <c r="B4760" s="38">
        <v>0</v>
      </c>
      <c r="C4760" s="79">
        <v>0</v>
      </c>
    </row>
    <row r="4761" spans="1:3" x14ac:dyDescent="0.25">
      <c r="A4761" s="2">
        <v>0</v>
      </c>
      <c r="B4761" s="38">
        <v>0</v>
      </c>
      <c r="C4761" s="79">
        <v>0</v>
      </c>
    </row>
    <row r="4762" spans="1:3" x14ac:dyDescent="0.25">
      <c r="A4762" s="2">
        <v>0</v>
      </c>
      <c r="B4762" s="38">
        <v>0</v>
      </c>
      <c r="C4762" s="79">
        <v>0</v>
      </c>
    </row>
    <row r="4763" spans="1:3" x14ac:dyDescent="0.25">
      <c r="A4763" s="2">
        <v>0</v>
      </c>
      <c r="B4763" s="38">
        <v>0</v>
      </c>
      <c r="C4763" s="79">
        <v>0</v>
      </c>
    </row>
    <row r="4764" spans="1:3" x14ac:dyDescent="0.25">
      <c r="A4764" s="2">
        <v>0</v>
      </c>
      <c r="B4764" s="38">
        <v>0</v>
      </c>
      <c r="C4764" s="79">
        <v>0</v>
      </c>
    </row>
    <row r="4765" spans="1:3" x14ac:dyDescent="0.25">
      <c r="A4765" s="2">
        <v>0</v>
      </c>
      <c r="B4765" s="38">
        <v>0</v>
      </c>
      <c r="C4765" s="79">
        <v>0</v>
      </c>
    </row>
    <row r="4766" spans="1:3" x14ac:dyDescent="0.25">
      <c r="A4766" s="2">
        <v>0</v>
      </c>
      <c r="B4766" s="38">
        <v>0</v>
      </c>
      <c r="C4766" s="79">
        <v>0</v>
      </c>
    </row>
    <row r="4767" spans="1:3" x14ac:dyDescent="0.25">
      <c r="A4767" s="2">
        <v>0</v>
      </c>
      <c r="B4767" s="38">
        <v>0</v>
      </c>
      <c r="C4767" s="79">
        <v>0</v>
      </c>
    </row>
    <row r="4768" spans="1:3" x14ac:dyDescent="0.25">
      <c r="A4768" s="2">
        <v>0</v>
      </c>
      <c r="B4768" s="38">
        <v>0</v>
      </c>
      <c r="C4768" s="79">
        <v>0</v>
      </c>
    </row>
    <row r="4769" spans="1:3" x14ac:dyDescent="0.25">
      <c r="A4769" s="2">
        <v>0</v>
      </c>
      <c r="B4769" s="38">
        <v>0</v>
      </c>
      <c r="C4769" s="79">
        <v>0</v>
      </c>
    </row>
    <row r="4770" spans="1:3" x14ac:dyDescent="0.25">
      <c r="A4770" s="2">
        <v>0</v>
      </c>
      <c r="B4770" s="38">
        <v>0</v>
      </c>
      <c r="C4770" s="79">
        <v>0</v>
      </c>
    </row>
    <row r="4771" spans="1:3" x14ac:dyDescent="0.25">
      <c r="A4771" s="2">
        <v>0</v>
      </c>
      <c r="B4771" s="38">
        <v>0</v>
      </c>
      <c r="C4771" s="79">
        <v>0</v>
      </c>
    </row>
    <row r="4772" spans="1:3" x14ac:dyDescent="0.25">
      <c r="A4772" s="2">
        <v>0</v>
      </c>
      <c r="B4772" s="38">
        <v>0</v>
      </c>
      <c r="C4772" s="79">
        <v>0</v>
      </c>
    </row>
    <row r="4773" spans="1:3" x14ac:dyDescent="0.25">
      <c r="A4773" s="2">
        <v>0</v>
      </c>
      <c r="B4773" s="38">
        <v>0</v>
      </c>
      <c r="C4773" s="79">
        <v>0</v>
      </c>
    </row>
    <row r="4774" spans="1:3" x14ac:dyDescent="0.25">
      <c r="A4774" s="2">
        <v>0</v>
      </c>
      <c r="B4774" s="38">
        <v>0</v>
      </c>
      <c r="C4774" s="79">
        <v>0</v>
      </c>
    </row>
    <row r="4775" spans="1:3" x14ac:dyDescent="0.25">
      <c r="A4775" s="2">
        <v>0</v>
      </c>
      <c r="B4775" s="38">
        <v>0</v>
      </c>
      <c r="C4775" s="79">
        <v>0</v>
      </c>
    </row>
    <row r="4776" spans="1:3" x14ac:dyDescent="0.25">
      <c r="A4776" s="2">
        <v>0</v>
      </c>
      <c r="B4776" s="38">
        <v>0</v>
      </c>
      <c r="C4776" s="79">
        <v>0</v>
      </c>
    </row>
    <row r="4777" spans="1:3" x14ac:dyDescent="0.25">
      <c r="A4777" s="2">
        <v>0</v>
      </c>
      <c r="B4777" s="38">
        <v>0</v>
      </c>
      <c r="C4777" s="79">
        <v>0</v>
      </c>
    </row>
    <row r="4778" spans="1:3" x14ac:dyDescent="0.25">
      <c r="A4778" s="2">
        <v>0</v>
      </c>
      <c r="B4778" s="38">
        <v>0</v>
      </c>
      <c r="C4778" s="79">
        <v>0</v>
      </c>
    </row>
    <row r="4779" spans="1:3" x14ac:dyDescent="0.25">
      <c r="A4779" s="2">
        <v>0</v>
      </c>
      <c r="B4779" s="38">
        <v>0</v>
      </c>
      <c r="C4779" s="79">
        <v>0</v>
      </c>
    </row>
    <row r="4780" spans="1:3" x14ac:dyDescent="0.25">
      <c r="A4780" s="2">
        <v>0</v>
      </c>
      <c r="B4780" s="38">
        <v>0</v>
      </c>
      <c r="C4780" s="79">
        <v>0</v>
      </c>
    </row>
    <row r="4781" spans="1:3" x14ac:dyDescent="0.25">
      <c r="A4781" s="2">
        <v>0</v>
      </c>
      <c r="B4781" s="38">
        <v>0</v>
      </c>
      <c r="C4781" s="79">
        <v>0</v>
      </c>
    </row>
    <row r="4782" spans="1:3" x14ac:dyDescent="0.25">
      <c r="A4782" s="2">
        <v>0</v>
      </c>
      <c r="B4782" s="38">
        <v>0</v>
      </c>
      <c r="C4782" s="79">
        <v>0</v>
      </c>
    </row>
    <row r="4783" spans="1:3" x14ac:dyDescent="0.25">
      <c r="A4783" s="2">
        <v>0</v>
      </c>
      <c r="B4783" s="38">
        <v>0</v>
      </c>
      <c r="C4783" s="79">
        <v>0</v>
      </c>
    </row>
    <row r="4784" spans="1:3" x14ac:dyDescent="0.25">
      <c r="A4784" s="2">
        <v>0</v>
      </c>
      <c r="B4784" s="38">
        <v>0</v>
      </c>
      <c r="C4784" s="79">
        <v>0</v>
      </c>
    </row>
    <row r="4785" spans="1:3" x14ac:dyDescent="0.25">
      <c r="A4785" s="2">
        <v>0</v>
      </c>
      <c r="B4785" s="38">
        <v>0</v>
      </c>
      <c r="C4785" s="79">
        <v>0</v>
      </c>
    </row>
    <row r="4786" spans="1:3" x14ac:dyDescent="0.25">
      <c r="A4786" s="2">
        <v>0</v>
      </c>
      <c r="B4786" s="38">
        <v>0</v>
      </c>
      <c r="C4786" s="79">
        <v>0</v>
      </c>
    </row>
    <row r="4787" spans="1:3" x14ac:dyDescent="0.25">
      <c r="A4787" s="2">
        <v>0</v>
      </c>
      <c r="B4787" s="38">
        <v>0</v>
      </c>
      <c r="C4787" s="79">
        <v>0</v>
      </c>
    </row>
    <row r="4788" spans="1:3" x14ac:dyDescent="0.25">
      <c r="A4788" s="2">
        <v>0</v>
      </c>
      <c r="B4788" s="38">
        <v>0</v>
      </c>
      <c r="C4788" s="79">
        <v>0</v>
      </c>
    </row>
    <row r="4789" spans="1:3" x14ac:dyDescent="0.25">
      <c r="A4789" s="2">
        <v>0</v>
      </c>
      <c r="B4789" s="38">
        <v>0</v>
      </c>
      <c r="C4789" s="79">
        <v>0</v>
      </c>
    </row>
    <row r="4790" spans="1:3" x14ac:dyDescent="0.25">
      <c r="A4790" s="2">
        <v>0</v>
      </c>
      <c r="B4790" s="38">
        <v>0</v>
      </c>
      <c r="C4790" s="79">
        <v>0</v>
      </c>
    </row>
    <row r="4791" spans="1:3" x14ac:dyDescent="0.25">
      <c r="A4791" s="2">
        <v>0</v>
      </c>
      <c r="B4791" s="38">
        <v>0</v>
      </c>
      <c r="C4791" s="79">
        <v>0</v>
      </c>
    </row>
    <row r="4792" spans="1:3" x14ac:dyDescent="0.25">
      <c r="A4792" s="2">
        <v>0</v>
      </c>
      <c r="B4792" s="38">
        <v>0</v>
      </c>
      <c r="C4792" s="79">
        <v>0</v>
      </c>
    </row>
    <row r="4793" spans="1:3" x14ac:dyDescent="0.25">
      <c r="A4793" s="2">
        <v>0</v>
      </c>
      <c r="B4793" s="38">
        <v>0</v>
      </c>
      <c r="C4793" s="79">
        <v>0</v>
      </c>
    </row>
    <row r="4794" spans="1:3" x14ac:dyDescent="0.25">
      <c r="A4794" s="2">
        <v>0</v>
      </c>
      <c r="B4794" s="38">
        <v>0</v>
      </c>
      <c r="C4794" s="79">
        <v>0</v>
      </c>
    </row>
    <row r="4795" spans="1:3" x14ac:dyDescent="0.25">
      <c r="A4795" s="2">
        <v>0</v>
      </c>
      <c r="B4795" s="38">
        <v>0</v>
      </c>
      <c r="C4795" s="79">
        <v>0</v>
      </c>
    </row>
    <row r="4796" spans="1:3" x14ac:dyDescent="0.25">
      <c r="A4796" s="2">
        <v>0</v>
      </c>
      <c r="B4796" s="38">
        <v>0</v>
      </c>
      <c r="C4796" s="79">
        <v>0</v>
      </c>
    </row>
    <row r="4797" spans="1:3" x14ac:dyDescent="0.25">
      <c r="A4797" s="2">
        <v>0</v>
      </c>
      <c r="B4797" s="38">
        <v>0</v>
      </c>
      <c r="C4797" s="79">
        <v>0</v>
      </c>
    </row>
    <row r="4798" spans="1:3" x14ac:dyDescent="0.25">
      <c r="A4798" s="2">
        <v>0</v>
      </c>
      <c r="B4798" s="38">
        <v>0</v>
      </c>
      <c r="C4798" s="79">
        <v>0</v>
      </c>
    </row>
    <row r="4799" spans="1:3" x14ac:dyDescent="0.25">
      <c r="A4799" s="2">
        <v>0</v>
      </c>
      <c r="B4799" s="38">
        <v>0</v>
      </c>
      <c r="C4799" s="79">
        <v>0</v>
      </c>
    </row>
    <row r="4800" spans="1:3" x14ac:dyDescent="0.25">
      <c r="A4800" s="2">
        <v>0</v>
      </c>
      <c r="B4800" s="38">
        <v>0</v>
      </c>
      <c r="C4800" s="79">
        <v>0</v>
      </c>
    </row>
    <row r="4801" spans="1:3" x14ac:dyDescent="0.25">
      <c r="A4801" s="2">
        <v>0</v>
      </c>
      <c r="B4801" s="38">
        <v>0</v>
      </c>
      <c r="C4801" s="79">
        <v>0</v>
      </c>
    </row>
    <row r="4802" spans="1:3" x14ac:dyDescent="0.25">
      <c r="A4802" s="2">
        <v>0</v>
      </c>
      <c r="B4802" s="38">
        <v>0</v>
      </c>
      <c r="C4802" s="79">
        <v>0</v>
      </c>
    </row>
    <row r="4803" spans="1:3" x14ac:dyDescent="0.25">
      <c r="A4803" s="2">
        <v>0</v>
      </c>
      <c r="B4803" s="38">
        <v>0</v>
      </c>
      <c r="C4803" s="79">
        <v>0</v>
      </c>
    </row>
    <row r="4804" spans="1:3" x14ac:dyDescent="0.25">
      <c r="A4804" s="2">
        <v>0</v>
      </c>
      <c r="B4804" s="38">
        <v>0</v>
      </c>
      <c r="C4804" s="79">
        <v>0</v>
      </c>
    </row>
    <row r="4805" spans="1:3" x14ac:dyDescent="0.25">
      <c r="A4805" s="2">
        <v>0</v>
      </c>
      <c r="B4805" s="38">
        <v>0</v>
      </c>
      <c r="C4805" s="79">
        <v>0</v>
      </c>
    </row>
    <row r="4806" spans="1:3" x14ac:dyDescent="0.25">
      <c r="A4806" s="2">
        <v>0</v>
      </c>
      <c r="B4806" s="38">
        <v>0</v>
      </c>
      <c r="C4806" s="79">
        <v>0</v>
      </c>
    </row>
    <row r="4807" spans="1:3" x14ac:dyDescent="0.25">
      <c r="A4807" s="2">
        <v>0</v>
      </c>
      <c r="B4807" s="38">
        <v>0</v>
      </c>
      <c r="C4807" s="79">
        <v>0</v>
      </c>
    </row>
    <row r="4808" spans="1:3" x14ac:dyDescent="0.25">
      <c r="A4808" s="2">
        <v>0</v>
      </c>
      <c r="B4808" s="38">
        <v>0</v>
      </c>
      <c r="C4808" s="79">
        <v>0</v>
      </c>
    </row>
    <row r="4809" spans="1:3" x14ac:dyDescent="0.25">
      <c r="A4809" s="2">
        <v>0</v>
      </c>
      <c r="B4809" s="38">
        <v>0</v>
      </c>
      <c r="C4809" s="79">
        <v>0</v>
      </c>
    </row>
    <row r="4810" spans="1:3" x14ac:dyDescent="0.25">
      <c r="A4810" s="2">
        <v>0</v>
      </c>
      <c r="B4810" s="38">
        <v>0</v>
      </c>
      <c r="C4810" s="79">
        <v>0</v>
      </c>
    </row>
    <row r="4811" spans="1:3" x14ac:dyDescent="0.25">
      <c r="A4811" s="2">
        <v>0</v>
      </c>
      <c r="B4811" s="38">
        <v>0</v>
      </c>
      <c r="C4811" s="79">
        <v>0</v>
      </c>
    </row>
    <row r="4812" spans="1:3" x14ac:dyDescent="0.25">
      <c r="A4812" s="2">
        <v>0</v>
      </c>
      <c r="B4812" s="38">
        <v>0</v>
      </c>
      <c r="C4812" s="79">
        <v>0</v>
      </c>
    </row>
    <row r="4813" spans="1:3" x14ac:dyDescent="0.25">
      <c r="A4813" s="2">
        <v>0</v>
      </c>
      <c r="B4813" s="38">
        <v>0</v>
      </c>
      <c r="C4813" s="79">
        <v>0</v>
      </c>
    </row>
    <row r="4814" spans="1:3" x14ac:dyDescent="0.25">
      <c r="A4814" s="2">
        <v>0</v>
      </c>
      <c r="B4814" s="38">
        <v>0</v>
      </c>
      <c r="C4814" s="79">
        <v>0</v>
      </c>
    </row>
    <row r="4815" spans="1:3" x14ac:dyDescent="0.25">
      <c r="A4815" s="2">
        <v>0</v>
      </c>
      <c r="B4815" s="38">
        <v>0</v>
      </c>
      <c r="C4815" s="79">
        <v>0</v>
      </c>
    </row>
    <row r="4816" spans="1:3" x14ac:dyDescent="0.25">
      <c r="A4816" s="2">
        <v>0</v>
      </c>
      <c r="B4816" s="38">
        <v>0</v>
      </c>
      <c r="C4816" s="79">
        <v>0</v>
      </c>
    </row>
    <row r="4817" spans="1:3" x14ac:dyDescent="0.25">
      <c r="A4817" s="2">
        <v>0</v>
      </c>
      <c r="B4817" s="38">
        <v>0</v>
      </c>
      <c r="C4817" s="79">
        <v>0</v>
      </c>
    </row>
    <row r="4818" spans="1:3" x14ac:dyDescent="0.25">
      <c r="A4818" s="2">
        <v>0</v>
      </c>
      <c r="B4818" s="38">
        <v>0</v>
      </c>
      <c r="C4818" s="79">
        <v>0</v>
      </c>
    </row>
    <row r="4819" spans="1:3" x14ac:dyDescent="0.25">
      <c r="A4819" s="2">
        <v>0</v>
      </c>
      <c r="B4819" s="38">
        <v>0</v>
      </c>
      <c r="C4819" s="79">
        <v>0</v>
      </c>
    </row>
    <row r="4820" spans="1:3" x14ac:dyDescent="0.25">
      <c r="A4820" s="2">
        <v>0</v>
      </c>
      <c r="B4820" s="38">
        <v>0</v>
      </c>
      <c r="C4820" s="79">
        <v>0</v>
      </c>
    </row>
    <row r="4821" spans="1:3" x14ac:dyDescent="0.25">
      <c r="A4821" s="2">
        <v>0</v>
      </c>
      <c r="B4821" s="38">
        <v>0</v>
      </c>
      <c r="C4821" s="79">
        <v>0</v>
      </c>
    </row>
    <row r="4822" spans="1:3" x14ac:dyDescent="0.25">
      <c r="A4822" s="2">
        <v>0</v>
      </c>
      <c r="B4822" s="38">
        <v>0</v>
      </c>
      <c r="C4822" s="79">
        <v>0</v>
      </c>
    </row>
    <row r="4823" spans="1:3" x14ac:dyDescent="0.25">
      <c r="A4823" s="2">
        <v>0</v>
      </c>
      <c r="B4823" s="38">
        <v>0</v>
      </c>
      <c r="C4823" s="79">
        <v>0</v>
      </c>
    </row>
    <row r="4824" spans="1:3" x14ac:dyDescent="0.25">
      <c r="A4824" s="2">
        <v>0</v>
      </c>
      <c r="B4824" s="38">
        <v>0</v>
      </c>
      <c r="C4824" s="79">
        <v>0</v>
      </c>
    </row>
    <row r="4825" spans="1:3" x14ac:dyDescent="0.25">
      <c r="A4825" s="2">
        <v>0</v>
      </c>
      <c r="B4825" s="38">
        <v>0</v>
      </c>
      <c r="C4825" s="79">
        <v>0</v>
      </c>
    </row>
    <row r="4826" spans="1:3" x14ac:dyDescent="0.25">
      <c r="A4826" s="2">
        <v>0</v>
      </c>
      <c r="B4826" s="38">
        <v>0</v>
      </c>
      <c r="C4826" s="79">
        <v>0</v>
      </c>
    </row>
    <row r="4827" spans="1:3" x14ac:dyDescent="0.25">
      <c r="A4827" s="2">
        <v>0</v>
      </c>
      <c r="B4827" s="38">
        <v>0</v>
      </c>
      <c r="C4827" s="79">
        <v>0</v>
      </c>
    </row>
    <row r="4828" spans="1:3" x14ac:dyDescent="0.25">
      <c r="A4828" s="2">
        <v>0</v>
      </c>
      <c r="B4828" s="38">
        <v>0</v>
      </c>
      <c r="C4828" s="79">
        <v>0</v>
      </c>
    </row>
    <row r="4829" spans="1:3" x14ac:dyDescent="0.25">
      <c r="A4829" s="2">
        <v>0</v>
      </c>
      <c r="B4829" s="38">
        <v>0</v>
      </c>
      <c r="C4829" s="79">
        <v>0</v>
      </c>
    </row>
    <row r="4830" spans="1:3" x14ac:dyDescent="0.25">
      <c r="A4830" s="2">
        <v>0</v>
      </c>
      <c r="B4830" s="38">
        <v>0</v>
      </c>
      <c r="C4830" s="79">
        <v>0</v>
      </c>
    </row>
    <row r="4831" spans="1:3" x14ac:dyDescent="0.25">
      <c r="A4831" s="2">
        <v>0</v>
      </c>
      <c r="B4831" s="38">
        <v>0</v>
      </c>
      <c r="C4831" s="79">
        <v>0</v>
      </c>
    </row>
    <row r="4832" spans="1:3" x14ac:dyDescent="0.25">
      <c r="A4832" s="2">
        <v>0</v>
      </c>
      <c r="B4832" s="38">
        <v>0</v>
      </c>
      <c r="C4832" s="79">
        <v>0</v>
      </c>
    </row>
    <row r="4833" spans="1:3" x14ac:dyDescent="0.25">
      <c r="A4833" s="2">
        <v>0</v>
      </c>
      <c r="B4833" s="38">
        <v>0</v>
      </c>
      <c r="C4833" s="79">
        <v>0</v>
      </c>
    </row>
    <row r="4834" spans="1:3" x14ac:dyDescent="0.25">
      <c r="A4834" s="2">
        <v>0</v>
      </c>
      <c r="B4834" s="38">
        <v>0</v>
      </c>
      <c r="C4834" s="79">
        <v>0</v>
      </c>
    </row>
    <row r="4835" spans="1:3" x14ac:dyDescent="0.25">
      <c r="A4835" s="2">
        <v>0</v>
      </c>
      <c r="B4835" s="38">
        <v>0</v>
      </c>
      <c r="C4835" s="79">
        <v>0</v>
      </c>
    </row>
    <row r="4836" spans="1:3" x14ac:dyDescent="0.25">
      <c r="A4836" s="2">
        <v>0</v>
      </c>
      <c r="B4836" s="38">
        <v>0</v>
      </c>
      <c r="C4836" s="79">
        <v>0</v>
      </c>
    </row>
    <row r="4837" spans="1:3" x14ac:dyDescent="0.25">
      <c r="A4837" s="2">
        <v>0</v>
      </c>
      <c r="B4837" s="38">
        <v>0</v>
      </c>
      <c r="C4837" s="79">
        <v>0</v>
      </c>
    </row>
    <row r="4838" spans="1:3" x14ac:dyDescent="0.25">
      <c r="A4838" s="2">
        <v>0</v>
      </c>
      <c r="B4838" s="38">
        <v>0</v>
      </c>
      <c r="C4838" s="79">
        <v>0</v>
      </c>
    </row>
    <row r="4839" spans="1:3" x14ac:dyDescent="0.25">
      <c r="A4839" s="2">
        <v>0</v>
      </c>
      <c r="B4839" s="38">
        <v>0</v>
      </c>
      <c r="C4839" s="79">
        <v>0</v>
      </c>
    </row>
    <row r="4840" spans="1:3" x14ac:dyDescent="0.25">
      <c r="A4840" s="2">
        <v>0</v>
      </c>
      <c r="B4840" s="38">
        <v>0</v>
      </c>
      <c r="C4840" s="79">
        <v>0</v>
      </c>
    </row>
    <row r="4841" spans="1:3" x14ac:dyDescent="0.25">
      <c r="A4841" s="2">
        <v>0</v>
      </c>
      <c r="B4841" s="38">
        <v>0</v>
      </c>
      <c r="C4841" s="79">
        <v>0</v>
      </c>
    </row>
    <row r="4842" spans="1:3" x14ac:dyDescent="0.25">
      <c r="A4842" s="2">
        <v>0</v>
      </c>
      <c r="B4842" s="38">
        <v>0</v>
      </c>
      <c r="C4842" s="79">
        <v>0</v>
      </c>
    </row>
    <row r="4843" spans="1:3" x14ac:dyDescent="0.25">
      <c r="A4843" s="2">
        <v>0</v>
      </c>
      <c r="B4843" s="38">
        <v>0</v>
      </c>
      <c r="C4843" s="79">
        <v>0</v>
      </c>
    </row>
    <row r="4844" spans="1:3" x14ac:dyDescent="0.25">
      <c r="A4844" s="2">
        <v>0</v>
      </c>
      <c r="B4844" s="38">
        <v>0</v>
      </c>
      <c r="C4844" s="79">
        <v>0</v>
      </c>
    </row>
    <row r="4845" spans="1:3" x14ac:dyDescent="0.25">
      <c r="A4845" s="2">
        <v>0</v>
      </c>
      <c r="B4845" s="38">
        <v>0</v>
      </c>
      <c r="C4845" s="79">
        <v>0</v>
      </c>
    </row>
    <row r="4846" spans="1:3" x14ac:dyDescent="0.25">
      <c r="A4846" s="2">
        <v>0</v>
      </c>
      <c r="B4846" s="38">
        <v>0</v>
      </c>
      <c r="C4846" s="79">
        <v>0</v>
      </c>
    </row>
    <row r="4847" spans="1:3" x14ac:dyDescent="0.25">
      <c r="A4847" s="2">
        <v>0</v>
      </c>
      <c r="B4847" s="38">
        <v>0</v>
      </c>
      <c r="C4847" s="79">
        <v>0</v>
      </c>
    </row>
    <row r="4848" spans="1:3" x14ac:dyDescent="0.25">
      <c r="A4848" s="2">
        <v>0</v>
      </c>
      <c r="B4848" s="38">
        <v>0</v>
      </c>
      <c r="C4848" s="79">
        <v>0</v>
      </c>
    </row>
    <row r="4849" spans="1:3" x14ac:dyDescent="0.25">
      <c r="A4849" s="2">
        <v>0</v>
      </c>
      <c r="B4849" s="38">
        <v>0</v>
      </c>
      <c r="C4849" s="79">
        <v>0</v>
      </c>
    </row>
    <row r="4850" spans="1:3" x14ac:dyDescent="0.25">
      <c r="A4850" s="2">
        <v>0</v>
      </c>
      <c r="B4850" s="38">
        <v>0</v>
      </c>
      <c r="C4850" s="79">
        <v>0</v>
      </c>
    </row>
    <row r="4851" spans="1:3" x14ac:dyDescent="0.25">
      <c r="A4851" s="2">
        <v>0</v>
      </c>
      <c r="B4851" s="38">
        <v>0</v>
      </c>
      <c r="C4851" s="79">
        <v>0</v>
      </c>
    </row>
    <row r="4852" spans="1:3" x14ac:dyDescent="0.25">
      <c r="A4852" s="2">
        <v>0</v>
      </c>
      <c r="B4852" s="38">
        <v>0</v>
      </c>
      <c r="C4852" s="79">
        <v>0</v>
      </c>
    </row>
    <row r="4853" spans="1:3" x14ac:dyDescent="0.25">
      <c r="A4853" s="2">
        <v>0</v>
      </c>
      <c r="B4853" s="38">
        <v>0</v>
      </c>
      <c r="C4853" s="79">
        <v>0</v>
      </c>
    </row>
    <row r="4854" spans="1:3" x14ac:dyDescent="0.25">
      <c r="A4854" s="2">
        <v>0</v>
      </c>
      <c r="B4854" s="38">
        <v>0</v>
      </c>
      <c r="C4854" s="79">
        <v>0</v>
      </c>
    </row>
    <row r="4855" spans="1:3" x14ac:dyDescent="0.25">
      <c r="A4855" s="2">
        <v>0</v>
      </c>
      <c r="B4855" s="38">
        <v>0</v>
      </c>
      <c r="C4855" s="79">
        <v>0</v>
      </c>
    </row>
    <row r="4856" spans="1:3" x14ac:dyDescent="0.25">
      <c r="A4856" s="2">
        <v>0</v>
      </c>
      <c r="B4856" s="38">
        <v>0</v>
      </c>
      <c r="C4856" s="79">
        <v>0</v>
      </c>
    </row>
    <row r="4857" spans="1:3" x14ac:dyDescent="0.25">
      <c r="A4857" s="2">
        <v>0</v>
      </c>
      <c r="B4857" s="38">
        <v>0</v>
      </c>
      <c r="C4857" s="79">
        <v>0</v>
      </c>
    </row>
    <row r="4858" spans="1:3" x14ac:dyDescent="0.25">
      <c r="A4858" s="2">
        <v>0</v>
      </c>
      <c r="B4858" s="38">
        <v>0</v>
      </c>
      <c r="C4858" s="79">
        <v>0</v>
      </c>
    </row>
    <row r="4859" spans="1:3" x14ac:dyDescent="0.25">
      <c r="A4859" s="2">
        <v>0</v>
      </c>
      <c r="B4859" s="38">
        <v>0</v>
      </c>
      <c r="C4859" s="79">
        <v>0</v>
      </c>
    </row>
    <row r="4860" spans="1:3" x14ac:dyDescent="0.25">
      <c r="A4860" s="2">
        <v>0</v>
      </c>
      <c r="B4860" s="38">
        <v>0</v>
      </c>
      <c r="C4860" s="79">
        <v>0</v>
      </c>
    </row>
    <row r="4861" spans="1:3" x14ac:dyDescent="0.25">
      <c r="A4861" s="2">
        <v>0</v>
      </c>
      <c r="B4861" s="38">
        <v>0</v>
      </c>
      <c r="C4861" s="79">
        <v>0</v>
      </c>
    </row>
    <row r="4862" spans="1:3" x14ac:dyDescent="0.25">
      <c r="A4862" s="2">
        <v>0</v>
      </c>
      <c r="B4862" s="38">
        <v>0</v>
      </c>
      <c r="C4862" s="79">
        <v>0</v>
      </c>
    </row>
    <row r="4863" spans="1:3" x14ac:dyDescent="0.25">
      <c r="A4863" s="2">
        <v>0</v>
      </c>
      <c r="B4863" s="38">
        <v>0</v>
      </c>
      <c r="C4863" s="79">
        <v>0</v>
      </c>
    </row>
    <row r="4864" spans="1:3" x14ac:dyDescent="0.25">
      <c r="A4864" s="2">
        <v>0</v>
      </c>
      <c r="B4864" s="38">
        <v>0</v>
      </c>
      <c r="C4864" s="79">
        <v>0</v>
      </c>
    </row>
    <row r="4865" spans="1:3" x14ac:dyDescent="0.25">
      <c r="A4865" s="2">
        <v>0</v>
      </c>
      <c r="B4865" s="38">
        <v>0</v>
      </c>
      <c r="C4865" s="79">
        <v>0</v>
      </c>
    </row>
    <row r="4866" spans="1:3" x14ac:dyDescent="0.25">
      <c r="A4866" s="2">
        <v>0</v>
      </c>
      <c r="B4866" s="38">
        <v>0</v>
      </c>
      <c r="C4866" s="79">
        <v>0</v>
      </c>
    </row>
    <row r="4867" spans="1:3" x14ac:dyDescent="0.25">
      <c r="A4867" s="2">
        <v>0</v>
      </c>
      <c r="B4867" s="38">
        <v>0</v>
      </c>
      <c r="C4867" s="79">
        <v>0</v>
      </c>
    </row>
    <row r="4868" spans="1:3" x14ac:dyDescent="0.25">
      <c r="A4868" s="2">
        <v>0</v>
      </c>
      <c r="B4868" s="38">
        <v>0</v>
      </c>
      <c r="C4868" s="79">
        <v>0</v>
      </c>
    </row>
    <row r="4869" spans="1:3" x14ac:dyDescent="0.25">
      <c r="A4869" s="2">
        <v>0</v>
      </c>
      <c r="B4869" s="38">
        <v>0</v>
      </c>
      <c r="C4869" s="79">
        <v>0</v>
      </c>
    </row>
    <row r="4870" spans="1:3" x14ac:dyDescent="0.25">
      <c r="A4870" s="2">
        <v>0</v>
      </c>
      <c r="B4870" s="38">
        <v>0</v>
      </c>
      <c r="C4870" s="79">
        <v>0</v>
      </c>
    </row>
    <row r="4871" spans="1:3" x14ac:dyDescent="0.25">
      <c r="A4871" s="2">
        <v>0</v>
      </c>
      <c r="B4871" s="38">
        <v>0</v>
      </c>
      <c r="C4871" s="79">
        <v>0</v>
      </c>
    </row>
    <row r="4872" spans="1:3" x14ac:dyDescent="0.25">
      <c r="A4872" s="2">
        <v>0</v>
      </c>
      <c r="B4872" s="38">
        <v>0</v>
      </c>
      <c r="C4872" s="79">
        <v>0</v>
      </c>
    </row>
    <row r="4873" spans="1:3" x14ac:dyDescent="0.25">
      <c r="A4873" s="2">
        <v>0</v>
      </c>
      <c r="B4873" s="38">
        <v>0</v>
      </c>
      <c r="C4873" s="79">
        <v>0</v>
      </c>
    </row>
    <row r="4874" spans="1:3" x14ac:dyDescent="0.25">
      <c r="A4874" s="2">
        <v>0</v>
      </c>
      <c r="B4874" s="38">
        <v>0</v>
      </c>
      <c r="C4874" s="79">
        <v>0</v>
      </c>
    </row>
    <row r="4875" spans="1:3" x14ac:dyDescent="0.25">
      <c r="A4875" s="2">
        <v>0</v>
      </c>
      <c r="B4875" s="38">
        <v>0</v>
      </c>
      <c r="C4875" s="79">
        <v>0</v>
      </c>
    </row>
    <row r="4876" spans="1:3" x14ac:dyDescent="0.25">
      <c r="A4876" s="2">
        <v>0</v>
      </c>
      <c r="B4876" s="38">
        <v>0</v>
      </c>
      <c r="C4876" s="79">
        <v>0</v>
      </c>
    </row>
    <row r="4877" spans="1:3" x14ac:dyDescent="0.25">
      <c r="A4877" s="2">
        <v>0</v>
      </c>
      <c r="B4877" s="38">
        <v>0</v>
      </c>
      <c r="C4877" s="79">
        <v>0</v>
      </c>
    </row>
    <row r="4878" spans="1:3" x14ac:dyDescent="0.25">
      <c r="A4878" s="2">
        <v>0</v>
      </c>
      <c r="B4878" s="38">
        <v>0</v>
      </c>
      <c r="C4878" s="79">
        <v>0</v>
      </c>
    </row>
    <row r="4879" spans="1:3" x14ac:dyDescent="0.25">
      <c r="A4879" s="2">
        <v>0</v>
      </c>
      <c r="B4879" s="38">
        <v>0</v>
      </c>
      <c r="C4879" s="79">
        <v>0</v>
      </c>
    </row>
    <row r="4880" spans="1:3" x14ac:dyDescent="0.25">
      <c r="A4880" s="2">
        <v>0</v>
      </c>
      <c r="B4880" s="38">
        <v>0</v>
      </c>
      <c r="C4880" s="79">
        <v>0</v>
      </c>
    </row>
    <row r="4881" spans="1:3" x14ac:dyDescent="0.25">
      <c r="A4881" s="2">
        <v>0</v>
      </c>
      <c r="B4881" s="38">
        <v>0</v>
      </c>
      <c r="C4881" s="79">
        <v>0</v>
      </c>
    </row>
    <row r="4882" spans="1:3" x14ac:dyDescent="0.25">
      <c r="A4882" s="2">
        <v>0</v>
      </c>
      <c r="B4882" s="38">
        <v>0</v>
      </c>
      <c r="C4882" s="79">
        <v>0</v>
      </c>
    </row>
    <row r="4883" spans="1:3" x14ac:dyDescent="0.25">
      <c r="A4883" s="2">
        <v>0</v>
      </c>
      <c r="B4883" s="38">
        <v>0</v>
      </c>
      <c r="C4883" s="79">
        <v>0</v>
      </c>
    </row>
    <row r="4884" spans="1:3" x14ac:dyDescent="0.25">
      <c r="A4884" s="2">
        <v>0</v>
      </c>
      <c r="B4884" s="38">
        <v>0</v>
      </c>
      <c r="C4884" s="79">
        <v>0</v>
      </c>
    </row>
    <row r="4885" spans="1:3" x14ac:dyDescent="0.25">
      <c r="A4885" s="2">
        <v>0</v>
      </c>
      <c r="B4885" s="38">
        <v>0</v>
      </c>
      <c r="C4885" s="79">
        <v>0</v>
      </c>
    </row>
    <row r="4886" spans="1:3" x14ac:dyDescent="0.25">
      <c r="A4886" s="2">
        <v>0</v>
      </c>
      <c r="B4886" s="38">
        <v>0</v>
      </c>
      <c r="C4886" s="79">
        <v>0</v>
      </c>
    </row>
    <row r="4887" spans="1:3" x14ac:dyDescent="0.25">
      <c r="A4887" s="2">
        <v>0</v>
      </c>
      <c r="B4887" s="38">
        <v>0</v>
      </c>
      <c r="C4887" s="79">
        <v>0</v>
      </c>
    </row>
    <row r="4888" spans="1:3" x14ac:dyDescent="0.25">
      <c r="A4888" s="2">
        <v>0</v>
      </c>
      <c r="B4888" s="38">
        <v>0</v>
      </c>
      <c r="C4888" s="79">
        <v>0</v>
      </c>
    </row>
    <row r="4889" spans="1:3" x14ac:dyDescent="0.25">
      <c r="A4889" s="2">
        <v>0</v>
      </c>
      <c r="B4889" s="38">
        <v>0</v>
      </c>
      <c r="C4889" s="79">
        <v>0</v>
      </c>
    </row>
    <row r="4890" spans="1:3" x14ac:dyDescent="0.25">
      <c r="A4890" s="2">
        <v>0</v>
      </c>
      <c r="B4890" s="38">
        <v>0</v>
      </c>
      <c r="C4890" s="79">
        <v>0</v>
      </c>
    </row>
    <row r="4891" spans="1:3" x14ac:dyDescent="0.25">
      <c r="A4891" s="2">
        <v>0</v>
      </c>
      <c r="B4891" s="38">
        <v>0</v>
      </c>
      <c r="C4891" s="79">
        <v>0</v>
      </c>
    </row>
    <row r="4892" spans="1:3" x14ac:dyDescent="0.25">
      <c r="A4892" s="2">
        <v>0</v>
      </c>
      <c r="B4892" s="38">
        <v>0</v>
      </c>
      <c r="C4892" s="79">
        <v>0</v>
      </c>
    </row>
    <row r="4893" spans="1:3" x14ac:dyDescent="0.25">
      <c r="A4893" s="2">
        <v>0</v>
      </c>
      <c r="B4893" s="38">
        <v>0</v>
      </c>
      <c r="C4893" s="79">
        <v>0</v>
      </c>
    </row>
    <row r="4894" spans="1:3" x14ac:dyDescent="0.25">
      <c r="A4894" s="2">
        <v>0</v>
      </c>
      <c r="B4894" s="38">
        <v>0</v>
      </c>
      <c r="C4894" s="79">
        <v>0</v>
      </c>
    </row>
    <row r="4895" spans="1:3" x14ac:dyDescent="0.25">
      <c r="A4895" s="2">
        <v>0</v>
      </c>
      <c r="B4895" s="38">
        <v>0</v>
      </c>
      <c r="C4895" s="79">
        <v>0</v>
      </c>
    </row>
    <row r="4896" spans="1:3" x14ac:dyDescent="0.25">
      <c r="A4896" s="2">
        <v>0</v>
      </c>
      <c r="B4896" s="38">
        <v>0</v>
      </c>
      <c r="C4896" s="79">
        <v>0</v>
      </c>
    </row>
    <row r="4897" spans="1:3" x14ac:dyDescent="0.25">
      <c r="A4897" s="2">
        <v>0</v>
      </c>
      <c r="B4897" s="38">
        <v>0</v>
      </c>
      <c r="C4897" s="79">
        <v>0</v>
      </c>
    </row>
    <row r="4898" spans="1:3" x14ac:dyDescent="0.25">
      <c r="A4898" s="2">
        <v>0</v>
      </c>
      <c r="B4898" s="38">
        <v>0</v>
      </c>
      <c r="C4898" s="79">
        <v>0</v>
      </c>
    </row>
    <row r="4899" spans="1:3" x14ac:dyDescent="0.25">
      <c r="A4899" s="2">
        <v>0</v>
      </c>
      <c r="B4899" s="38">
        <v>0</v>
      </c>
      <c r="C4899" s="79">
        <v>0</v>
      </c>
    </row>
    <row r="4900" spans="1:3" x14ac:dyDescent="0.25">
      <c r="A4900" s="2">
        <v>0</v>
      </c>
      <c r="B4900" s="38">
        <v>0</v>
      </c>
      <c r="C4900" s="79">
        <v>0</v>
      </c>
    </row>
    <row r="4901" spans="1:3" x14ac:dyDescent="0.25">
      <c r="A4901" s="2">
        <v>0</v>
      </c>
      <c r="B4901" s="38">
        <v>0</v>
      </c>
      <c r="C4901" s="79">
        <v>0</v>
      </c>
    </row>
    <row r="4902" spans="1:3" x14ac:dyDescent="0.25">
      <c r="A4902" s="2">
        <v>0</v>
      </c>
      <c r="B4902" s="38">
        <v>0</v>
      </c>
      <c r="C4902" s="79">
        <v>0</v>
      </c>
    </row>
    <row r="4903" spans="1:3" x14ac:dyDescent="0.25">
      <c r="A4903" s="2">
        <v>0</v>
      </c>
      <c r="B4903" s="38">
        <v>0</v>
      </c>
      <c r="C4903" s="79">
        <v>0</v>
      </c>
    </row>
    <row r="4904" spans="1:3" x14ac:dyDescent="0.25">
      <c r="A4904" s="2">
        <v>0</v>
      </c>
      <c r="B4904" s="38">
        <v>0</v>
      </c>
      <c r="C4904" s="79">
        <v>0</v>
      </c>
    </row>
    <row r="4905" spans="1:3" x14ac:dyDescent="0.25">
      <c r="A4905" s="2">
        <v>0</v>
      </c>
      <c r="B4905" s="38">
        <v>0</v>
      </c>
      <c r="C4905" s="79">
        <v>0</v>
      </c>
    </row>
    <row r="4906" spans="1:3" x14ac:dyDescent="0.25">
      <c r="A4906" s="2">
        <v>0</v>
      </c>
      <c r="B4906" s="38">
        <v>0</v>
      </c>
      <c r="C4906" s="79">
        <v>0</v>
      </c>
    </row>
    <row r="4907" spans="1:3" x14ac:dyDescent="0.25">
      <c r="A4907" s="2">
        <v>0</v>
      </c>
      <c r="B4907" s="38">
        <v>0</v>
      </c>
      <c r="C4907" s="79">
        <v>0</v>
      </c>
    </row>
    <row r="4908" spans="1:3" x14ac:dyDescent="0.25">
      <c r="A4908" s="2">
        <v>0</v>
      </c>
      <c r="B4908" s="38">
        <v>0</v>
      </c>
      <c r="C4908" s="79">
        <v>0</v>
      </c>
    </row>
    <row r="4909" spans="1:3" x14ac:dyDescent="0.25">
      <c r="A4909" s="2">
        <v>0</v>
      </c>
      <c r="B4909" s="38">
        <v>0</v>
      </c>
      <c r="C4909" s="79">
        <v>0</v>
      </c>
    </row>
    <row r="4910" spans="1:3" x14ac:dyDescent="0.25">
      <c r="A4910" s="2">
        <v>0</v>
      </c>
      <c r="B4910" s="38">
        <v>0</v>
      </c>
      <c r="C4910" s="79">
        <v>0</v>
      </c>
    </row>
    <row r="4911" spans="1:3" x14ac:dyDescent="0.25">
      <c r="A4911" s="2">
        <v>0</v>
      </c>
      <c r="B4911" s="38">
        <v>0</v>
      </c>
      <c r="C4911" s="79">
        <v>0</v>
      </c>
    </row>
    <row r="4912" spans="1:3" x14ac:dyDescent="0.25">
      <c r="A4912" s="2">
        <v>0</v>
      </c>
      <c r="B4912" s="38">
        <v>0</v>
      </c>
      <c r="C4912" s="79">
        <v>0</v>
      </c>
    </row>
    <row r="4913" spans="1:3" x14ac:dyDescent="0.25">
      <c r="A4913" s="2">
        <v>0</v>
      </c>
      <c r="B4913" s="38">
        <v>0</v>
      </c>
      <c r="C4913" s="79">
        <v>0</v>
      </c>
    </row>
    <row r="4914" spans="1:3" x14ac:dyDescent="0.25">
      <c r="A4914" s="2">
        <v>0</v>
      </c>
      <c r="B4914" s="38">
        <v>0</v>
      </c>
      <c r="C4914" s="79">
        <v>0</v>
      </c>
    </row>
    <row r="4915" spans="1:3" x14ac:dyDescent="0.25">
      <c r="A4915" s="2">
        <v>0</v>
      </c>
      <c r="B4915" s="38">
        <v>0</v>
      </c>
      <c r="C4915" s="79">
        <v>0</v>
      </c>
    </row>
    <row r="4916" spans="1:3" x14ac:dyDescent="0.25">
      <c r="A4916" s="2">
        <v>0</v>
      </c>
      <c r="B4916" s="38">
        <v>0</v>
      </c>
      <c r="C4916" s="79">
        <v>0</v>
      </c>
    </row>
    <row r="4917" spans="1:3" x14ac:dyDescent="0.25">
      <c r="A4917" s="2">
        <v>0</v>
      </c>
      <c r="B4917" s="38">
        <v>0</v>
      </c>
      <c r="C4917" s="79">
        <v>0</v>
      </c>
    </row>
    <row r="4918" spans="1:3" x14ac:dyDescent="0.25">
      <c r="A4918" s="2">
        <v>0</v>
      </c>
      <c r="B4918" s="38">
        <v>0</v>
      </c>
      <c r="C4918" s="79">
        <v>0</v>
      </c>
    </row>
    <row r="4919" spans="1:3" x14ac:dyDescent="0.25">
      <c r="A4919" s="2">
        <v>0</v>
      </c>
      <c r="B4919" s="38">
        <v>0</v>
      </c>
      <c r="C4919" s="79">
        <v>0</v>
      </c>
    </row>
    <row r="4920" spans="1:3" x14ac:dyDescent="0.25">
      <c r="A4920" s="2">
        <v>0</v>
      </c>
      <c r="B4920" s="38">
        <v>0</v>
      </c>
      <c r="C4920" s="79">
        <v>0</v>
      </c>
    </row>
    <row r="4921" spans="1:3" x14ac:dyDescent="0.25">
      <c r="A4921" s="2">
        <v>0</v>
      </c>
      <c r="B4921" s="38">
        <v>0</v>
      </c>
      <c r="C4921" s="79">
        <v>0</v>
      </c>
    </row>
    <row r="4922" spans="1:3" x14ac:dyDescent="0.25">
      <c r="A4922" s="2">
        <v>0</v>
      </c>
      <c r="B4922" s="38">
        <v>0</v>
      </c>
      <c r="C4922" s="79">
        <v>0</v>
      </c>
    </row>
    <row r="4923" spans="1:3" x14ac:dyDescent="0.25">
      <c r="A4923" s="2">
        <v>0</v>
      </c>
      <c r="B4923" s="38">
        <v>0</v>
      </c>
      <c r="C4923" s="79">
        <v>0</v>
      </c>
    </row>
    <row r="4924" spans="1:3" x14ac:dyDescent="0.25">
      <c r="A4924" s="2">
        <v>0</v>
      </c>
      <c r="B4924" s="38">
        <v>0</v>
      </c>
      <c r="C4924" s="79">
        <v>0</v>
      </c>
    </row>
    <row r="4925" spans="1:3" x14ac:dyDescent="0.25">
      <c r="A4925" s="2">
        <v>0</v>
      </c>
      <c r="B4925" s="38">
        <v>0</v>
      </c>
      <c r="C4925" s="79">
        <v>0</v>
      </c>
    </row>
    <row r="4926" spans="1:3" x14ac:dyDescent="0.25">
      <c r="A4926" s="2">
        <v>0</v>
      </c>
      <c r="B4926" s="38">
        <v>0</v>
      </c>
      <c r="C4926" s="79">
        <v>0</v>
      </c>
    </row>
    <row r="4927" spans="1:3" x14ac:dyDescent="0.25">
      <c r="A4927" s="2">
        <v>0</v>
      </c>
      <c r="B4927" s="38">
        <v>0</v>
      </c>
      <c r="C4927" s="79">
        <v>0</v>
      </c>
    </row>
    <row r="4928" spans="1:3" x14ac:dyDescent="0.25">
      <c r="A4928" s="2">
        <v>0</v>
      </c>
      <c r="B4928" s="38">
        <v>0</v>
      </c>
      <c r="C4928" s="79">
        <v>0</v>
      </c>
    </row>
    <row r="4929" spans="1:3" x14ac:dyDescent="0.25">
      <c r="A4929" s="2">
        <v>0</v>
      </c>
      <c r="B4929" s="38">
        <v>0</v>
      </c>
      <c r="C4929" s="79">
        <v>0</v>
      </c>
    </row>
    <row r="4930" spans="1:3" x14ac:dyDescent="0.25">
      <c r="A4930" s="2">
        <v>0</v>
      </c>
      <c r="B4930" s="38">
        <v>0</v>
      </c>
      <c r="C4930" s="79">
        <v>0</v>
      </c>
    </row>
    <row r="4931" spans="1:3" x14ac:dyDescent="0.25">
      <c r="A4931" s="2">
        <v>0</v>
      </c>
      <c r="B4931" s="38">
        <v>0</v>
      </c>
      <c r="C4931" s="79">
        <v>0</v>
      </c>
    </row>
    <row r="4932" spans="1:3" x14ac:dyDescent="0.25">
      <c r="A4932" s="2">
        <v>0</v>
      </c>
      <c r="B4932" s="38">
        <v>0</v>
      </c>
      <c r="C4932" s="79">
        <v>0</v>
      </c>
    </row>
    <row r="4933" spans="1:3" x14ac:dyDescent="0.25">
      <c r="A4933" s="2">
        <v>0</v>
      </c>
      <c r="B4933" s="38">
        <v>0</v>
      </c>
      <c r="C4933" s="79">
        <v>0</v>
      </c>
    </row>
    <row r="4934" spans="1:3" x14ac:dyDescent="0.25">
      <c r="A4934" s="2">
        <v>0</v>
      </c>
      <c r="B4934" s="38">
        <v>0</v>
      </c>
      <c r="C4934" s="79">
        <v>0</v>
      </c>
    </row>
    <row r="4935" spans="1:3" x14ac:dyDescent="0.25">
      <c r="A4935" s="2">
        <v>0</v>
      </c>
      <c r="B4935" s="38">
        <v>0</v>
      </c>
      <c r="C4935" s="79">
        <v>0</v>
      </c>
    </row>
    <row r="4936" spans="1:3" x14ac:dyDescent="0.25">
      <c r="A4936" s="2">
        <v>0</v>
      </c>
      <c r="B4936" s="38">
        <v>0</v>
      </c>
      <c r="C4936" s="79">
        <v>0</v>
      </c>
    </row>
    <row r="4937" spans="1:3" x14ac:dyDescent="0.25">
      <c r="A4937" s="2">
        <v>0</v>
      </c>
      <c r="B4937" s="38">
        <v>0</v>
      </c>
      <c r="C4937" s="79">
        <v>0</v>
      </c>
    </row>
    <row r="4938" spans="1:3" x14ac:dyDescent="0.25">
      <c r="A4938" s="2">
        <v>0</v>
      </c>
      <c r="B4938" s="38">
        <v>0</v>
      </c>
      <c r="C4938" s="79">
        <v>0</v>
      </c>
    </row>
    <row r="4939" spans="1:3" x14ac:dyDescent="0.25">
      <c r="A4939" s="2">
        <v>0</v>
      </c>
      <c r="B4939" s="38">
        <v>0</v>
      </c>
      <c r="C4939" s="79">
        <v>0</v>
      </c>
    </row>
    <row r="4940" spans="1:3" x14ac:dyDescent="0.25">
      <c r="A4940" s="2">
        <v>0</v>
      </c>
      <c r="B4940" s="38">
        <v>0</v>
      </c>
      <c r="C4940" s="79">
        <v>0</v>
      </c>
    </row>
    <row r="4941" spans="1:3" x14ac:dyDescent="0.25">
      <c r="A4941" s="2">
        <v>0</v>
      </c>
      <c r="B4941" s="38">
        <v>0</v>
      </c>
      <c r="C4941" s="79">
        <v>0</v>
      </c>
    </row>
    <row r="4942" spans="1:3" x14ac:dyDescent="0.25">
      <c r="A4942" s="2">
        <v>0</v>
      </c>
      <c r="B4942" s="38">
        <v>0</v>
      </c>
      <c r="C4942" s="79">
        <v>0</v>
      </c>
    </row>
    <row r="4943" spans="1:3" x14ac:dyDescent="0.25">
      <c r="A4943" s="2">
        <v>0</v>
      </c>
      <c r="B4943" s="38">
        <v>0</v>
      </c>
      <c r="C4943" s="79">
        <v>0</v>
      </c>
    </row>
    <row r="4944" spans="1:3" x14ac:dyDescent="0.25">
      <c r="A4944" s="2">
        <v>0</v>
      </c>
      <c r="B4944" s="38">
        <v>0</v>
      </c>
      <c r="C4944" s="79">
        <v>0</v>
      </c>
    </row>
    <row r="4945" spans="1:3" x14ac:dyDescent="0.25">
      <c r="A4945" s="2">
        <v>0</v>
      </c>
      <c r="B4945" s="38">
        <v>0</v>
      </c>
      <c r="C4945" s="79">
        <v>0</v>
      </c>
    </row>
    <row r="4946" spans="1:3" x14ac:dyDescent="0.25">
      <c r="A4946" s="2">
        <v>0</v>
      </c>
      <c r="B4946" s="38">
        <v>0</v>
      </c>
      <c r="C4946" s="79">
        <v>0</v>
      </c>
    </row>
    <row r="4947" spans="1:3" x14ac:dyDescent="0.25">
      <c r="A4947" s="2">
        <v>0</v>
      </c>
      <c r="B4947" s="38">
        <v>0</v>
      </c>
      <c r="C4947" s="79">
        <v>0</v>
      </c>
    </row>
    <row r="4948" spans="1:3" x14ac:dyDescent="0.25">
      <c r="A4948" s="2">
        <v>0</v>
      </c>
      <c r="B4948" s="38">
        <v>0</v>
      </c>
      <c r="C4948" s="79">
        <v>0</v>
      </c>
    </row>
    <row r="4949" spans="1:3" x14ac:dyDescent="0.25">
      <c r="A4949" s="2">
        <v>0</v>
      </c>
      <c r="B4949" s="38">
        <v>0</v>
      </c>
      <c r="C4949" s="79">
        <v>0</v>
      </c>
    </row>
    <row r="4950" spans="1:3" x14ac:dyDescent="0.25">
      <c r="A4950" s="2">
        <v>0</v>
      </c>
      <c r="B4950" s="38">
        <v>0</v>
      </c>
      <c r="C4950" s="79">
        <v>0</v>
      </c>
    </row>
    <row r="4951" spans="1:3" x14ac:dyDescent="0.25">
      <c r="A4951" s="2">
        <v>0</v>
      </c>
      <c r="B4951" s="38">
        <v>0</v>
      </c>
      <c r="C4951" s="79">
        <v>0</v>
      </c>
    </row>
    <row r="4952" spans="1:3" x14ac:dyDescent="0.25">
      <c r="A4952" s="2">
        <v>0</v>
      </c>
      <c r="B4952" s="38">
        <v>0</v>
      </c>
      <c r="C4952" s="79">
        <v>0</v>
      </c>
    </row>
    <row r="4953" spans="1:3" x14ac:dyDescent="0.25">
      <c r="A4953" s="2">
        <v>0</v>
      </c>
      <c r="B4953" s="38">
        <v>0</v>
      </c>
      <c r="C4953" s="79">
        <v>0</v>
      </c>
    </row>
    <row r="4954" spans="1:3" x14ac:dyDescent="0.25">
      <c r="A4954" s="2">
        <v>0</v>
      </c>
      <c r="B4954" s="38">
        <v>0</v>
      </c>
      <c r="C4954" s="79">
        <v>0</v>
      </c>
    </row>
    <row r="4955" spans="1:3" x14ac:dyDescent="0.25">
      <c r="A4955" s="2">
        <v>0</v>
      </c>
      <c r="B4955" s="38">
        <v>0</v>
      </c>
      <c r="C4955" s="79">
        <v>0</v>
      </c>
    </row>
    <row r="4956" spans="1:3" x14ac:dyDescent="0.25">
      <c r="A4956" s="2">
        <v>0</v>
      </c>
      <c r="B4956" s="38">
        <v>0</v>
      </c>
      <c r="C4956" s="79">
        <v>0</v>
      </c>
    </row>
    <row r="4957" spans="1:3" x14ac:dyDescent="0.25">
      <c r="A4957" s="2">
        <v>0</v>
      </c>
      <c r="B4957" s="38">
        <v>0</v>
      </c>
      <c r="C4957" s="79">
        <v>0</v>
      </c>
    </row>
    <row r="4958" spans="1:3" x14ac:dyDescent="0.25">
      <c r="A4958" s="2">
        <v>0</v>
      </c>
      <c r="B4958" s="38">
        <v>0</v>
      </c>
      <c r="C4958" s="79">
        <v>0</v>
      </c>
    </row>
    <row r="4959" spans="1:3" x14ac:dyDescent="0.25">
      <c r="A4959" s="2">
        <v>0</v>
      </c>
      <c r="B4959" s="38">
        <v>0</v>
      </c>
      <c r="C4959" s="79">
        <v>0</v>
      </c>
    </row>
    <row r="4960" spans="1:3" x14ac:dyDescent="0.25">
      <c r="A4960" s="2">
        <v>0</v>
      </c>
      <c r="B4960" s="38">
        <v>0</v>
      </c>
      <c r="C4960" s="79">
        <v>0</v>
      </c>
    </row>
    <row r="4961" spans="1:3" x14ac:dyDescent="0.25">
      <c r="A4961" s="2">
        <v>0</v>
      </c>
      <c r="B4961" s="38">
        <v>0</v>
      </c>
      <c r="C4961" s="79">
        <v>0</v>
      </c>
    </row>
    <row r="4962" spans="1:3" x14ac:dyDescent="0.25">
      <c r="A4962" s="2">
        <v>0</v>
      </c>
      <c r="B4962" s="38">
        <v>0</v>
      </c>
      <c r="C4962" s="79">
        <v>0</v>
      </c>
    </row>
    <row r="4963" spans="1:3" x14ac:dyDescent="0.25">
      <c r="A4963" s="2">
        <v>0</v>
      </c>
      <c r="B4963" s="38">
        <v>0</v>
      </c>
      <c r="C4963" s="79">
        <v>0</v>
      </c>
    </row>
    <row r="4964" spans="1:3" x14ac:dyDescent="0.25">
      <c r="A4964" s="2">
        <v>0</v>
      </c>
      <c r="B4964" s="38">
        <v>0</v>
      </c>
      <c r="C4964" s="79">
        <v>0</v>
      </c>
    </row>
    <row r="4965" spans="1:3" x14ac:dyDescent="0.25">
      <c r="A4965" s="2">
        <v>0</v>
      </c>
      <c r="B4965" s="38">
        <v>0</v>
      </c>
      <c r="C4965" s="79">
        <v>0</v>
      </c>
    </row>
    <row r="4966" spans="1:3" x14ac:dyDescent="0.25">
      <c r="A4966" s="2">
        <v>0</v>
      </c>
      <c r="B4966" s="38">
        <v>0</v>
      </c>
      <c r="C4966" s="79">
        <v>0</v>
      </c>
    </row>
    <row r="4967" spans="1:3" x14ac:dyDescent="0.25">
      <c r="A4967" s="2">
        <v>0</v>
      </c>
      <c r="B4967" s="38">
        <v>0</v>
      </c>
      <c r="C4967" s="79">
        <v>0</v>
      </c>
    </row>
    <row r="4968" spans="1:3" x14ac:dyDescent="0.25">
      <c r="A4968" s="2">
        <v>0</v>
      </c>
      <c r="B4968" s="38">
        <v>0</v>
      </c>
      <c r="C4968" s="79">
        <v>0</v>
      </c>
    </row>
    <row r="4969" spans="1:3" x14ac:dyDescent="0.25">
      <c r="A4969" s="2">
        <v>0</v>
      </c>
      <c r="B4969" s="38">
        <v>0</v>
      </c>
      <c r="C4969" s="79">
        <v>0</v>
      </c>
    </row>
    <row r="4970" spans="1:3" x14ac:dyDescent="0.25">
      <c r="A4970" s="2">
        <v>0</v>
      </c>
      <c r="B4970" s="38">
        <v>0</v>
      </c>
      <c r="C4970" s="79">
        <v>0</v>
      </c>
    </row>
    <row r="4971" spans="1:3" x14ac:dyDescent="0.25">
      <c r="A4971" s="2">
        <v>0</v>
      </c>
      <c r="B4971" s="38">
        <v>0</v>
      </c>
      <c r="C4971" s="79">
        <v>0</v>
      </c>
    </row>
    <row r="4972" spans="1:3" x14ac:dyDescent="0.25">
      <c r="A4972" s="2">
        <v>0</v>
      </c>
      <c r="B4972" s="38">
        <v>0</v>
      </c>
      <c r="C4972" s="79">
        <v>0</v>
      </c>
    </row>
    <row r="4973" spans="1:3" x14ac:dyDescent="0.25">
      <c r="A4973" s="2">
        <v>0</v>
      </c>
      <c r="B4973" s="38">
        <v>0</v>
      </c>
      <c r="C4973" s="79">
        <v>0</v>
      </c>
    </row>
    <row r="4974" spans="1:3" x14ac:dyDescent="0.25">
      <c r="A4974" s="2">
        <v>0</v>
      </c>
      <c r="B4974" s="38">
        <v>0</v>
      </c>
      <c r="C4974" s="79">
        <v>0</v>
      </c>
    </row>
    <row r="4975" spans="1:3" x14ac:dyDescent="0.25">
      <c r="A4975" s="2">
        <v>0</v>
      </c>
      <c r="B4975" s="38">
        <v>0</v>
      </c>
      <c r="C4975" s="79">
        <v>0</v>
      </c>
    </row>
    <row r="4976" spans="1:3" x14ac:dyDescent="0.25">
      <c r="A4976" s="2">
        <v>0</v>
      </c>
      <c r="B4976" s="38">
        <v>0</v>
      </c>
      <c r="C4976" s="79">
        <v>0</v>
      </c>
    </row>
    <row r="4977" spans="1:3" x14ac:dyDescent="0.25">
      <c r="A4977" s="2">
        <v>0</v>
      </c>
      <c r="B4977" s="38">
        <v>0</v>
      </c>
      <c r="C4977" s="79">
        <v>0</v>
      </c>
    </row>
    <row r="4978" spans="1:3" x14ac:dyDescent="0.25">
      <c r="A4978" s="2">
        <v>0</v>
      </c>
      <c r="B4978" s="38">
        <v>0</v>
      </c>
      <c r="C4978" s="79">
        <v>0</v>
      </c>
    </row>
    <row r="4979" spans="1:3" x14ac:dyDescent="0.25">
      <c r="A4979" s="2">
        <v>0</v>
      </c>
      <c r="B4979" s="38">
        <v>0</v>
      </c>
      <c r="C4979" s="79">
        <v>0</v>
      </c>
    </row>
    <row r="4980" spans="1:3" x14ac:dyDescent="0.25">
      <c r="A4980" s="2">
        <v>0</v>
      </c>
      <c r="B4980" s="38">
        <v>0</v>
      </c>
      <c r="C4980" s="79">
        <v>0</v>
      </c>
    </row>
    <row r="4981" spans="1:3" x14ac:dyDescent="0.25">
      <c r="A4981" s="2">
        <v>0</v>
      </c>
      <c r="B4981" s="38">
        <v>0</v>
      </c>
      <c r="C4981" s="79">
        <v>0</v>
      </c>
    </row>
    <row r="4982" spans="1:3" x14ac:dyDescent="0.25">
      <c r="A4982" s="2">
        <v>0</v>
      </c>
      <c r="B4982" s="38">
        <v>0</v>
      </c>
      <c r="C4982" s="79">
        <v>0</v>
      </c>
    </row>
    <row r="4983" spans="1:3" x14ac:dyDescent="0.25">
      <c r="A4983" s="2">
        <v>0</v>
      </c>
      <c r="B4983" s="38">
        <v>0</v>
      </c>
      <c r="C4983" s="79">
        <v>0</v>
      </c>
    </row>
    <row r="4984" spans="1:3" x14ac:dyDescent="0.25">
      <c r="A4984" s="2">
        <v>0</v>
      </c>
      <c r="B4984" s="38">
        <v>0</v>
      </c>
      <c r="C4984" s="79">
        <v>0</v>
      </c>
    </row>
    <row r="4985" spans="1:3" x14ac:dyDescent="0.25">
      <c r="A4985" s="2">
        <v>0</v>
      </c>
      <c r="B4985" s="38">
        <v>0</v>
      </c>
      <c r="C4985" s="79">
        <v>0</v>
      </c>
    </row>
    <row r="4986" spans="1:3" x14ac:dyDescent="0.25">
      <c r="A4986" s="2">
        <v>0</v>
      </c>
      <c r="B4986" s="38">
        <v>0</v>
      </c>
      <c r="C4986" s="79">
        <v>0</v>
      </c>
    </row>
    <row r="4987" spans="1:3" x14ac:dyDescent="0.25">
      <c r="A4987" s="2">
        <v>0</v>
      </c>
      <c r="B4987" s="38">
        <v>0</v>
      </c>
      <c r="C4987" s="79">
        <v>0</v>
      </c>
    </row>
    <row r="4988" spans="1:3" x14ac:dyDescent="0.25">
      <c r="A4988" s="2">
        <v>0</v>
      </c>
      <c r="B4988" s="38">
        <v>0</v>
      </c>
      <c r="C4988" s="79">
        <v>0</v>
      </c>
    </row>
    <row r="4989" spans="1:3" x14ac:dyDescent="0.25">
      <c r="A4989" s="2">
        <v>0</v>
      </c>
      <c r="B4989" s="38">
        <v>0</v>
      </c>
      <c r="C4989" s="79">
        <v>0</v>
      </c>
    </row>
    <row r="4990" spans="1:3" x14ac:dyDescent="0.25">
      <c r="A4990" s="2">
        <v>0</v>
      </c>
      <c r="B4990" s="38">
        <v>0</v>
      </c>
      <c r="C4990" s="79">
        <v>0</v>
      </c>
    </row>
    <row r="4991" spans="1:3" x14ac:dyDescent="0.25">
      <c r="A4991" s="2">
        <v>0</v>
      </c>
      <c r="B4991" s="38">
        <v>0</v>
      </c>
      <c r="C4991" s="79">
        <v>0</v>
      </c>
    </row>
    <row r="4992" spans="1:3" x14ac:dyDescent="0.25">
      <c r="A4992" s="2">
        <v>0</v>
      </c>
      <c r="B4992" s="38">
        <v>0</v>
      </c>
      <c r="C4992" s="79">
        <v>0</v>
      </c>
    </row>
    <row r="4993" spans="1:3" x14ac:dyDescent="0.25">
      <c r="A4993" s="2">
        <v>0</v>
      </c>
      <c r="B4993" s="38">
        <v>0</v>
      </c>
      <c r="C4993" s="79">
        <v>0</v>
      </c>
    </row>
    <row r="4994" spans="1:3" x14ac:dyDescent="0.25">
      <c r="A4994" s="2">
        <v>0</v>
      </c>
      <c r="B4994" s="38">
        <v>0</v>
      </c>
      <c r="C4994" s="79">
        <v>0</v>
      </c>
    </row>
    <row r="4995" spans="1:3" x14ac:dyDescent="0.25">
      <c r="A4995" s="2">
        <v>0</v>
      </c>
      <c r="B4995" s="38">
        <v>0</v>
      </c>
      <c r="C4995" s="79">
        <v>0</v>
      </c>
    </row>
    <row r="4996" spans="1:3" x14ac:dyDescent="0.25">
      <c r="A4996" s="2">
        <v>0</v>
      </c>
      <c r="B4996" s="38">
        <v>0</v>
      </c>
      <c r="C4996" s="79">
        <v>0</v>
      </c>
    </row>
    <row r="4997" spans="1:3" x14ac:dyDescent="0.25">
      <c r="A4997" s="2">
        <v>0</v>
      </c>
      <c r="B4997" s="38">
        <v>0</v>
      </c>
      <c r="C4997" s="79">
        <v>0</v>
      </c>
    </row>
    <row r="4998" spans="1:3" x14ac:dyDescent="0.25">
      <c r="A4998" s="2">
        <v>0</v>
      </c>
      <c r="B4998" s="38">
        <v>0</v>
      </c>
      <c r="C4998" s="79">
        <v>0</v>
      </c>
    </row>
    <row r="4999" spans="1:3" x14ac:dyDescent="0.25">
      <c r="A4999" s="2">
        <v>0</v>
      </c>
      <c r="B4999" s="38">
        <v>0</v>
      </c>
      <c r="C4999" s="79">
        <v>0</v>
      </c>
    </row>
    <row r="5000" spans="1:3" x14ac:dyDescent="0.25">
      <c r="A5000" s="2">
        <v>0</v>
      </c>
      <c r="B5000" s="38">
        <v>0</v>
      </c>
      <c r="C5000" s="79">
        <v>0</v>
      </c>
    </row>
    <row r="5001" spans="1:3" x14ac:dyDescent="0.25">
      <c r="A5001" s="2">
        <v>0</v>
      </c>
      <c r="B5001" s="38">
        <v>0</v>
      </c>
      <c r="C5001" s="79">
        <v>0</v>
      </c>
    </row>
    <row r="5002" spans="1:3" x14ac:dyDescent="0.25">
      <c r="A5002" s="2">
        <v>0</v>
      </c>
      <c r="B5002" s="38">
        <v>0</v>
      </c>
      <c r="C5002" s="79">
        <v>0</v>
      </c>
    </row>
    <row r="5003" spans="1:3" x14ac:dyDescent="0.25">
      <c r="A5003" s="2">
        <v>0</v>
      </c>
      <c r="B5003" s="38">
        <v>0</v>
      </c>
      <c r="C5003" s="79">
        <v>0</v>
      </c>
    </row>
    <row r="5004" spans="1:3" x14ac:dyDescent="0.25">
      <c r="A5004" s="2">
        <v>0</v>
      </c>
      <c r="B5004" s="38">
        <v>0</v>
      </c>
      <c r="C5004" s="79">
        <v>0</v>
      </c>
    </row>
    <row r="5005" spans="1:3" x14ac:dyDescent="0.25">
      <c r="A5005" s="2">
        <v>0</v>
      </c>
      <c r="B5005" s="38">
        <v>0</v>
      </c>
      <c r="C5005" s="79">
        <v>0</v>
      </c>
    </row>
    <row r="5006" spans="1:3" x14ac:dyDescent="0.25">
      <c r="A5006" s="2">
        <v>0</v>
      </c>
      <c r="B5006" s="38">
        <v>0</v>
      </c>
      <c r="C5006" s="79">
        <v>0</v>
      </c>
    </row>
    <row r="5007" spans="1:3" x14ac:dyDescent="0.25">
      <c r="A5007" s="2">
        <v>0</v>
      </c>
      <c r="B5007" s="38">
        <v>0</v>
      </c>
      <c r="C5007" s="79">
        <v>0</v>
      </c>
    </row>
    <row r="5008" spans="1:3" x14ac:dyDescent="0.25">
      <c r="A5008" s="2">
        <v>0</v>
      </c>
      <c r="B5008" s="38">
        <v>0</v>
      </c>
      <c r="C5008" s="79">
        <v>0</v>
      </c>
    </row>
    <row r="5009" spans="1:3" x14ac:dyDescent="0.25">
      <c r="A5009" s="2">
        <v>0</v>
      </c>
      <c r="B5009" s="38">
        <v>0</v>
      </c>
      <c r="C5009" s="79">
        <v>0</v>
      </c>
    </row>
    <row r="5010" spans="1:3" x14ac:dyDescent="0.25">
      <c r="A5010" s="2">
        <v>0</v>
      </c>
      <c r="B5010" s="38">
        <v>0</v>
      </c>
      <c r="C5010" s="79">
        <v>0</v>
      </c>
    </row>
    <row r="5011" spans="1:3" x14ac:dyDescent="0.25">
      <c r="A5011" s="2">
        <v>0</v>
      </c>
      <c r="B5011" s="38">
        <v>0</v>
      </c>
      <c r="C5011" s="79">
        <v>0</v>
      </c>
    </row>
    <row r="5012" spans="1:3" x14ac:dyDescent="0.25">
      <c r="A5012" s="2">
        <v>0</v>
      </c>
      <c r="B5012" s="38">
        <v>0</v>
      </c>
      <c r="C5012" s="79">
        <v>0</v>
      </c>
    </row>
    <row r="5013" spans="1:3" x14ac:dyDescent="0.25">
      <c r="A5013" s="2">
        <v>0</v>
      </c>
      <c r="B5013" s="38">
        <v>0</v>
      </c>
      <c r="C5013" s="79">
        <v>0</v>
      </c>
    </row>
    <row r="5014" spans="1:3" x14ac:dyDescent="0.25">
      <c r="A5014" s="2">
        <v>0</v>
      </c>
      <c r="B5014" s="38">
        <v>0</v>
      </c>
      <c r="C5014" s="79">
        <v>0</v>
      </c>
    </row>
    <row r="5015" spans="1:3" x14ac:dyDescent="0.25">
      <c r="A5015" s="2">
        <v>0</v>
      </c>
      <c r="B5015" s="38">
        <v>0</v>
      </c>
      <c r="C5015" s="79">
        <v>0</v>
      </c>
    </row>
    <row r="5016" spans="1:3" x14ac:dyDescent="0.25">
      <c r="A5016" s="2">
        <v>0</v>
      </c>
      <c r="B5016" s="38">
        <v>0</v>
      </c>
      <c r="C5016" s="79">
        <v>0</v>
      </c>
    </row>
    <row r="5017" spans="1:3" x14ac:dyDescent="0.25">
      <c r="A5017" s="2">
        <v>0</v>
      </c>
      <c r="B5017" s="38">
        <v>0</v>
      </c>
      <c r="C5017" s="79">
        <v>0</v>
      </c>
    </row>
    <row r="5018" spans="1:3" x14ac:dyDescent="0.25">
      <c r="A5018" s="2">
        <v>0</v>
      </c>
      <c r="B5018" s="38">
        <v>0</v>
      </c>
      <c r="C5018" s="79">
        <v>0</v>
      </c>
    </row>
    <row r="5019" spans="1:3" x14ac:dyDescent="0.25">
      <c r="A5019" s="2">
        <v>0</v>
      </c>
      <c r="B5019" s="38">
        <v>0</v>
      </c>
      <c r="C5019" s="79">
        <v>0</v>
      </c>
    </row>
    <row r="5020" spans="1:3" x14ac:dyDescent="0.25">
      <c r="A5020" s="2">
        <v>0</v>
      </c>
      <c r="B5020" s="38">
        <v>0</v>
      </c>
      <c r="C5020" s="79">
        <v>0</v>
      </c>
    </row>
    <row r="5021" spans="1:3" x14ac:dyDescent="0.25">
      <c r="A5021" s="2">
        <v>0</v>
      </c>
      <c r="B5021" s="38">
        <v>0</v>
      </c>
      <c r="C5021" s="79">
        <v>0</v>
      </c>
    </row>
    <row r="5022" spans="1:3" x14ac:dyDescent="0.25">
      <c r="A5022" s="2">
        <v>0</v>
      </c>
      <c r="B5022" s="38">
        <v>0</v>
      </c>
      <c r="C5022" s="79">
        <v>0</v>
      </c>
    </row>
    <row r="5023" spans="1:3" x14ac:dyDescent="0.25">
      <c r="A5023" s="2">
        <v>0</v>
      </c>
      <c r="B5023" s="38">
        <v>0</v>
      </c>
      <c r="C5023" s="79">
        <v>0</v>
      </c>
    </row>
    <row r="5024" spans="1:3" x14ac:dyDescent="0.25">
      <c r="A5024" s="2">
        <v>0</v>
      </c>
      <c r="B5024" s="38">
        <v>0</v>
      </c>
      <c r="C5024" s="79">
        <v>0</v>
      </c>
    </row>
    <row r="5025" spans="1:3" x14ac:dyDescent="0.25">
      <c r="A5025" s="2">
        <v>0</v>
      </c>
      <c r="B5025" s="38">
        <v>0</v>
      </c>
      <c r="C5025" s="79">
        <v>0</v>
      </c>
    </row>
    <row r="5026" spans="1:3" x14ac:dyDescent="0.25">
      <c r="A5026" s="2">
        <v>0</v>
      </c>
      <c r="B5026" s="38">
        <v>0</v>
      </c>
      <c r="C5026" s="79">
        <v>0</v>
      </c>
    </row>
    <row r="5027" spans="1:3" x14ac:dyDescent="0.25">
      <c r="A5027" s="2">
        <v>0</v>
      </c>
      <c r="B5027" s="38">
        <v>0</v>
      </c>
      <c r="C5027" s="79">
        <v>0</v>
      </c>
    </row>
    <row r="5028" spans="1:3" x14ac:dyDescent="0.25">
      <c r="A5028" s="2">
        <v>0</v>
      </c>
      <c r="B5028" s="38">
        <v>0</v>
      </c>
      <c r="C5028" s="79">
        <v>0</v>
      </c>
    </row>
    <row r="5029" spans="1:3" x14ac:dyDescent="0.25">
      <c r="A5029" s="2">
        <v>0</v>
      </c>
      <c r="B5029" s="38">
        <v>0</v>
      </c>
      <c r="C5029" s="79">
        <v>0</v>
      </c>
    </row>
    <row r="5030" spans="1:3" x14ac:dyDescent="0.25">
      <c r="A5030" s="2">
        <v>0</v>
      </c>
      <c r="B5030" s="38">
        <v>0</v>
      </c>
      <c r="C5030" s="79">
        <v>0</v>
      </c>
    </row>
    <row r="5031" spans="1:3" x14ac:dyDescent="0.25">
      <c r="A5031" s="2">
        <v>0</v>
      </c>
      <c r="B5031" s="38">
        <v>0</v>
      </c>
      <c r="C5031" s="79">
        <v>0</v>
      </c>
    </row>
    <row r="5032" spans="1:3" x14ac:dyDescent="0.25">
      <c r="A5032" s="2">
        <v>0</v>
      </c>
      <c r="B5032" s="38">
        <v>0</v>
      </c>
      <c r="C5032" s="79">
        <v>0</v>
      </c>
    </row>
    <row r="5033" spans="1:3" x14ac:dyDescent="0.25">
      <c r="A5033" s="2">
        <v>0</v>
      </c>
      <c r="B5033" s="38">
        <v>0</v>
      </c>
      <c r="C5033" s="79">
        <v>0</v>
      </c>
    </row>
    <row r="5034" spans="1:3" x14ac:dyDescent="0.25">
      <c r="A5034" s="2">
        <v>0</v>
      </c>
      <c r="B5034" s="38">
        <v>0</v>
      </c>
      <c r="C5034" s="79">
        <v>0</v>
      </c>
    </row>
    <row r="5035" spans="1:3" x14ac:dyDescent="0.25">
      <c r="A5035" s="2">
        <v>0</v>
      </c>
      <c r="B5035" s="38">
        <v>0</v>
      </c>
      <c r="C5035" s="79">
        <v>0</v>
      </c>
    </row>
    <row r="5036" spans="1:3" x14ac:dyDescent="0.25">
      <c r="A5036" s="2">
        <v>0</v>
      </c>
      <c r="B5036" s="38">
        <v>0</v>
      </c>
      <c r="C5036" s="79">
        <v>0</v>
      </c>
    </row>
    <row r="5037" spans="1:3" x14ac:dyDescent="0.25">
      <c r="A5037" s="2">
        <v>0</v>
      </c>
      <c r="B5037" s="38">
        <v>0</v>
      </c>
      <c r="C5037" s="79">
        <v>0</v>
      </c>
    </row>
    <row r="5038" spans="1:3" x14ac:dyDescent="0.25">
      <c r="A5038" s="2">
        <v>0</v>
      </c>
      <c r="B5038" s="38">
        <v>0</v>
      </c>
      <c r="C5038" s="79">
        <v>0</v>
      </c>
    </row>
    <row r="5039" spans="1:3" x14ac:dyDescent="0.25">
      <c r="A5039" s="2">
        <v>0</v>
      </c>
      <c r="B5039" s="38">
        <v>0</v>
      </c>
      <c r="C5039" s="79">
        <v>0</v>
      </c>
    </row>
    <row r="5040" spans="1:3" x14ac:dyDescent="0.25">
      <c r="A5040" s="2">
        <v>0</v>
      </c>
      <c r="B5040" s="38">
        <v>0</v>
      </c>
      <c r="C5040" s="79">
        <v>0</v>
      </c>
    </row>
    <row r="5041" spans="1:3" x14ac:dyDescent="0.25">
      <c r="A5041" s="2">
        <v>0</v>
      </c>
      <c r="B5041" s="38">
        <v>0</v>
      </c>
      <c r="C5041" s="79">
        <v>0</v>
      </c>
    </row>
    <row r="5042" spans="1:3" x14ac:dyDescent="0.25">
      <c r="A5042" s="2">
        <v>0</v>
      </c>
      <c r="B5042" s="38">
        <v>0</v>
      </c>
      <c r="C5042" s="79">
        <v>0</v>
      </c>
    </row>
    <row r="5043" spans="1:3" x14ac:dyDescent="0.25">
      <c r="A5043" s="2">
        <v>0</v>
      </c>
      <c r="B5043" s="38">
        <v>0</v>
      </c>
      <c r="C5043" s="79">
        <v>0</v>
      </c>
    </row>
    <row r="5044" spans="1:3" x14ac:dyDescent="0.25">
      <c r="A5044" s="2">
        <v>0</v>
      </c>
      <c r="B5044" s="38">
        <v>0</v>
      </c>
      <c r="C5044" s="79">
        <v>0</v>
      </c>
    </row>
    <row r="5045" spans="1:3" x14ac:dyDescent="0.25">
      <c r="A5045" s="2">
        <v>0</v>
      </c>
      <c r="B5045" s="38">
        <v>0</v>
      </c>
      <c r="C5045" s="79">
        <v>0</v>
      </c>
    </row>
    <row r="5046" spans="1:3" x14ac:dyDescent="0.25">
      <c r="A5046" s="2">
        <v>0</v>
      </c>
      <c r="B5046" s="38">
        <v>0</v>
      </c>
      <c r="C5046" s="79">
        <v>0</v>
      </c>
    </row>
    <row r="5047" spans="1:3" x14ac:dyDescent="0.25">
      <c r="A5047" s="2">
        <v>0</v>
      </c>
      <c r="B5047" s="38">
        <v>0</v>
      </c>
      <c r="C5047" s="79">
        <v>0</v>
      </c>
    </row>
    <row r="5048" spans="1:3" x14ac:dyDescent="0.25">
      <c r="A5048" s="2">
        <v>0</v>
      </c>
      <c r="B5048" s="38">
        <v>0</v>
      </c>
      <c r="C5048" s="79">
        <v>0</v>
      </c>
    </row>
    <row r="5049" spans="1:3" x14ac:dyDescent="0.25">
      <c r="A5049" s="2">
        <v>0</v>
      </c>
      <c r="B5049" s="38">
        <v>0</v>
      </c>
      <c r="C5049" s="79">
        <v>0</v>
      </c>
    </row>
    <row r="5050" spans="1:3" x14ac:dyDescent="0.25">
      <c r="A5050" s="2">
        <v>0</v>
      </c>
      <c r="B5050" s="38">
        <v>0</v>
      </c>
      <c r="C5050" s="79">
        <v>0</v>
      </c>
    </row>
    <row r="5051" spans="1:3" x14ac:dyDescent="0.25">
      <c r="A5051" s="2">
        <v>0</v>
      </c>
      <c r="B5051" s="38">
        <v>0</v>
      </c>
      <c r="C5051" s="79">
        <v>0</v>
      </c>
    </row>
    <row r="5052" spans="1:3" x14ac:dyDescent="0.25">
      <c r="A5052" s="2">
        <v>0</v>
      </c>
      <c r="B5052" s="38">
        <v>0</v>
      </c>
      <c r="C5052" s="79">
        <v>0</v>
      </c>
    </row>
    <row r="5053" spans="1:3" x14ac:dyDescent="0.25">
      <c r="A5053" s="2">
        <v>0</v>
      </c>
      <c r="B5053" s="38">
        <v>0</v>
      </c>
      <c r="C5053" s="79">
        <v>0</v>
      </c>
    </row>
    <row r="5054" spans="1:3" x14ac:dyDescent="0.25">
      <c r="A5054" s="2">
        <v>0</v>
      </c>
      <c r="B5054" s="38">
        <v>0</v>
      </c>
      <c r="C5054" s="79">
        <v>0</v>
      </c>
    </row>
    <row r="5055" spans="1:3" x14ac:dyDescent="0.25">
      <c r="A5055" s="2">
        <v>0</v>
      </c>
      <c r="B5055" s="38">
        <v>0</v>
      </c>
      <c r="C5055" s="79">
        <v>0</v>
      </c>
    </row>
    <row r="5056" spans="1:3" x14ac:dyDescent="0.25">
      <c r="A5056" s="2">
        <v>0</v>
      </c>
      <c r="B5056" s="38">
        <v>0</v>
      </c>
      <c r="C5056" s="79">
        <v>0</v>
      </c>
    </row>
    <row r="5057" spans="1:3" x14ac:dyDescent="0.25">
      <c r="A5057" s="2">
        <v>0</v>
      </c>
      <c r="B5057" s="38">
        <v>0</v>
      </c>
      <c r="C5057" s="79">
        <v>0</v>
      </c>
    </row>
    <row r="5058" spans="1:3" x14ac:dyDescent="0.25">
      <c r="A5058" s="2">
        <v>0</v>
      </c>
      <c r="B5058" s="38">
        <v>0</v>
      </c>
      <c r="C5058" s="79">
        <v>0</v>
      </c>
    </row>
    <row r="5059" spans="1:3" x14ac:dyDescent="0.25">
      <c r="A5059" s="2">
        <v>0</v>
      </c>
      <c r="B5059" s="38">
        <v>0</v>
      </c>
      <c r="C5059" s="79">
        <v>0</v>
      </c>
    </row>
    <row r="5060" spans="1:3" x14ac:dyDescent="0.25">
      <c r="A5060" s="2">
        <v>0</v>
      </c>
      <c r="B5060" s="38">
        <v>0</v>
      </c>
      <c r="C5060" s="79">
        <v>0</v>
      </c>
    </row>
    <row r="5061" spans="1:3" x14ac:dyDescent="0.25">
      <c r="A5061" s="2">
        <v>0</v>
      </c>
      <c r="B5061" s="38">
        <v>0</v>
      </c>
      <c r="C5061" s="79">
        <v>0</v>
      </c>
    </row>
    <row r="5062" spans="1:3" x14ac:dyDescent="0.25">
      <c r="A5062" s="2">
        <v>0</v>
      </c>
      <c r="B5062" s="38">
        <v>0</v>
      </c>
      <c r="C5062" s="79">
        <v>0</v>
      </c>
    </row>
    <row r="5063" spans="1:3" x14ac:dyDescent="0.25">
      <c r="A5063" s="2">
        <v>0</v>
      </c>
      <c r="B5063" s="38">
        <v>0</v>
      </c>
      <c r="C5063" s="79">
        <v>0</v>
      </c>
    </row>
    <row r="5064" spans="1:3" x14ac:dyDescent="0.25">
      <c r="A5064" s="2">
        <v>0</v>
      </c>
      <c r="B5064" s="38">
        <v>0</v>
      </c>
      <c r="C5064" s="79">
        <v>0</v>
      </c>
    </row>
    <row r="5065" spans="1:3" x14ac:dyDescent="0.25">
      <c r="A5065" s="2">
        <v>0</v>
      </c>
      <c r="B5065" s="38">
        <v>0</v>
      </c>
      <c r="C5065" s="79">
        <v>0</v>
      </c>
    </row>
    <row r="5066" spans="1:3" x14ac:dyDescent="0.25">
      <c r="A5066" s="2">
        <v>0</v>
      </c>
      <c r="B5066" s="38">
        <v>0</v>
      </c>
      <c r="C5066" s="79">
        <v>0</v>
      </c>
    </row>
    <row r="5067" spans="1:3" x14ac:dyDescent="0.25">
      <c r="A5067" s="2">
        <v>0</v>
      </c>
      <c r="B5067" s="38">
        <v>0</v>
      </c>
      <c r="C5067" s="79">
        <v>0</v>
      </c>
    </row>
    <row r="5068" spans="1:3" x14ac:dyDescent="0.25">
      <c r="A5068" s="2">
        <v>0</v>
      </c>
      <c r="B5068" s="38">
        <v>0</v>
      </c>
      <c r="C5068" s="79">
        <v>0</v>
      </c>
    </row>
    <row r="5069" spans="1:3" x14ac:dyDescent="0.25">
      <c r="A5069" s="2">
        <v>0</v>
      </c>
      <c r="B5069" s="38">
        <v>0</v>
      </c>
      <c r="C5069" s="79">
        <v>0</v>
      </c>
    </row>
    <row r="5070" spans="1:3" x14ac:dyDescent="0.25">
      <c r="A5070" s="2">
        <v>0</v>
      </c>
      <c r="B5070" s="38">
        <v>0</v>
      </c>
      <c r="C5070" s="79">
        <v>0</v>
      </c>
    </row>
    <row r="5071" spans="1:3" x14ac:dyDescent="0.25">
      <c r="A5071" s="2">
        <v>0</v>
      </c>
      <c r="B5071" s="38">
        <v>0</v>
      </c>
      <c r="C5071" s="79">
        <v>0</v>
      </c>
    </row>
    <row r="5072" spans="1:3" x14ac:dyDescent="0.25">
      <c r="A5072" s="2">
        <v>0</v>
      </c>
      <c r="B5072" s="38">
        <v>0</v>
      </c>
      <c r="C5072" s="79">
        <v>0</v>
      </c>
    </row>
    <row r="5073" spans="1:3" x14ac:dyDescent="0.25">
      <c r="A5073" s="2">
        <v>0</v>
      </c>
      <c r="B5073" s="38">
        <v>0</v>
      </c>
      <c r="C5073" s="79">
        <v>0</v>
      </c>
    </row>
    <row r="5074" spans="1:3" x14ac:dyDescent="0.25">
      <c r="A5074" s="2">
        <v>0</v>
      </c>
      <c r="B5074" s="38">
        <v>0</v>
      </c>
      <c r="C5074" s="79">
        <v>0</v>
      </c>
    </row>
    <row r="5075" spans="1:3" x14ac:dyDescent="0.25">
      <c r="A5075" s="2">
        <v>0</v>
      </c>
      <c r="B5075" s="38">
        <v>0</v>
      </c>
      <c r="C5075" s="79">
        <v>0</v>
      </c>
    </row>
    <row r="5076" spans="1:3" x14ac:dyDescent="0.25">
      <c r="A5076" s="2">
        <v>0</v>
      </c>
      <c r="B5076" s="38">
        <v>0</v>
      </c>
      <c r="C5076" s="79">
        <v>0</v>
      </c>
    </row>
    <row r="5077" spans="1:3" x14ac:dyDescent="0.25">
      <c r="A5077" s="2">
        <v>0</v>
      </c>
      <c r="B5077" s="38">
        <v>0</v>
      </c>
      <c r="C5077" s="79">
        <v>0</v>
      </c>
    </row>
    <row r="5078" spans="1:3" x14ac:dyDescent="0.25">
      <c r="A5078" s="2">
        <v>0</v>
      </c>
      <c r="B5078" s="38">
        <v>0</v>
      </c>
      <c r="C5078" s="79">
        <v>0</v>
      </c>
    </row>
    <row r="5079" spans="1:3" x14ac:dyDescent="0.25">
      <c r="A5079" s="2">
        <v>0</v>
      </c>
      <c r="B5079" s="38">
        <v>0</v>
      </c>
      <c r="C5079" s="79">
        <v>0</v>
      </c>
    </row>
    <row r="5080" spans="1:3" x14ac:dyDescent="0.25">
      <c r="A5080" s="2">
        <v>0</v>
      </c>
      <c r="B5080" s="38">
        <v>0</v>
      </c>
      <c r="C5080" s="79">
        <v>0</v>
      </c>
    </row>
    <row r="5081" spans="1:3" x14ac:dyDescent="0.25">
      <c r="A5081" s="2">
        <v>0</v>
      </c>
      <c r="B5081" s="38">
        <v>0</v>
      </c>
      <c r="C5081" s="79">
        <v>0</v>
      </c>
    </row>
    <row r="5082" spans="1:3" x14ac:dyDescent="0.25">
      <c r="A5082" s="2">
        <v>0</v>
      </c>
      <c r="B5082" s="38">
        <v>0</v>
      </c>
      <c r="C5082" s="79">
        <v>0</v>
      </c>
    </row>
    <row r="5083" spans="1:3" x14ac:dyDescent="0.25">
      <c r="A5083" s="2">
        <v>0</v>
      </c>
      <c r="B5083" s="38">
        <v>0</v>
      </c>
      <c r="C5083" s="79">
        <v>0</v>
      </c>
    </row>
    <row r="5084" spans="1:3" x14ac:dyDescent="0.25">
      <c r="A5084" s="2">
        <v>0</v>
      </c>
      <c r="B5084" s="38">
        <v>0</v>
      </c>
      <c r="C5084" s="79">
        <v>0</v>
      </c>
    </row>
    <row r="5085" spans="1:3" x14ac:dyDescent="0.25">
      <c r="A5085" s="2">
        <v>0</v>
      </c>
      <c r="B5085" s="38">
        <v>0</v>
      </c>
      <c r="C5085" s="79">
        <v>0</v>
      </c>
    </row>
    <row r="5086" spans="1:3" x14ac:dyDescent="0.25">
      <c r="A5086" s="2">
        <v>0</v>
      </c>
      <c r="B5086" s="38">
        <v>0</v>
      </c>
      <c r="C5086" s="79">
        <v>0</v>
      </c>
    </row>
    <row r="5087" spans="1:3" x14ac:dyDescent="0.25">
      <c r="A5087" s="2">
        <v>0</v>
      </c>
      <c r="B5087" s="38">
        <v>0</v>
      </c>
      <c r="C5087" s="79">
        <v>0</v>
      </c>
    </row>
    <row r="5088" spans="1:3" x14ac:dyDescent="0.25">
      <c r="A5088" s="2">
        <v>0</v>
      </c>
      <c r="B5088" s="38">
        <v>0</v>
      </c>
      <c r="C5088" s="79">
        <v>0</v>
      </c>
    </row>
    <row r="5089" spans="1:3" x14ac:dyDescent="0.25">
      <c r="A5089" s="2">
        <v>0</v>
      </c>
      <c r="B5089" s="38">
        <v>0</v>
      </c>
      <c r="C5089" s="79">
        <v>0</v>
      </c>
    </row>
    <row r="5090" spans="1:3" x14ac:dyDescent="0.25">
      <c r="A5090" s="2">
        <v>0</v>
      </c>
      <c r="B5090" s="38">
        <v>0</v>
      </c>
      <c r="C5090" s="79">
        <v>0</v>
      </c>
    </row>
    <row r="5091" spans="1:3" x14ac:dyDescent="0.25">
      <c r="A5091" s="2">
        <v>0</v>
      </c>
      <c r="B5091" s="38">
        <v>0</v>
      </c>
      <c r="C5091" s="79">
        <v>0</v>
      </c>
    </row>
    <row r="5092" spans="1:3" x14ac:dyDescent="0.25">
      <c r="A5092" s="2">
        <v>0</v>
      </c>
      <c r="B5092" s="38">
        <v>0</v>
      </c>
      <c r="C5092" s="79">
        <v>0</v>
      </c>
    </row>
    <row r="5093" spans="1:3" x14ac:dyDescent="0.25">
      <c r="A5093" s="2">
        <v>0</v>
      </c>
      <c r="B5093" s="38">
        <v>0</v>
      </c>
      <c r="C5093" s="79">
        <v>0</v>
      </c>
    </row>
    <row r="5094" spans="1:3" x14ac:dyDescent="0.25">
      <c r="A5094" s="2">
        <v>0</v>
      </c>
      <c r="B5094" s="38">
        <v>0</v>
      </c>
      <c r="C5094" s="79">
        <v>0</v>
      </c>
    </row>
    <row r="5095" spans="1:3" x14ac:dyDescent="0.25">
      <c r="A5095" s="2">
        <v>0</v>
      </c>
      <c r="B5095" s="38">
        <v>0</v>
      </c>
      <c r="C5095" s="79">
        <v>0</v>
      </c>
    </row>
    <row r="5096" spans="1:3" x14ac:dyDescent="0.25">
      <c r="A5096" s="2">
        <v>0</v>
      </c>
      <c r="B5096" s="38">
        <v>0</v>
      </c>
      <c r="C5096" s="79">
        <v>0</v>
      </c>
    </row>
    <row r="5097" spans="1:3" x14ac:dyDescent="0.25">
      <c r="A5097" s="2">
        <v>0</v>
      </c>
      <c r="B5097" s="38">
        <v>0</v>
      </c>
      <c r="C5097" s="79">
        <v>0</v>
      </c>
    </row>
    <row r="5098" spans="1:3" x14ac:dyDescent="0.25">
      <c r="A5098" s="2">
        <v>0</v>
      </c>
      <c r="B5098" s="38">
        <v>0</v>
      </c>
      <c r="C5098" s="79">
        <v>0</v>
      </c>
    </row>
    <row r="5099" spans="1:3" x14ac:dyDescent="0.25">
      <c r="A5099" s="2">
        <v>0</v>
      </c>
      <c r="B5099" s="38">
        <v>0</v>
      </c>
      <c r="C5099" s="79">
        <v>0</v>
      </c>
    </row>
    <row r="5100" spans="1:3" x14ac:dyDescent="0.25">
      <c r="A5100" s="2">
        <v>0</v>
      </c>
      <c r="B5100" s="38">
        <v>0</v>
      </c>
      <c r="C5100" s="79">
        <v>0</v>
      </c>
    </row>
    <row r="5101" spans="1:3" x14ac:dyDescent="0.25">
      <c r="A5101" s="2">
        <v>0</v>
      </c>
      <c r="B5101" s="38">
        <v>0</v>
      </c>
      <c r="C5101" s="79">
        <v>0</v>
      </c>
    </row>
    <row r="5102" spans="1:3" x14ac:dyDescent="0.25">
      <c r="A5102" s="2">
        <v>0</v>
      </c>
      <c r="B5102" s="38">
        <v>0</v>
      </c>
      <c r="C5102" s="79">
        <v>0</v>
      </c>
    </row>
    <row r="5103" spans="1:3" x14ac:dyDescent="0.25">
      <c r="A5103" s="2">
        <v>0</v>
      </c>
      <c r="B5103" s="38">
        <v>0</v>
      </c>
      <c r="C5103" s="79">
        <v>0</v>
      </c>
    </row>
    <row r="5104" spans="1:3" x14ac:dyDescent="0.25">
      <c r="A5104" s="2">
        <v>0</v>
      </c>
      <c r="B5104" s="38">
        <v>0</v>
      </c>
      <c r="C5104" s="79">
        <v>0</v>
      </c>
    </row>
    <row r="5105" spans="1:3" x14ac:dyDescent="0.25">
      <c r="A5105" s="2">
        <v>0</v>
      </c>
      <c r="B5105" s="38">
        <v>0</v>
      </c>
      <c r="C5105" s="79">
        <v>0</v>
      </c>
    </row>
    <row r="5106" spans="1:3" x14ac:dyDescent="0.25">
      <c r="A5106" s="2">
        <v>0</v>
      </c>
      <c r="B5106" s="38">
        <v>0</v>
      </c>
      <c r="C5106" s="79">
        <v>0</v>
      </c>
    </row>
    <row r="5107" spans="1:3" x14ac:dyDescent="0.25">
      <c r="A5107" s="2">
        <v>0</v>
      </c>
      <c r="B5107" s="38">
        <v>0</v>
      </c>
      <c r="C5107" s="79">
        <v>0</v>
      </c>
    </row>
    <row r="5108" spans="1:3" x14ac:dyDescent="0.25">
      <c r="A5108" s="2">
        <v>0</v>
      </c>
      <c r="B5108" s="38">
        <v>0</v>
      </c>
      <c r="C5108" s="79">
        <v>0</v>
      </c>
    </row>
    <row r="5109" spans="1:3" x14ac:dyDescent="0.25">
      <c r="A5109" s="2">
        <v>0</v>
      </c>
      <c r="B5109" s="38">
        <v>0</v>
      </c>
      <c r="C5109" s="79">
        <v>0</v>
      </c>
    </row>
    <row r="5110" spans="1:3" x14ac:dyDescent="0.25">
      <c r="A5110" s="2">
        <v>0</v>
      </c>
      <c r="B5110" s="38">
        <v>0</v>
      </c>
      <c r="C5110" s="79">
        <v>0</v>
      </c>
    </row>
    <row r="5111" spans="1:3" x14ac:dyDescent="0.25">
      <c r="A5111" s="2">
        <v>0</v>
      </c>
      <c r="B5111" s="38">
        <v>0</v>
      </c>
      <c r="C5111" s="79">
        <v>0</v>
      </c>
    </row>
    <row r="5112" spans="1:3" x14ac:dyDescent="0.25">
      <c r="A5112" s="2">
        <v>0</v>
      </c>
      <c r="B5112" s="38">
        <v>0</v>
      </c>
      <c r="C5112" s="79">
        <v>0</v>
      </c>
    </row>
    <row r="5113" spans="1:3" x14ac:dyDescent="0.25">
      <c r="A5113" s="2">
        <v>0</v>
      </c>
      <c r="B5113" s="38">
        <v>0</v>
      </c>
      <c r="C5113" s="79">
        <v>0</v>
      </c>
    </row>
    <row r="5114" spans="1:3" x14ac:dyDescent="0.25">
      <c r="A5114" s="2">
        <v>0</v>
      </c>
      <c r="B5114" s="38">
        <v>0</v>
      </c>
      <c r="C5114" s="79">
        <v>0</v>
      </c>
    </row>
    <row r="5115" spans="1:3" x14ac:dyDescent="0.25">
      <c r="A5115" s="2">
        <v>0</v>
      </c>
      <c r="B5115" s="38">
        <v>0</v>
      </c>
      <c r="C5115" s="79">
        <v>0</v>
      </c>
    </row>
    <row r="5116" spans="1:3" x14ac:dyDescent="0.25">
      <c r="A5116" s="2">
        <v>0</v>
      </c>
      <c r="B5116" s="38">
        <v>0</v>
      </c>
      <c r="C5116" s="79">
        <v>0</v>
      </c>
    </row>
    <row r="5117" spans="1:3" x14ac:dyDescent="0.25">
      <c r="A5117" s="2">
        <v>0</v>
      </c>
      <c r="B5117" s="38">
        <v>0</v>
      </c>
      <c r="C5117" s="79">
        <v>0</v>
      </c>
    </row>
    <row r="5118" spans="1:3" x14ac:dyDescent="0.25">
      <c r="A5118" s="2">
        <v>0</v>
      </c>
      <c r="B5118" s="38">
        <v>0</v>
      </c>
      <c r="C5118" s="79">
        <v>0</v>
      </c>
    </row>
    <row r="5119" spans="1:3" x14ac:dyDescent="0.25">
      <c r="A5119" s="2">
        <v>0</v>
      </c>
      <c r="B5119" s="38">
        <v>0</v>
      </c>
      <c r="C5119" s="79">
        <v>0</v>
      </c>
    </row>
    <row r="5120" spans="1:3" x14ac:dyDescent="0.25">
      <c r="A5120" s="2">
        <v>0</v>
      </c>
      <c r="B5120" s="38">
        <v>0</v>
      </c>
      <c r="C5120" s="79">
        <v>0</v>
      </c>
    </row>
    <row r="5121" spans="1:3" x14ac:dyDescent="0.25">
      <c r="A5121" s="2">
        <v>0</v>
      </c>
      <c r="B5121" s="38">
        <v>0</v>
      </c>
      <c r="C5121" s="79">
        <v>0</v>
      </c>
    </row>
    <row r="5122" spans="1:3" x14ac:dyDescent="0.25">
      <c r="A5122" s="2">
        <v>0</v>
      </c>
      <c r="B5122" s="38">
        <v>0</v>
      </c>
      <c r="C5122" s="79">
        <v>0</v>
      </c>
    </row>
    <row r="5123" spans="1:3" x14ac:dyDescent="0.25">
      <c r="A5123" s="2">
        <v>0</v>
      </c>
      <c r="B5123" s="38">
        <v>0</v>
      </c>
      <c r="C5123" s="79">
        <v>0</v>
      </c>
    </row>
    <row r="5124" spans="1:3" x14ac:dyDescent="0.25">
      <c r="A5124" s="2">
        <v>0</v>
      </c>
      <c r="B5124" s="38">
        <v>0</v>
      </c>
      <c r="C5124" s="79">
        <v>0</v>
      </c>
    </row>
    <row r="5125" spans="1:3" x14ac:dyDescent="0.25">
      <c r="A5125" s="2">
        <v>0</v>
      </c>
      <c r="B5125" s="38">
        <v>0</v>
      </c>
      <c r="C5125" s="79">
        <v>0</v>
      </c>
    </row>
    <row r="5126" spans="1:3" x14ac:dyDescent="0.25">
      <c r="A5126" s="2">
        <v>0</v>
      </c>
      <c r="B5126" s="38">
        <v>0</v>
      </c>
      <c r="C5126" s="79">
        <v>0</v>
      </c>
    </row>
    <row r="5127" spans="1:3" x14ac:dyDescent="0.25">
      <c r="A5127" s="2">
        <v>0</v>
      </c>
      <c r="B5127" s="38">
        <v>0</v>
      </c>
      <c r="C5127" s="79">
        <v>0</v>
      </c>
    </row>
    <row r="5128" spans="1:3" x14ac:dyDescent="0.25">
      <c r="A5128" s="2">
        <v>0</v>
      </c>
      <c r="B5128" s="38">
        <v>0</v>
      </c>
      <c r="C5128" s="79">
        <v>0</v>
      </c>
    </row>
    <row r="5129" spans="1:3" x14ac:dyDescent="0.25">
      <c r="A5129" s="2">
        <v>0</v>
      </c>
      <c r="B5129" s="38">
        <v>0</v>
      </c>
      <c r="C5129" s="79">
        <v>0</v>
      </c>
    </row>
    <row r="5130" spans="1:3" x14ac:dyDescent="0.25">
      <c r="A5130" s="2">
        <v>0</v>
      </c>
      <c r="B5130" s="38">
        <v>0</v>
      </c>
      <c r="C5130" s="79">
        <v>0</v>
      </c>
    </row>
    <row r="5131" spans="1:3" x14ac:dyDescent="0.25">
      <c r="A5131" s="2">
        <v>0</v>
      </c>
      <c r="B5131" s="38">
        <v>0</v>
      </c>
      <c r="C5131" s="79">
        <v>0</v>
      </c>
    </row>
    <row r="5132" spans="1:3" x14ac:dyDescent="0.25">
      <c r="A5132" s="2">
        <v>0</v>
      </c>
      <c r="B5132" s="38">
        <v>0</v>
      </c>
      <c r="C5132" s="79">
        <v>0</v>
      </c>
    </row>
    <row r="5133" spans="1:3" x14ac:dyDescent="0.25">
      <c r="A5133" s="2">
        <v>0</v>
      </c>
      <c r="B5133" s="38">
        <v>0</v>
      </c>
      <c r="C5133" s="79">
        <v>0</v>
      </c>
    </row>
    <row r="5134" spans="1:3" x14ac:dyDescent="0.25">
      <c r="A5134" s="2">
        <v>0</v>
      </c>
      <c r="B5134" s="38">
        <v>0</v>
      </c>
      <c r="C5134" s="79">
        <v>0</v>
      </c>
    </row>
    <row r="5135" spans="1:3" x14ac:dyDescent="0.25">
      <c r="A5135" s="2">
        <v>0</v>
      </c>
      <c r="B5135" s="38">
        <v>0</v>
      </c>
      <c r="C5135" s="79">
        <v>0</v>
      </c>
    </row>
    <row r="5136" spans="1:3" x14ac:dyDescent="0.25">
      <c r="A5136" s="2">
        <v>0</v>
      </c>
      <c r="B5136" s="38">
        <v>0</v>
      </c>
      <c r="C5136" s="79">
        <v>0</v>
      </c>
    </row>
    <row r="5137" spans="1:3" x14ac:dyDescent="0.25">
      <c r="A5137" s="2">
        <v>0</v>
      </c>
      <c r="B5137" s="38">
        <v>0</v>
      </c>
      <c r="C5137" s="79">
        <v>0</v>
      </c>
    </row>
    <row r="5138" spans="1:3" x14ac:dyDescent="0.25">
      <c r="A5138" s="2">
        <v>0</v>
      </c>
      <c r="B5138" s="38">
        <v>0</v>
      </c>
      <c r="C5138" s="79">
        <v>0</v>
      </c>
    </row>
    <row r="5139" spans="1:3" x14ac:dyDescent="0.25">
      <c r="A5139" s="2">
        <v>0</v>
      </c>
      <c r="B5139" s="38">
        <v>0</v>
      </c>
      <c r="C5139" s="79">
        <v>0</v>
      </c>
    </row>
    <row r="5140" spans="1:3" x14ac:dyDescent="0.25">
      <c r="A5140" s="2">
        <v>0</v>
      </c>
      <c r="B5140" s="38">
        <v>0</v>
      </c>
      <c r="C5140" s="79">
        <v>0</v>
      </c>
    </row>
    <row r="5141" spans="1:3" x14ac:dyDescent="0.25">
      <c r="A5141" s="2">
        <v>0</v>
      </c>
      <c r="B5141" s="38">
        <v>0</v>
      </c>
      <c r="C5141" s="79">
        <v>0</v>
      </c>
    </row>
    <row r="5142" spans="1:3" x14ac:dyDescent="0.25">
      <c r="A5142" s="2">
        <v>0</v>
      </c>
      <c r="B5142" s="38">
        <v>0</v>
      </c>
      <c r="C5142" s="79">
        <v>0</v>
      </c>
    </row>
    <row r="5143" spans="1:3" x14ac:dyDescent="0.25">
      <c r="A5143" s="2">
        <v>0</v>
      </c>
      <c r="B5143" s="38">
        <v>0</v>
      </c>
      <c r="C5143" s="79">
        <v>0</v>
      </c>
    </row>
    <row r="5144" spans="1:3" x14ac:dyDescent="0.25">
      <c r="A5144" s="2">
        <v>0</v>
      </c>
      <c r="B5144" s="38">
        <v>0</v>
      </c>
      <c r="C5144" s="79">
        <v>0</v>
      </c>
    </row>
    <row r="5145" spans="1:3" x14ac:dyDescent="0.25">
      <c r="A5145" s="2">
        <v>0</v>
      </c>
      <c r="B5145" s="38">
        <v>0</v>
      </c>
      <c r="C5145" s="79">
        <v>0</v>
      </c>
    </row>
    <row r="5146" spans="1:3" x14ac:dyDescent="0.25">
      <c r="A5146" s="2">
        <v>0</v>
      </c>
      <c r="B5146" s="38">
        <v>0</v>
      </c>
      <c r="C5146" s="79">
        <v>0</v>
      </c>
    </row>
    <row r="5147" spans="1:3" x14ac:dyDescent="0.25">
      <c r="A5147" s="2">
        <v>0</v>
      </c>
      <c r="B5147" s="38">
        <v>0</v>
      </c>
      <c r="C5147" s="79">
        <v>0</v>
      </c>
    </row>
    <row r="5148" spans="1:3" x14ac:dyDescent="0.25">
      <c r="A5148" s="2">
        <v>0</v>
      </c>
      <c r="B5148" s="38">
        <v>0</v>
      </c>
      <c r="C5148" s="79">
        <v>0</v>
      </c>
    </row>
    <row r="5149" spans="1:3" x14ac:dyDescent="0.25">
      <c r="A5149" s="2">
        <v>0</v>
      </c>
      <c r="B5149" s="38">
        <v>0</v>
      </c>
      <c r="C5149" s="79">
        <v>0</v>
      </c>
    </row>
    <row r="5150" spans="1:3" x14ac:dyDescent="0.25">
      <c r="A5150" s="2">
        <v>0</v>
      </c>
      <c r="B5150" s="38">
        <v>0</v>
      </c>
      <c r="C5150" s="79">
        <v>0</v>
      </c>
    </row>
    <row r="5151" spans="1:3" x14ac:dyDescent="0.25">
      <c r="A5151" s="2">
        <v>0</v>
      </c>
      <c r="B5151" s="38">
        <v>0</v>
      </c>
      <c r="C5151" s="79">
        <v>0</v>
      </c>
    </row>
    <row r="5152" spans="1:3" x14ac:dyDescent="0.25">
      <c r="A5152" s="2">
        <v>0</v>
      </c>
      <c r="B5152" s="38">
        <v>0</v>
      </c>
      <c r="C5152" s="79">
        <v>0</v>
      </c>
    </row>
    <row r="5153" spans="1:3" x14ac:dyDescent="0.25">
      <c r="A5153" s="2">
        <v>0</v>
      </c>
      <c r="B5153" s="38">
        <v>0</v>
      </c>
      <c r="C5153" s="79">
        <v>0</v>
      </c>
    </row>
    <row r="5154" spans="1:3" x14ac:dyDescent="0.25">
      <c r="A5154" s="2">
        <v>0</v>
      </c>
      <c r="B5154" s="38">
        <v>0</v>
      </c>
      <c r="C5154" s="79">
        <v>0</v>
      </c>
    </row>
    <row r="5155" spans="1:3" x14ac:dyDescent="0.25">
      <c r="A5155" s="2">
        <v>0</v>
      </c>
      <c r="B5155" s="38">
        <v>0</v>
      </c>
      <c r="C5155" s="79">
        <v>0</v>
      </c>
    </row>
    <row r="5156" spans="1:3" x14ac:dyDescent="0.25">
      <c r="A5156" s="2">
        <v>0</v>
      </c>
      <c r="B5156" s="38">
        <v>0</v>
      </c>
      <c r="C5156" s="79">
        <v>0</v>
      </c>
    </row>
    <row r="5157" spans="1:3" x14ac:dyDescent="0.25">
      <c r="A5157" s="2">
        <v>0</v>
      </c>
      <c r="B5157" s="38">
        <v>0</v>
      </c>
      <c r="C5157" s="79">
        <v>0</v>
      </c>
    </row>
    <row r="5158" spans="1:3" x14ac:dyDescent="0.25">
      <c r="A5158" s="2">
        <v>0</v>
      </c>
      <c r="B5158" s="38">
        <v>0</v>
      </c>
      <c r="C5158" s="79">
        <v>0</v>
      </c>
    </row>
    <row r="5159" spans="1:3" x14ac:dyDescent="0.25">
      <c r="A5159" s="2">
        <v>0</v>
      </c>
      <c r="B5159" s="38">
        <v>0</v>
      </c>
      <c r="C5159" s="79">
        <v>0</v>
      </c>
    </row>
    <row r="5160" spans="1:3" x14ac:dyDescent="0.25">
      <c r="A5160" s="2">
        <v>0</v>
      </c>
      <c r="B5160" s="38">
        <v>0</v>
      </c>
      <c r="C5160" s="79">
        <v>0</v>
      </c>
    </row>
    <row r="5161" spans="1:3" x14ac:dyDescent="0.25">
      <c r="A5161" s="2">
        <v>0</v>
      </c>
      <c r="B5161" s="38">
        <v>0</v>
      </c>
      <c r="C5161" s="79">
        <v>0</v>
      </c>
    </row>
    <row r="5162" spans="1:3" x14ac:dyDescent="0.25">
      <c r="A5162" s="2">
        <v>0</v>
      </c>
      <c r="B5162" s="38">
        <v>0</v>
      </c>
      <c r="C5162" s="79">
        <v>0</v>
      </c>
    </row>
    <row r="5163" spans="1:3" x14ac:dyDescent="0.25">
      <c r="A5163" s="2">
        <v>0</v>
      </c>
      <c r="B5163" s="38">
        <v>0</v>
      </c>
      <c r="C5163" s="79">
        <v>0</v>
      </c>
    </row>
    <row r="5164" spans="1:3" x14ac:dyDescent="0.25">
      <c r="A5164" s="2">
        <v>0</v>
      </c>
      <c r="B5164" s="38">
        <v>0</v>
      </c>
      <c r="C5164" s="79">
        <v>0</v>
      </c>
    </row>
    <row r="5165" spans="1:3" x14ac:dyDescent="0.25">
      <c r="A5165" s="2">
        <v>0</v>
      </c>
      <c r="B5165" s="38">
        <v>0</v>
      </c>
      <c r="C5165" s="79">
        <v>0</v>
      </c>
    </row>
    <row r="5166" spans="1:3" x14ac:dyDescent="0.25">
      <c r="A5166" s="2">
        <v>0</v>
      </c>
      <c r="B5166" s="38">
        <v>0</v>
      </c>
      <c r="C5166" s="79">
        <v>0</v>
      </c>
    </row>
    <row r="5167" spans="1:3" x14ac:dyDescent="0.25">
      <c r="A5167" s="2">
        <v>0</v>
      </c>
      <c r="B5167" s="38">
        <v>0</v>
      </c>
      <c r="C5167" s="79">
        <v>0</v>
      </c>
    </row>
    <row r="5168" spans="1:3" x14ac:dyDescent="0.25">
      <c r="A5168" s="2">
        <v>0</v>
      </c>
      <c r="B5168" s="38">
        <v>0</v>
      </c>
      <c r="C5168" s="79">
        <v>0</v>
      </c>
    </row>
    <row r="5169" spans="1:3" x14ac:dyDescent="0.25">
      <c r="A5169" s="2">
        <v>0</v>
      </c>
      <c r="B5169" s="38">
        <v>0</v>
      </c>
      <c r="C5169" s="79">
        <v>0</v>
      </c>
    </row>
    <row r="5170" spans="1:3" x14ac:dyDescent="0.25">
      <c r="A5170" s="2">
        <v>0</v>
      </c>
      <c r="B5170" s="38">
        <v>0</v>
      </c>
      <c r="C5170" s="79">
        <v>0</v>
      </c>
    </row>
    <row r="5171" spans="1:3" x14ac:dyDescent="0.25">
      <c r="A5171" s="2">
        <v>0</v>
      </c>
      <c r="B5171" s="38">
        <v>0</v>
      </c>
      <c r="C5171" s="79">
        <v>0</v>
      </c>
    </row>
    <row r="5172" spans="1:3" x14ac:dyDescent="0.25">
      <c r="A5172" s="2">
        <v>0</v>
      </c>
      <c r="B5172" s="38">
        <v>0</v>
      </c>
      <c r="C5172" s="79">
        <v>0</v>
      </c>
    </row>
    <row r="5173" spans="1:3" x14ac:dyDescent="0.25">
      <c r="A5173" s="2">
        <v>0</v>
      </c>
      <c r="B5173" s="38">
        <v>0</v>
      </c>
      <c r="C5173" s="79">
        <v>0</v>
      </c>
    </row>
    <row r="5174" spans="1:3" x14ac:dyDescent="0.25">
      <c r="A5174" s="2">
        <v>0</v>
      </c>
      <c r="B5174" s="38">
        <v>0</v>
      </c>
      <c r="C5174" s="79">
        <v>0</v>
      </c>
    </row>
    <row r="5175" spans="1:3" x14ac:dyDescent="0.25">
      <c r="A5175" s="2">
        <v>0</v>
      </c>
      <c r="B5175" s="38">
        <v>0</v>
      </c>
      <c r="C5175" s="79">
        <v>0</v>
      </c>
    </row>
    <row r="5176" spans="1:3" x14ac:dyDescent="0.25">
      <c r="A5176" s="2">
        <v>0</v>
      </c>
      <c r="B5176" s="38">
        <v>0</v>
      </c>
      <c r="C5176" s="79">
        <v>0</v>
      </c>
    </row>
    <row r="5177" spans="1:3" x14ac:dyDescent="0.25">
      <c r="A5177" s="2">
        <v>0</v>
      </c>
      <c r="B5177" s="38">
        <v>0</v>
      </c>
      <c r="C5177" s="79">
        <v>0</v>
      </c>
    </row>
    <row r="5178" spans="1:3" x14ac:dyDescent="0.25">
      <c r="A5178" s="2">
        <v>0</v>
      </c>
      <c r="B5178" s="38">
        <v>0</v>
      </c>
      <c r="C5178" s="79">
        <v>0</v>
      </c>
    </row>
    <row r="5179" spans="1:3" x14ac:dyDescent="0.25">
      <c r="A5179" s="2">
        <v>0</v>
      </c>
      <c r="B5179" s="38">
        <v>0</v>
      </c>
      <c r="C5179" s="79">
        <v>0</v>
      </c>
    </row>
    <row r="5180" spans="1:3" x14ac:dyDescent="0.25">
      <c r="A5180" s="2">
        <v>0</v>
      </c>
      <c r="B5180" s="38">
        <v>0</v>
      </c>
      <c r="C5180" s="79">
        <v>0</v>
      </c>
    </row>
    <row r="5181" spans="1:3" x14ac:dyDescent="0.25">
      <c r="A5181" s="2">
        <v>0</v>
      </c>
      <c r="B5181" s="38">
        <v>0</v>
      </c>
      <c r="C5181" s="79">
        <v>0</v>
      </c>
    </row>
    <row r="5182" spans="1:3" x14ac:dyDescent="0.25">
      <c r="A5182" s="2">
        <v>0</v>
      </c>
      <c r="B5182" s="38">
        <v>0</v>
      </c>
      <c r="C5182" s="79">
        <v>0</v>
      </c>
    </row>
    <row r="5183" spans="1:3" x14ac:dyDescent="0.25">
      <c r="A5183" s="2">
        <v>0</v>
      </c>
      <c r="B5183" s="38">
        <v>0</v>
      </c>
      <c r="C5183" s="79">
        <v>0</v>
      </c>
    </row>
    <row r="5184" spans="1:3" x14ac:dyDescent="0.25">
      <c r="A5184" s="2">
        <v>0</v>
      </c>
      <c r="B5184" s="38">
        <v>0</v>
      </c>
      <c r="C5184" s="79">
        <v>0</v>
      </c>
    </row>
    <row r="5185" spans="1:3" x14ac:dyDescent="0.25">
      <c r="A5185" s="2">
        <v>0</v>
      </c>
      <c r="B5185" s="38">
        <v>0</v>
      </c>
      <c r="C5185" s="79">
        <v>0</v>
      </c>
    </row>
    <row r="5186" spans="1:3" x14ac:dyDescent="0.25">
      <c r="A5186" s="2">
        <v>0</v>
      </c>
      <c r="B5186" s="38">
        <v>0</v>
      </c>
      <c r="C5186" s="79">
        <v>0</v>
      </c>
    </row>
    <row r="5187" spans="1:3" x14ac:dyDescent="0.25">
      <c r="A5187" s="2">
        <v>0</v>
      </c>
      <c r="B5187" s="38">
        <v>0</v>
      </c>
      <c r="C5187" s="79">
        <v>0</v>
      </c>
    </row>
    <row r="5188" spans="1:3" x14ac:dyDescent="0.25">
      <c r="A5188" s="2">
        <v>0</v>
      </c>
      <c r="B5188" s="38">
        <v>0</v>
      </c>
      <c r="C5188" s="79">
        <v>0</v>
      </c>
    </row>
    <row r="5189" spans="1:3" x14ac:dyDescent="0.25">
      <c r="A5189" s="2">
        <v>0</v>
      </c>
      <c r="B5189" s="38">
        <v>0</v>
      </c>
      <c r="C5189" s="79">
        <v>0</v>
      </c>
    </row>
    <row r="5190" spans="1:3" x14ac:dyDescent="0.25">
      <c r="A5190" s="2">
        <v>0</v>
      </c>
      <c r="B5190" s="38">
        <v>0</v>
      </c>
      <c r="C5190" s="79">
        <v>0</v>
      </c>
    </row>
    <row r="5191" spans="1:3" x14ac:dyDescent="0.25">
      <c r="A5191" s="2">
        <v>0</v>
      </c>
      <c r="B5191" s="38">
        <v>0</v>
      </c>
      <c r="C5191" s="79">
        <v>0</v>
      </c>
    </row>
    <row r="5192" spans="1:3" x14ac:dyDescent="0.25">
      <c r="A5192" s="2">
        <v>0</v>
      </c>
      <c r="B5192" s="38">
        <v>0</v>
      </c>
      <c r="C5192" s="79">
        <v>0</v>
      </c>
    </row>
    <row r="5193" spans="1:3" x14ac:dyDescent="0.25">
      <c r="A5193" s="2">
        <v>0</v>
      </c>
      <c r="B5193" s="38">
        <v>0</v>
      </c>
      <c r="C5193" s="79">
        <v>0</v>
      </c>
    </row>
    <row r="5194" spans="1:3" x14ac:dyDescent="0.25">
      <c r="A5194" s="2">
        <v>0</v>
      </c>
      <c r="B5194" s="38">
        <v>0</v>
      </c>
      <c r="C5194" s="79">
        <v>0</v>
      </c>
    </row>
    <row r="5195" spans="1:3" x14ac:dyDescent="0.25">
      <c r="A5195" s="2">
        <v>0</v>
      </c>
      <c r="B5195" s="38">
        <v>0</v>
      </c>
      <c r="C5195" s="79">
        <v>0</v>
      </c>
    </row>
    <row r="5196" spans="1:3" x14ac:dyDescent="0.25">
      <c r="A5196" s="2">
        <v>0</v>
      </c>
      <c r="B5196" s="38">
        <v>0</v>
      </c>
      <c r="C5196" s="79">
        <v>0</v>
      </c>
    </row>
    <row r="5197" spans="1:3" x14ac:dyDescent="0.25">
      <c r="A5197" s="2">
        <v>0</v>
      </c>
      <c r="B5197" s="38">
        <v>0</v>
      </c>
      <c r="C5197" s="79">
        <v>0</v>
      </c>
    </row>
    <row r="5198" spans="1:3" x14ac:dyDescent="0.25">
      <c r="A5198" s="2">
        <v>0</v>
      </c>
      <c r="B5198" s="38">
        <v>0</v>
      </c>
      <c r="C5198" s="79">
        <v>0</v>
      </c>
    </row>
    <row r="5199" spans="1:3" x14ac:dyDescent="0.25">
      <c r="A5199" s="2">
        <v>0</v>
      </c>
      <c r="B5199" s="38">
        <v>0</v>
      </c>
      <c r="C5199" s="79">
        <v>0</v>
      </c>
    </row>
    <row r="5200" spans="1:3" x14ac:dyDescent="0.25">
      <c r="A5200" s="2">
        <v>0</v>
      </c>
      <c r="B5200" s="38">
        <v>0</v>
      </c>
      <c r="C5200" s="79">
        <v>0</v>
      </c>
    </row>
    <row r="5201" spans="1:3" x14ac:dyDescent="0.25">
      <c r="A5201" s="2">
        <v>0</v>
      </c>
      <c r="B5201" s="38">
        <v>0</v>
      </c>
      <c r="C5201" s="79">
        <v>0</v>
      </c>
    </row>
    <row r="5202" spans="1:3" x14ac:dyDescent="0.25">
      <c r="A5202" s="2">
        <v>0</v>
      </c>
      <c r="B5202" s="38">
        <v>0</v>
      </c>
      <c r="C5202" s="79">
        <v>0</v>
      </c>
    </row>
    <row r="5203" spans="1:3" x14ac:dyDescent="0.25">
      <c r="A5203" s="2">
        <v>0</v>
      </c>
      <c r="B5203" s="38">
        <v>0</v>
      </c>
      <c r="C5203" s="79">
        <v>0</v>
      </c>
    </row>
    <row r="5204" spans="1:3" x14ac:dyDescent="0.25">
      <c r="A5204" s="2">
        <v>0</v>
      </c>
      <c r="B5204" s="38">
        <v>0</v>
      </c>
      <c r="C5204" s="79">
        <v>0</v>
      </c>
    </row>
    <row r="5205" spans="1:3" x14ac:dyDescent="0.25">
      <c r="A5205" s="2">
        <v>0</v>
      </c>
      <c r="B5205" s="38">
        <v>0</v>
      </c>
      <c r="C5205" s="79">
        <v>0</v>
      </c>
    </row>
    <row r="5206" spans="1:3" x14ac:dyDescent="0.25">
      <c r="A5206" s="2">
        <v>0</v>
      </c>
      <c r="B5206" s="38">
        <v>0</v>
      </c>
      <c r="C5206" s="79">
        <v>0</v>
      </c>
    </row>
    <row r="5207" spans="1:3" x14ac:dyDescent="0.25">
      <c r="A5207" s="2">
        <v>0</v>
      </c>
      <c r="B5207" s="38">
        <v>0</v>
      </c>
      <c r="C5207" s="79">
        <v>0</v>
      </c>
    </row>
    <row r="5208" spans="1:3" x14ac:dyDescent="0.25">
      <c r="A5208" s="2">
        <v>0</v>
      </c>
      <c r="B5208" s="38">
        <v>0</v>
      </c>
      <c r="C5208" s="79">
        <v>0</v>
      </c>
    </row>
    <row r="5209" spans="1:3" x14ac:dyDescent="0.25">
      <c r="A5209" s="2">
        <v>0</v>
      </c>
      <c r="B5209" s="38">
        <v>0</v>
      </c>
      <c r="C5209" s="79">
        <v>0</v>
      </c>
    </row>
    <row r="5210" spans="1:3" x14ac:dyDescent="0.25">
      <c r="A5210" s="2">
        <v>0</v>
      </c>
      <c r="B5210" s="38">
        <v>0</v>
      </c>
      <c r="C5210" s="79">
        <v>0</v>
      </c>
    </row>
    <row r="5211" spans="1:3" x14ac:dyDescent="0.25">
      <c r="A5211" s="2">
        <v>0</v>
      </c>
      <c r="B5211" s="38">
        <v>0</v>
      </c>
      <c r="C5211" s="79">
        <v>0</v>
      </c>
    </row>
    <row r="5212" spans="1:3" x14ac:dyDescent="0.25">
      <c r="A5212" s="2">
        <v>0</v>
      </c>
      <c r="B5212" s="38">
        <v>0</v>
      </c>
      <c r="C5212" s="79">
        <v>0</v>
      </c>
    </row>
    <row r="5213" spans="1:3" x14ac:dyDescent="0.25">
      <c r="A5213" s="2">
        <v>0</v>
      </c>
      <c r="B5213" s="38">
        <v>0</v>
      </c>
      <c r="C5213" s="79">
        <v>0</v>
      </c>
    </row>
    <row r="5214" spans="1:3" x14ac:dyDescent="0.25">
      <c r="A5214" s="2">
        <v>0</v>
      </c>
      <c r="B5214" s="38">
        <v>0</v>
      </c>
      <c r="C5214" s="79">
        <v>0</v>
      </c>
    </row>
    <row r="5215" spans="1:3" x14ac:dyDescent="0.25">
      <c r="A5215" s="2">
        <v>0</v>
      </c>
      <c r="B5215" s="38">
        <v>0</v>
      </c>
      <c r="C5215" s="79">
        <v>0</v>
      </c>
    </row>
    <row r="5216" spans="1:3" x14ac:dyDescent="0.25">
      <c r="A5216" s="2">
        <v>0</v>
      </c>
      <c r="B5216" s="38">
        <v>0</v>
      </c>
      <c r="C5216" s="79">
        <v>0</v>
      </c>
    </row>
    <row r="5217" spans="1:3" x14ac:dyDescent="0.25">
      <c r="A5217" s="2">
        <v>0</v>
      </c>
      <c r="B5217" s="38">
        <v>0</v>
      </c>
      <c r="C5217" s="79">
        <v>0</v>
      </c>
    </row>
    <row r="5218" spans="1:3" x14ac:dyDescent="0.25">
      <c r="A5218" s="2">
        <v>0</v>
      </c>
      <c r="B5218" s="38">
        <v>0</v>
      </c>
      <c r="C5218" s="79">
        <v>0</v>
      </c>
    </row>
    <row r="5219" spans="1:3" x14ac:dyDescent="0.25">
      <c r="A5219" s="2">
        <v>0</v>
      </c>
      <c r="B5219" s="38">
        <v>0</v>
      </c>
      <c r="C5219" s="79">
        <v>0</v>
      </c>
    </row>
    <row r="5220" spans="1:3" x14ac:dyDescent="0.25">
      <c r="A5220" s="2">
        <v>0</v>
      </c>
      <c r="B5220" s="38">
        <v>0</v>
      </c>
      <c r="C5220" s="79">
        <v>0</v>
      </c>
    </row>
    <row r="5221" spans="1:3" x14ac:dyDescent="0.25">
      <c r="A5221" s="2">
        <v>0</v>
      </c>
      <c r="B5221" s="38">
        <v>0</v>
      </c>
      <c r="C5221" s="79">
        <v>0</v>
      </c>
    </row>
    <row r="5222" spans="1:3" x14ac:dyDescent="0.25">
      <c r="A5222" s="2">
        <v>0</v>
      </c>
      <c r="B5222" s="38">
        <v>0</v>
      </c>
      <c r="C5222" s="79">
        <v>0</v>
      </c>
    </row>
    <row r="5223" spans="1:3" x14ac:dyDescent="0.25">
      <c r="A5223" s="2">
        <v>0</v>
      </c>
      <c r="B5223" s="38">
        <v>0</v>
      </c>
      <c r="C5223" s="79">
        <v>0</v>
      </c>
    </row>
    <row r="5224" spans="1:3" x14ac:dyDescent="0.25">
      <c r="A5224" s="2">
        <v>0</v>
      </c>
      <c r="B5224" s="38">
        <v>0</v>
      </c>
      <c r="C5224" s="79">
        <v>0</v>
      </c>
    </row>
    <row r="5225" spans="1:3" x14ac:dyDescent="0.25">
      <c r="A5225" s="2">
        <v>0</v>
      </c>
      <c r="B5225" s="38">
        <v>0</v>
      </c>
      <c r="C5225" s="79">
        <v>0</v>
      </c>
    </row>
    <row r="5226" spans="1:3" x14ac:dyDescent="0.25">
      <c r="A5226" s="2">
        <v>0</v>
      </c>
      <c r="B5226" s="38">
        <v>0</v>
      </c>
      <c r="C5226" s="79">
        <v>0</v>
      </c>
    </row>
    <row r="5227" spans="1:3" x14ac:dyDescent="0.25">
      <c r="A5227" s="2">
        <v>0</v>
      </c>
      <c r="B5227" s="38">
        <v>0</v>
      </c>
      <c r="C5227" s="79">
        <v>0</v>
      </c>
    </row>
    <row r="5228" spans="1:3" x14ac:dyDescent="0.25">
      <c r="A5228" s="2">
        <v>0</v>
      </c>
      <c r="B5228" s="38">
        <v>0</v>
      </c>
      <c r="C5228" s="79">
        <v>0</v>
      </c>
    </row>
    <row r="5229" spans="1:3" x14ac:dyDescent="0.25">
      <c r="A5229" s="2">
        <v>0</v>
      </c>
      <c r="B5229" s="38">
        <v>0</v>
      </c>
      <c r="C5229" s="79">
        <v>0</v>
      </c>
    </row>
    <row r="5230" spans="1:3" x14ac:dyDescent="0.25">
      <c r="A5230" s="2">
        <v>0</v>
      </c>
      <c r="B5230" s="38">
        <v>0</v>
      </c>
      <c r="C5230" s="79">
        <v>0</v>
      </c>
    </row>
    <row r="5231" spans="1:3" x14ac:dyDescent="0.25">
      <c r="A5231" s="2">
        <v>0</v>
      </c>
      <c r="B5231" s="38">
        <v>0</v>
      </c>
      <c r="C5231" s="79">
        <v>0</v>
      </c>
    </row>
    <row r="5232" spans="1:3" x14ac:dyDescent="0.25">
      <c r="A5232" s="2">
        <v>0</v>
      </c>
      <c r="B5232" s="38">
        <v>0</v>
      </c>
      <c r="C5232" s="79">
        <v>0</v>
      </c>
    </row>
    <row r="5233" spans="1:3" x14ac:dyDescent="0.25">
      <c r="A5233" s="2">
        <v>0</v>
      </c>
      <c r="B5233" s="38">
        <v>0</v>
      </c>
      <c r="C5233" s="79">
        <v>0</v>
      </c>
    </row>
    <row r="5234" spans="1:3" x14ac:dyDescent="0.25">
      <c r="A5234" s="2">
        <v>0</v>
      </c>
      <c r="B5234" s="38">
        <v>0</v>
      </c>
      <c r="C5234" s="79">
        <v>0</v>
      </c>
    </row>
    <row r="5235" spans="1:3" x14ac:dyDescent="0.25">
      <c r="A5235" s="2">
        <v>0</v>
      </c>
      <c r="B5235" s="38">
        <v>0</v>
      </c>
      <c r="C5235" s="79">
        <v>0</v>
      </c>
    </row>
    <row r="5236" spans="1:3" x14ac:dyDescent="0.25">
      <c r="A5236" s="2">
        <v>0</v>
      </c>
      <c r="B5236" s="38">
        <v>0</v>
      </c>
      <c r="C5236" s="79">
        <v>0</v>
      </c>
    </row>
    <row r="5237" spans="1:3" x14ac:dyDescent="0.25">
      <c r="A5237" s="2">
        <v>0</v>
      </c>
      <c r="B5237" s="38">
        <v>0</v>
      </c>
      <c r="C5237" s="79">
        <v>0</v>
      </c>
    </row>
    <row r="5238" spans="1:3" x14ac:dyDescent="0.25">
      <c r="A5238" s="2">
        <v>0</v>
      </c>
      <c r="B5238" s="38">
        <v>0</v>
      </c>
      <c r="C5238" s="79">
        <v>0</v>
      </c>
    </row>
    <row r="5239" spans="1:3" x14ac:dyDescent="0.25">
      <c r="A5239" s="2">
        <v>0</v>
      </c>
      <c r="B5239" s="38">
        <v>0</v>
      </c>
      <c r="C5239" s="79">
        <v>0</v>
      </c>
    </row>
    <row r="5240" spans="1:3" x14ac:dyDescent="0.25">
      <c r="A5240" s="2">
        <v>0</v>
      </c>
      <c r="B5240" s="38">
        <v>0</v>
      </c>
      <c r="C5240" s="79">
        <v>0</v>
      </c>
    </row>
    <row r="5241" spans="1:3" x14ac:dyDescent="0.25">
      <c r="A5241" s="2">
        <v>0</v>
      </c>
      <c r="B5241" s="38">
        <v>0</v>
      </c>
      <c r="C5241" s="79">
        <v>0</v>
      </c>
    </row>
    <row r="5242" spans="1:3" x14ac:dyDescent="0.25">
      <c r="A5242" s="2">
        <v>0</v>
      </c>
      <c r="B5242" s="38">
        <v>0</v>
      </c>
      <c r="C5242" s="79">
        <v>0</v>
      </c>
    </row>
    <row r="5243" spans="1:3" x14ac:dyDescent="0.25">
      <c r="A5243" s="2">
        <v>0</v>
      </c>
      <c r="B5243" s="38">
        <v>0</v>
      </c>
      <c r="C5243" s="79">
        <v>0</v>
      </c>
    </row>
    <row r="5244" spans="1:3" x14ac:dyDescent="0.25">
      <c r="A5244" s="2">
        <v>0</v>
      </c>
      <c r="B5244" s="38">
        <v>0</v>
      </c>
      <c r="C5244" s="79">
        <v>0</v>
      </c>
    </row>
    <row r="5245" spans="1:3" x14ac:dyDescent="0.25">
      <c r="A5245" s="2">
        <v>0</v>
      </c>
      <c r="B5245" s="38">
        <v>0</v>
      </c>
      <c r="C5245" s="79">
        <v>0</v>
      </c>
    </row>
    <row r="5246" spans="1:3" x14ac:dyDescent="0.25">
      <c r="A5246" s="2">
        <v>0</v>
      </c>
      <c r="B5246" s="38">
        <v>0</v>
      </c>
      <c r="C5246" s="79">
        <v>0</v>
      </c>
    </row>
    <row r="5247" spans="1:3" x14ac:dyDescent="0.25">
      <c r="A5247" s="2">
        <v>0</v>
      </c>
      <c r="B5247" s="38">
        <v>0</v>
      </c>
      <c r="C5247" s="79">
        <v>0</v>
      </c>
    </row>
    <row r="5248" spans="1:3" x14ac:dyDescent="0.25">
      <c r="A5248" s="2">
        <v>0</v>
      </c>
      <c r="B5248" s="38">
        <v>0</v>
      </c>
      <c r="C5248" s="79">
        <v>0</v>
      </c>
    </row>
    <row r="5249" spans="1:3" x14ac:dyDescent="0.25">
      <c r="A5249" s="2">
        <v>0</v>
      </c>
      <c r="B5249" s="38">
        <v>0</v>
      </c>
      <c r="C5249" s="79">
        <v>0</v>
      </c>
    </row>
    <row r="5250" spans="1:3" x14ac:dyDescent="0.25">
      <c r="A5250" s="2">
        <v>0</v>
      </c>
      <c r="B5250" s="38">
        <v>0</v>
      </c>
      <c r="C5250" s="79">
        <v>0</v>
      </c>
    </row>
    <row r="5251" spans="1:3" x14ac:dyDescent="0.25">
      <c r="A5251" s="2">
        <v>0</v>
      </c>
      <c r="B5251" s="38">
        <v>0</v>
      </c>
      <c r="C5251" s="79">
        <v>0</v>
      </c>
    </row>
    <row r="5252" spans="1:3" x14ac:dyDescent="0.25">
      <c r="A5252" s="2">
        <v>0</v>
      </c>
      <c r="B5252" s="38">
        <v>0</v>
      </c>
      <c r="C5252" s="79">
        <v>0</v>
      </c>
    </row>
    <row r="5253" spans="1:3" x14ac:dyDescent="0.25">
      <c r="A5253" s="2">
        <v>0</v>
      </c>
      <c r="B5253" s="38">
        <v>0</v>
      </c>
      <c r="C5253" s="79">
        <v>0</v>
      </c>
    </row>
    <row r="5254" spans="1:3" x14ac:dyDescent="0.25">
      <c r="A5254" s="2">
        <v>0</v>
      </c>
      <c r="B5254" s="38">
        <v>0</v>
      </c>
      <c r="C5254" s="79">
        <v>0</v>
      </c>
    </row>
    <row r="5255" spans="1:3" x14ac:dyDescent="0.25">
      <c r="A5255" s="2">
        <v>0</v>
      </c>
      <c r="B5255" s="38">
        <v>0</v>
      </c>
      <c r="C5255" s="79">
        <v>0</v>
      </c>
    </row>
    <row r="5256" spans="1:3" x14ac:dyDescent="0.25">
      <c r="A5256" s="2">
        <v>0</v>
      </c>
      <c r="B5256" s="38">
        <v>0</v>
      </c>
      <c r="C5256" s="79">
        <v>0</v>
      </c>
    </row>
    <row r="5257" spans="1:3" x14ac:dyDescent="0.25">
      <c r="A5257" s="2">
        <v>0</v>
      </c>
      <c r="B5257" s="38">
        <v>0</v>
      </c>
      <c r="C5257" s="79">
        <v>0</v>
      </c>
    </row>
    <row r="5258" spans="1:3" x14ac:dyDescent="0.25">
      <c r="A5258" s="2">
        <v>0</v>
      </c>
      <c r="B5258" s="38">
        <v>0</v>
      </c>
      <c r="C5258" s="79">
        <v>0</v>
      </c>
    </row>
    <row r="5259" spans="1:3" x14ac:dyDescent="0.25">
      <c r="A5259" s="2">
        <v>0</v>
      </c>
      <c r="B5259" s="38">
        <v>0</v>
      </c>
      <c r="C5259" s="79">
        <v>0</v>
      </c>
    </row>
    <row r="5260" spans="1:3" x14ac:dyDescent="0.25">
      <c r="A5260" s="2">
        <v>0</v>
      </c>
      <c r="B5260" s="38">
        <v>0</v>
      </c>
      <c r="C5260" s="79">
        <v>0</v>
      </c>
    </row>
    <row r="5261" spans="1:3" x14ac:dyDescent="0.25">
      <c r="A5261" s="2">
        <v>0</v>
      </c>
      <c r="B5261" s="38">
        <v>0</v>
      </c>
      <c r="C5261" s="79">
        <v>0</v>
      </c>
    </row>
    <row r="5262" spans="1:3" x14ac:dyDescent="0.25">
      <c r="A5262" s="2">
        <v>0</v>
      </c>
      <c r="B5262" s="38">
        <v>0</v>
      </c>
      <c r="C5262" s="79">
        <v>0</v>
      </c>
    </row>
    <row r="5263" spans="1:3" x14ac:dyDescent="0.25">
      <c r="A5263" s="2">
        <v>0</v>
      </c>
      <c r="B5263" s="38">
        <v>0</v>
      </c>
      <c r="C5263" s="79">
        <v>0</v>
      </c>
    </row>
    <row r="5264" spans="1:3" x14ac:dyDescent="0.25">
      <c r="A5264" s="2">
        <v>0</v>
      </c>
      <c r="B5264" s="38">
        <v>0</v>
      </c>
      <c r="C5264" s="79">
        <v>0</v>
      </c>
    </row>
    <row r="5265" spans="1:3" x14ac:dyDescent="0.25">
      <c r="A5265" s="2">
        <v>0</v>
      </c>
      <c r="B5265" s="38">
        <v>0</v>
      </c>
      <c r="C5265" s="79">
        <v>0</v>
      </c>
    </row>
    <row r="5266" spans="1:3" x14ac:dyDescent="0.25">
      <c r="A5266" s="2">
        <v>0</v>
      </c>
      <c r="B5266" s="38">
        <v>0</v>
      </c>
      <c r="C5266" s="79">
        <v>0</v>
      </c>
    </row>
    <row r="5267" spans="1:3" x14ac:dyDescent="0.25">
      <c r="A5267" s="2">
        <v>0</v>
      </c>
      <c r="B5267" s="38">
        <v>0</v>
      </c>
      <c r="C5267" s="79">
        <v>0</v>
      </c>
    </row>
    <row r="5268" spans="1:3" x14ac:dyDescent="0.25">
      <c r="A5268" s="2">
        <v>0</v>
      </c>
      <c r="B5268" s="38">
        <v>0</v>
      </c>
      <c r="C5268" s="79">
        <v>0</v>
      </c>
    </row>
    <row r="5269" spans="1:3" x14ac:dyDescent="0.25">
      <c r="A5269" s="2">
        <v>0</v>
      </c>
      <c r="B5269" s="38">
        <v>0</v>
      </c>
      <c r="C5269" s="79">
        <v>0</v>
      </c>
    </row>
    <row r="5270" spans="1:3" x14ac:dyDescent="0.25">
      <c r="A5270" s="2">
        <v>0</v>
      </c>
      <c r="B5270" s="38">
        <v>0</v>
      </c>
      <c r="C5270" s="79">
        <v>0</v>
      </c>
    </row>
    <row r="5271" spans="1:3" x14ac:dyDescent="0.25">
      <c r="A5271" s="2">
        <v>0</v>
      </c>
      <c r="B5271" s="38">
        <v>0</v>
      </c>
      <c r="C5271" s="79">
        <v>0</v>
      </c>
    </row>
    <row r="5272" spans="1:3" x14ac:dyDescent="0.25">
      <c r="A5272" s="2">
        <v>0</v>
      </c>
      <c r="B5272" s="38">
        <v>0</v>
      </c>
      <c r="C5272" s="79">
        <v>0</v>
      </c>
    </row>
    <row r="5273" spans="1:3" x14ac:dyDescent="0.25">
      <c r="A5273" s="2">
        <v>0</v>
      </c>
      <c r="B5273" s="38">
        <v>0</v>
      </c>
      <c r="C5273" s="79">
        <v>0</v>
      </c>
    </row>
    <row r="5274" spans="1:3" x14ac:dyDescent="0.25">
      <c r="A5274" s="2">
        <v>0</v>
      </c>
      <c r="B5274" s="38">
        <v>0</v>
      </c>
      <c r="C5274" s="79">
        <v>0</v>
      </c>
    </row>
    <row r="5275" spans="1:3" x14ac:dyDescent="0.25">
      <c r="A5275" s="2">
        <v>0</v>
      </c>
      <c r="B5275" s="38">
        <v>0</v>
      </c>
      <c r="C5275" s="79">
        <v>0</v>
      </c>
    </row>
    <row r="5276" spans="1:3" x14ac:dyDescent="0.25">
      <c r="A5276" s="2">
        <v>0</v>
      </c>
      <c r="B5276" s="38">
        <v>0</v>
      </c>
      <c r="C5276" s="79">
        <v>0</v>
      </c>
    </row>
    <row r="5277" spans="1:3" x14ac:dyDescent="0.25">
      <c r="A5277" s="2">
        <v>0</v>
      </c>
      <c r="B5277" s="38">
        <v>0</v>
      </c>
      <c r="C5277" s="79">
        <v>0</v>
      </c>
    </row>
    <row r="5278" spans="1:3" x14ac:dyDescent="0.25">
      <c r="A5278" s="2">
        <v>0</v>
      </c>
      <c r="B5278" s="38">
        <v>0</v>
      </c>
      <c r="C5278" s="79">
        <v>0</v>
      </c>
    </row>
    <row r="5279" spans="1:3" x14ac:dyDescent="0.25">
      <c r="A5279" s="2">
        <v>0</v>
      </c>
      <c r="B5279" s="38">
        <v>0</v>
      </c>
      <c r="C5279" s="79">
        <v>0</v>
      </c>
    </row>
    <row r="5280" spans="1:3" x14ac:dyDescent="0.25">
      <c r="A5280" s="2">
        <v>0</v>
      </c>
      <c r="B5280" s="38">
        <v>0</v>
      </c>
      <c r="C5280" s="79">
        <v>0</v>
      </c>
    </row>
    <row r="5281" spans="1:3" x14ac:dyDescent="0.25">
      <c r="A5281" s="2">
        <v>0</v>
      </c>
      <c r="B5281" s="38">
        <v>0</v>
      </c>
      <c r="C5281" s="79">
        <v>0</v>
      </c>
    </row>
    <row r="5282" spans="1:3" x14ac:dyDescent="0.25">
      <c r="A5282" s="2">
        <v>0</v>
      </c>
      <c r="B5282" s="38">
        <v>0</v>
      </c>
      <c r="C5282" s="79">
        <v>0</v>
      </c>
    </row>
    <row r="5283" spans="1:3" x14ac:dyDescent="0.25">
      <c r="A5283" s="2">
        <v>0</v>
      </c>
      <c r="B5283" s="38">
        <v>0</v>
      </c>
      <c r="C5283" s="79">
        <v>0</v>
      </c>
    </row>
    <row r="5284" spans="1:3" x14ac:dyDescent="0.25">
      <c r="A5284" s="2">
        <v>0</v>
      </c>
      <c r="B5284" s="38">
        <v>0</v>
      </c>
      <c r="C5284" s="79">
        <v>0</v>
      </c>
    </row>
    <row r="5285" spans="1:3" x14ac:dyDescent="0.25">
      <c r="A5285" s="2">
        <v>0</v>
      </c>
      <c r="B5285" s="38">
        <v>0</v>
      </c>
      <c r="C5285" s="79">
        <v>0</v>
      </c>
    </row>
    <row r="5286" spans="1:3" x14ac:dyDescent="0.25">
      <c r="A5286" s="2">
        <v>0</v>
      </c>
      <c r="B5286" s="38">
        <v>0</v>
      </c>
      <c r="C5286" s="79">
        <v>0</v>
      </c>
    </row>
    <row r="5287" spans="1:3" x14ac:dyDescent="0.25">
      <c r="A5287" s="2">
        <v>0</v>
      </c>
      <c r="B5287" s="38">
        <v>0</v>
      </c>
      <c r="C5287" s="79">
        <v>0</v>
      </c>
    </row>
    <row r="5288" spans="1:3" x14ac:dyDescent="0.25">
      <c r="A5288" s="2">
        <v>0</v>
      </c>
      <c r="B5288" s="38">
        <v>0</v>
      </c>
      <c r="C5288" s="79">
        <v>0</v>
      </c>
    </row>
    <row r="5289" spans="1:3" x14ac:dyDescent="0.25">
      <c r="A5289" s="2">
        <v>0</v>
      </c>
      <c r="B5289" s="38">
        <v>0</v>
      </c>
      <c r="C5289" s="79">
        <v>0</v>
      </c>
    </row>
    <row r="5290" spans="1:3" x14ac:dyDescent="0.25">
      <c r="A5290" s="2">
        <v>0</v>
      </c>
      <c r="B5290" s="38">
        <v>0</v>
      </c>
      <c r="C5290" s="79">
        <v>0</v>
      </c>
    </row>
    <row r="5291" spans="1:3" x14ac:dyDescent="0.25">
      <c r="A5291" s="2">
        <v>0</v>
      </c>
      <c r="B5291" s="38">
        <v>0</v>
      </c>
      <c r="C5291" s="79">
        <v>0</v>
      </c>
    </row>
    <row r="5292" spans="1:3" x14ac:dyDescent="0.25">
      <c r="A5292" s="2">
        <v>0</v>
      </c>
      <c r="B5292" s="38">
        <v>0</v>
      </c>
      <c r="C5292" s="79">
        <v>0</v>
      </c>
    </row>
    <row r="5293" spans="1:3" x14ac:dyDescent="0.25">
      <c r="A5293" s="2">
        <v>0</v>
      </c>
      <c r="B5293" s="38">
        <v>0</v>
      </c>
      <c r="C5293" s="79">
        <v>0</v>
      </c>
    </row>
    <row r="5294" spans="1:3" x14ac:dyDescent="0.25">
      <c r="A5294" s="2">
        <v>0</v>
      </c>
      <c r="B5294" s="38">
        <v>0</v>
      </c>
      <c r="C5294" s="79">
        <v>0</v>
      </c>
    </row>
    <row r="5295" spans="1:3" x14ac:dyDescent="0.25">
      <c r="A5295" s="2">
        <v>0</v>
      </c>
      <c r="B5295" s="38">
        <v>0</v>
      </c>
      <c r="C5295" s="79">
        <v>0</v>
      </c>
    </row>
    <row r="5296" spans="1:3" x14ac:dyDescent="0.25">
      <c r="A5296" s="2">
        <v>0</v>
      </c>
      <c r="B5296" s="38">
        <v>0</v>
      </c>
      <c r="C5296" s="79">
        <v>0</v>
      </c>
    </row>
    <row r="5297" spans="1:3" x14ac:dyDescent="0.25">
      <c r="A5297" s="2">
        <v>0</v>
      </c>
      <c r="B5297" s="38">
        <v>0</v>
      </c>
      <c r="C5297" s="79">
        <v>0</v>
      </c>
    </row>
    <row r="5298" spans="1:3" x14ac:dyDescent="0.25">
      <c r="A5298" s="2">
        <v>0</v>
      </c>
      <c r="B5298" s="38">
        <v>0</v>
      </c>
      <c r="C5298" s="79">
        <v>0</v>
      </c>
    </row>
    <row r="5299" spans="1:3" x14ac:dyDescent="0.25">
      <c r="A5299" s="2">
        <v>0</v>
      </c>
      <c r="B5299" s="38">
        <v>0</v>
      </c>
      <c r="C5299" s="79">
        <v>0</v>
      </c>
    </row>
    <row r="5300" spans="1:3" x14ac:dyDescent="0.25">
      <c r="A5300" s="2">
        <v>0</v>
      </c>
      <c r="B5300" s="38">
        <v>0</v>
      </c>
      <c r="C5300" s="79">
        <v>0</v>
      </c>
    </row>
    <row r="5301" spans="1:3" x14ac:dyDescent="0.25">
      <c r="A5301" s="2">
        <v>0</v>
      </c>
      <c r="B5301" s="38">
        <v>0</v>
      </c>
      <c r="C5301" s="79">
        <v>0</v>
      </c>
    </row>
    <row r="5302" spans="1:3" x14ac:dyDescent="0.25">
      <c r="A5302" s="2">
        <v>0</v>
      </c>
      <c r="B5302" s="38">
        <v>0</v>
      </c>
      <c r="C5302" s="79">
        <v>0</v>
      </c>
    </row>
    <row r="5303" spans="1:3" x14ac:dyDescent="0.25">
      <c r="A5303" s="2">
        <v>0</v>
      </c>
      <c r="B5303" s="38">
        <v>0</v>
      </c>
      <c r="C5303" s="79">
        <v>0</v>
      </c>
    </row>
    <row r="5304" spans="1:3" x14ac:dyDescent="0.25">
      <c r="A5304" s="2">
        <v>0</v>
      </c>
      <c r="B5304" s="38">
        <v>0</v>
      </c>
      <c r="C5304" s="79">
        <v>0</v>
      </c>
    </row>
    <row r="5305" spans="1:3" x14ac:dyDescent="0.25">
      <c r="A5305" s="2">
        <v>0</v>
      </c>
      <c r="B5305" s="38">
        <v>0</v>
      </c>
      <c r="C5305" s="79">
        <v>0</v>
      </c>
    </row>
    <row r="5306" spans="1:3" x14ac:dyDescent="0.25">
      <c r="A5306" s="2">
        <v>0</v>
      </c>
      <c r="B5306" s="38">
        <v>0</v>
      </c>
      <c r="C5306" s="79">
        <v>0</v>
      </c>
    </row>
    <row r="5307" spans="1:3" x14ac:dyDescent="0.25">
      <c r="A5307" s="2">
        <v>0</v>
      </c>
      <c r="B5307" s="38">
        <v>0</v>
      </c>
      <c r="C5307" s="79">
        <v>0</v>
      </c>
    </row>
    <row r="5308" spans="1:3" x14ac:dyDescent="0.25">
      <c r="A5308" s="2">
        <v>0</v>
      </c>
      <c r="B5308" s="38">
        <v>0</v>
      </c>
      <c r="C5308" s="79">
        <v>0</v>
      </c>
    </row>
    <row r="5309" spans="1:3" x14ac:dyDescent="0.25">
      <c r="A5309" s="2">
        <v>0</v>
      </c>
      <c r="B5309" s="38">
        <v>0</v>
      </c>
      <c r="C5309" s="79">
        <v>0</v>
      </c>
    </row>
    <row r="5310" spans="1:3" x14ac:dyDescent="0.25">
      <c r="A5310" s="2">
        <v>0</v>
      </c>
      <c r="B5310" s="38">
        <v>0</v>
      </c>
      <c r="C5310" s="79">
        <v>0</v>
      </c>
    </row>
    <row r="5311" spans="1:3" x14ac:dyDescent="0.25">
      <c r="A5311" s="2">
        <v>0</v>
      </c>
      <c r="B5311" s="38">
        <v>0</v>
      </c>
      <c r="C5311" s="79">
        <v>0</v>
      </c>
    </row>
    <row r="5312" spans="1:3" x14ac:dyDescent="0.25">
      <c r="A5312" s="2">
        <v>0</v>
      </c>
      <c r="B5312" s="38">
        <v>0</v>
      </c>
      <c r="C5312" s="79">
        <v>0</v>
      </c>
    </row>
    <row r="5313" spans="1:3" x14ac:dyDescent="0.25">
      <c r="A5313" s="2">
        <v>0</v>
      </c>
      <c r="B5313" s="38">
        <v>0</v>
      </c>
      <c r="C5313" s="79">
        <v>0</v>
      </c>
    </row>
    <row r="5314" spans="1:3" x14ac:dyDescent="0.25">
      <c r="A5314" s="2">
        <v>0</v>
      </c>
      <c r="B5314" s="38">
        <v>0</v>
      </c>
      <c r="C5314" s="79">
        <v>0</v>
      </c>
    </row>
    <row r="5315" spans="1:3" x14ac:dyDescent="0.25">
      <c r="A5315" s="2">
        <v>0</v>
      </c>
      <c r="B5315" s="38">
        <v>0</v>
      </c>
      <c r="C5315" s="79">
        <v>0</v>
      </c>
    </row>
    <row r="5316" spans="1:3" x14ac:dyDescent="0.25">
      <c r="A5316" s="2">
        <v>0</v>
      </c>
      <c r="B5316" s="38">
        <v>0</v>
      </c>
      <c r="C5316" s="79">
        <v>0</v>
      </c>
    </row>
    <row r="5317" spans="1:3" x14ac:dyDescent="0.25">
      <c r="A5317" s="2">
        <v>0</v>
      </c>
      <c r="B5317" s="38">
        <v>0</v>
      </c>
      <c r="C5317" s="79">
        <v>0</v>
      </c>
    </row>
    <row r="5318" spans="1:3" x14ac:dyDescent="0.25">
      <c r="A5318" s="2">
        <v>0</v>
      </c>
      <c r="B5318" s="38">
        <v>0</v>
      </c>
      <c r="C5318" s="79">
        <v>0</v>
      </c>
    </row>
    <row r="5319" spans="1:3" x14ac:dyDescent="0.25">
      <c r="A5319" s="2">
        <v>0</v>
      </c>
      <c r="B5319" s="38">
        <v>0</v>
      </c>
      <c r="C5319" s="79">
        <v>0</v>
      </c>
    </row>
    <row r="5320" spans="1:3" x14ac:dyDescent="0.25">
      <c r="A5320" s="2">
        <v>0</v>
      </c>
      <c r="B5320" s="38">
        <v>0</v>
      </c>
      <c r="C5320" s="79">
        <v>0</v>
      </c>
    </row>
    <row r="5321" spans="1:3" x14ac:dyDescent="0.25">
      <c r="A5321" s="2">
        <v>0</v>
      </c>
      <c r="B5321" s="38">
        <v>0</v>
      </c>
      <c r="C5321" s="79">
        <v>0</v>
      </c>
    </row>
    <row r="5322" spans="1:3" x14ac:dyDescent="0.25">
      <c r="A5322" s="2">
        <v>0</v>
      </c>
      <c r="B5322" s="38">
        <v>0</v>
      </c>
      <c r="C5322" s="79">
        <v>0</v>
      </c>
    </row>
    <row r="5323" spans="1:3" x14ac:dyDescent="0.25">
      <c r="A5323" s="2">
        <v>0</v>
      </c>
      <c r="B5323" s="38">
        <v>0</v>
      </c>
      <c r="C5323" s="79">
        <v>0</v>
      </c>
    </row>
    <row r="5324" spans="1:3" x14ac:dyDescent="0.25">
      <c r="A5324" s="2">
        <v>0</v>
      </c>
      <c r="B5324" s="38">
        <v>0</v>
      </c>
      <c r="C5324" s="79">
        <v>0</v>
      </c>
    </row>
    <row r="5325" spans="1:3" x14ac:dyDescent="0.25">
      <c r="A5325" s="2">
        <v>0</v>
      </c>
      <c r="B5325" s="38">
        <v>0</v>
      </c>
      <c r="C5325" s="79">
        <v>0</v>
      </c>
    </row>
    <row r="5326" spans="1:3" x14ac:dyDescent="0.25">
      <c r="A5326" s="2">
        <v>0</v>
      </c>
      <c r="B5326" s="38">
        <v>0</v>
      </c>
      <c r="C5326" s="79">
        <v>0</v>
      </c>
    </row>
    <row r="5327" spans="1:3" x14ac:dyDescent="0.25">
      <c r="A5327" s="2">
        <v>0</v>
      </c>
      <c r="B5327" s="38">
        <v>0</v>
      </c>
      <c r="C5327" s="79">
        <v>0</v>
      </c>
    </row>
    <row r="5328" spans="1:3" x14ac:dyDescent="0.25">
      <c r="A5328" s="2">
        <v>0</v>
      </c>
      <c r="B5328" s="38">
        <v>0</v>
      </c>
      <c r="C5328" s="79">
        <v>0</v>
      </c>
    </row>
    <row r="5329" spans="1:3" x14ac:dyDescent="0.25">
      <c r="A5329" s="2">
        <v>0</v>
      </c>
      <c r="B5329" s="38">
        <v>0</v>
      </c>
      <c r="C5329" s="79">
        <v>0</v>
      </c>
    </row>
    <row r="5330" spans="1:3" x14ac:dyDescent="0.25">
      <c r="A5330" s="2">
        <v>0</v>
      </c>
      <c r="B5330" s="38">
        <v>0</v>
      </c>
      <c r="C5330" s="79">
        <v>0</v>
      </c>
    </row>
    <row r="5331" spans="1:3" x14ac:dyDescent="0.25">
      <c r="A5331" s="2">
        <v>0</v>
      </c>
      <c r="B5331" s="38">
        <v>0</v>
      </c>
      <c r="C5331" s="79">
        <v>0</v>
      </c>
    </row>
    <row r="5332" spans="1:3" x14ac:dyDescent="0.25">
      <c r="A5332" s="2">
        <v>0</v>
      </c>
      <c r="B5332" s="38">
        <v>0</v>
      </c>
      <c r="C5332" s="79">
        <v>0</v>
      </c>
    </row>
    <row r="5333" spans="1:3" x14ac:dyDescent="0.25">
      <c r="A5333" s="2">
        <v>0</v>
      </c>
      <c r="B5333" s="38">
        <v>0</v>
      </c>
      <c r="C5333" s="79">
        <v>0</v>
      </c>
    </row>
    <row r="5334" spans="1:3" x14ac:dyDescent="0.25">
      <c r="A5334" s="2">
        <v>0</v>
      </c>
      <c r="B5334" s="38">
        <v>0</v>
      </c>
      <c r="C5334" s="79">
        <v>0</v>
      </c>
    </row>
    <row r="5335" spans="1:3" x14ac:dyDescent="0.25">
      <c r="A5335" s="2">
        <v>0</v>
      </c>
      <c r="B5335" s="38">
        <v>0</v>
      </c>
      <c r="C5335" s="79">
        <v>0</v>
      </c>
    </row>
    <row r="5336" spans="1:3" x14ac:dyDescent="0.25">
      <c r="A5336" s="2">
        <v>0</v>
      </c>
      <c r="B5336" s="38">
        <v>0</v>
      </c>
      <c r="C5336" s="79">
        <v>0</v>
      </c>
    </row>
    <row r="5337" spans="1:3" x14ac:dyDescent="0.25">
      <c r="A5337" s="2">
        <v>0</v>
      </c>
      <c r="B5337" s="38">
        <v>0</v>
      </c>
      <c r="C5337" s="79">
        <v>0</v>
      </c>
    </row>
    <row r="5338" spans="1:3" x14ac:dyDescent="0.25">
      <c r="A5338" s="2">
        <v>0</v>
      </c>
      <c r="B5338" s="38">
        <v>0</v>
      </c>
      <c r="C5338" s="79">
        <v>0</v>
      </c>
    </row>
    <row r="5339" spans="1:3" x14ac:dyDescent="0.25">
      <c r="A5339" s="2">
        <v>0</v>
      </c>
      <c r="B5339" s="38">
        <v>0</v>
      </c>
      <c r="C5339" s="79">
        <v>0</v>
      </c>
    </row>
    <row r="5340" spans="1:3" x14ac:dyDescent="0.25">
      <c r="A5340" s="2">
        <v>0</v>
      </c>
      <c r="B5340" s="38">
        <v>0</v>
      </c>
      <c r="C5340" s="79">
        <v>0</v>
      </c>
    </row>
    <row r="5341" spans="1:3" x14ac:dyDescent="0.25">
      <c r="A5341" s="2">
        <v>0</v>
      </c>
      <c r="B5341" s="38">
        <v>0</v>
      </c>
      <c r="C5341" s="79">
        <v>0</v>
      </c>
    </row>
    <row r="5342" spans="1:3" x14ac:dyDescent="0.25">
      <c r="A5342" s="2">
        <v>0</v>
      </c>
      <c r="B5342" s="38">
        <v>0</v>
      </c>
      <c r="C5342" s="79">
        <v>0</v>
      </c>
    </row>
    <row r="5343" spans="1:3" x14ac:dyDescent="0.25">
      <c r="A5343" s="2">
        <v>0</v>
      </c>
      <c r="B5343" s="38">
        <v>0</v>
      </c>
      <c r="C5343" s="79">
        <v>0</v>
      </c>
    </row>
    <row r="5344" spans="1:3" x14ac:dyDescent="0.25">
      <c r="A5344" s="2">
        <v>0</v>
      </c>
      <c r="B5344" s="38">
        <v>0</v>
      </c>
      <c r="C5344" s="79">
        <v>0</v>
      </c>
    </row>
    <row r="5345" spans="1:3" x14ac:dyDescent="0.25">
      <c r="A5345" s="2">
        <v>0</v>
      </c>
      <c r="B5345" s="38">
        <v>0</v>
      </c>
      <c r="C5345" s="79">
        <v>0</v>
      </c>
    </row>
    <row r="5346" spans="1:3" x14ac:dyDescent="0.25">
      <c r="A5346" s="2">
        <v>0</v>
      </c>
      <c r="B5346" s="38">
        <v>0</v>
      </c>
      <c r="C5346" s="79">
        <v>0</v>
      </c>
    </row>
    <row r="5347" spans="1:3" x14ac:dyDescent="0.25">
      <c r="A5347" s="2">
        <v>0</v>
      </c>
      <c r="B5347" s="38">
        <v>0</v>
      </c>
      <c r="C5347" s="79">
        <v>0</v>
      </c>
    </row>
    <row r="5348" spans="1:3" x14ac:dyDescent="0.25">
      <c r="A5348" s="2">
        <v>0</v>
      </c>
      <c r="B5348" s="38">
        <v>0</v>
      </c>
      <c r="C5348" s="79">
        <v>0</v>
      </c>
    </row>
    <row r="5349" spans="1:3" x14ac:dyDescent="0.25">
      <c r="A5349" s="2">
        <v>0</v>
      </c>
      <c r="B5349" s="38">
        <v>0</v>
      </c>
      <c r="C5349" s="79">
        <v>0</v>
      </c>
    </row>
    <row r="5350" spans="1:3" x14ac:dyDescent="0.25">
      <c r="A5350" s="2">
        <v>0</v>
      </c>
      <c r="B5350" s="38">
        <v>0</v>
      </c>
      <c r="C5350" s="79">
        <v>0</v>
      </c>
    </row>
    <row r="5351" spans="1:3" x14ac:dyDescent="0.25">
      <c r="A5351" s="2">
        <v>0</v>
      </c>
      <c r="B5351" s="38">
        <v>0</v>
      </c>
      <c r="C5351" s="79">
        <v>0</v>
      </c>
    </row>
    <row r="5352" spans="1:3" x14ac:dyDescent="0.25">
      <c r="A5352" s="2">
        <v>0</v>
      </c>
      <c r="B5352" s="38">
        <v>0</v>
      </c>
      <c r="C5352" s="79">
        <v>0</v>
      </c>
    </row>
    <row r="5353" spans="1:3" x14ac:dyDescent="0.25">
      <c r="A5353" s="2">
        <v>0</v>
      </c>
      <c r="B5353" s="38">
        <v>0</v>
      </c>
      <c r="C5353" s="79">
        <v>0</v>
      </c>
    </row>
    <row r="5354" spans="1:3" x14ac:dyDescent="0.25">
      <c r="A5354" s="2">
        <v>0</v>
      </c>
      <c r="B5354" s="38">
        <v>0</v>
      </c>
      <c r="C5354" s="79">
        <v>0</v>
      </c>
    </row>
    <row r="5355" spans="1:3" x14ac:dyDescent="0.25">
      <c r="A5355" s="2">
        <v>0</v>
      </c>
      <c r="B5355" s="38">
        <v>0</v>
      </c>
      <c r="C5355" s="79">
        <v>0</v>
      </c>
    </row>
    <row r="5356" spans="1:3" x14ac:dyDescent="0.25">
      <c r="A5356" s="2">
        <v>0</v>
      </c>
      <c r="B5356" s="38">
        <v>0</v>
      </c>
      <c r="C5356" s="79">
        <v>0</v>
      </c>
    </row>
    <row r="5357" spans="1:3" x14ac:dyDescent="0.25">
      <c r="A5357" s="2">
        <v>0</v>
      </c>
      <c r="B5357" s="38">
        <v>0</v>
      </c>
      <c r="C5357" s="79">
        <v>0</v>
      </c>
    </row>
    <row r="5358" spans="1:3" x14ac:dyDescent="0.25">
      <c r="A5358" s="2">
        <v>0</v>
      </c>
      <c r="B5358" s="38">
        <v>0</v>
      </c>
      <c r="C5358" s="79">
        <v>0</v>
      </c>
    </row>
    <row r="5359" spans="1:3" x14ac:dyDescent="0.25">
      <c r="A5359" s="2">
        <v>0</v>
      </c>
      <c r="B5359" s="38">
        <v>0</v>
      </c>
      <c r="C5359" s="79">
        <v>0</v>
      </c>
    </row>
    <row r="5360" spans="1:3" x14ac:dyDescent="0.25">
      <c r="A5360" s="2">
        <v>0</v>
      </c>
      <c r="B5360" s="38">
        <v>0</v>
      </c>
      <c r="C5360" s="79">
        <v>0</v>
      </c>
    </row>
    <row r="5361" spans="1:3" x14ac:dyDescent="0.25">
      <c r="A5361" s="2">
        <v>0</v>
      </c>
      <c r="B5361" s="38">
        <v>0</v>
      </c>
      <c r="C5361" s="79">
        <v>0</v>
      </c>
    </row>
    <row r="5362" spans="1:3" x14ac:dyDescent="0.25">
      <c r="A5362" s="2">
        <v>0</v>
      </c>
      <c r="B5362" s="38">
        <v>0</v>
      </c>
      <c r="C5362" s="79">
        <v>0</v>
      </c>
    </row>
    <row r="5363" spans="1:3" x14ac:dyDescent="0.25">
      <c r="A5363" s="2">
        <v>0</v>
      </c>
      <c r="B5363" s="38">
        <v>0</v>
      </c>
      <c r="C5363" s="79">
        <v>0</v>
      </c>
    </row>
    <row r="5364" spans="1:3" x14ac:dyDescent="0.25">
      <c r="A5364" s="2">
        <v>0</v>
      </c>
      <c r="B5364" s="38">
        <v>0</v>
      </c>
      <c r="C5364" s="79">
        <v>0</v>
      </c>
    </row>
    <row r="5365" spans="1:3" x14ac:dyDescent="0.25">
      <c r="A5365" s="2">
        <v>0</v>
      </c>
      <c r="B5365" s="38">
        <v>0</v>
      </c>
      <c r="C5365" s="79">
        <v>0</v>
      </c>
    </row>
    <row r="5366" spans="1:3" x14ac:dyDescent="0.25">
      <c r="A5366" s="2">
        <v>0</v>
      </c>
      <c r="B5366" s="38">
        <v>0</v>
      </c>
      <c r="C5366" s="79">
        <v>0</v>
      </c>
    </row>
    <row r="5367" spans="1:3" x14ac:dyDescent="0.25">
      <c r="A5367" s="2">
        <v>0</v>
      </c>
      <c r="B5367" s="38">
        <v>0</v>
      </c>
      <c r="C5367" s="79">
        <v>0</v>
      </c>
    </row>
    <row r="5368" spans="1:3" x14ac:dyDescent="0.25">
      <c r="A5368" s="2">
        <v>0</v>
      </c>
      <c r="B5368" s="38">
        <v>0</v>
      </c>
      <c r="C5368" s="79">
        <v>0</v>
      </c>
    </row>
    <row r="5369" spans="1:3" x14ac:dyDescent="0.25">
      <c r="A5369" s="2">
        <v>0</v>
      </c>
      <c r="B5369" s="38">
        <v>0</v>
      </c>
      <c r="C5369" s="79">
        <v>0</v>
      </c>
    </row>
    <row r="5370" spans="1:3" x14ac:dyDescent="0.25">
      <c r="A5370" s="2">
        <v>0</v>
      </c>
      <c r="B5370" s="38">
        <v>0</v>
      </c>
      <c r="C5370" s="79">
        <v>0</v>
      </c>
    </row>
    <row r="5371" spans="1:3" x14ac:dyDescent="0.25">
      <c r="A5371" s="2">
        <v>0</v>
      </c>
      <c r="B5371" s="38">
        <v>0</v>
      </c>
      <c r="C5371" s="79">
        <v>0</v>
      </c>
    </row>
    <row r="5372" spans="1:3" x14ac:dyDescent="0.25">
      <c r="A5372" s="2">
        <v>0</v>
      </c>
      <c r="B5372" s="38">
        <v>0</v>
      </c>
      <c r="C5372" s="79">
        <v>0</v>
      </c>
    </row>
    <row r="5373" spans="1:3" x14ac:dyDescent="0.25">
      <c r="A5373" s="2">
        <v>0</v>
      </c>
      <c r="B5373" s="38">
        <v>0</v>
      </c>
      <c r="C5373" s="79">
        <v>0</v>
      </c>
    </row>
    <row r="5374" spans="1:3" x14ac:dyDescent="0.25">
      <c r="A5374" s="2">
        <v>0</v>
      </c>
      <c r="B5374" s="38">
        <v>0</v>
      </c>
      <c r="C5374" s="79">
        <v>0</v>
      </c>
    </row>
    <row r="5375" spans="1:3" x14ac:dyDescent="0.25">
      <c r="A5375" s="2">
        <v>0</v>
      </c>
      <c r="B5375" s="38">
        <v>0</v>
      </c>
      <c r="C5375" s="79">
        <v>0</v>
      </c>
    </row>
    <row r="5376" spans="1:3" x14ac:dyDescent="0.25">
      <c r="A5376" s="2">
        <v>0</v>
      </c>
      <c r="B5376" s="38">
        <v>0</v>
      </c>
      <c r="C5376" s="79">
        <v>0</v>
      </c>
    </row>
    <row r="5377" spans="1:3" x14ac:dyDescent="0.25">
      <c r="A5377" s="2">
        <v>0</v>
      </c>
      <c r="B5377" s="38">
        <v>0</v>
      </c>
      <c r="C5377" s="79">
        <v>0</v>
      </c>
    </row>
    <row r="5378" spans="1:3" x14ac:dyDescent="0.25">
      <c r="A5378" s="2">
        <v>0</v>
      </c>
      <c r="B5378" s="38">
        <v>0</v>
      </c>
      <c r="C5378" s="79">
        <v>0</v>
      </c>
    </row>
    <row r="5379" spans="1:3" x14ac:dyDescent="0.25">
      <c r="A5379" s="2">
        <v>0</v>
      </c>
      <c r="B5379" s="38">
        <v>0</v>
      </c>
      <c r="C5379" s="79">
        <v>0</v>
      </c>
    </row>
    <row r="5380" spans="1:3" x14ac:dyDescent="0.25">
      <c r="A5380" s="2">
        <v>0</v>
      </c>
      <c r="B5380" s="38">
        <v>0</v>
      </c>
      <c r="C5380" s="79">
        <v>0</v>
      </c>
    </row>
    <row r="5381" spans="1:3" x14ac:dyDescent="0.25">
      <c r="A5381" s="2">
        <v>0</v>
      </c>
      <c r="B5381" s="38">
        <v>0</v>
      </c>
      <c r="C5381" s="79">
        <v>0</v>
      </c>
    </row>
    <row r="5382" spans="1:3" x14ac:dyDescent="0.25">
      <c r="A5382" s="2">
        <v>0</v>
      </c>
      <c r="B5382" s="38">
        <v>0</v>
      </c>
      <c r="C5382" s="79">
        <v>0</v>
      </c>
    </row>
    <row r="5383" spans="1:3" x14ac:dyDescent="0.25">
      <c r="A5383" s="2">
        <v>0</v>
      </c>
      <c r="B5383" s="38">
        <v>0</v>
      </c>
      <c r="C5383" s="79">
        <v>0</v>
      </c>
    </row>
    <row r="5384" spans="1:3" x14ac:dyDescent="0.25">
      <c r="A5384" s="2">
        <v>0</v>
      </c>
      <c r="B5384" s="38">
        <v>0</v>
      </c>
      <c r="C5384" s="79">
        <v>0</v>
      </c>
    </row>
    <row r="5385" spans="1:3" x14ac:dyDescent="0.25">
      <c r="A5385" s="2">
        <v>0</v>
      </c>
      <c r="B5385" s="38">
        <v>0</v>
      </c>
      <c r="C5385" s="79">
        <v>0</v>
      </c>
    </row>
    <row r="5386" spans="1:3" x14ac:dyDescent="0.25">
      <c r="A5386" s="2">
        <v>0</v>
      </c>
      <c r="B5386" s="38">
        <v>0</v>
      </c>
      <c r="C5386" s="79">
        <v>0</v>
      </c>
    </row>
    <row r="5387" spans="1:3" x14ac:dyDescent="0.25">
      <c r="A5387" s="2">
        <v>0</v>
      </c>
      <c r="B5387" s="38">
        <v>0</v>
      </c>
      <c r="C5387" s="79">
        <v>0</v>
      </c>
    </row>
    <row r="5388" spans="1:3" x14ac:dyDescent="0.25">
      <c r="A5388" s="2">
        <v>0</v>
      </c>
      <c r="B5388" s="38">
        <v>0</v>
      </c>
      <c r="C5388" s="79">
        <v>0</v>
      </c>
    </row>
    <row r="5389" spans="1:3" x14ac:dyDescent="0.25">
      <c r="A5389" s="2">
        <v>0</v>
      </c>
      <c r="B5389" s="38">
        <v>0</v>
      </c>
      <c r="C5389" s="79">
        <v>0</v>
      </c>
    </row>
    <row r="5390" spans="1:3" x14ac:dyDescent="0.25">
      <c r="A5390" s="2">
        <v>0</v>
      </c>
      <c r="B5390" s="38">
        <v>0</v>
      </c>
      <c r="C5390" s="79">
        <v>0</v>
      </c>
    </row>
    <row r="5391" spans="1:3" x14ac:dyDescent="0.25">
      <c r="A5391" s="2">
        <v>0</v>
      </c>
      <c r="B5391" s="38">
        <v>0</v>
      </c>
      <c r="C5391" s="79">
        <v>0</v>
      </c>
    </row>
    <row r="5392" spans="1:3" x14ac:dyDescent="0.25">
      <c r="A5392" s="2">
        <v>0</v>
      </c>
      <c r="B5392" s="38">
        <v>0</v>
      </c>
      <c r="C5392" s="79">
        <v>0</v>
      </c>
    </row>
    <row r="5393" spans="1:3" x14ac:dyDescent="0.25">
      <c r="A5393" s="2">
        <v>0</v>
      </c>
      <c r="B5393" s="38">
        <v>0</v>
      </c>
      <c r="C5393" s="79">
        <v>0</v>
      </c>
    </row>
    <row r="5394" spans="1:3" x14ac:dyDescent="0.25">
      <c r="A5394" s="2">
        <v>0</v>
      </c>
      <c r="B5394" s="38">
        <v>0</v>
      </c>
      <c r="C5394" s="79">
        <v>0</v>
      </c>
    </row>
    <row r="5395" spans="1:3" x14ac:dyDescent="0.25">
      <c r="A5395" s="2">
        <v>0</v>
      </c>
      <c r="B5395" s="38">
        <v>0</v>
      </c>
      <c r="C5395" s="79">
        <v>0</v>
      </c>
    </row>
    <row r="5396" spans="1:3" x14ac:dyDescent="0.25">
      <c r="A5396" s="2">
        <v>0</v>
      </c>
      <c r="B5396" s="38">
        <v>0</v>
      </c>
      <c r="C5396" s="79">
        <v>0</v>
      </c>
    </row>
    <row r="5397" spans="1:3" x14ac:dyDescent="0.25">
      <c r="A5397" s="2">
        <v>0</v>
      </c>
      <c r="B5397" s="38">
        <v>0</v>
      </c>
      <c r="C5397" s="79">
        <v>0</v>
      </c>
    </row>
    <row r="5398" spans="1:3" x14ac:dyDescent="0.25">
      <c r="A5398" s="2">
        <v>0</v>
      </c>
      <c r="B5398" s="38">
        <v>0</v>
      </c>
      <c r="C5398" s="79">
        <v>0</v>
      </c>
    </row>
    <row r="5399" spans="1:3" x14ac:dyDescent="0.25">
      <c r="A5399" s="2">
        <v>0</v>
      </c>
      <c r="B5399" s="38">
        <v>0</v>
      </c>
      <c r="C5399" s="79">
        <v>0</v>
      </c>
    </row>
    <row r="5400" spans="1:3" x14ac:dyDescent="0.25">
      <c r="A5400" s="2">
        <v>0</v>
      </c>
      <c r="B5400" s="38">
        <v>0</v>
      </c>
      <c r="C5400" s="79">
        <v>0</v>
      </c>
    </row>
    <row r="5401" spans="1:3" x14ac:dyDescent="0.25">
      <c r="A5401" s="2">
        <v>0</v>
      </c>
      <c r="B5401" s="38">
        <v>0</v>
      </c>
      <c r="C5401" s="79">
        <v>0</v>
      </c>
    </row>
    <row r="5402" spans="1:3" x14ac:dyDescent="0.25">
      <c r="A5402" s="2">
        <v>0</v>
      </c>
      <c r="B5402" s="38">
        <v>0</v>
      </c>
      <c r="C5402" s="79">
        <v>0</v>
      </c>
    </row>
    <row r="5403" spans="1:3" x14ac:dyDescent="0.25">
      <c r="A5403" s="2">
        <v>0</v>
      </c>
      <c r="B5403" s="38">
        <v>0</v>
      </c>
      <c r="C5403" s="79">
        <v>0</v>
      </c>
    </row>
    <row r="5404" spans="1:3" x14ac:dyDescent="0.25">
      <c r="A5404" s="2">
        <v>0</v>
      </c>
      <c r="B5404" s="38">
        <v>0</v>
      </c>
      <c r="C5404" s="79">
        <v>0</v>
      </c>
    </row>
    <row r="5405" spans="1:3" x14ac:dyDescent="0.25">
      <c r="A5405" s="2">
        <v>0</v>
      </c>
      <c r="B5405" s="38">
        <v>0</v>
      </c>
      <c r="C5405" s="79">
        <v>0</v>
      </c>
    </row>
    <row r="5406" spans="1:3" x14ac:dyDescent="0.25">
      <c r="A5406" s="2">
        <v>0</v>
      </c>
      <c r="B5406" s="38">
        <v>0</v>
      </c>
      <c r="C5406" s="79">
        <v>0</v>
      </c>
    </row>
    <row r="5407" spans="1:3" x14ac:dyDescent="0.25">
      <c r="A5407" s="2">
        <v>0</v>
      </c>
      <c r="B5407" s="38">
        <v>0</v>
      </c>
      <c r="C5407" s="79">
        <v>0</v>
      </c>
    </row>
    <row r="5408" spans="1:3" x14ac:dyDescent="0.25">
      <c r="A5408" s="2">
        <v>0</v>
      </c>
      <c r="B5408" s="38">
        <v>0</v>
      </c>
      <c r="C5408" s="79">
        <v>0</v>
      </c>
    </row>
    <row r="5409" spans="1:3" x14ac:dyDescent="0.25">
      <c r="A5409" s="2">
        <v>0</v>
      </c>
      <c r="B5409" s="38">
        <v>0</v>
      </c>
      <c r="C5409" s="79">
        <v>0</v>
      </c>
    </row>
    <row r="5410" spans="1:3" x14ac:dyDescent="0.25">
      <c r="A5410" s="2">
        <v>0</v>
      </c>
      <c r="B5410" s="38">
        <v>0</v>
      </c>
      <c r="C5410" s="79">
        <v>0</v>
      </c>
    </row>
    <row r="5411" spans="1:3" x14ac:dyDescent="0.25">
      <c r="A5411" s="2">
        <v>0</v>
      </c>
      <c r="B5411" s="38">
        <v>0</v>
      </c>
      <c r="C5411" s="79">
        <v>0</v>
      </c>
    </row>
    <row r="5412" spans="1:3" x14ac:dyDescent="0.25">
      <c r="A5412" s="2">
        <v>0</v>
      </c>
      <c r="B5412" s="38">
        <v>0</v>
      </c>
      <c r="C5412" s="79">
        <v>0</v>
      </c>
    </row>
    <row r="5413" spans="1:3" x14ac:dyDescent="0.25">
      <c r="A5413" s="2">
        <v>0</v>
      </c>
      <c r="B5413" s="38">
        <v>0</v>
      </c>
      <c r="C5413" s="79">
        <v>0</v>
      </c>
    </row>
    <row r="5414" spans="1:3" x14ac:dyDescent="0.25">
      <c r="A5414" s="2">
        <v>0</v>
      </c>
      <c r="B5414" s="38">
        <v>0</v>
      </c>
      <c r="C5414" s="79">
        <v>0</v>
      </c>
    </row>
    <row r="5415" spans="1:3" x14ac:dyDescent="0.25">
      <c r="A5415" s="2">
        <v>0</v>
      </c>
      <c r="B5415" s="38">
        <v>0</v>
      </c>
      <c r="C5415" s="79">
        <v>0</v>
      </c>
    </row>
    <row r="5416" spans="1:3" x14ac:dyDescent="0.25">
      <c r="A5416" s="2">
        <v>0</v>
      </c>
      <c r="B5416" s="38">
        <v>0</v>
      </c>
      <c r="C5416" s="79">
        <v>0</v>
      </c>
    </row>
    <row r="5417" spans="1:3" x14ac:dyDescent="0.25">
      <c r="A5417" s="2">
        <v>0</v>
      </c>
      <c r="B5417" s="38">
        <v>0</v>
      </c>
      <c r="C5417" s="79">
        <v>0</v>
      </c>
    </row>
    <row r="5418" spans="1:3" x14ac:dyDescent="0.25">
      <c r="A5418" s="2">
        <v>0</v>
      </c>
      <c r="B5418" s="38">
        <v>0</v>
      </c>
      <c r="C5418" s="79">
        <v>0</v>
      </c>
    </row>
    <row r="5419" spans="1:3" x14ac:dyDescent="0.25">
      <c r="A5419" s="2">
        <v>0</v>
      </c>
      <c r="B5419" s="38">
        <v>0</v>
      </c>
      <c r="C5419" s="79">
        <v>0</v>
      </c>
    </row>
    <row r="5420" spans="1:3" x14ac:dyDescent="0.25">
      <c r="A5420" s="2">
        <v>0</v>
      </c>
      <c r="B5420" s="38">
        <v>0</v>
      </c>
      <c r="C5420" s="79">
        <v>0</v>
      </c>
    </row>
    <row r="5421" spans="1:3" x14ac:dyDescent="0.25">
      <c r="A5421" s="2">
        <v>0</v>
      </c>
      <c r="B5421" s="38">
        <v>0</v>
      </c>
      <c r="C5421" s="79">
        <v>0</v>
      </c>
    </row>
    <row r="5422" spans="1:3" x14ac:dyDescent="0.25">
      <c r="A5422" s="2">
        <v>0</v>
      </c>
      <c r="B5422" s="38">
        <v>0</v>
      </c>
      <c r="C5422" s="79">
        <v>0</v>
      </c>
    </row>
    <row r="5423" spans="1:3" x14ac:dyDescent="0.25">
      <c r="A5423" s="2">
        <v>0</v>
      </c>
      <c r="B5423" s="38">
        <v>0</v>
      </c>
      <c r="C5423" s="79">
        <v>0</v>
      </c>
    </row>
    <row r="5424" spans="1:3" x14ac:dyDescent="0.25">
      <c r="A5424" s="2">
        <v>0</v>
      </c>
      <c r="B5424" s="38">
        <v>0</v>
      </c>
      <c r="C5424" s="79">
        <v>0</v>
      </c>
    </row>
    <row r="5425" spans="1:3" x14ac:dyDescent="0.25">
      <c r="A5425" s="2">
        <v>0</v>
      </c>
      <c r="B5425" s="38">
        <v>0</v>
      </c>
      <c r="C5425" s="79">
        <v>0</v>
      </c>
    </row>
    <row r="5426" spans="1:3" x14ac:dyDescent="0.25">
      <c r="A5426" s="2">
        <v>0</v>
      </c>
      <c r="B5426" s="38">
        <v>0</v>
      </c>
      <c r="C5426" s="79">
        <v>0</v>
      </c>
    </row>
    <row r="5427" spans="1:3" x14ac:dyDescent="0.25">
      <c r="A5427" s="2">
        <v>0</v>
      </c>
      <c r="B5427" s="38">
        <v>0</v>
      </c>
      <c r="C5427" s="79">
        <v>0</v>
      </c>
    </row>
    <row r="5428" spans="1:3" x14ac:dyDescent="0.25">
      <c r="A5428" s="2">
        <v>0</v>
      </c>
      <c r="B5428" s="38">
        <v>0</v>
      </c>
      <c r="C5428" s="79">
        <v>0</v>
      </c>
    </row>
    <row r="5429" spans="1:3" x14ac:dyDescent="0.25">
      <c r="A5429" s="2">
        <v>0</v>
      </c>
      <c r="B5429" s="38">
        <v>0</v>
      </c>
      <c r="C5429" s="79">
        <v>0</v>
      </c>
    </row>
    <row r="5430" spans="1:3" x14ac:dyDescent="0.25">
      <c r="A5430" s="2">
        <v>0</v>
      </c>
      <c r="B5430" s="38">
        <v>0</v>
      </c>
      <c r="C5430" s="79">
        <v>0</v>
      </c>
    </row>
    <row r="5431" spans="1:3" x14ac:dyDescent="0.25">
      <c r="A5431" s="2">
        <v>0</v>
      </c>
      <c r="B5431" s="38">
        <v>0</v>
      </c>
      <c r="C5431" s="79">
        <v>0</v>
      </c>
    </row>
    <row r="5432" spans="1:3" x14ac:dyDescent="0.25">
      <c r="A5432" s="2">
        <v>0</v>
      </c>
      <c r="B5432" s="38">
        <v>0</v>
      </c>
      <c r="C5432" s="79">
        <v>0</v>
      </c>
    </row>
    <row r="5433" spans="1:3" x14ac:dyDescent="0.25">
      <c r="A5433" s="2">
        <v>0</v>
      </c>
      <c r="B5433" s="38">
        <v>0</v>
      </c>
      <c r="C5433" s="79">
        <v>0</v>
      </c>
    </row>
    <row r="5434" spans="1:3" x14ac:dyDescent="0.25">
      <c r="A5434" s="2">
        <v>0</v>
      </c>
      <c r="B5434" s="38">
        <v>0</v>
      </c>
      <c r="C5434" s="79">
        <v>0</v>
      </c>
    </row>
    <row r="5435" spans="1:3" x14ac:dyDescent="0.25">
      <c r="A5435" s="2">
        <v>0</v>
      </c>
      <c r="B5435" s="38">
        <v>0</v>
      </c>
      <c r="C5435" s="79">
        <v>0</v>
      </c>
    </row>
    <row r="5436" spans="1:3" x14ac:dyDescent="0.25">
      <c r="A5436" s="2">
        <v>0</v>
      </c>
      <c r="B5436" s="38">
        <v>0</v>
      </c>
      <c r="C5436" s="79">
        <v>0</v>
      </c>
    </row>
    <row r="5437" spans="1:3" x14ac:dyDescent="0.25">
      <c r="A5437" s="2">
        <v>0</v>
      </c>
      <c r="B5437" s="38">
        <v>0</v>
      </c>
      <c r="C5437" s="79">
        <v>0</v>
      </c>
    </row>
    <row r="5438" spans="1:3" x14ac:dyDescent="0.25">
      <c r="A5438" s="2">
        <v>0</v>
      </c>
      <c r="B5438" s="38">
        <v>0</v>
      </c>
      <c r="C5438" s="79">
        <v>0</v>
      </c>
    </row>
    <row r="5439" spans="1:3" x14ac:dyDescent="0.25">
      <c r="A5439" s="2">
        <v>0</v>
      </c>
      <c r="B5439" s="38">
        <v>0</v>
      </c>
      <c r="C5439" s="79">
        <v>0</v>
      </c>
    </row>
    <row r="5440" spans="1:3" x14ac:dyDescent="0.25">
      <c r="A5440" s="2">
        <v>0</v>
      </c>
      <c r="B5440" s="38">
        <v>0</v>
      </c>
      <c r="C5440" s="79">
        <v>0</v>
      </c>
    </row>
    <row r="5441" spans="1:3" x14ac:dyDescent="0.25">
      <c r="A5441" s="2">
        <v>0</v>
      </c>
      <c r="B5441" s="38">
        <v>0</v>
      </c>
      <c r="C5441" s="79">
        <v>0</v>
      </c>
    </row>
    <row r="5442" spans="1:3" x14ac:dyDescent="0.25">
      <c r="A5442" s="2">
        <v>0</v>
      </c>
      <c r="B5442" s="38">
        <v>0</v>
      </c>
      <c r="C5442" s="79">
        <v>0</v>
      </c>
    </row>
    <row r="5443" spans="1:3" x14ac:dyDescent="0.25">
      <c r="A5443" s="2">
        <v>0</v>
      </c>
      <c r="B5443" s="38">
        <v>0</v>
      </c>
      <c r="C5443" s="79">
        <v>0</v>
      </c>
    </row>
    <row r="5444" spans="1:3" x14ac:dyDescent="0.25">
      <c r="A5444" s="2">
        <v>0</v>
      </c>
      <c r="B5444" s="38">
        <v>0</v>
      </c>
      <c r="C5444" s="79">
        <v>0</v>
      </c>
    </row>
    <row r="5445" spans="1:3" x14ac:dyDescent="0.25">
      <c r="A5445" s="2">
        <v>0</v>
      </c>
      <c r="B5445" s="38">
        <v>0</v>
      </c>
      <c r="C5445" s="79">
        <v>0</v>
      </c>
    </row>
    <row r="5446" spans="1:3" x14ac:dyDescent="0.25">
      <c r="A5446" s="2">
        <v>0</v>
      </c>
      <c r="B5446" s="38">
        <v>0</v>
      </c>
      <c r="C5446" s="79">
        <v>0</v>
      </c>
    </row>
    <row r="5447" spans="1:3" x14ac:dyDescent="0.25">
      <c r="A5447" s="2">
        <v>0</v>
      </c>
      <c r="B5447" s="38">
        <v>0</v>
      </c>
      <c r="C5447" s="79">
        <v>0</v>
      </c>
    </row>
    <row r="5448" spans="1:3" x14ac:dyDescent="0.25">
      <c r="A5448" s="2">
        <v>0</v>
      </c>
      <c r="B5448" s="38">
        <v>0</v>
      </c>
      <c r="C5448" s="79">
        <v>0</v>
      </c>
    </row>
    <row r="5449" spans="1:3" x14ac:dyDescent="0.25">
      <c r="A5449" s="2">
        <v>0</v>
      </c>
      <c r="B5449" s="38">
        <v>0</v>
      </c>
      <c r="C5449" s="79">
        <v>0</v>
      </c>
    </row>
    <row r="5450" spans="1:3" x14ac:dyDescent="0.25">
      <c r="A5450" s="2">
        <v>0</v>
      </c>
      <c r="B5450" s="38">
        <v>0</v>
      </c>
      <c r="C5450" s="79">
        <v>0</v>
      </c>
    </row>
    <row r="5451" spans="1:3" x14ac:dyDescent="0.25">
      <c r="A5451" s="2">
        <v>0</v>
      </c>
      <c r="B5451" s="38">
        <v>0</v>
      </c>
      <c r="C5451" s="79">
        <v>0</v>
      </c>
    </row>
    <row r="5452" spans="1:3" x14ac:dyDescent="0.25">
      <c r="A5452" s="2">
        <v>0</v>
      </c>
      <c r="B5452" s="38">
        <v>0</v>
      </c>
      <c r="C5452" s="79">
        <v>0</v>
      </c>
    </row>
    <row r="5453" spans="1:3" x14ac:dyDescent="0.25">
      <c r="A5453" s="2">
        <v>0</v>
      </c>
      <c r="B5453" s="38">
        <v>0</v>
      </c>
      <c r="C5453" s="79">
        <v>0</v>
      </c>
    </row>
    <row r="5454" spans="1:3" x14ac:dyDescent="0.25">
      <c r="A5454" s="2">
        <v>0</v>
      </c>
      <c r="B5454" s="38">
        <v>0</v>
      </c>
      <c r="C5454" s="79">
        <v>0</v>
      </c>
    </row>
    <row r="5455" spans="1:3" x14ac:dyDescent="0.25">
      <c r="A5455" s="2">
        <v>0</v>
      </c>
      <c r="B5455" s="38">
        <v>0</v>
      </c>
      <c r="C5455" s="79">
        <v>0</v>
      </c>
    </row>
    <row r="5456" spans="1:3" x14ac:dyDescent="0.25">
      <c r="A5456" s="2">
        <v>0</v>
      </c>
      <c r="B5456" s="38">
        <v>0</v>
      </c>
      <c r="C5456" s="79">
        <v>0</v>
      </c>
    </row>
    <row r="5457" spans="1:3" x14ac:dyDescent="0.25">
      <c r="A5457" s="2">
        <v>0</v>
      </c>
      <c r="B5457" s="38">
        <v>0</v>
      </c>
      <c r="C5457" s="79">
        <v>0</v>
      </c>
    </row>
    <row r="5458" spans="1:3" x14ac:dyDescent="0.25">
      <c r="A5458" s="2">
        <v>0</v>
      </c>
      <c r="B5458" s="38">
        <v>0</v>
      </c>
      <c r="C5458" s="79">
        <v>0</v>
      </c>
    </row>
    <row r="5459" spans="1:3" x14ac:dyDescent="0.25">
      <c r="A5459" s="2">
        <v>0</v>
      </c>
      <c r="B5459" s="38">
        <v>0</v>
      </c>
      <c r="C5459" s="79">
        <v>0</v>
      </c>
    </row>
    <row r="5460" spans="1:3" x14ac:dyDescent="0.25">
      <c r="A5460" s="2">
        <v>0</v>
      </c>
      <c r="B5460" s="38">
        <v>0</v>
      </c>
      <c r="C5460" s="79">
        <v>0</v>
      </c>
    </row>
    <row r="5461" spans="1:3" x14ac:dyDescent="0.25">
      <c r="A5461" s="2">
        <v>0</v>
      </c>
      <c r="B5461" s="38">
        <v>0</v>
      </c>
      <c r="C5461" s="79">
        <v>0</v>
      </c>
    </row>
    <row r="5462" spans="1:3" x14ac:dyDescent="0.25">
      <c r="A5462" s="2">
        <v>0</v>
      </c>
      <c r="B5462" s="38">
        <v>0</v>
      </c>
      <c r="C5462" s="79">
        <v>0</v>
      </c>
    </row>
    <row r="5463" spans="1:3" x14ac:dyDescent="0.25">
      <c r="A5463" s="2">
        <v>0</v>
      </c>
      <c r="B5463" s="38">
        <v>0</v>
      </c>
      <c r="C5463" s="79">
        <v>0</v>
      </c>
    </row>
    <row r="5464" spans="1:3" x14ac:dyDescent="0.25">
      <c r="A5464" s="2">
        <v>0</v>
      </c>
      <c r="B5464" s="38">
        <v>0</v>
      </c>
      <c r="C5464" s="79">
        <v>0</v>
      </c>
    </row>
    <row r="5465" spans="1:3" x14ac:dyDescent="0.25">
      <c r="A5465" s="2">
        <v>0</v>
      </c>
      <c r="B5465" s="38">
        <v>0</v>
      </c>
      <c r="C5465" s="79">
        <v>0</v>
      </c>
    </row>
    <row r="5466" spans="1:3" x14ac:dyDescent="0.25">
      <c r="A5466" s="2">
        <v>0</v>
      </c>
      <c r="B5466" s="38">
        <v>0</v>
      </c>
      <c r="C5466" s="79">
        <v>0</v>
      </c>
    </row>
    <row r="5467" spans="1:3" x14ac:dyDescent="0.25">
      <c r="A5467" s="2">
        <v>0</v>
      </c>
      <c r="B5467" s="38">
        <v>0</v>
      </c>
      <c r="C5467" s="79">
        <v>0</v>
      </c>
    </row>
    <row r="5468" spans="1:3" x14ac:dyDescent="0.25">
      <c r="A5468" s="2">
        <v>0</v>
      </c>
      <c r="B5468" s="38">
        <v>0</v>
      </c>
      <c r="C5468" s="79">
        <v>0</v>
      </c>
    </row>
    <row r="5469" spans="1:3" x14ac:dyDescent="0.25">
      <c r="A5469" s="2">
        <v>0</v>
      </c>
      <c r="B5469" s="38">
        <v>0</v>
      </c>
      <c r="C5469" s="79">
        <v>0</v>
      </c>
    </row>
    <row r="5470" spans="1:3" x14ac:dyDescent="0.25">
      <c r="A5470" s="2">
        <v>0</v>
      </c>
      <c r="B5470" s="38">
        <v>0</v>
      </c>
      <c r="C5470" s="79">
        <v>0</v>
      </c>
    </row>
    <row r="5471" spans="1:3" x14ac:dyDescent="0.25">
      <c r="A5471" s="2">
        <v>0</v>
      </c>
      <c r="B5471" s="38">
        <v>0</v>
      </c>
      <c r="C5471" s="79">
        <v>0</v>
      </c>
    </row>
    <row r="5472" spans="1:3" x14ac:dyDescent="0.25">
      <c r="A5472" s="2">
        <v>0</v>
      </c>
      <c r="B5472" s="38">
        <v>0</v>
      </c>
      <c r="C5472" s="79">
        <v>0</v>
      </c>
    </row>
    <row r="5473" spans="1:3" x14ac:dyDescent="0.25">
      <c r="A5473" s="2">
        <v>0</v>
      </c>
      <c r="B5473" s="38">
        <v>0</v>
      </c>
      <c r="C5473" s="79">
        <v>0</v>
      </c>
    </row>
    <row r="5474" spans="1:3" x14ac:dyDescent="0.25">
      <c r="A5474" s="2">
        <v>0</v>
      </c>
      <c r="B5474" s="38">
        <v>0</v>
      </c>
      <c r="C5474" s="79">
        <v>0</v>
      </c>
    </row>
    <row r="5475" spans="1:3" x14ac:dyDescent="0.25">
      <c r="A5475" s="2">
        <v>0</v>
      </c>
      <c r="B5475" s="38">
        <v>0</v>
      </c>
      <c r="C5475" s="79">
        <v>0</v>
      </c>
    </row>
    <row r="5476" spans="1:3" x14ac:dyDescent="0.25">
      <c r="A5476" s="2">
        <v>0</v>
      </c>
      <c r="B5476" s="38">
        <v>0</v>
      </c>
      <c r="C5476" s="79">
        <v>0</v>
      </c>
    </row>
    <row r="5477" spans="1:3" x14ac:dyDescent="0.25">
      <c r="A5477" s="2">
        <v>0</v>
      </c>
      <c r="B5477" s="38">
        <v>0</v>
      </c>
      <c r="C5477" s="79">
        <v>0</v>
      </c>
    </row>
    <row r="5478" spans="1:3" x14ac:dyDescent="0.25">
      <c r="A5478" s="2">
        <v>0</v>
      </c>
      <c r="B5478" s="38">
        <v>0</v>
      </c>
      <c r="C5478" s="79">
        <v>0</v>
      </c>
    </row>
    <row r="5479" spans="1:3" x14ac:dyDescent="0.25">
      <c r="A5479" s="2">
        <v>0</v>
      </c>
      <c r="B5479" s="38">
        <v>0</v>
      </c>
      <c r="C5479" s="79">
        <v>0</v>
      </c>
    </row>
    <row r="5480" spans="1:3" x14ac:dyDescent="0.25">
      <c r="A5480" s="2">
        <v>0</v>
      </c>
      <c r="B5480" s="38">
        <v>0</v>
      </c>
      <c r="C5480" s="79">
        <v>0</v>
      </c>
    </row>
    <row r="5481" spans="1:3" x14ac:dyDescent="0.25">
      <c r="A5481" s="2">
        <v>0</v>
      </c>
      <c r="B5481" s="38">
        <v>0</v>
      </c>
      <c r="C5481" s="79">
        <v>0</v>
      </c>
    </row>
    <row r="5482" spans="1:3" x14ac:dyDescent="0.25">
      <c r="A5482" s="2">
        <v>0</v>
      </c>
      <c r="B5482" s="38">
        <v>0</v>
      </c>
      <c r="C5482" s="79">
        <v>0</v>
      </c>
    </row>
    <row r="5483" spans="1:3" x14ac:dyDescent="0.25">
      <c r="A5483" s="2">
        <v>0</v>
      </c>
      <c r="B5483" s="38">
        <v>0</v>
      </c>
      <c r="C5483" s="79">
        <v>0</v>
      </c>
    </row>
    <row r="5484" spans="1:3" x14ac:dyDescent="0.25">
      <c r="A5484" s="2">
        <v>0</v>
      </c>
      <c r="B5484" s="38">
        <v>0</v>
      </c>
      <c r="C5484" s="79">
        <v>0</v>
      </c>
    </row>
    <row r="5485" spans="1:3" x14ac:dyDescent="0.25">
      <c r="A5485" s="2">
        <v>0</v>
      </c>
      <c r="B5485" s="38">
        <v>0</v>
      </c>
      <c r="C5485" s="79">
        <v>0</v>
      </c>
    </row>
    <row r="5486" spans="1:3" x14ac:dyDescent="0.25">
      <c r="A5486" s="2">
        <v>0</v>
      </c>
      <c r="B5486" s="38">
        <v>0</v>
      </c>
      <c r="C5486" s="79">
        <v>0</v>
      </c>
    </row>
    <row r="5487" spans="1:3" x14ac:dyDescent="0.25">
      <c r="A5487" s="2">
        <v>0</v>
      </c>
      <c r="B5487" s="38">
        <v>0</v>
      </c>
      <c r="C5487" s="79">
        <v>0</v>
      </c>
    </row>
    <row r="5488" spans="1:3" x14ac:dyDescent="0.25">
      <c r="A5488" s="2">
        <v>0</v>
      </c>
      <c r="B5488" s="38">
        <v>0</v>
      </c>
      <c r="C5488" s="79">
        <v>0</v>
      </c>
    </row>
    <row r="5489" spans="1:3" x14ac:dyDescent="0.25">
      <c r="A5489" s="2">
        <v>0</v>
      </c>
      <c r="B5489" s="38">
        <v>0</v>
      </c>
      <c r="C5489" s="79">
        <v>0</v>
      </c>
    </row>
    <row r="5490" spans="1:3" x14ac:dyDescent="0.25">
      <c r="A5490" s="2">
        <v>0</v>
      </c>
      <c r="B5490" s="38">
        <v>0</v>
      </c>
      <c r="C5490" s="79">
        <v>0</v>
      </c>
    </row>
    <row r="5491" spans="1:3" x14ac:dyDescent="0.25">
      <c r="A5491" s="2">
        <v>0</v>
      </c>
      <c r="B5491" s="38">
        <v>0</v>
      </c>
      <c r="C5491" s="79">
        <v>0</v>
      </c>
    </row>
    <row r="5492" spans="1:3" x14ac:dyDescent="0.25">
      <c r="A5492" s="2">
        <v>0</v>
      </c>
      <c r="B5492" s="38">
        <v>0</v>
      </c>
      <c r="C5492" s="79">
        <v>0</v>
      </c>
    </row>
    <row r="5493" spans="1:3" x14ac:dyDescent="0.25">
      <c r="A5493" s="2">
        <v>0</v>
      </c>
      <c r="B5493" s="38">
        <v>0</v>
      </c>
      <c r="C5493" s="79">
        <v>0</v>
      </c>
    </row>
    <row r="5494" spans="1:3" x14ac:dyDescent="0.25">
      <c r="A5494" s="2">
        <v>0</v>
      </c>
      <c r="B5494" s="38">
        <v>0</v>
      </c>
      <c r="C5494" s="79">
        <v>0</v>
      </c>
    </row>
    <row r="5495" spans="1:3" x14ac:dyDescent="0.25">
      <c r="A5495" s="2">
        <v>0</v>
      </c>
      <c r="B5495" s="38">
        <v>0</v>
      </c>
      <c r="C5495" s="79">
        <v>0</v>
      </c>
    </row>
    <row r="5496" spans="1:3" x14ac:dyDescent="0.25">
      <c r="A5496" s="2">
        <v>0</v>
      </c>
      <c r="B5496" s="38">
        <v>0</v>
      </c>
      <c r="C5496" s="79">
        <v>0</v>
      </c>
    </row>
    <row r="5497" spans="1:3" x14ac:dyDescent="0.25">
      <c r="A5497" s="2">
        <v>0</v>
      </c>
      <c r="B5497" s="38">
        <v>0</v>
      </c>
      <c r="C5497" s="79">
        <v>0</v>
      </c>
    </row>
    <row r="5498" spans="1:3" x14ac:dyDescent="0.25">
      <c r="A5498" s="2">
        <v>0</v>
      </c>
      <c r="B5498" s="38">
        <v>0</v>
      </c>
      <c r="C5498" s="79">
        <v>0</v>
      </c>
    </row>
    <row r="5499" spans="1:3" x14ac:dyDescent="0.25">
      <c r="A5499" s="2">
        <v>0</v>
      </c>
      <c r="B5499" s="38">
        <v>0</v>
      </c>
      <c r="C5499" s="79">
        <v>0</v>
      </c>
    </row>
    <row r="5500" spans="1:3" x14ac:dyDescent="0.25">
      <c r="A5500" s="2">
        <v>0</v>
      </c>
      <c r="B5500" s="38">
        <v>0</v>
      </c>
      <c r="C5500" s="79">
        <v>0</v>
      </c>
    </row>
    <row r="5501" spans="1:3" x14ac:dyDescent="0.25">
      <c r="A5501" s="2">
        <v>0</v>
      </c>
      <c r="B5501" s="38">
        <v>0</v>
      </c>
      <c r="C5501" s="79">
        <v>0</v>
      </c>
    </row>
    <row r="5502" spans="1:3" x14ac:dyDescent="0.25">
      <c r="A5502" s="2">
        <v>0</v>
      </c>
      <c r="B5502" s="38">
        <v>0</v>
      </c>
      <c r="C5502" s="79">
        <v>0</v>
      </c>
    </row>
    <row r="5503" spans="1:3" x14ac:dyDescent="0.25">
      <c r="A5503" s="2">
        <v>0</v>
      </c>
      <c r="B5503" s="38">
        <v>0</v>
      </c>
      <c r="C5503" s="79">
        <v>0</v>
      </c>
    </row>
    <row r="5504" spans="1:3" x14ac:dyDescent="0.25">
      <c r="A5504" s="2">
        <v>0</v>
      </c>
      <c r="B5504" s="38">
        <v>0</v>
      </c>
      <c r="C5504" s="79">
        <v>0</v>
      </c>
    </row>
    <row r="5505" spans="1:3" x14ac:dyDescent="0.25">
      <c r="A5505" s="2">
        <v>0</v>
      </c>
      <c r="B5505" s="38">
        <v>0</v>
      </c>
      <c r="C5505" s="79">
        <v>0</v>
      </c>
    </row>
    <row r="5506" spans="1:3" x14ac:dyDescent="0.25">
      <c r="A5506" s="2">
        <v>0</v>
      </c>
      <c r="B5506" s="38">
        <v>0</v>
      </c>
      <c r="C5506" s="79">
        <v>0</v>
      </c>
    </row>
    <row r="5507" spans="1:3" x14ac:dyDescent="0.25">
      <c r="A5507" s="2">
        <v>0</v>
      </c>
      <c r="B5507" s="38">
        <v>0</v>
      </c>
      <c r="C5507" s="79">
        <v>0</v>
      </c>
    </row>
    <row r="5508" spans="1:3" x14ac:dyDescent="0.25">
      <c r="A5508" s="2">
        <v>0</v>
      </c>
      <c r="B5508" s="38">
        <v>0</v>
      </c>
      <c r="C5508" s="79">
        <v>0</v>
      </c>
    </row>
    <row r="5509" spans="1:3" x14ac:dyDescent="0.25">
      <c r="A5509" s="2">
        <v>0</v>
      </c>
      <c r="B5509" s="38">
        <v>0</v>
      </c>
      <c r="C5509" s="79">
        <v>0</v>
      </c>
    </row>
    <row r="5510" spans="1:3" x14ac:dyDescent="0.25">
      <c r="A5510" s="2">
        <v>0</v>
      </c>
      <c r="B5510" s="38">
        <v>0</v>
      </c>
      <c r="C5510" s="79">
        <v>0</v>
      </c>
    </row>
    <row r="5511" spans="1:3" x14ac:dyDescent="0.25">
      <c r="A5511" s="2">
        <v>0</v>
      </c>
      <c r="B5511" s="38">
        <v>0</v>
      </c>
      <c r="C5511" s="79">
        <v>0</v>
      </c>
    </row>
    <row r="5512" spans="1:3" x14ac:dyDescent="0.25">
      <c r="A5512" s="2">
        <v>0</v>
      </c>
      <c r="B5512" s="38">
        <v>0</v>
      </c>
      <c r="C5512" s="79">
        <v>0</v>
      </c>
    </row>
    <row r="5513" spans="1:3" x14ac:dyDescent="0.25">
      <c r="A5513" s="2">
        <v>0</v>
      </c>
      <c r="B5513" s="38">
        <v>0</v>
      </c>
      <c r="C5513" s="79">
        <v>0</v>
      </c>
    </row>
    <row r="5514" spans="1:3" x14ac:dyDescent="0.25">
      <c r="A5514" s="2">
        <v>0</v>
      </c>
      <c r="B5514" s="38">
        <v>0</v>
      </c>
      <c r="C5514" s="79">
        <v>0</v>
      </c>
    </row>
    <row r="5515" spans="1:3" x14ac:dyDescent="0.25">
      <c r="A5515" s="2">
        <v>0</v>
      </c>
      <c r="B5515" s="38">
        <v>0</v>
      </c>
      <c r="C5515" s="79">
        <v>0</v>
      </c>
    </row>
    <row r="5516" spans="1:3" x14ac:dyDescent="0.25">
      <c r="A5516" s="2">
        <v>0</v>
      </c>
      <c r="B5516" s="38">
        <v>0</v>
      </c>
      <c r="C5516" s="79">
        <v>0</v>
      </c>
    </row>
    <row r="5517" spans="1:3" x14ac:dyDescent="0.25">
      <c r="A5517" s="2">
        <v>0</v>
      </c>
      <c r="B5517" s="38">
        <v>0</v>
      </c>
      <c r="C5517" s="79">
        <v>0</v>
      </c>
    </row>
    <row r="5518" spans="1:3" x14ac:dyDescent="0.25">
      <c r="A5518" s="2">
        <v>0</v>
      </c>
      <c r="B5518" s="38">
        <v>0</v>
      </c>
      <c r="C5518" s="79">
        <v>0</v>
      </c>
    </row>
    <row r="5519" spans="1:3" x14ac:dyDescent="0.25">
      <c r="A5519" s="2">
        <v>0</v>
      </c>
      <c r="B5519" s="38">
        <v>0</v>
      </c>
      <c r="C5519" s="79">
        <v>0</v>
      </c>
    </row>
    <row r="5520" spans="1:3" x14ac:dyDescent="0.25">
      <c r="A5520" s="2">
        <v>0</v>
      </c>
      <c r="B5520" s="38">
        <v>0</v>
      </c>
      <c r="C5520" s="79">
        <v>0</v>
      </c>
    </row>
    <row r="5521" spans="1:3" x14ac:dyDescent="0.25">
      <c r="A5521" s="2">
        <v>0</v>
      </c>
      <c r="B5521" s="38">
        <v>0</v>
      </c>
      <c r="C5521" s="79">
        <v>0</v>
      </c>
    </row>
    <row r="5522" spans="1:3" x14ac:dyDescent="0.25">
      <c r="A5522" s="2">
        <v>0</v>
      </c>
      <c r="B5522" s="38">
        <v>0</v>
      </c>
      <c r="C5522" s="79">
        <v>0</v>
      </c>
    </row>
    <row r="5523" spans="1:3" x14ac:dyDescent="0.25">
      <c r="A5523" s="2">
        <v>0</v>
      </c>
      <c r="B5523" s="38">
        <v>0</v>
      </c>
      <c r="C5523" s="79">
        <v>0</v>
      </c>
    </row>
    <row r="5524" spans="1:3" x14ac:dyDescent="0.25">
      <c r="A5524" s="2">
        <v>0</v>
      </c>
      <c r="B5524" s="38">
        <v>0</v>
      </c>
      <c r="C5524" s="79">
        <v>0</v>
      </c>
    </row>
    <row r="5525" spans="1:3" x14ac:dyDescent="0.25">
      <c r="A5525" s="2">
        <v>0</v>
      </c>
      <c r="B5525" s="38">
        <v>0</v>
      </c>
      <c r="C5525" s="79">
        <v>0</v>
      </c>
    </row>
    <row r="5526" spans="1:3" x14ac:dyDescent="0.25">
      <c r="A5526" s="2">
        <v>0</v>
      </c>
      <c r="B5526" s="38">
        <v>0</v>
      </c>
      <c r="C5526" s="79">
        <v>0</v>
      </c>
    </row>
    <row r="5527" spans="1:3" x14ac:dyDescent="0.25">
      <c r="A5527" s="2">
        <v>0</v>
      </c>
      <c r="B5527" s="38">
        <v>0</v>
      </c>
      <c r="C5527" s="79">
        <v>0</v>
      </c>
    </row>
    <row r="5528" spans="1:3" x14ac:dyDescent="0.25">
      <c r="A5528" s="2">
        <v>0</v>
      </c>
      <c r="B5528" s="38">
        <v>0</v>
      </c>
      <c r="C5528" s="79">
        <v>0</v>
      </c>
    </row>
    <row r="5529" spans="1:3" x14ac:dyDescent="0.25">
      <c r="A5529" s="2">
        <v>0</v>
      </c>
      <c r="B5529" s="38">
        <v>0</v>
      </c>
      <c r="C5529" s="79">
        <v>0</v>
      </c>
    </row>
    <row r="5530" spans="1:3" x14ac:dyDescent="0.25">
      <c r="A5530" s="2">
        <v>0</v>
      </c>
      <c r="B5530" s="38">
        <v>0</v>
      </c>
      <c r="C5530" s="79">
        <v>0</v>
      </c>
    </row>
    <row r="5531" spans="1:3" x14ac:dyDescent="0.25">
      <c r="A5531" s="2">
        <v>0</v>
      </c>
      <c r="B5531" s="38">
        <v>0</v>
      </c>
      <c r="C5531" s="79">
        <v>0</v>
      </c>
    </row>
    <row r="5532" spans="1:3" x14ac:dyDescent="0.25">
      <c r="A5532" s="2">
        <v>0</v>
      </c>
      <c r="B5532" s="38">
        <v>0</v>
      </c>
      <c r="C5532" s="79">
        <v>0</v>
      </c>
    </row>
    <row r="5533" spans="1:3" x14ac:dyDescent="0.25">
      <c r="A5533" s="2">
        <v>0</v>
      </c>
      <c r="B5533" s="38">
        <v>0</v>
      </c>
      <c r="C5533" s="79">
        <v>0</v>
      </c>
    </row>
    <row r="5534" spans="1:3" x14ac:dyDescent="0.25">
      <c r="A5534" s="2">
        <v>0</v>
      </c>
      <c r="B5534" s="38">
        <v>0</v>
      </c>
      <c r="C5534" s="79">
        <v>0</v>
      </c>
    </row>
    <row r="5535" spans="1:3" x14ac:dyDescent="0.25">
      <c r="A5535" s="2">
        <v>0</v>
      </c>
      <c r="B5535" s="38">
        <v>0</v>
      </c>
      <c r="C5535" s="79">
        <v>0</v>
      </c>
    </row>
    <row r="5536" spans="1:3" x14ac:dyDescent="0.25">
      <c r="A5536" s="2">
        <v>0</v>
      </c>
      <c r="B5536" s="38">
        <v>0</v>
      </c>
      <c r="C5536" s="79">
        <v>0</v>
      </c>
    </row>
    <row r="5537" spans="1:3" x14ac:dyDescent="0.25">
      <c r="A5537" s="2">
        <v>0</v>
      </c>
      <c r="B5537" s="38">
        <v>0</v>
      </c>
      <c r="C5537" s="79">
        <v>0</v>
      </c>
    </row>
    <row r="5538" spans="1:3" x14ac:dyDescent="0.25">
      <c r="A5538" s="2">
        <v>0</v>
      </c>
      <c r="B5538" s="38">
        <v>0</v>
      </c>
      <c r="C5538" s="79">
        <v>0</v>
      </c>
    </row>
    <row r="5539" spans="1:3" x14ac:dyDescent="0.25">
      <c r="A5539" s="2">
        <v>0</v>
      </c>
      <c r="B5539" s="38">
        <v>0</v>
      </c>
      <c r="C5539" s="79">
        <v>0</v>
      </c>
    </row>
    <row r="5540" spans="1:3" x14ac:dyDescent="0.25">
      <c r="A5540" s="2">
        <v>0</v>
      </c>
      <c r="B5540" s="38">
        <v>0</v>
      </c>
      <c r="C5540" s="79">
        <v>0</v>
      </c>
    </row>
    <row r="5541" spans="1:3" x14ac:dyDescent="0.25">
      <c r="A5541" s="2">
        <v>0</v>
      </c>
      <c r="B5541" s="38">
        <v>0</v>
      </c>
      <c r="C5541" s="79">
        <v>0</v>
      </c>
    </row>
    <row r="5542" spans="1:3" x14ac:dyDescent="0.25">
      <c r="A5542" s="2">
        <v>0</v>
      </c>
      <c r="B5542" s="38">
        <v>0</v>
      </c>
      <c r="C5542" s="79">
        <v>0</v>
      </c>
    </row>
    <row r="5543" spans="1:3" x14ac:dyDescent="0.25">
      <c r="A5543" s="2">
        <v>0</v>
      </c>
      <c r="B5543" s="38">
        <v>0</v>
      </c>
      <c r="C5543" s="79">
        <v>0</v>
      </c>
    </row>
    <row r="5544" spans="1:3" x14ac:dyDescent="0.25">
      <c r="A5544" s="2">
        <v>0</v>
      </c>
      <c r="B5544" s="38">
        <v>0</v>
      </c>
      <c r="C5544" s="79">
        <v>0</v>
      </c>
    </row>
    <row r="5545" spans="1:3" x14ac:dyDescent="0.25">
      <c r="A5545" s="2">
        <v>0</v>
      </c>
      <c r="B5545" s="38">
        <v>0</v>
      </c>
      <c r="C5545" s="79">
        <v>0</v>
      </c>
    </row>
    <row r="5546" spans="1:3" x14ac:dyDescent="0.25">
      <c r="A5546" s="2">
        <v>0</v>
      </c>
      <c r="B5546" s="38">
        <v>0</v>
      </c>
      <c r="C5546" s="79">
        <v>0</v>
      </c>
    </row>
    <row r="5547" spans="1:3" x14ac:dyDescent="0.25">
      <c r="A5547" s="2">
        <v>0</v>
      </c>
      <c r="B5547" s="38">
        <v>0</v>
      </c>
      <c r="C5547" s="79">
        <v>0</v>
      </c>
    </row>
    <row r="5548" spans="1:3" x14ac:dyDescent="0.25">
      <c r="A5548" s="2">
        <v>0</v>
      </c>
      <c r="B5548" s="38">
        <v>0</v>
      </c>
      <c r="C5548" s="79">
        <v>0</v>
      </c>
    </row>
    <row r="5549" spans="1:3" x14ac:dyDescent="0.25">
      <c r="A5549" s="2">
        <v>0</v>
      </c>
      <c r="B5549" s="38">
        <v>0</v>
      </c>
      <c r="C5549" s="79">
        <v>0</v>
      </c>
    </row>
    <row r="5550" spans="1:3" x14ac:dyDescent="0.25">
      <c r="A5550" s="2">
        <v>0</v>
      </c>
      <c r="B5550" s="38">
        <v>0</v>
      </c>
      <c r="C5550" s="79">
        <v>0</v>
      </c>
    </row>
    <row r="5551" spans="1:3" x14ac:dyDescent="0.25">
      <c r="A5551" s="2">
        <v>0</v>
      </c>
      <c r="B5551" s="38">
        <v>0</v>
      </c>
      <c r="C5551" s="79">
        <v>0</v>
      </c>
    </row>
    <row r="5552" spans="1:3" x14ac:dyDescent="0.25">
      <c r="A5552" s="2">
        <v>0</v>
      </c>
      <c r="B5552" s="38">
        <v>0</v>
      </c>
      <c r="C5552" s="79">
        <v>0</v>
      </c>
    </row>
    <row r="5553" spans="1:3" x14ac:dyDescent="0.25">
      <c r="A5553" s="2">
        <v>0</v>
      </c>
      <c r="B5553" s="38">
        <v>0</v>
      </c>
      <c r="C5553" s="79">
        <v>0</v>
      </c>
    </row>
    <row r="5554" spans="1:3" x14ac:dyDescent="0.25">
      <c r="A5554" s="2">
        <v>0</v>
      </c>
      <c r="B5554" s="38">
        <v>0</v>
      </c>
      <c r="C5554" s="79">
        <v>0</v>
      </c>
    </row>
    <row r="5555" spans="1:3" x14ac:dyDescent="0.25">
      <c r="A5555" s="2">
        <v>0</v>
      </c>
      <c r="B5555" s="38">
        <v>0</v>
      </c>
      <c r="C5555" s="79">
        <v>0</v>
      </c>
    </row>
    <row r="5556" spans="1:3" x14ac:dyDescent="0.25">
      <c r="A5556" s="2">
        <v>0</v>
      </c>
      <c r="B5556" s="38">
        <v>0</v>
      </c>
      <c r="C5556" s="79">
        <v>0</v>
      </c>
    </row>
    <row r="5557" spans="1:3" x14ac:dyDescent="0.25">
      <c r="A5557" s="2">
        <v>0</v>
      </c>
      <c r="B5557" s="38">
        <v>0</v>
      </c>
      <c r="C5557" s="79">
        <v>0</v>
      </c>
    </row>
    <row r="5558" spans="1:3" x14ac:dyDescent="0.25">
      <c r="A5558" s="2">
        <v>0</v>
      </c>
      <c r="B5558" s="38">
        <v>0</v>
      </c>
      <c r="C5558" s="79">
        <v>0</v>
      </c>
    </row>
    <row r="5559" spans="1:3" x14ac:dyDescent="0.25">
      <c r="A5559" s="2">
        <v>0</v>
      </c>
      <c r="B5559" s="38">
        <v>0</v>
      </c>
      <c r="C5559" s="79">
        <v>0</v>
      </c>
    </row>
    <row r="5560" spans="1:3" x14ac:dyDescent="0.25">
      <c r="A5560" s="2">
        <v>0</v>
      </c>
      <c r="B5560" s="38">
        <v>0</v>
      </c>
      <c r="C5560" s="79">
        <v>0</v>
      </c>
    </row>
    <row r="5561" spans="1:3" x14ac:dyDescent="0.25">
      <c r="A5561" s="2">
        <v>0</v>
      </c>
      <c r="B5561" s="38">
        <v>0</v>
      </c>
      <c r="C5561" s="79">
        <v>0</v>
      </c>
    </row>
    <row r="5562" spans="1:3" x14ac:dyDescent="0.25">
      <c r="A5562" s="2">
        <v>0</v>
      </c>
      <c r="B5562" s="38">
        <v>0</v>
      </c>
      <c r="C5562" s="79">
        <v>0</v>
      </c>
    </row>
    <row r="5563" spans="1:3" x14ac:dyDescent="0.25">
      <c r="A5563" s="2">
        <v>0</v>
      </c>
      <c r="B5563" s="38">
        <v>0</v>
      </c>
      <c r="C5563" s="79">
        <v>0</v>
      </c>
    </row>
    <row r="5564" spans="1:3" x14ac:dyDescent="0.25">
      <c r="A5564" s="2">
        <v>0</v>
      </c>
      <c r="B5564" s="38">
        <v>0</v>
      </c>
      <c r="C5564" s="79">
        <v>0</v>
      </c>
    </row>
    <row r="5565" spans="1:3" x14ac:dyDescent="0.25">
      <c r="A5565" s="2">
        <v>0</v>
      </c>
      <c r="B5565" s="38">
        <v>0</v>
      </c>
      <c r="C5565" s="79">
        <v>0</v>
      </c>
    </row>
    <row r="5566" spans="1:3" x14ac:dyDescent="0.25">
      <c r="A5566" s="2">
        <v>0</v>
      </c>
      <c r="B5566" s="38">
        <v>0</v>
      </c>
      <c r="C5566" s="79">
        <v>0</v>
      </c>
    </row>
    <row r="5567" spans="1:3" x14ac:dyDescent="0.25">
      <c r="A5567" s="2">
        <v>0</v>
      </c>
      <c r="B5567" s="38">
        <v>0</v>
      </c>
      <c r="C5567" s="79">
        <v>0</v>
      </c>
    </row>
    <row r="5568" spans="1:3" x14ac:dyDescent="0.25">
      <c r="A5568" s="2">
        <v>0</v>
      </c>
      <c r="B5568" s="38">
        <v>0</v>
      </c>
      <c r="C5568" s="79">
        <v>0</v>
      </c>
    </row>
    <row r="5569" spans="1:3" x14ac:dyDescent="0.25">
      <c r="A5569" s="2">
        <v>0</v>
      </c>
      <c r="B5569" s="38">
        <v>0</v>
      </c>
      <c r="C5569" s="79">
        <v>0</v>
      </c>
    </row>
    <row r="5570" spans="1:3" x14ac:dyDescent="0.25">
      <c r="A5570" s="2">
        <v>0</v>
      </c>
      <c r="B5570" s="38">
        <v>0</v>
      </c>
      <c r="C5570" s="79">
        <v>0</v>
      </c>
    </row>
    <row r="5571" spans="1:3" x14ac:dyDescent="0.25">
      <c r="A5571" s="2">
        <v>0</v>
      </c>
      <c r="B5571" s="38">
        <v>0</v>
      </c>
      <c r="C5571" s="79">
        <v>0</v>
      </c>
    </row>
    <row r="5572" spans="1:3" x14ac:dyDescent="0.25">
      <c r="A5572" s="2">
        <v>0</v>
      </c>
      <c r="B5572" s="38">
        <v>0</v>
      </c>
      <c r="C5572" s="79">
        <v>0</v>
      </c>
    </row>
    <row r="5573" spans="1:3" x14ac:dyDescent="0.25">
      <c r="A5573" s="2">
        <v>0</v>
      </c>
      <c r="B5573" s="38">
        <v>0</v>
      </c>
      <c r="C5573" s="79">
        <v>0</v>
      </c>
    </row>
    <row r="5574" spans="1:3" x14ac:dyDescent="0.25">
      <c r="A5574" s="2">
        <v>0</v>
      </c>
      <c r="B5574" s="38">
        <v>0</v>
      </c>
      <c r="C5574" s="79">
        <v>0</v>
      </c>
    </row>
    <row r="5575" spans="1:3" x14ac:dyDescent="0.25">
      <c r="A5575" s="2">
        <v>0</v>
      </c>
      <c r="B5575" s="38">
        <v>0</v>
      </c>
      <c r="C5575" s="79">
        <v>0</v>
      </c>
    </row>
    <row r="5576" spans="1:3" x14ac:dyDescent="0.25">
      <c r="A5576" s="2">
        <v>0</v>
      </c>
      <c r="B5576" s="38">
        <v>0</v>
      </c>
      <c r="C5576" s="79">
        <v>0</v>
      </c>
    </row>
    <row r="5577" spans="1:3" x14ac:dyDescent="0.25">
      <c r="A5577" s="2">
        <v>0</v>
      </c>
      <c r="B5577" s="38">
        <v>0</v>
      </c>
      <c r="C5577" s="79">
        <v>0</v>
      </c>
    </row>
    <row r="5578" spans="1:3" x14ac:dyDescent="0.25">
      <c r="A5578" s="2">
        <v>0</v>
      </c>
      <c r="B5578" s="38">
        <v>0</v>
      </c>
      <c r="C5578" s="79">
        <v>0</v>
      </c>
    </row>
    <row r="5579" spans="1:3" x14ac:dyDescent="0.25">
      <c r="A5579" s="2">
        <v>0</v>
      </c>
      <c r="B5579" s="38">
        <v>0</v>
      </c>
      <c r="C5579" s="79">
        <v>0</v>
      </c>
    </row>
    <row r="5580" spans="1:3" x14ac:dyDescent="0.25">
      <c r="A5580" s="2">
        <v>0</v>
      </c>
      <c r="B5580" s="38">
        <v>0</v>
      </c>
      <c r="C5580" s="79">
        <v>0</v>
      </c>
    </row>
    <row r="5581" spans="1:3" x14ac:dyDescent="0.25">
      <c r="A5581" s="2">
        <v>0</v>
      </c>
      <c r="B5581" s="38">
        <v>0</v>
      </c>
      <c r="C5581" s="79">
        <v>0</v>
      </c>
    </row>
    <row r="5582" spans="1:3" x14ac:dyDescent="0.25">
      <c r="A5582" s="2">
        <v>0</v>
      </c>
      <c r="B5582" s="38">
        <v>0</v>
      </c>
      <c r="C5582" s="79">
        <v>0</v>
      </c>
    </row>
    <row r="5583" spans="1:3" x14ac:dyDescent="0.25">
      <c r="A5583" s="2">
        <v>0</v>
      </c>
      <c r="B5583" s="38">
        <v>0</v>
      </c>
      <c r="C5583" s="79">
        <v>0</v>
      </c>
    </row>
    <row r="5584" spans="1:3" x14ac:dyDescent="0.25">
      <c r="A5584" s="2">
        <v>0</v>
      </c>
      <c r="B5584" s="38">
        <v>0</v>
      </c>
      <c r="C5584" s="79">
        <v>0</v>
      </c>
    </row>
    <row r="5585" spans="1:3" x14ac:dyDescent="0.25">
      <c r="A5585" s="2">
        <v>0</v>
      </c>
      <c r="B5585" s="38">
        <v>0</v>
      </c>
      <c r="C5585" s="79">
        <v>0</v>
      </c>
    </row>
    <row r="5586" spans="1:3" x14ac:dyDescent="0.25">
      <c r="A5586" s="2">
        <v>0</v>
      </c>
      <c r="B5586" s="38">
        <v>0</v>
      </c>
      <c r="C5586" s="79">
        <v>0</v>
      </c>
    </row>
    <row r="5587" spans="1:3" x14ac:dyDescent="0.25">
      <c r="A5587" s="2">
        <v>0</v>
      </c>
      <c r="B5587" s="38">
        <v>0</v>
      </c>
      <c r="C5587" s="79">
        <v>0</v>
      </c>
    </row>
    <row r="5588" spans="1:3" x14ac:dyDescent="0.25">
      <c r="A5588" s="2">
        <v>0</v>
      </c>
      <c r="B5588" s="38">
        <v>0</v>
      </c>
      <c r="C5588" s="79">
        <v>0</v>
      </c>
    </row>
    <row r="5589" spans="1:3" x14ac:dyDescent="0.25">
      <c r="A5589" s="2">
        <v>0</v>
      </c>
      <c r="B5589" s="38">
        <v>0</v>
      </c>
      <c r="C5589" s="79">
        <v>0</v>
      </c>
    </row>
    <row r="5590" spans="1:3" x14ac:dyDescent="0.25">
      <c r="A5590" s="2">
        <v>0</v>
      </c>
      <c r="B5590" s="38">
        <v>0</v>
      </c>
      <c r="C5590" s="79">
        <v>0</v>
      </c>
    </row>
    <row r="5591" spans="1:3" x14ac:dyDescent="0.25">
      <c r="A5591" s="2">
        <v>0</v>
      </c>
      <c r="B5591" s="38">
        <v>0</v>
      </c>
      <c r="C5591" s="79">
        <v>0</v>
      </c>
    </row>
    <row r="5592" spans="1:3" x14ac:dyDescent="0.25">
      <c r="A5592" s="2">
        <v>0</v>
      </c>
      <c r="B5592" s="38">
        <v>0</v>
      </c>
      <c r="C5592" s="79">
        <v>0</v>
      </c>
    </row>
    <row r="5593" spans="1:3" x14ac:dyDescent="0.25">
      <c r="A5593" s="2">
        <v>0</v>
      </c>
      <c r="B5593" s="38">
        <v>0</v>
      </c>
      <c r="C5593" s="79">
        <v>0</v>
      </c>
    </row>
    <row r="5594" spans="1:3" x14ac:dyDescent="0.25">
      <c r="A5594" s="2">
        <v>0</v>
      </c>
      <c r="B5594" s="38">
        <v>0</v>
      </c>
      <c r="C5594" s="79">
        <v>0</v>
      </c>
    </row>
    <row r="5595" spans="1:3" x14ac:dyDescent="0.25">
      <c r="A5595" s="2">
        <v>0</v>
      </c>
      <c r="B5595" s="38">
        <v>0</v>
      </c>
      <c r="C5595" s="79">
        <v>0</v>
      </c>
    </row>
    <row r="5596" spans="1:3" x14ac:dyDescent="0.25">
      <c r="A5596" s="2">
        <v>0</v>
      </c>
      <c r="B5596" s="38">
        <v>0</v>
      </c>
      <c r="C5596" s="79">
        <v>0</v>
      </c>
    </row>
    <row r="5597" spans="1:3" x14ac:dyDescent="0.25">
      <c r="A5597" s="2">
        <v>0</v>
      </c>
      <c r="B5597" s="38">
        <v>0</v>
      </c>
      <c r="C5597" s="79">
        <v>0</v>
      </c>
    </row>
    <row r="5598" spans="1:3" x14ac:dyDescent="0.25">
      <c r="A5598" s="2">
        <v>0</v>
      </c>
      <c r="B5598" s="38">
        <v>0</v>
      </c>
      <c r="C5598" s="79">
        <v>0</v>
      </c>
    </row>
    <row r="5599" spans="1:3" x14ac:dyDescent="0.25">
      <c r="A5599" s="2">
        <v>0</v>
      </c>
      <c r="B5599" s="38">
        <v>0</v>
      </c>
      <c r="C5599" s="79">
        <v>0</v>
      </c>
    </row>
    <row r="5600" spans="1:3" x14ac:dyDescent="0.25">
      <c r="A5600" s="2">
        <v>0</v>
      </c>
      <c r="B5600" s="38">
        <v>0</v>
      </c>
      <c r="C5600" s="79">
        <v>0</v>
      </c>
    </row>
    <row r="5601" spans="1:3" x14ac:dyDescent="0.25">
      <c r="A5601" s="2">
        <v>0</v>
      </c>
      <c r="B5601" s="38">
        <v>0</v>
      </c>
      <c r="C5601" s="79">
        <v>0</v>
      </c>
    </row>
    <row r="5602" spans="1:3" x14ac:dyDescent="0.25">
      <c r="A5602" s="2">
        <v>0</v>
      </c>
      <c r="B5602" s="38">
        <v>0</v>
      </c>
      <c r="C5602" s="79">
        <v>0</v>
      </c>
    </row>
    <row r="5603" spans="1:3" x14ac:dyDescent="0.25">
      <c r="A5603" s="2">
        <v>0</v>
      </c>
      <c r="B5603" s="38">
        <v>0</v>
      </c>
      <c r="C5603" s="79">
        <v>0</v>
      </c>
    </row>
    <row r="5604" spans="1:3" x14ac:dyDescent="0.25">
      <c r="A5604" s="2">
        <v>0</v>
      </c>
      <c r="B5604" s="38">
        <v>0</v>
      </c>
      <c r="C5604" s="79">
        <v>0</v>
      </c>
    </row>
    <row r="5605" spans="1:3" x14ac:dyDescent="0.25">
      <c r="A5605" s="2">
        <v>0</v>
      </c>
      <c r="B5605" s="38">
        <v>0</v>
      </c>
      <c r="C5605" s="79">
        <v>0</v>
      </c>
    </row>
    <row r="5606" spans="1:3" x14ac:dyDescent="0.25">
      <c r="A5606" s="2">
        <v>0</v>
      </c>
      <c r="B5606" s="38">
        <v>0</v>
      </c>
      <c r="C5606" s="79">
        <v>0</v>
      </c>
    </row>
    <row r="5607" spans="1:3" x14ac:dyDescent="0.25">
      <c r="A5607" s="2">
        <v>0</v>
      </c>
      <c r="B5607" s="38">
        <v>0</v>
      </c>
      <c r="C5607" s="79">
        <v>0</v>
      </c>
    </row>
    <row r="5608" spans="1:3" x14ac:dyDescent="0.25">
      <c r="A5608" s="2">
        <v>0</v>
      </c>
      <c r="B5608" s="38">
        <v>0</v>
      </c>
      <c r="C5608" s="79">
        <v>0</v>
      </c>
    </row>
    <row r="5609" spans="1:3" x14ac:dyDescent="0.25">
      <c r="A5609" s="2">
        <v>0</v>
      </c>
      <c r="B5609" s="38">
        <v>0</v>
      </c>
      <c r="C5609" s="79">
        <v>0</v>
      </c>
    </row>
    <row r="5610" spans="1:3" x14ac:dyDescent="0.25">
      <c r="A5610" s="2">
        <v>0</v>
      </c>
      <c r="B5610" s="38">
        <v>0</v>
      </c>
      <c r="C5610" s="79">
        <v>0</v>
      </c>
    </row>
    <row r="5611" spans="1:3" x14ac:dyDescent="0.25">
      <c r="A5611" s="2">
        <v>0</v>
      </c>
      <c r="B5611" s="38">
        <v>0</v>
      </c>
      <c r="C5611" s="79">
        <v>0</v>
      </c>
    </row>
    <row r="5612" spans="1:3" x14ac:dyDescent="0.25">
      <c r="A5612" s="2">
        <v>0</v>
      </c>
      <c r="B5612" s="38">
        <v>0</v>
      </c>
      <c r="C5612" s="79">
        <v>0</v>
      </c>
    </row>
    <row r="5613" spans="1:3" x14ac:dyDescent="0.25">
      <c r="A5613" s="2">
        <v>0</v>
      </c>
      <c r="B5613" s="38">
        <v>0</v>
      </c>
      <c r="C5613" s="79">
        <v>0</v>
      </c>
    </row>
    <row r="5614" spans="1:3" x14ac:dyDescent="0.25">
      <c r="A5614" s="2">
        <v>0</v>
      </c>
      <c r="B5614" s="38">
        <v>0</v>
      </c>
      <c r="C5614" s="79">
        <v>0</v>
      </c>
    </row>
    <row r="5615" spans="1:3" x14ac:dyDescent="0.25">
      <c r="A5615" s="2">
        <v>0</v>
      </c>
      <c r="B5615" s="38">
        <v>0</v>
      </c>
      <c r="C5615" s="79">
        <v>0</v>
      </c>
    </row>
    <row r="5616" spans="1:3" x14ac:dyDescent="0.25">
      <c r="A5616" s="2">
        <v>0</v>
      </c>
      <c r="B5616" s="38">
        <v>0</v>
      </c>
      <c r="C5616" s="79">
        <v>0</v>
      </c>
    </row>
    <row r="5617" spans="1:3" x14ac:dyDescent="0.25">
      <c r="A5617" s="2">
        <v>0</v>
      </c>
      <c r="B5617" s="38">
        <v>0</v>
      </c>
      <c r="C5617" s="79">
        <v>0</v>
      </c>
    </row>
    <row r="5618" spans="1:3" x14ac:dyDescent="0.25">
      <c r="A5618" s="2">
        <v>0</v>
      </c>
      <c r="B5618" s="38">
        <v>0</v>
      </c>
      <c r="C5618" s="79">
        <v>0</v>
      </c>
    </row>
    <row r="5619" spans="1:3" x14ac:dyDescent="0.25">
      <c r="A5619" s="2">
        <v>0</v>
      </c>
      <c r="B5619" s="38">
        <v>0</v>
      </c>
      <c r="C5619" s="79">
        <v>0</v>
      </c>
    </row>
    <row r="5620" spans="1:3" x14ac:dyDescent="0.25">
      <c r="A5620" s="2">
        <v>0</v>
      </c>
      <c r="B5620" s="38">
        <v>0</v>
      </c>
      <c r="C5620" s="79">
        <v>0</v>
      </c>
    </row>
    <row r="5621" spans="1:3" x14ac:dyDescent="0.25">
      <c r="A5621" s="2">
        <v>0</v>
      </c>
      <c r="B5621" s="38">
        <v>0</v>
      </c>
      <c r="C5621" s="79">
        <v>0</v>
      </c>
    </row>
    <row r="5622" spans="1:3" x14ac:dyDescent="0.25">
      <c r="A5622" s="2">
        <v>0</v>
      </c>
      <c r="B5622" s="38">
        <v>0</v>
      </c>
      <c r="C5622" s="79">
        <v>0</v>
      </c>
    </row>
    <row r="5623" spans="1:3" x14ac:dyDescent="0.25">
      <c r="A5623" s="2">
        <v>0</v>
      </c>
      <c r="B5623" s="38">
        <v>0</v>
      </c>
      <c r="C5623" s="79">
        <v>0</v>
      </c>
    </row>
    <row r="5624" spans="1:3" x14ac:dyDescent="0.25">
      <c r="A5624" s="2">
        <v>0</v>
      </c>
      <c r="B5624" s="38">
        <v>0</v>
      </c>
      <c r="C5624" s="79">
        <v>0</v>
      </c>
    </row>
    <row r="5625" spans="1:3" x14ac:dyDescent="0.25">
      <c r="A5625" s="2">
        <v>0</v>
      </c>
      <c r="B5625" s="38">
        <v>0</v>
      </c>
      <c r="C5625" s="79">
        <v>0</v>
      </c>
    </row>
    <row r="5626" spans="1:3" x14ac:dyDescent="0.25">
      <c r="A5626" s="2">
        <v>0</v>
      </c>
      <c r="B5626" s="38">
        <v>0</v>
      </c>
      <c r="C5626" s="79">
        <v>0</v>
      </c>
    </row>
    <row r="5627" spans="1:3" x14ac:dyDescent="0.25">
      <c r="A5627" s="2">
        <v>0</v>
      </c>
      <c r="B5627" s="38">
        <v>0</v>
      </c>
      <c r="C5627" s="79">
        <v>0</v>
      </c>
    </row>
    <row r="5628" spans="1:3" x14ac:dyDescent="0.25">
      <c r="A5628" s="2">
        <v>0</v>
      </c>
      <c r="B5628" s="38">
        <v>0</v>
      </c>
      <c r="C5628" s="79">
        <v>0</v>
      </c>
    </row>
    <row r="5629" spans="1:3" x14ac:dyDescent="0.25">
      <c r="A5629" s="2">
        <v>0</v>
      </c>
      <c r="B5629" s="38">
        <v>0</v>
      </c>
      <c r="C5629" s="79">
        <v>0</v>
      </c>
    </row>
    <row r="5630" spans="1:3" x14ac:dyDescent="0.25">
      <c r="A5630" s="2">
        <v>0</v>
      </c>
      <c r="B5630" s="38">
        <v>0</v>
      </c>
      <c r="C5630" s="79">
        <v>0</v>
      </c>
    </row>
    <row r="5631" spans="1:3" x14ac:dyDescent="0.25">
      <c r="A5631" s="2">
        <v>0</v>
      </c>
      <c r="B5631" s="38">
        <v>0</v>
      </c>
      <c r="C5631" s="79">
        <v>0</v>
      </c>
    </row>
    <row r="5632" spans="1:3" x14ac:dyDescent="0.25">
      <c r="A5632" s="2">
        <v>0</v>
      </c>
      <c r="B5632" s="38">
        <v>0</v>
      </c>
      <c r="C5632" s="79">
        <v>0</v>
      </c>
    </row>
    <row r="5633" spans="1:3" x14ac:dyDescent="0.25">
      <c r="A5633" s="2">
        <v>0</v>
      </c>
      <c r="B5633" s="38">
        <v>0</v>
      </c>
      <c r="C5633" s="79">
        <v>0</v>
      </c>
    </row>
    <row r="5634" spans="1:3" x14ac:dyDescent="0.25">
      <c r="A5634" s="2">
        <v>0</v>
      </c>
      <c r="B5634" s="38">
        <v>0</v>
      </c>
      <c r="C5634" s="79">
        <v>0</v>
      </c>
    </row>
    <row r="5635" spans="1:3" x14ac:dyDescent="0.25">
      <c r="A5635" s="2">
        <v>0</v>
      </c>
      <c r="B5635" s="38">
        <v>0</v>
      </c>
      <c r="C5635" s="79">
        <v>0</v>
      </c>
    </row>
    <row r="5636" spans="1:3" x14ac:dyDescent="0.25">
      <c r="A5636" s="2">
        <v>0</v>
      </c>
      <c r="B5636" s="38">
        <v>0</v>
      </c>
      <c r="C5636" s="79">
        <v>0</v>
      </c>
    </row>
    <row r="5637" spans="1:3" x14ac:dyDescent="0.25">
      <c r="A5637" s="2">
        <v>0</v>
      </c>
      <c r="B5637" s="38">
        <v>0</v>
      </c>
      <c r="C5637" s="79">
        <v>0</v>
      </c>
    </row>
    <row r="5638" spans="1:3" x14ac:dyDescent="0.25">
      <c r="A5638" s="2">
        <v>0</v>
      </c>
      <c r="B5638" s="38">
        <v>0</v>
      </c>
      <c r="C5638" s="79">
        <v>0</v>
      </c>
    </row>
    <row r="5639" spans="1:3" x14ac:dyDescent="0.25">
      <c r="A5639" s="2">
        <v>0</v>
      </c>
      <c r="B5639" s="38">
        <v>0</v>
      </c>
      <c r="C5639" s="79">
        <v>0</v>
      </c>
    </row>
    <row r="5640" spans="1:3" x14ac:dyDescent="0.25">
      <c r="A5640" s="2">
        <v>0</v>
      </c>
      <c r="B5640" s="38">
        <v>0</v>
      </c>
      <c r="C5640" s="79">
        <v>0</v>
      </c>
    </row>
    <row r="5641" spans="1:3" x14ac:dyDescent="0.25">
      <c r="A5641" s="2">
        <v>0</v>
      </c>
      <c r="B5641" s="38">
        <v>0</v>
      </c>
      <c r="C5641" s="79">
        <v>0</v>
      </c>
    </row>
    <row r="5642" spans="1:3" x14ac:dyDescent="0.25">
      <c r="A5642" s="2">
        <v>0</v>
      </c>
      <c r="B5642" s="38">
        <v>0</v>
      </c>
      <c r="C5642" s="79">
        <v>0</v>
      </c>
    </row>
    <row r="5643" spans="1:3" x14ac:dyDescent="0.25">
      <c r="A5643" s="2">
        <v>0</v>
      </c>
      <c r="B5643" s="38">
        <v>0</v>
      </c>
      <c r="C5643" s="79">
        <v>0</v>
      </c>
    </row>
    <row r="5644" spans="1:3" x14ac:dyDescent="0.25">
      <c r="A5644" s="2">
        <v>0</v>
      </c>
      <c r="B5644" s="38">
        <v>0</v>
      </c>
      <c r="C5644" s="79">
        <v>0</v>
      </c>
    </row>
    <row r="5645" spans="1:3" x14ac:dyDescent="0.25">
      <c r="A5645" s="2">
        <v>0</v>
      </c>
      <c r="B5645" s="38">
        <v>0</v>
      </c>
      <c r="C5645" s="79">
        <v>0</v>
      </c>
    </row>
    <row r="5646" spans="1:3" x14ac:dyDescent="0.25">
      <c r="A5646" s="2">
        <v>0</v>
      </c>
      <c r="B5646" s="38">
        <v>0</v>
      </c>
      <c r="C5646" s="79">
        <v>0</v>
      </c>
    </row>
    <row r="5647" spans="1:3" x14ac:dyDescent="0.25">
      <c r="A5647" s="2">
        <v>0</v>
      </c>
      <c r="B5647" s="38">
        <v>0</v>
      </c>
      <c r="C5647" s="79">
        <v>0</v>
      </c>
    </row>
    <row r="5648" spans="1:3" x14ac:dyDescent="0.25">
      <c r="A5648" s="2">
        <v>0</v>
      </c>
      <c r="B5648" s="38">
        <v>0</v>
      </c>
      <c r="C5648" s="79">
        <v>0</v>
      </c>
    </row>
    <row r="5649" spans="1:3" x14ac:dyDescent="0.25">
      <c r="A5649" s="2">
        <v>0</v>
      </c>
      <c r="B5649" s="38">
        <v>0</v>
      </c>
      <c r="C5649" s="79">
        <v>0</v>
      </c>
    </row>
    <row r="5650" spans="1:3" x14ac:dyDescent="0.25">
      <c r="A5650" s="2">
        <v>0</v>
      </c>
      <c r="B5650" s="38">
        <v>0</v>
      </c>
      <c r="C5650" s="79">
        <v>0</v>
      </c>
    </row>
    <row r="5651" spans="1:3" x14ac:dyDescent="0.25">
      <c r="A5651" s="2">
        <v>0</v>
      </c>
      <c r="B5651" s="38">
        <v>0</v>
      </c>
      <c r="C5651" s="79">
        <v>0</v>
      </c>
    </row>
    <row r="5652" spans="1:3" x14ac:dyDescent="0.25">
      <c r="A5652" s="2">
        <v>0</v>
      </c>
      <c r="B5652" s="38">
        <v>0</v>
      </c>
      <c r="C5652" s="79">
        <v>0</v>
      </c>
    </row>
    <row r="5653" spans="1:3" x14ac:dyDescent="0.25">
      <c r="A5653" s="2">
        <v>0</v>
      </c>
      <c r="B5653" s="38">
        <v>0</v>
      </c>
      <c r="C5653" s="79">
        <v>0</v>
      </c>
    </row>
    <row r="5654" spans="1:3" x14ac:dyDescent="0.25">
      <c r="A5654" s="2">
        <v>0</v>
      </c>
      <c r="B5654" s="38">
        <v>0</v>
      </c>
      <c r="C5654" s="79">
        <v>0</v>
      </c>
    </row>
    <row r="5655" spans="1:3" x14ac:dyDescent="0.25">
      <c r="A5655" s="2">
        <v>0</v>
      </c>
      <c r="B5655" s="38">
        <v>0</v>
      </c>
      <c r="C5655" s="79">
        <v>0</v>
      </c>
    </row>
    <row r="5656" spans="1:3" x14ac:dyDescent="0.25">
      <c r="A5656" s="2">
        <v>0</v>
      </c>
      <c r="B5656" s="38">
        <v>0</v>
      </c>
      <c r="C5656" s="79">
        <v>0</v>
      </c>
    </row>
    <row r="5657" spans="1:3" x14ac:dyDescent="0.25">
      <c r="A5657" s="2">
        <v>0</v>
      </c>
      <c r="B5657" s="38">
        <v>0</v>
      </c>
      <c r="C5657" s="79">
        <v>0</v>
      </c>
    </row>
    <row r="5658" spans="1:3" x14ac:dyDescent="0.25">
      <c r="A5658" s="2">
        <v>0</v>
      </c>
      <c r="B5658" s="38">
        <v>0</v>
      </c>
      <c r="C5658" s="79">
        <v>0</v>
      </c>
    </row>
    <row r="5659" spans="1:3" x14ac:dyDescent="0.25">
      <c r="A5659" s="2">
        <v>0</v>
      </c>
      <c r="B5659" s="38">
        <v>0</v>
      </c>
      <c r="C5659" s="79">
        <v>0</v>
      </c>
    </row>
    <row r="5660" spans="1:3" x14ac:dyDescent="0.25">
      <c r="A5660" s="2">
        <v>0</v>
      </c>
      <c r="B5660" s="38">
        <v>0</v>
      </c>
      <c r="C5660" s="79">
        <v>0</v>
      </c>
    </row>
    <row r="5661" spans="1:3" x14ac:dyDescent="0.25">
      <c r="A5661" s="2">
        <v>0</v>
      </c>
      <c r="B5661" s="38">
        <v>0</v>
      </c>
      <c r="C5661" s="79">
        <v>0</v>
      </c>
    </row>
    <row r="5662" spans="1:3" x14ac:dyDescent="0.25">
      <c r="A5662" s="2">
        <v>0</v>
      </c>
      <c r="B5662" s="38">
        <v>0</v>
      </c>
      <c r="C5662" s="79">
        <v>0</v>
      </c>
    </row>
    <row r="5663" spans="1:3" x14ac:dyDescent="0.25">
      <c r="A5663" s="2">
        <v>0</v>
      </c>
      <c r="B5663" s="38">
        <v>0</v>
      </c>
      <c r="C5663" s="79">
        <v>0</v>
      </c>
    </row>
    <row r="5664" spans="1:3" x14ac:dyDescent="0.25">
      <c r="A5664" s="2">
        <v>0</v>
      </c>
      <c r="B5664" s="38">
        <v>0</v>
      </c>
      <c r="C5664" s="79">
        <v>0</v>
      </c>
    </row>
    <row r="5665" spans="1:3" x14ac:dyDescent="0.25">
      <c r="A5665" s="2">
        <v>0</v>
      </c>
      <c r="B5665" s="38">
        <v>0</v>
      </c>
      <c r="C5665" s="79">
        <v>0</v>
      </c>
    </row>
    <row r="5666" spans="1:3" x14ac:dyDescent="0.25">
      <c r="A5666" s="2">
        <v>0</v>
      </c>
      <c r="B5666" s="38">
        <v>0</v>
      </c>
      <c r="C5666" s="79">
        <v>0</v>
      </c>
    </row>
    <row r="5667" spans="1:3" x14ac:dyDescent="0.25">
      <c r="A5667" s="2">
        <v>0</v>
      </c>
      <c r="B5667" s="38">
        <v>0</v>
      </c>
      <c r="C5667" s="79">
        <v>0</v>
      </c>
    </row>
    <row r="5668" spans="1:3" x14ac:dyDescent="0.25">
      <c r="A5668" s="2">
        <v>0</v>
      </c>
      <c r="B5668" s="38">
        <v>0</v>
      </c>
      <c r="C5668" s="79">
        <v>0</v>
      </c>
    </row>
    <row r="5669" spans="1:3" x14ac:dyDescent="0.25">
      <c r="A5669" s="2">
        <v>0</v>
      </c>
      <c r="B5669" s="38">
        <v>0</v>
      </c>
      <c r="C5669" s="79">
        <v>0</v>
      </c>
    </row>
    <row r="5670" spans="1:3" x14ac:dyDescent="0.25">
      <c r="A5670" s="2">
        <v>0</v>
      </c>
      <c r="B5670" s="38">
        <v>0</v>
      </c>
      <c r="C5670" s="79">
        <v>0</v>
      </c>
    </row>
    <row r="5671" spans="1:3" x14ac:dyDescent="0.25">
      <c r="A5671" s="2">
        <v>0</v>
      </c>
      <c r="B5671" s="38">
        <v>0</v>
      </c>
      <c r="C5671" s="79">
        <v>0</v>
      </c>
    </row>
    <row r="5672" spans="1:3" x14ac:dyDescent="0.25">
      <c r="A5672" s="2">
        <v>0</v>
      </c>
      <c r="B5672" s="38">
        <v>0</v>
      </c>
      <c r="C5672" s="79">
        <v>0</v>
      </c>
    </row>
    <row r="5673" spans="1:3" x14ac:dyDescent="0.25">
      <c r="A5673" s="2">
        <v>0</v>
      </c>
      <c r="B5673" s="38">
        <v>0</v>
      </c>
      <c r="C5673" s="79">
        <v>0</v>
      </c>
    </row>
    <row r="5674" spans="1:3" x14ac:dyDescent="0.25">
      <c r="A5674" s="2">
        <v>0</v>
      </c>
      <c r="B5674" s="38">
        <v>0</v>
      </c>
      <c r="C5674" s="79">
        <v>0</v>
      </c>
    </row>
    <row r="5675" spans="1:3" x14ac:dyDescent="0.25">
      <c r="A5675" s="2">
        <v>0</v>
      </c>
      <c r="B5675" s="38">
        <v>0</v>
      </c>
      <c r="C5675" s="79">
        <v>0</v>
      </c>
    </row>
    <row r="5676" spans="1:3" x14ac:dyDescent="0.25">
      <c r="A5676" s="2">
        <v>0</v>
      </c>
      <c r="B5676" s="38">
        <v>0</v>
      </c>
      <c r="C5676" s="79">
        <v>0</v>
      </c>
    </row>
    <row r="5677" spans="1:3" x14ac:dyDescent="0.25">
      <c r="A5677" s="2">
        <v>0</v>
      </c>
      <c r="B5677" s="38">
        <v>0</v>
      </c>
      <c r="C5677" s="79">
        <v>0</v>
      </c>
    </row>
    <row r="5678" spans="1:3" x14ac:dyDescent="0.25">
      <c r="A5678" s="2">
        <v>0</v>
      </c>
      <c r="B5678" s="38">
        <v>0</v>
      </c>
      <c r="C5678" s="79">
        <v>0</v>
      </c>
    </row>
    <row r="5679" spans="1:3" x14ac:dyDescent="0.25">
      <c r="A5679" s="2">
        <v>0</v>
      </c>
      <c r="B5679" s="38">
        <v>0</v>
      </c>
      <c r="C5679" s="79">
        <v>0</v>
      </c>
    </row>
    <row r="5680" spans="1:3" x14ac:dyDescent="0.25">
      <c r="A5680" s="2">
        <v>0</v>
      </c>
      <c r="B5680" s="38">
        <v>0</v>
      </c>
      <c r="C5680" s="79">
        <v>0</v>
      </c>
    </row>
    <row r="5681" spans="1:3" x14ac:dyDescent="0.25">
      <c r="A5681" s="2">
        <v>0</v>
      </c>
      <c r="B5681" s="38">
        <v>0</v>
      </c>
      <c r="C5681" s="79">
        <v>0</v>
      </c>
    </row>
    <row r="5682" spans="1:3" x14ac:dyDescent="0.25">
      <c r="A5682" s="2">
        <v>0</v>
      </c>
      <c r="B5682" s="38">
        <v>0</v>
      </c>
      <c r="C5682" s="79">
        <v>0</v>
      </c>
    </row>
    <row r="5683" spans="1:3" x14ac:dyDescent="0.25">
      <c r="A5683" s="2">
        <v>0</v>
      </c>
      <c r="B5683" s="38">
        <v>0</v>
      </c>
      <c r="C5683" s="79">
        <v>0</v>
      </c>
    </row>
    <row r="5684" spans="1:3" x14ac:dyDescent="0.25">
      <c r="A5684" s="2">
        <v>0</v>
      </c>
      <c r="B5684" s="38">
        <v>0</v>
      </c>
      <c r="C5684" s="79">
        <v>0</v>
      </c>
    </row>
    <row r="5685" spans="1:3" x14ac:dyDescent="0.25">
      <c r="A5685" s="2">
        <v>0</v>
      </c>
      <c r="B5685" s="38">
        <v>0</v>
      </c>
      <c r="C5685" s="79">
        <v>0</v>
      </c>
    </row>
    <row r="5686" spans="1:3" x14ac:dyDescent="0.25">
      <c r="A5686" s="2">
        <v>0</v>
      </c>
      <c r="B5686" s="38">
        <v>0</v>
      </c>
      <c r="C5686" s="79">
        <v>0</v>
      </c>
    </row>
    <row r="5687" spans="1:3" x14ac:dyDescent="0.25">
      <c r="A5687" s="2">
        <v>0</v>
      </c>
      <c r="B5687" s="38">
        <v>0</v>
      </c>
      <c r="C5687" s="79">
        <v>0</v>
      </c>
    </row>
    <row r="5688" spans="1:3" x14ac:dyDescent="0.25">
      <c r="A5688" s="2">
        <v>0</v>
      </c>
      <c r="B5688" s="38">
        <v>0</v>
      </c>
      <c r="C5688" s="79">
        <v>0</v>
      </c>
    </row>
    <row r="5689" spans="1:3" x14ac:dyDescent="0.25">
      <c r="A5689" s="2">
        <v>0</v>
      </c>
      <c r="B5689" s="38">
        <v>0</v>
      </c>
      <c r="C5689" s="79">
        <v>0</v>
      </c>
    </row>
    <row r="5690" spans="1:3" x14ac:dyDescent="0.25">
      <c r="A5690" s="2">
        <v>0</v>
      </c>
      <c r="B5690" s="38">
        <v>0</v>
      </c>
      <c r="C5690" s="79">
        <v>0</v>
      </c>
    </row>
    <row r="5691" spans="1:3" x14ac:dyDescent="0.25">
      <c r="A5691" s="2">
        <v>0</v>
      </c>
      <c r="B5691" s="38">
        <v>0</v>
      </c>
      <c r="C5691" s="79">
        <v>0</v>
      </c>
    </row>
    <row r="5692" spans="1:3" x14ac:dyDescent="0.25">
      <c r="A5692" s="2">
        <v>0</v>
      </c>
      <c r="B5692" s="38">
        <v>0</v>
      </c>
      <c r="C5692" s="79">
        <v>0</v>
      </c>
    </row>
    <row r="5693" spans="1:3" x14ac:dyDescent="0.25">
      <c r="A5693" s="2">
        <v>0</v>
      </c>
      <c r="B5693" s="38">
        <v>0</v>
      </c>
      <c r="C5693" s="79">
        <v>0</v>
      </c>
    </row>
    <row r="5694" spans="1:3" x14ac:dyDescent="0.25">
      <c r="A5694" s="2">
        <v>0</v>
      </c>
      <c r="B5694" s="38">
        <v>0</v>
      </c>
      <c r="C5694" s="79">
        <v>0</v>
      </c>
    </row>
    <row r="5695" spans="1:3" x14ac:dyDescent="0.25">
      <c r="A5695" s="2">
        <v>0</v>
      </c>
      <c r="B5695" s="38">
        <v>0</v>
      </c>
      <c r="C5695" s="79">
        <v>0</v>
      </c>
    </row>
    <row r="5696" spans="1:3" x14ac:dyDescent="0.25">
      <c r="A5696" s="2">
        <v>0</v>
      </c>
      <c r="B5696" s="38">
        <v>0</v>
      </c>
      <c r="C5696" s="79">
        <v>0</v>
      </c>
    </row>
    <row r="5697" spans="1:3" x14ac:dyDescent="0.25">
      <c r="A5697" s="2">
        <v>0</v>
      </c>
      <c r="B5697" s="38">
        <v>0</v>
      </c>
      <c r="C5697" s="79">
        <v>0</v>
      </c>
    </row>
    <row r="5698" spans="1:3" x14ac:dyDescent="0.25">
      <c r="A5698" s="2">
        <v>0</v>
      </c>
      <c r="B5698" s="38">
        <v>0</v>
      </c>
      <c r="C5698" s="79">
        <v>0</v>
      </c>
    </row>
    <row r="5699" spans="1:3" x14ac:dyDescent="0.25">
      <c r="A5699" s="2">
        <v>0</v>
      </c>
      <c r="B5699" s="38">
        <v>0</v>
      </c>
      <c r="C5699" s="79">
        <v>0</v>
      </c>
    </row>
    <row r="5700" spans="1:3" x14ac:dyDescent="0.25">
      <c r="A5700" s="2">
        <v>0</v>
      </c>
      <c r="B5700" s="38">
        <v>0</v>
      </c>
      <c r="C5700" s="79">
        <v>0</v>
      </c>
    </row>
    <row r="5701" spans="1:3" x14ac:dyDescent="0.25">
      <c r="A5701" s="2">
        <v>0</v>
      </c>
      <c r="B5701" s="38">
        <v>0</v>
      </c>
      <c r="C5701" s="79">
        <v>0</v>
      </c>
    </row>
    <row r="5702" spans="1:3" x14ac:dyDescent="0.25">
      <c r="A5702" s="2">
        <v>0</v>
      </c>
      <c r="B5702" s="38">
        <v>0</v>
      </c>
      <c r="C5702" s="79">
        <v>0</v>
      </c>
    </row>
    <row r="5703" spans="1:3" x14ac:dyDescent="0.25">
      <c r="A5703" s="2">
        <v>0</v>
      </c>
      <c r="B5703" s="38">
        <v>0</v>
      </c>
      <c r="C5703" s="79">
        <v>0</v>
      </c>
    </row>
    <row r="5704" spans="1:3" x14ac:dyDescent="0.25">
      <c r="A5704" s="2">
        <v>0</v>
      </c>
      <c r="B5704" s="38">
        <v>0</v>
      </c>
      <c r="C5704" s="79">
        <v>0</v>
      </c>
    </row>
    <row r="5705" spans="1:3" x14ac:dyDescent="0.25">
      <c r="A5705" s="2">
        <v>0</v>
      </c>
      <c r="B5705" s="38">
        <v>0</v>
      </c>
      <c r="C5705" s="79">
        <v>0</v>
      </c>
    </row>
    <row r="5706" spans="1:3" x14ac:dyDescent="0.25">
      <c r="A5706" s="2">
        <v>0</v>
      </c>
      <c r="B5706" s="38">
        <v>0</v>
      </c>
      <c r="C5706" s="79">
        <v>0</v>
      </c>
    </row>
    <row r="5707" spans="1:3" x14ac:dyDescent="0.25">
      <c r="A5707" s="2">
        <v>0</v>
      </c>
      <c r="B5707" s="38">
        <v>0</v>
      </c>
      <c r="C5707" s="79">
        <v>0</v>
      </c>
    </row>
    <row r="5708" spans="1:3" x14ac:dyDescent="0.25">
      <c r="A5708" s="2">
        <v>0</v>
      </c>
      <c r="B5708" s="38">
        <v>0</v>
      </c>
      <c r="C5708" s="79">
        <v>0</v>
      </c>
    </row>
    <row r="5709" spans="1:3" x14ac:dyDescent="0.25">
      <c r="A5709" s="2">
        <v>0</v>
      </c>
      <c r="B5709" s="38">
        <v>0</v>
      </c>
      <c r="C5709" s="79">
        <v>0</v>
      </c>
    </row>
    <row r="5710" spans="1:3" x14ac:dyDescent="0.25">
      <c r="A5710" s="2">
        <v>0</v>
      </c>
      <c r="B5710" s="38">
        <v>0</v>
      </c>
      <c r="C5710" s="79">
        <v>0</v>
      </c>
    </row>
    <row r="5711" spans="1:3" x14ac:dyDescent="0.25">
      <c r="A5711" s="2">
        <v>0</v>
      </c>
      <c r="B5711" s="38">
        <v>0</v>
      </c>
      <c r="C5711" s="79">
        <v>0</v>
      </c>
    </row>
    <row r="5712" spans="1:3" x14ac:dyDescent="0.25">
      <c r="A5712" s="2">
        <v>0</v>
      </c>
      <c r="B5712" s="38">
        <v>0</v>
      </c>
      <c r="C5712" s="79">
        <v>0</v>
      </c>
    </row>
    <row r="5713" spans="1:3" x14ac:dyDescent="0.25">
      <c r="A5713" s="2">
        <v>0</v>
      </c>
      <c r="B5713" s="38">
        <v>0</v>
      </c>
      <c r="C5713" s="79">
        <v>0</v>
      </c>
    </row>
    <row r="5714" spans="1:3" x14ac:dyDescent="0.25">
      <c r="A5714" s="2">
        <v>0</v>
      </c>
      <c r="B5714" s="38">
        <v>0</v>
      </c>
      <c r="C5714" s="79">
        <v>0</v>
      </c>
    </row>
    <row r="5715" spans="1:3" x14ac:dyDescent="0.25">
      <c r="A5715" s="2">
        <v>0</v>
      </c>
      <c r="B5715" s="38">
        <v>0</v>
      </c>
      <c r="C5715" s="79">
        <v>0</v>
      </c>
    </row>
    <row r="5716" spans="1:3" x14ac:dyDescent="0.25">
      <c r="A5716" s="2">
        <v>0</v>
      </c>
      <c r="B5716" s="38">
        <v>0</v>
      </c>
      <c r="C5716" s="79">
        <v>0</v>
      </c>
    </row>
    <row r="5717" spans="1:3" x14ac:dyDescent="0.25">
      <c r="A5717" s="2">
        <v>0</v>
      </c>
      <c r="B5717" s="38">
        <v>0</v>
      </c>
      <c r="C5717" s="79">
        <v>0</v>
      </c>
    </row>
    <row r="5718" spans="1:3" x14ac:dyDescent="0.25">
      <c r="A5718" s="2">
        <v>0</v>
      </c>
      <c r="B5718" s="38">
        <v>0</v>
      </c>
      <c r="C5718" s="79">
        <v>0</v>
      </c>
    </row>
    <row r="5719" spans="1:3" x14ac:dyDescent="0.25">
      <c r="A5719" s="2">
        <v>0</v>
      </c>
      <c r="B5719" s="38">
        <v>0</v>
      </c>
      <c r="C5719" s="79">
        <v>0</v>
      </c>
    </row>
    <row r="5720" spans="1:3" x14ac:dyDescent="0.25">
      <c r="A5720" s="2">
        <v>0</v>
      </c>
      <c r="B5720" s="38">
        <v>0</v>
      </c>
      <c r="C5720" s="79">
        <v>0</v>
      </c>
    </row>
    <row r="5721" spans="1:3" x14ac:dyDescent="0.25">
      <c r="A5721" s="2">
        <v>0</v>
      </c>
      <c r="B5721" s="38">
        <v>0</v>
      </c>
      <c r="C5721" s="79">
        <v>0</v>
      </c>
    </row>
    <row r="5722" spans="1:3" x14ac:dyDescent="0.25">
      <c r="A5722" s="2">
        <v>0</v>
      </c>
      <c r="B5722" s="38">
        <v>0</v>
      </c>
      <c r="C5722" s="79">
        <v>0</v>
      </c>
    </row>
    <row r="5723" spans="1:3" x14ac:dyDescent="0.25">
      <c r="A5723" s="2">
        <v>0</v>
      </c>
      <c r="B5723" s="38">
        <v>0</v>
      </c>
      <c r="C5723" s="79">
        <v>0</v>
      </c>
    </row>
    <row r="5724" spans="1:3" x14ac:dyDescent="0.25">
      <c r="A5724" s="2">
        <v>0</v>
      </c>
      <c r="B5724" s="38">
        <v>0</v>
      </c>
      <c r="C5724" s="79">
        <v>0</v>
      </c>
    </row>
    <row r="5725" spans="1:3" x14ac:dyDescent="0.25">
      <c r="A5725" s="2">
        <v>0</v>
      </c>
      <c r="B5725" s="38">
        <v>0</v>
      </c>
      <c r="C5725" s="79">
        <v>0</v>
      </c>
    </row>
    <row r="5726" spans="1:3" x14ac:dyDescent="0.25">
      <c r="A5726" s="2">
        <v>0</v>
      </c>
      <c r="B5726" s="38">
        <v>0</v>
      </c>
      <c r="C5726" s="79">
        <v>0</v>
      </c>
    </row>
    <row r="5727" spans="1:3" x14ac:dyDescent="0.25">
      <c r="A5727" s="2">
        <v>0</v>
      </c>
      <c r="B5727" s="38">
        <v>0</v>
      </c>
      <c r="C5727" s="79">
        <v>0</v>
      </c>
    </row>
    <row r="5728" spans="1:3" x14ac:dyDescent="0.25">
      <c r="A5728" s="2">
        <v>0</v>
      </c>
      <c r="B5728" s="38">
        <v>0</v>
      </c>
      <c r="C5728" s="79">
        <v>0</v>
      </c>
    </row>
    <row r="5729" spans="1:3" x14ac:dyDescent="0.25">
      <c r="A5729" s="2">
        <v>0</v>
      </c>
      <c r="B5729" s="38">
        <v>0</v>
      </c>
      <c r="C5729" s="79">
        <v>0</v>
      </c>
    </row>
    <row r="5730" spans="1:3" x14ac:dyDescent="0.25">
      <c r="A5730" s="2">
        <v>0</v>
      </c>
      <c r="B5730" s="38">
        <v>0</v>
      </c>
      <c r="C5730" s="79">
        <v>0</v>
      </c>
    </row>
    <row r="5731" spans="1:3" x14ac:dyDescent="0.25">
      <c r="A5731" s="2">
        <v>0</v>
      </c>
      <c r="B5731" s="38">
        <v>0</v>
      </c>
      <c r="C5731" s="79">
        <v>0</v>
      </c>
    </row>
    <row r="5732" spans="1:3" x14ac:dyDescent="0.25">
      <c r="A5732" s="2">
        <v>0</v>
      </c>
      <c r="B5732" s="38">
        <v>0</v>
      </c>
      <c r="C5732" s="79">
        <v>0</v>
      </c>
    </row>
    <row r="5733" spans="1:3" x14ac:dyDescent="0.25">
      <c r="A5733" s="2">
        <v>0</v>
      </c>
      <c r="B5733" s="38">
        <v>0</v>
      </c>
      <c r="C5733" s="79">
        <v>0</v>
      </c>
    </row>
    <row r="5734" spans="1:3" x14ac:dyDescent="0.25">
      <c r="A5734" s="2">
        <v>0</v>
      </c>
      <c r="B5734" s="38">
        <v>0</v>
      </c>
      <c r="C5734" s="79">
        <v>0</v>
      </c>
    </row>
    <row r="5735" spans="1:3" x14ac:dyDescent="0.25">
      <c r="A5735" s="2">
        <v>0</v>
      </c>
      <c r="B5735" s="38">
        <v>0</v>
      </c>
      <c r="C5735" s="79">
        <v>0</v>
      </c>
    </row>
    <row r="5736" spans="1:3" x14ac:dyDescent="0.25">
      <c r="A5736" s="2">
        <v>0</v>
      </c>
      <c r="B5736" s="38">
        <v>0</v>
      </c>
      <c r="C5736" s="79">
        <v>0</v>
      </c>
    </row>
    <row r="5737" spans="1:3" x14ac:dyDescent="0.25">
      <c r="A5737" s="2">
        <v>0</v>
      </c>
      <c r="B5737" s="38">
        <v>0</v>
      </c>
      <c r="C5737" s="79">
        <v>0</v>
      </c>
    </row>
    <row r="5738" spans="1:3" x14ac:dyDescent="0.25">
      <c r="A5738" s="2">
        <v>0</v>
      </c>
      <c r="B5738" s="38">
        <v>0</v>
      </c>
      <c r="C5738" s="79">
        <v>0</v>
      </c>
    </row>
    <row r="5739" spans="1:3" x14ac:dyDescent="0.25">
      <c r="A5739" s="2">
        <v>0</v>
      </c>
      <c r="B5739" s="38">
        <v>0</v>
      </c>
      <c r="C5739" s="79">
        <v>0</v>
      </c>
    </row>
    <row r="5740" spans="1:3" x14ac:dyDescent="0.25">
      <c r="A5740" s="2">
        <v>0</v>
      </c>
      <c r="B5740" s="38">
        <v>0</v>
      </c>
      <c r="C5740" s="79">
        <v>0</v>
      </c>
    </row>
    <row r="5741" spans="1:3" x14ac:dyDescent="0.25">
      <c r="A5741" s="2">
        <v>0</v>
      </c>
      <c r="B5741" s="38">
        <v>0</v>
      </c>
      <c r="C5741" s="79">
        <v>0</v>
      </c>
    </row>
    <row r="5742" spans="1:3" x14ac:dyDescent="0.25">
      <c r="A5742" s="2">
        <v>0</v>
      </c>
      <c r="B5742" s="38">
        <v>0</v>
      </c>
      <c r="C5742" s="79">
        <v>0</v>
      </c>
    </row>
    <row r="5743" spans="1:3" x14ac:dyDescent="0.25">
      <c r="A5743" s="2">
        <v>0</v>
      </c>
      <c r="B5743" s="38">
        <v>0</v>
      </c>
      <c r="C5743" s="79">
        <v>0</v>
      </c>
    </row>
    <row r="5744" spans="1:3" x14ac:dyDescent="0.25">
      <c r="A5744" s="2">
        <v>0</v>
      </c>
      <c r="B5744" s="38">
        <v>0</v>
      </c>
      <c r="C5744" s="79">
        <v>0</v>
      </c>
    </row>
    <row r="5745" spans="1:3" x14ac:dyDescent="0.25">
      <c r="A5745" s="2">
        <v>0</v>
      </c>
      <c r="B5745" s="38">
        <v>0</v>
      </c>
      <c r="C5745" s="79">
        <v>0</v>
      </c>
    </row>
    <row r="5746" spans="1:3" x14ac:dyDescent="0.25">
      <c r="A5746" s="2">
        <v>0</v>
      </c>
      <c r="B5746" s="38">
        <v>0</v>
      </c>
      <c r="C5746" s="79">
        <v>0</v>
      </c>
    </row>
    <row r="5747" spans="1:3" x14ac:dyDescent="0.25">
      <c r="A5747" s="2">
        <v>0</v>
      </c>
      <c r="B5747" s="38">
        <v>0</v>
      </c>
      <c r="C5747" s="79">
        <v>0</v>
      </c>
    </row>
    <row r="5748" spans="1:3" x14ac:dyDescent="0.25">
      <c r="A5748" s="2">
        <v>0</v>
      </c>
      <c r="B5748" s="38">
        <v>0</v>
      </c>
      <c r="C5748" s="79">
        <v>0</v>
      </c>
    </row>
    <row r="5749" spans="1:3" x14ac:dyDescent="0.25">
      <c r="A5749" s="2">
        <v>0</v>
      </c>
      <c r="B5749" s="38">
        <v>0</v>
      </c>
      <c r="C5749" s="79">
        <v>0</v>
      </c>
    </row>
    <row r="5750" spans="1:3" x14ac:dyDescent="0.25">
      <c r="A5750" s="2">
        <v>0</v>
      </c>
      <c r="B5750" s="38">
        <v>0</v>
      </c>
      <c r="C5750" s="79">
        <v>0</v>
      </c>
    </row>
    <row r="5751" spans="1:3" x14ac:dyDescent="0.25">
      <c r="A5751" s="2">
        <v>0</v>
      </c>
      <c r="B5751" s="38">
        <v>0</v>
      </c>
      <c r="C5751" s="79">
        <v>0</v>
      </c>
    </row>
    <row r="5752" spans="1:3" x14ac:dyDescent="0.25">
      <c r="A5752" s="2">
        <v>0</v>
      </c>
      <c r="B5752" s="38">
        <v>0</v>
      </c>
      <c r="C5752" s="79">
        <v>0</v>
      </c>
    </row>
    <row r="5753" spans="1:3" x14ac:dyDescent="0.25">
      <c r="A5753" s="2">
        <v>0</v>
      </c>
      <c r="B5753" s="38">
        <v>0</v>
      </c>
      <c r="C5753" s="79">
        <v>0</v>
      </c>
    </row>
    <row r="5754" spans="1:3" x14ac:dyDescent="0.25">
      <c r="A5754" s="2">
        <v>0</v>
      </c>
      <c r="B5754" s="38">
        <v>0</v>
      </c>
      <c r="C5754" s="79">
        <v>0</v>
      </c>
    </row>
    <row r="5755" spans="1:3" x14ac:dyDescent="0.25">
      <c r="A5755" s="2">
        <v>0</v>
      </c>
      <c r="B5755" s="38">
        <v>0</v>
      </c>
      <c r="C5755" s="79">
        <v>0</v>
      </c>
    </row>
    <row r="5756" spans="1:3" x14ac:dyDescent="0.25">
      <c r="A5756" s="2">
        <v>0</v>
      </c>
      <c r="B5756" s="38">
        <v>0</v>
      </c>
      <c r="C5756" s="79">
        <v>0</v>
      </c>
    </row>
    <row r="5757" spans="1:3" x14ac:dyDescent="0.25">
      <c r="A5757" s="2">
        <v>0</v>
      </c>
      <c r="B5757" s="38">
        <v>0</v>
      </c>
      <c r="C5757" s="79">
        <v>0</v>
      </c>
    </row>
    <row r="5758" spans="1:3" x14ac:dyDescent="0.25">
      <c r="A5758" s="2">
        <v>0</v>
      </c>
      <c r="B5758" s="38">
        <v>0</v>
      </c>
      <c r="C5758" s="79">
        <v>0</v>
      </c>
    </row>
    <row r="5759" spans="1:3" x14ac:dyDescent="0.25">
      <c r="A5759" s="2">
        <v>0</v>
      </c>
      <c r="B5759" s="38">
        <v>0</v>
      </c>
      <c r="C5759" s="79">
        <v>0</v>
      </c>
    </row>
    <row r="5760" spans="1:3" x14ac:dyDescent="0.25">
      <c r="A5760" s="2">
        <v>0</v>
      </c>
      <c r="B5760" s="38">
        <v>0</v>
      </c>
      <c r="C5760" s="79">
        <v>0</v>
      </c>
    </row>
    <row r="5761" spans="1:3" x14ac:dyDescent="0.25">
      <c r="A5761" s="2">
        <v>0</v>
      </c>
      <c r="B5761" s="38">
        <v>0</v>
      </c>
      <c r="C5761" s="79">
        <v>0</v>
      </c>
    </row>
    <row r="5762" spans="1:3" x14ac:dyDescent="0.25">
      <c r="A5762" s="2">
        <v>0</v>
      </c>
      <c r="B5762" s="38">
        <v>0</v>
      </c>
      <c r="C5762" s="79">
        <v>0</v>
      </c>
    </row>
    <row r="5763" spans="1:3" x14ac:dyDescent="0.25">
      <c r="A5763" s="2">
        <v>0</v>
      </c>
      <c r="B5763" s="38">
        <v>0</v>
      </c>
      <c r="C5763" s="79">
        <v>0</v>
      </c>
    </row>
    <row r="5764" spans="1:3" x14ac:dyDescent="0.25">
      <c r="A5764" s="2">
        <v>0</v>
      </c>
      <c r="B5764" s="38">
        <v>0</v>
      </c>
      <c r="C5764" s="79">
        <v>0</v>
      </c>
    </row>
    <row r="5765" spans="1:3" x14ac:dyDescent="0.25">
      <c r="A5765" s="2">
        <v>0</v>
      </c>
      <c r="B5765" s="38">
        <v>0</v>
      </c>
      <c r="C5765" s="79">
        <v>0</v>
      </c>
    </row>
    <row r="5766" spans="1:3" x14ac:dyDescent="0.25">
      <c r="A5766" s="2">
        <v>0</v>
      </c>
      <c r="B5766" s="38">
        <v>0</v>
      </c>
      <c r="C5766" s="79">
        <v>0</v>
      </c>
    </row>
    <row r="5767" spans="1:3" x14ac:dyDescent="0.25">
      <c r="A5767" s="2">
        <v>0</v>
      </c>
      <c r="B5767" s="38">
        <v>0</v>
      </c>
      <c r="C5767" s="79">
        <v>0</v>
      </c>
    </row>
    <row r="5768" spans="1:3" x14ac:dyDescent="0.25">
      <c r="A5768" s="2">
        <v>0</v>
      </c>
      <c r="B5768" s="38">
        <v>0</v>
      </c>
      <c r="C5768" s="79">
        <v>0</v>
      </c>
    </row>
    <row r="5769" spans="1:3" x14ac:dyDescent="0.25">
      <c r="A5769" s="2">
        <v>0</v>
      </c>
      <c r="B5769" s="38">
        <v>0</v>
      </c>
      <c r="C5769" s="79">
        <v>0</v>
      </c>
    </row>
    <row r="5770" spans="1:3" x14ac:dyDescent="0.25">
      <c r="A5770" s="2">
        <v>0</v>
      </c>
      <c r="B5770" s="38">
        <v>0</v>
      </c>
      <c r="C5770" s="79">
        <v>0</v>
      </c>
    </row>
    <row r="5771" spans="1:3" x14ac:dyDescent="0.25">
      <c r="A5771" s="2">
        <v>0</v>
      </c>
      <c r="B5771" s="38">
        <v>0</v>
      </c>
      <c r="C5771" s="79">
        <v>0</v>
      </c>
    </row>
    <row r="5772" spans="1:3" x14ac:dyDescent="0.25">
      <c r="A5772" s="2">
        <v>0</v>
      </c>
      <c r="B5772" s="38">
        <v>0</v>
      </c>
      <c r="C5772" s="79">
        <v>0</v>
      </c>
    </row>
    <row r="5773" spans="1:3" x14ac:dyDescent="0.25">
      <c r="A5773" s="2">
        <v>0</v>
      </c>
      <c r="B5773" s="38">
        <v>0</v>
      </c>
      <c r="C5773" s="79">
        <v>0</v>
      </c>
    </row>
    <row r="5774" spans="1:3" x14ac:dyDescent="0.25">
      <c r="A5774" s="2">
        <v>0</v>
      </c>
      <c r="B5774" s="38">
        <v>0</v>
      </c>
      <c r="C5774" s="79">
        <v>0</v>
      </c>
    </row>
    <row r="5775" spans="1:3" x14ac:dyDescent="0.25">
      <c r="A5775" s="2">
        <v>0</v>
      </c>
      <c r="B5775" s="38">
        <v>0</v>
      </c>
      <c r="C5775" s="79">
        <v>0</v>
      </c>
    </row>
    <row r="5776" spans="1:3" x14ac:dyDescent="0.25">
      <c r="A5776" s="2">
        <v>0</v>
      </c>
      <c r="B5776" s="38">
        <v>0</v>
      </c>
      <c r="C5776" s="79">
        <v>0</v>
      </c>
    </row>
    <row r="5777" spans="1:3" x14ac:dyDescent="0.25">
      <c r="A5777" s="2">
        <v>0</v>
      </c>
      <c r="B5777" s="38">
        <v>0</v>
      </c>
      <c r="C5777" s="79">
        <v>0</v>
      </c>
    </row>
    <row r="5778" spans="1:3" x14ac:dyDescent="0.25">
      <c r="A5778" s="2">
        <v>0</v>
      </c>
      <c r="B5778" s="38">
        <v>0</v>
      </c>
      <c r="C5778" s="79">
        <v>0</v>
      </c>
    </row>
    <row r="5779" spans="1:3" x14ac:dyDescent="0.25">
      <c r="A5779" s="2">
        <v>0</v>
      </c>
      <c r="B5779" s="38">
        <v>0</v>
      </c>
      <c r="C5779" s="79">
        <v>0</v>
      </c>
    </row>
    <row r="5780" spans="1:3" x14ac:dyDescent="0.25">
      <c r="A5780" s="2">
        <v>0</v>
      </c>
      <c r="B5780" s="38">
        <v>0</v>
      </c>
      <c r="C5780" s="79">
        <v>0</v>
      </c>
    </row>
    <row r="5781" spans="1:3" x14ac:dyDescent="0.25">
      <c r="A5781" s="2">
        <v>0</v>
      </c>
      <c r="B5781" s="38">
        <v>0</v>
      </c>
      <c r="C5781" s="79">
        <v>0</v>
      </c>
    </row>
    <row r="5782" spans="1:3" x14ac:dyDescent="0.25">
      <c r="A5782" s="2">
        <v>0</v>
      </c>
      <c r="B5782" s="38">
        <v>0</v>
      </c>
      <c r="C5782" s="79">
        <v>0</v>
      </c>
    </row>
    <row r="5783" spans="1:3" x14ac:dyDescent="0.25">
      <c r="A5783" s="2">
        <v>0</v>
      </c>
      <c r="B5783" s="38">
        <v>0</v>
      </c>
      <c r="C5783" s="79">
        <v>0</v>
      </c>
    </row>
    <row r="5784" spans="1:3" x14ac:dyDescent="0.25">
      <c r="A5784" s="2">
        <v>0</v>
      </c>
      <c r="B5784" s="38">
        <v>0</v>
      </c>
      <c r="C5784" s="79">
        <v>0</v>
      </c>
    </row>
    <row r="5785" spans="1:3" x14ac:dyDescent="0.25">
      <c r="A5785" s="2">
        <v>0</v>
      </c>
      <c r="B5785" s="38">
        <v>0</v>
      </c>
      <c r="C5785" s="79">
        <v>0</v>
      </c>
    </row>
    <row r="5786" spans="1:3" x14ac:dyDescent="0.25">
      <c r="A5786" s="2">
        <v>0</v>
      </c>
      <c r="B5786" s="38">
        <v>0</v>
      </c>
      <c r="C5786" s="79">
        <v>0</v>
      </c>
    </row>
    <row r="5787" spans="1:3" x14ac:dyDescent="0.25">
      <c r="A5787" s="2">
        <v>0</v>
      </c>
      <c r="B5787" s="38">
        <v>0</v>
      </c>
      <c r="C5787" s="79">
        <v>0</v>
      </c>
    </row>
    <row r="5788" spans="1:3" x14ac:dyDescent="0.25">
      <c r="A5788" s="2">
        <v>0</v>
      </c>
      <c r="B5788" s="38">
        <v>0</v>
      </c>
      <c r="C5788" s="79">
        <v>0</v>
      </c>
    </row>
    <row r="5789" spans="1:3" x14ac:dyDescent="0.25">
      <c r="A5789" s="2">
        <v>0</v>
      </c>
      <c r="B5789" s="38">
        <v>0</v>
      </c>
      <c r="C5789" s="79">
        <v>0</v>
      </c>
    </row>
    <row r="5790" spans="1:3" x14ac:dyDescent="0.25">
      <c r="A5790" s="2">
        <v>0</v>
      </c>
      <c r="B5790" s="38">
        <v>0</v>
      </c>
      <c r="C5790" s="79">
        <v>0</v>
      </c>
    </row>
    <row r="5791" spans="1:3" x14ac:dyDescent="0.25">
      <c r="A5791" s="2">
        <v>0</v>
      </c>
      <c r="B5791" s="38">
        <v>0</v>
      </c>
      <c r="C5791" s="79">
        <v>0</v>
      </c>
    </row>
    <row r="5792" spans="1:3" x14ac:dyDescent="0.25">
      <c r="A5792" s="2">
        <v>0</v>
      </c>
      <c r="B5792" s="38">
        <v>0</v>
      </c>
      <c r="C5792" s="79">
        <v>0</v>
      </c>
    </row>
    <row r="5793" spans="1:3" x14ac:dyDescent="0.25">
      <c r="A5793" s="2">
        <v>0</v>
      </c>
      <c r="B5793" s="38">
        <v>0</v>
      </c>
      <c r="C5793" s="79">
        <v>0</v>
      </c>
    </row>
    <row r="5794" spans="1:3" x14ac:dyDescent="0.25">
      <c r="A5794" s="2">
        <v>0</v>
      </c>
      <c r="B5794" s="38">
        <v>0</v>
      </c>
      <c r="C5794" s="79">
        <v>0</v>
      </c>
    </row>
    <row r="5795" spans="1:3" x14ac:dyDescent="0.25">
      <c r="A5795" s="2">
        <v>0</v>
      </c>
      <c r="B5795" s="38">
        <v>0</v>
      </c>
      <c r="C5795" s="79">
        <v>0</v>
      </c>
    </row>
    <row r="5796" spans="1:3" x14ac:dyDescent="0.25">
      <c r="A5796" s="2">
        <v>0</v>
      </c>
      <c r="B5796" s="38">
        <v>0</v>
      </c>
      <c r="C5796" s="79">
        <v>0</v>
      </c>
    </row>
    <row r="5797" spans="1:3" x14ac:dyDescent="0.25">
      <c r="A5797" s="2">
        <v>0</v>
      </c>
      <c r="B5797" s="38">
        <v>0</v>
      </c>
      <c r="C5797" s="79">
        <v>0</v>
      </c>
    </row>
    <row r="5798" spans="1:3" x14ac:dyDescent="0.25">
      <c r="A5798" s="2">
        <v>0</v>
      </c>
      <c r="B5798" s="38">
        <v>0</v>
      </c>
      <c r="C5798" s="79">
        <v>0</v>
      </c>
    </row>
    <row r="5799" spans="1:3" x14ac:dyDescent="0.25">
      <c r="A5799" s="2">
        <v>0</v>
      </c>
      <c r="B5799" s="38">
        <v>0</v>
      </c>
      <c r="C5799" s="79">
        <v>0</v>
      </c>
    </row>
    <row r="5800" spans="1:3" x14ac:dyDescent="0.25">
      <c r="A5800" s="2">
        <v>0</v>
      </c>
      <c r="B5800" s="38">
        <v>0</v>
      </c>
      <c r="C5800" s="79">
        <v>0</v>
      </c>
    </row>
    <row r="5801" spans="1:3" x14ac:dyDescent="0.25">
      <c r="A5801" s="2">
        <v>0</v>
      </c>
      <c r="B5801" s="38">
        <v>0</v>
      </c>
      <c r="C5801" s="79">
        <v>0</v>
      </c>
    </row>
    <row r="5802" spans="1:3" x14ac:dyDescent="0.25">
      <c r="A5802" s="2">
        <v>0</v>
      </c>
      <c r="B5802" s="38">
        <v>0</v>
      </c>
      <c r="C5802" s="79">
        <v>0</v>
      </c>
    </row>
    <row r="5803" spans="1:3" x14ac:dyDescent="0.25">
      <c r="A5803" s="2">
        <v>0</v>
      </c>
      <c r="B5803" s="38">
        <v>0</v>
      </c>
      <c r="C5803" s="79">
        <v>0</v>
      </c>
    </row>
    <row r="5804" spans="1:3" x14ac:dyDescent="0.25">
      <c r="A5804" s="2">
        <v>0</v>
      </c>
      <c r="B5804" s="38">
        <v>0</v>
      </c>
      <c r="C5804" s="79">
        <v>0</v>
      </c>
    </row>
    <row r="5805" spans="1:3" x14ac:dyDescent="0.25">
      <c r="A5805" s="2">
        <v>0</v>
      </c>
      <c r="B5805" s="38">
        <v>0</v>
      </c>
      <c r="C5805" s="79">
        <v>0</v>
      </c>
    </row>
    <row r="5806" spans="1:3" x14ac:dyDescent="0.25">
      <c r="A5806" s="2">
        <v>0</v>
      </c>
      <c r="B5806" s="38">
        <v>0</v>
      </c>
      <c r="C5806" s="79">
        <v>0</v>
      </c>
    </row>
    <row r="5807" spans="1:3" x14ac:dyDescent="0.25">
      <c r="A5807" s="2">
        <v>0</v>
      </c>
      <c r="B5807" s="38">
        <v>0</v>
      </c>
      <c r="C5807" s="79">
        <v>0</v>
      </c>
    </row>
    <row r="5808" spans="1:3" x14ac:dyDescent="0.25">
      <c r="A5808" s="2">
        <v>0</v>
      </c>
      <c r="B5808" s="38">
        <v>0</v>
      </c>
      <c r="C5808" s="79">
        <v>0</v>
      </c>
    </row>
    <row r="5809" spans="1:3" x14ac:dyDescent="0.25">
      <c r="A5809" s="2">
        <v>0</v>
      </c>
      <c r="B5809" s="38">
        <v>0</v>
      </c>
      <c r="C5809" s="79">
        <v>0</v>
      </c>
    </row>
    <row r="5810" spans="1:3" x14ac:dyDescent="0.25">
      <c r="A5810" s="2">
        <v>0</v>
      </c>
      <c r="B5810" s="38">
        <v>0</v>
      </c>
      <c r="C5810" s="79">
        <v>0</v>
      </c>
    </row>
    <row r="5811" spans="1:3" x14ac:dyDescent="0.25">
      <c r="A5811" s="2">
        <v>0</v>
      </c>
      <c r="B5811" s="38">
        <v>0</v>
      </c>
      <c r="C5811" s="79">
        <v>0</v>
      </c>
    </row>
    <row r="5812" spans="1:3" x14ac:dyDescent="0.25">
      <c r="A5812" s="2">
        <v>0</v>
      </c>
      <c r="B5812" s="38">
        <v>0</v>
      </c>
      <c r="C5812" s="79">
        <v>0</v>
      </c>
    </row>
    <row r="5813" spans="1:3" x14ac:dyDescent="0.25">
      <c r="A5813" s="2">
        <v>0</v>
      </c>
      <c r="B5813" s="38">
        <v>0</v>
      </c>
      <c r="C5813" s="79">
        <v>0</v>
      </c>
    </row>
    <row r="5814" spans="1:3" x14ac:dyDescent="0.25">
      <c r="A5814" s="2">
        <v>0</v>
      </c>
      <c r="B5814" s="38">
        <v>0</v>
      </c>
      <c r="C5814" s="79">
        <v>0</v>
      </c>
    </row>
    <row r="5815" spans="1:3" x14ac:dyDescent="0.25">
      <c r="A5815" s="2">
        <v>0</v>
      </c>
      <c r="B5815" s="38">
        <v>0</v>
      </c>
      <c r="C5815" s="79">
        <v>0</v>
      </c>
    </row>
    <row r="5816" spans="1:3" x14ac:dyDescent="0.25">
      <c r="A5816" s="2">
        <v>0</v>
      </c>
      <c r="B5816" s="38">
        <v>0</v>
      </c>
      <c r="C5816" s="79">
        <v>0</v>
      </c>
    </row>
    <row r="5817" spans="1:3" x14ac:dyDescent="0.25">
      <c r="A5817" s="2">
        <v>0</v>
      </c>
      <c r="B5817" s="38">
        <v>0</v>
      </c>
      <c r="C5817" s="79">
        <v>0</v>
      </c>
    </row>
    <row r="5818" spans="1:3" x14ac:dyDescent="0.25">
      <c r="A5818" s="2">
        <v>0</v>
      </c>
      <c r="B5818" s="38">
        <v>0</v>
      </c>
      <c r="C5818" s="79">
        <v>0</v>
      </c>
    </row>
    <row r="5819" spans="1:3" x14ac:dyDescent="0.25">
      <c r="A5819" s="2">
        <v>0</v>
      </c>
      <c r="B5819" s="38">
        <v>0</v>
      </c>
      <c r="C5819" s="79">
        <v>0</v>
      </c>
    </row>
    <row r="5820" spans="1:3" x14ac:dyDescent="0.25">
      <c r="A5820" s="2">
        <v>0</v>
      </c>
      <c r="B5820" s="38">
        <v>0</v>
      </c>
      <c r="C5820" s="79">
        <v>0</v>
      </c>
    </row>
    <row r="5821" spans="1:3" x14ac:dyDescent="0.25">
      <c r="A5821" s="2">
        <v>0</v>
      </c>
      <c r="B5821" s="38">
        <v>0</v>
      </c>
      <c r="C5821" s="79">
        <v>0</v>
      </c>
    </row>
    <row r="5822" spans="1:3" x14ac:dyDescent="0.25">
      <c r="A5822" s="2">
        <v>0</v>
      </c>
      <c r="B5822" s="38">
        <v>0</v>
      </c>
      <c r="C5822" s="79">
        <v>0</v>
      </c>
    </row>
    <row r="5823" spans="1:3" x14ac:dyDescent="0.25">
      <c r="A5823" s="2">
        <v>0</v>
      </c>
      <c r="B5823" s="38">
        <v>0</v>
      </c>
      <c r="C5823" s="79">
        <v>0</v>
      </c>
    </row>
    <row r="5824" spans="1:3" x14ac:dyDescent="0.25">
      <c r="A5824" s="2">
        <v>0</v>
      </c>
      <c r="B5824" s="38">
        <v>0</v>
      </c>
      <c r="C5824" s="79">
        <v>0</v>
      </c>
    </row>
    <row r="5825" spans="1:3" x14ac:dyDescent="0.25">
      <c r="A5825" s="2">
        <v>0</v>
      </c>
      <c r="B5825" s="38">
        <v>0</v>
      </c>
      <c r="C5825" s="79">
        <v>0</v>
      </c>
    </row>
    <row r="5826" spans="1:3" x14ac:dyDescent="0.25">
      <c r="A5826" s="2">
        <v>0</v>
      </c>
      <c r="B5826" s="38">
        <v>0</v>
      </c>
      <c r="C5826" s="79">
        <v>0</v>
      </c>
    </row>
    <row r="5827" spans="1:3" x14ac:dyDescent="0.25">
      <c r="A5827" s="2">
        <v>0</v>
      </c>
      <c r="B5827" s="38">
        <v>0</v>
      </c>
      <c r="C5827" s="79">
        <v>0</v>
      </c>
    </row>
    <row r="5828" spans="1:3" x14ac:dyDescent="0.25">
      <c r="A5828" s="2">
        <v>0</v>
      </c>
      <c r="B5828" s="38">
        <v>0</v>
      </c>
      <c r="C5828" s="79">
        <v>0</v>
      </c>
    </row>
    <row r="5829" spans="1:3" x14ac:dyDescent="0.25">
      <c r="A5829" s="2">
        <v>0</v>
      </c>
      <c r="B5829" s="38">
        <v>0</v>
      </c>
      <c r="C5829" s="79">
        <v>0</v>
      </c>
    </row>
    <row r="5830" spans="1:3" x14ac:dyDescent="0.25">
      <c r="A5830" s="2">
        <v>0</v>
      </c>
      <c r="B5830" s="38">
        <v>0</v>
      </c>
      <c r="C5830" s="79">
        <v>0</v>
      </c>
    </row>
    <row r="5831" spans="1:3" x14ac:dyDescent="0.25">
      <c r="A5831" s="2">
        <v>0</v>
      </c>
      <c r="B5831" s="38">
        <v>0</v>
      </c>
      <c r="C5831" s="79">
        <v>0</v>
      </c>
    </row>
    <row r="5832" spans="1:3" x14ac:dyDescent="0.25">
      <c r="A5832" s="2">
        <v>0</v>
      </c>
      <c r="B5832" s="38">
        <v>0</v>
      </c>
      <c r="C5832" s="79">
        <v>0</v>
      </c>
    </row>
    <row r="5833" spans="1:3" x14ac:dyDescent="0.25">
      <c r="A5833" s="2">
        <v>0</v>
      </c>
      <c r="B5833" s="38">
        <v>0</v>
      </c>
      <c r="C5833" s="79">
        <v>0</v>
      </c>
    </row>
    <row r="5834" spans="1:3" x14ac:dyDescent="0.25">
      <c r="A5834" s="2">
        <v>0</v>
      </c>
      <c r="B5834" s="38">
        <v>0</v>
      </c>
      <c r="C5834" s="79">
        <v>0</v>
      </c>
    </row>
    <row r="5835" spans="1:3" x14ac:dyDescent="0.25">
      <c r="A5835" s="2">
        <v>0</v>
      </c>
      <c r="B5835" s="38">
        <v>0</v>
      </c>
      <c r="C5835" s="79">
        <v>0</v>
      </c>
    </row>
    <row r="5836" spans="1:3" x14ac:dyDescent="0.25">
      <c r="A5836" s="2">
        <v>0</v>
      </c>
      <c r="B5836" s="38">
        <v>0</v>
      </c>
      <c r="C5836" s="79">
        <v>0</v>
      </c>
    </row>
    <row r="5837" spans="1:3" x14ac:dyDescent="0.25">
      <c r="A5837" s="2">
        <v>0</v>
      </c>
      <c r="B5837" s="38">
        <v>0</v>
      </c>
      <c r="C5837" s="79">
        <v>0</v>
      </c>
    </row>
    <row r="5838" spans="1:3" x14ac:dyDescent="0.25">
      <c r="A5838" s="2">
        <v>0</v>
      </c>
      <c r="B5838" s="38">
        <v>0</v>
      </c>
      <c r="C5838" s="79">
        <v>0</v>
      </c>
    </row>
    <row r="5839" spans="1:3" x14ac:dyDescent="0.25">
      <c r="A5839" s="2">
        <v>0</v>
      </c>
      <c r="B5839" s="38">
        <v>0</v>
      </c>
      <c r="C5839" s="79">
        <v>0</v>
      </c>
    </row>
    <row r="5840" spans="1:3" x14ac:dyDescent="0.25">
      <c r="A5840" s="2">
        <v>0</v>
      </c>
      <c r="B5840" s="38">
        <v>0</v>
      </c>
      <c r="C5840" s="79">
        <v>0</v>
      </c>
    </row>
    <row r="5841" spans="1:3" x14ac:dyDescent="0.25">
      <c r="A5841" s="2">
        <v>0</v>
      </c>
      <c r="B5841" s="38">
        <v>0</v>
      </c>
      <c r="C5841" s="79">
        <v>0</v>
      </c>
    </row>
    <row r="5842" spans="1:3" x14ac:dyDescent="0.25">
      <c r="A5842" s="2">
        <v>0</v>
      </c>
      <c r="B5842" s="38">
        <v>0</v>
      </c>
      <c r="C5842" s="79">
        <v>0</v>
      </c>
    </row>
    <row r="5843" spans="1:3" x14ac:dyDescent="0.25">
      <c r="A5843" s="2">
        <v>0</v>
      </c>
      <c r="B5843" s="38">
        <v>0</v>
      </c>
      <c r="C5843" s="79">
        <v>0</v>
      </c>
    </row>
    <row r="5844" spans="1:3" x14ac:dyDescent="0.25">
      <c r="A5844" s="2">
        <v>0</v>
      </c>
      <c r="B5844" s="38">
        <v>0</v>
      </c>
      <c r="C5844" s="79">
        <v>0</v>
      </c>
    </row>
    <row r="5845" spans="1:3" x14ac:dyDescent="0.25">
      <c r="A5845" s="2">
        <v>0</v>
      </c>
      <c r="B5845" s="38">
        <v>0</v>
      </c>
      <c r="C5845" s="79">
        <v>0</v>
      </c>
    </row>
    <row r="5846" spans="1:3" x14ac:dyDescent="0.25">
      <c r="A5846" s="2">
        <v>0</v>
      </c>
      <c r="B5846" s="38">
        <v>0</v>
      </c>
      <c r="C5846" s="79">
        <v>0</v>
      </c>
    </row>
    <row r="5847" spans="1:3" x14ac:dyDescent="0.25">
      <c r="A5847" s="2">
        <v>0</v>
      </c>
      <c r="B5847" s="38">
        <v>0</v>
      </c>
      <c r="C5847" s="79">
        <v>0</v>
      </c>
    </row>
    <row r="5848" spans="1:3" x14ac:dyDescent="0.25">
      <c r="A5848" s="2">
        <v>0</v>
      </c>
      <c r="B5848" s="38">
        <v>0</v>
      </c>
      <c r="C5848" s="79">
        <v>0</v>
      </c>
    </row>
    <row r="5849" spans="1:3" x14ac:dyDescent="0.25">
      <c r="A5849" s="2">
        <v>0</v>
      </c>
      <c r="B5849" s="38">
        <v>0</v>
      </c>
      <c r="C5849" s="79">
        <v>0</v>
      </c>
    </row>
    <row r="5850" spans="1:3" x14ac:dyDescent="0.25">
      <c r="A5850" s="2">
        <v>0</v>
      </c>
      <c r="B5850" s="38">
        <v>0</v>
      </c>
      <c r="C5850" s="79">
        <v>0</v>
      </c>
    </row>
    <row r="5851" spans="1:3" x14ac:dyDescent="0.25">
      <c r="A5851" s="2">
        <v>0</v>
      </c>
      <c r="B5851" s="38">
        <v>0</v>
      </c>
      <c r="C5851" s="79">
        <v>0</v>
      </c>
    </row>
    <row r="5852" spans="1:3" x14ac:dyDescent="0.25">
      <c r="A5852" s="2">
        <v>0</v>
      </c>
      <c r="B5852" s="38">
        <v>0</v>
      </c>
      <c r="C5852" s="79">
        <v>0</v>
      </c>
    </row>
    <row r="5853" spans="1:3" x14ac:dyDescent="0.25">
      <c r="A5853" s="2">
        <v>0</v>
      </c>
      <c r="B5853" s="38">
        <v>0</v>
      </c>
      <c r="C5853" s="79">
        <v>0</v>
      </c>
    </row>
    <row r="5854" spans="1:3" x14ac:dyDescent="0.25">
      <c r="A5854" s="2">
        <v>0</v>
      </c>
      <c r="B5854" s="38">
        <v>0</v>
      </c>
      <c r="C5854" s="79">
        <v>0</v>
      </c>
    </row>
    <row r="5855" spans="1:3" x14ac:dyDescent="0.25">
      <c r="A5855" s="2">
        <v>0</v>
      </c>
      <c r="B5855" s="38">
        <v>0</v>
      </c>
      <c r="C5855" s="79">
        <v>0</v>
      </c>
    </row>
    <row r="5856" spans="1:3" x14ac:dyDescent="0.25">
      <c r="A5856" s="2">
        <v>0</v>
      </c>
      <c r="B5856" s="38">
        <v>0</v>
      </c>
      <c r="C5856" s="79">
        <v>0</v>
      </c>
    </row>
    <row r="5857" spans="1:3" x14ac:dyDescent="0.25">
      <c r="A5857" s="2">
        <v>0</v>
      </c>
      <c r="B5857" s="38">
        <v>0</v>
      </c>
      <c r="C5857" s="79">
        <v>0</v>
      </c>
    </row>
    <row r="5858" spans="1:3" x14ac:dyDescent="0.25">
      <c r="A5858" s="2">
        <v>0</v>
      </c>
      <c r="B5858" s="38">
        <v>0</v>
      </c>
      <c r="C5858" s="79">
        <v>0</v>
      </c>
    </row>
    <row r="5859" spans="1:3" x14ac:dyDescent="0.25">
      <c r="A5859" s="2">
        <v>0</v>
      </c>
      <c r="B5859" s="38">
        <v>0</v>
      </c>
      <c r="C5859" s="79">
        <v>0</v>
      </c>
    </row>
    <row r="5860" spans="1:3" x14ac:dyDescent="0.25">
      <c r="A5860" s="2">
        <v>0</v>
      </c>
      <c r="B5860" s="38">
        <v>0</v>
      </c>
      <c r="C5860" s="79">
        <v>0</v>
      </c>
    </row>
    <row r="5861" spans="1:3" x14ac:dyDescent="0.25">
      <c r="A5861" s="2">
        <v>0</v>
      </c>
      <c r="B5861" s="38">
        <v>0</v>
      </c>
      <c r="C5861" s="79">
        <v>0</v>
      </c>
    </row>
    <row r="5862" spans="1:3" x14ac:dyDescent="0.25">
      <c r="A5862" s="2">
        <v>0</v>
      </c>
      <c r="B5862" s="38">
        <v>0</v>
      </c>
      <c r="C5862" s="79">
        <v>0</v>
      </c>
    </row>
    <row r="5863" spans="1:3" x14ac:dyDescent="0.25">
      <c r="A5863" s="2">
        <v>0</v>
      </c>
      <c r="B5863" s="38">
        <v>0</v>
      </c>
      <c r="C5863" s="79">
        <v>0</v>
      </c>
    </row>
    <row r="5864" spans="1:3" x14ac:dyDescent="0.25">
      <c r="A5864" s="2">
        <v>0</v>
      </c>
      <c r="B5864" s="38">
        <v>0</v>
      </c>
      <c r="C5864" s="79">
        <v>0</v>
      </c>
    </row>
    <row r="5865" spans="1:3" x14ac:dyDescent="0.25">
      <c r="A5865" s="2">
        <v>0</v>
      </c>
      <c r="B5865" s="38">
        <v>0</v>
      </c>
      <c r="C5865" s="79">
        <v>0</v>
      </c>
    </row>
    <row r="5866" spans="1:3" x14ac:dyDescent="0.25">
      <c r="A5866" s="2">
        <v>0</v>
      </c>
      <c r="B5866" s="38">
        <v>0</v>
      </c>
      <c r="C5866" s="79">
        <v>0</v>
      </c>
    </row>
    <row r="5867" spans="1:3" x14ac:dyDescent="0.25">
      <c r="A5867" s="2">
        <v>0</v>
      </c>
      <c r="B5867" s="38">
        <v>0</v>
      </c>
      <c r="C5867" s="79">
        <v>0</v>
      </c>
    </row>
    <row r="5868" spans="1:3" x14ac:dyDescent="0.25">
      <c r="A5868" s="2">
        <v>0</v>
      </c>
      <c r="B5868" s="38">
        <v>0</v>
      </c>
      <c r="C5868" s="79">
        <v>0</v>
      </c>
    </row>
    <row r="5869" spans="1:3" x14ac:dyDescent="0.25">
      <c r="A5869" s="2">
        <v>0</v>
      </c>
      <c r="B5869" s="38">
        <v>0</v>
      </c>
      <c r="C5869" s="79">
        <v>0</v>
      </c>
    </row>
    <row r="5870" spans="1:3" x14ac:dyDescent="0.25">
      <c r="A5870" s="2">
        <v>0</v>
      </c>
      <c r="B5870" s="38">
        <v>0</v>
      </c>
      <c r="C5870" s="79">
        <v>0</v>
      </c>
    </row>
    <row r="5871" spans="1:3" x14ac:dyDescent="0.25">
      <c r="A5871" s="2">
        <v>0</v>
      </c>
      <c r="B5871" s="38">
        <v>0</v>
      </c>
      <c r="C5871" s="79">
        <v>0</v>
      </c>
    </row>
    <row r="5872" spans="1:3" x14ac:dyDescent="0.25">
      <c r="A5872" s="2">
        <v>0</v>
      </c>
      <c r="B5872" s="38">
        <v>0</v>
      </c>
      <c r="C5872" s="79">
        <v>0</v>
      </c>
    </row>
    <row r="5873" spans="1:3" x14ac:dyDescent="0.25">
      <c r="A5873" s="2">
        <v>0</v>
      </c>
      <c r="B5873" s="38">
        <v>0</v>
      </c>
      <c r="C5873" s="79">
        <v>0</v>
      </c>
    </row>
    <row r="5874" spans="1:3" x14ac:dyDescent="0.25">
      <c r="A5874" s="2">
        <v>0</v>
      </c>
      <c r="B5874" s="38">
        <v>0</v>
      </c>
      <c r="C5874" s="79">
        <v>0</v>
      </c>
    </row>
    <row r="5875" spans="1:3" x14ac:dyDescent="0.25">
      <c r="A5875" s="2">
        <v>0</v>
      </c>
      <c r="B5875" s="38">
        <v>0</v>
      </c>
      <c r="C5875" s="79">
        <v>0</v>
      </c>
    </row>
    <row r="5876" spans="1:3" x14ac:dyDescent="0.25">
      <c r="A5876" s="2">
        <v>0</v>
      </c>
      <c r="B5876" s="38">
        <v>0</v>
      </c>
      <c r="C5876" s="79">
        <v>0</v>
      </c>
    </row>
    <row r="5877" spans="1:3" x14ac:dyDescent="0.25">
      <c r="A5877" s="2">
        <v>0</v>
      </c>
      <c r="B5877" s="38">
        <v>0</v>
      </c>
      <c r="C5877" s="79">
        <v>0</v>
      </c>
    </row>
    <row r="5878" spans="1:3" x14ac:dyDescent="0.25">
      <c r="A5878" s="2">
        <v>0</v>
      </c>
      <c r="B5878" s="38">
        <v>0</v>
      </c>
      <c r="C5878" s="79">
        <v>0</v>
      </c>
    </row>
    <row r="5879" spans="1:3" x14ac:dyDescent="0.25">
      <c r="A5879" s="2">
        <v>0</v>
      </c>
      <c r="B5879" s="38">
        <v>0</v>
      </c>
      <c r="C5879" s="79">
        <v>0</v>
      </c>
    </row>
    <row r="5880" spans="1:3" x14ac:dyDescent="0.25">
      <c r="A5880" s="2">
        <v>0</v>
      </c>
      <c r="B5880" s="38">
        <v>0</v>
      </c>
      <c r="C5880" s="79">
        <v>0</v>
      </c>
    </row>
    <row r="5881" spans="1:3" x14ac:dyDescent="0.25">
      <c r="A5881" s="2">
        <v>0</v>
      </c>
      <c r="B5881" s="38">
        <v>0</v>
      </c>
      <c r="C5881" s="79">
        <v>0</v>
      </c>
    </row>
    <row r="5882" spans="1:3" x14ac:dyDescent="0.25">
      <c r="A5882" s="2">
        <v>0</v>
      </c>
      <c r="B5882" s="38">
        <v>0</v>
      </c>
      <c r="C5882" s="79">
        <v>0</v>
      </c>
    </row>
    <row r="5883" spans="1:3" x14ac:dyDescent="0.25">
      <c r="A5883" s="2">
        <v>0</v>
      </c>
      <c r="B5883" s="38">
        <v>0</v>
      </c>
      <c r="C5883" s="79">
        <v>0</v>
      </c>
    </row>
    <row r="5884" spans="1:3" x14ac:dyDescent="0.25">
      <c r="A5884" s="2">
        <v>0</v>
      </c>
      <c r="B5884" s="38">
        <v>0</v>
      </c>
      <c r="C5884" s="79">
        <v>0</v>
      </c>
    </row>
    <row r="5885" spans="1:3" x14ac:dyDescent="0.25">
      <c r="A5885" s="2">
        <v>0</v>
      </c>
      <c r="B5885" s="38">
        <v>0</v>
      </c>
      <c r="C5885" s="79">
        <v>0</v>
      </c>
    </row>
    <row r="5886" spans="1:3" x14ac:dyDescent="0.25">
      <c r="A5886" s="2">
        <v>0</v>
      </c>
      <c r="B5886" s="38">
        <v>0</v>
      </c>
      <c r="C5886" s="79">
        <v>0</v>
      </c>
    </row>
    <row r="5887" spans="1:3" x14ac:dyDescent="0.25">
      <c r="A5887" s="2">
        <v>0</v>
      </c>
      <c r="B5887" s="38">
        <v>0</v>
      </c>
      <c r="C5887" s="79">
        <v>0</v>
      </c>
    </row>
    <row r="5888" spans="1:3" x14ac:dyDescent="0.25">
      <c r="A5888" s="2">
        <v>0</v>
      </c>
      <c r="B5888" s="38">
        <v>0</v>
      </c>
      <c r="C5888" s="79">
        <v>0</v>
      </c>
    </row>
    <row r="5889" spans="1:3" x14ac:dyDescent="0.25">
      <c r="A5889" s="2">
        <v>0</v>
      </c>
      <c r="B5889" s="38">
        <v>0</v>
      </c>
      <c r="C5889" s="79">
        <v>0</v>
      </c>
    </row>
    <row r="5890" spans="1:3" x14ac:dyDescent="0.25">
      <c r="A5890" s="2">
        <v>0</v>
      </c>
      <c r="B5890" s="38">
        <v>0</v>
      </c>
      <c r="C5890" s="79">
        <v>0</v>
      </c>
    </row>
    <row r="5891" spans="1:3" x14ac:dyDescent="0.25">
      <c r="A5891" s="2">
        <v>0</v>
      </c>
      <c r="B5891" s="38">
        <v>0</v>
      </c>
      <c r="C5891" s="79">
        <v>0</v>
      </c>
    </row>
    <row r="5892" spans="1:3" x14ac:dyDescent="0.25">
      <c r="A5892" s="2">
        <v>0</v>
      </c>
      <c r="B5892" s="38">
        <v>0</v>
      </c>
      <c r="C5892" s="79">
        <v>0</v>
      </c>
    </row>
    <row r="5893" spans="1:3" x14ac:dyDescent="0.25">
      <c r="A5893" s="2">
        <v>0</v>
      </c>
      <c r="B5893" s="38">
        <v>0</v>
      </c>
      <c r="C5893" s="79">
        <v>0</v>
      </c>
    </row>
    <row r="5894" spans="1:3" x14ac:dyDescent="0.25">
      <c r="A5894" s="2">
        <v>0</v>
      </c>
      <c r="B5894" s="38">
        <v>0</v>
      </c>
      <c r="C5894" s="79">
        <v>0</v>
      </c>
    </row>
    <row r="5895" spans="1:3" x14ac:dyDescent="0.25">
      <c r="A5895" s="2">
        <v>0</v>
      </c>
      <c r="B5895" s="38">
        <v>0</v>
      </c>
      <c r="C5895" s="79">
        <v>0</v>
      </c>
    </row>
    <row r="5896" spans="1:3" x14ac:dyDescent="0.25">
      <c r="A5896" s="2">
        <v>0</v>
      </c>
      <c r="B5896" s="38">
        <v>0</v>
      </c>
      <c r="C5896" s="79">
        <v>0</v>
      </c>
    </row>
    <row r="5897" spans="1:3" x14ac:dyDescent="0.25">
      <c r="A5897" s="2">
        <v>0</v>
      </c>
      <c r="B5897" s="38">
        <v>0</v>
      </c>
      <c r="C5897" s="79">
        <v>0</v>
      </c>
    </row>
    <row r="5898" spans="1:3" x14ac:dyDescent="0.25">
      <c r="A5898" s="2">
        <v>0</v>
      </c>
      <c r="B5898" s="38">
        <v>0</v>
      </c>
      <c r="C5898" s="79">
        <v>0</v>
      </c>
    </row>
    <row r="5899" spans="1:3" x14ac:dyDescent="0.25">
      <c r="A5899" s="2">
        <v>0</v>
      </c>
      <c r="B5899" s="38">
        <v>0</v>
      </c>
      <c r="C5899" s="79">
        <v>0</v>
      </c>
    </row>
    <row r="5900" spans="1:3" x14ac:dyDescent="0.25">
      <c r="A5900" s="2">
        <v>0</v>
      </c>
      <c r="B5900" s="38">
        <v>0</v>
      </c>
      <c r="C5900" s="79">
        <v>0</v>
      </c>
    </row>
    <row r="5901" spans="1:3" x14ac:dyDescent="0.25">
      <c r="A5901" s="2">
        <v>0</v>
      </c>
      <c r="B5901" s="38">
        <v>0</v>
      </c>
      <c r="C5901" s="79">
        <v>0</v>
      </c>
    </row>
    <row r="5902" spans="1:3" x14ac:dyDescent="0.25">
      <c r="A5902" s="2">
        <v>0</v>
      </c>
      <c r="B5902" s="38">
        <v>0</v>
      </c>
      <c r="C5902" s="79">
        <v>0</v>
      </c>
    </row>
    <row r="5903" spans="1:3" x14ac:dyDescent="0.25">
      <c r="A5903" s="2">
        <v>0</v>
      </c>
      <c r="B5903" s="38">
        <v>0</v>
      </c>
      <c r="C5903" s="79">
        <v>0</v>
      </c>
    </row>
    <row r="5904" spans="1:3" x14ac:dyDescent="0.25">
      <c r="A5904" s="2">
        <v>0</v>
      </c>
      <c r="B5904" s="38">
        <v>0</v>
      </c>
      <c r="C5904" s="79">
        <v>0</v>
      </c>
    </row>
    <row r="5905" spans="1:3" x14ac:dyDescent="0.25">
      <c r="A5905" s="2">
        <v>0</v>
      </c>
      <c r="B5905" s="38">
        <v>0</v>
      </c>
      <c r="C5905" s="79">
        <v>0</v>
      </c>
    </row>
    <row r="5906" spans="1:3" x14ac:dyDescent="0.25">
      <c r="A5906" s="2">
        <v>0</v>
      </c>
      <c r="B5906" s="38">
        <v>0</v>
      </c>
      <c r="C5906" s="79">
        <v>0</v>
      </c>
    </row>
    <row r="5907" spans="1:3" x14ac:dyDescent="0.25">
      <c r="A5907" s="2">
        <v>0</v>
      </c>
      <c r="B5907" s="38">
        <v>0</v>
      </c>
      <c r="C5907" s="79">
        <v>0</v>
      </c>
    </row>
    <row r="5908" spans="1:3" x14ac:dyDescent="0.25">
      <c r="A5908" s="2">
        <v>0</v>
      </c>
      <c r="B5908" s="38">
        <v>0</v>
      </c>
      <c r="C5908" s="79">
        <v>0</v>
      </c>
    </row>
    <row r="5909" spans="1:3" x14ac:dyDescent="0.25">
      <c r="A5909" s="2">
        <v>0</v>
      </c>
      <c r="B5909" s="38">
        <v>0</v>
      </c>
      <c r="C5909" s="79">
        <v>0</v>
      </c>
    </row>
    <row r="5910" spans="1:3" x14ac:dyDescent="0.25">
      <c r="A5910" s="2">
        <v>0</v>
      </c>
      <c r="B5910" s="38">
        <v>0</v>
      </c>
      <c r="C5910" s="79">
        <v>0</v>
      </c>
    </row>
    <row r="5911" spans="1:3" x14ac:dyDescent="0.25">
      <c r="A5911" s="2">
        <v>0</v>
      </c>
      <c r="B5911" s="38">
        <v>0</v>
      </c>
      <c r="C5911" s="79">
        <v>0</v>
      </c>
    </row>
    <row r="5912" spans="1:3" x14ac:dyDescent="0.25">
      <c r="A5912" s="2">
        <v>0</v>
      </c>
      <c r="B5912" s="38">
        <v>0</v>
      </c>
      <c r="C5912" s="79">
        <v>0</v>
      </c>
    </row>
    <row r="5913" spans="1:3" x14ac:dyDescent="0.25">
      <c r="A5913" s="2">
        <v>0</v>
      </c>
      <c r="B5913" s="38">
        <v>0</v>
      </c>
      <c r="C5913" s="79">
        <v>0</v>
      </c>
    </row>
    <row r="5914" spans="1:3" x14ac:dyDescent="0.25">
      <c r="A5914" s="2">
        <v>0</v>
      </c>
      <c r="B5914" s="38">
        <v>0</v>
      </c>
      <c r="C5914" s="79">
        <v>0</v>
      </c>
    </row>
    <row r="5915" spans="1:3" x14ac:dyDescent="0.25">
      <c r="A5915" s="2">
        <v>0</v>
      </c>
      <c r="B5915" s="38">
        <v>0</v>
      </c>
      <c r="C5915" s="79">
        <v>0</v>
      </c>
    </row>
    <row r="5916" spans="1:3" x14ac:dyDescent="0.25">
      <c r="A5916" s="2">
        <v>0</v>
      </c>
      <c r="B5916" s="38">
        <v>0</v>
      </c>
      <c r="C5916" s="79">
        <v>0</v>
      </c>
    </row>
    <row r="5917" spans="1:3" x14ac:dyDescent="0.25">
      <c r="A5917" s="2">
        <v>0</v>
      </c>
      <c r="B5917" s="38">
        <v>0</v>
      </c>
      <c r="C5917" s="79">
        <v>0</v>
      </c>
    </row>
    <row r="5918" spans="1:3" x14ac:dyDescent="0.25">
      <c r="A5918" s="2">
        <v>0</v>
      </c>
      <c r="B5918" s="38">
        <v>0</v>
      </c>
      <c r="C5918" s="79">
        <v>0</v>
      </c>
    </row>
    <row r="5919" spans="1:3" x14ac:dyDescent="0.25">
      <c r="A5919" s="2">
        <v>0</v>
      </c>
      <c r="B5919" s="38">
        <v>0</v>
      </c>
      <c r="C5919" s="79">
        <v>0</v>
      </c>
    </row>
    <row r="5920" spans="1:3" x14ac:dyDescent="0.25">
      <c r="A5920" s="2">
        <v>0</v>
      </c>
      <c r="B5920" s="38">
        <v>0</v>
      </c>
      <c r="C5920" s="79">
        <v>0</v>
      </c>
    </row>
    <row r="5921" spans="1:3" x14ac:dyDescent="0.25">
      <c r="A5921" s="2">
        <v>0</v>
      </c>
      <c r="B5921" s="38">
        <v>0</v>
      </c>
      <c r="C5921" s="79">
        <v>0</v>
      </c>
    </row>
    <row r="5922" spans="1:3" x14ac:dyDescent="0.25">
      <c r="A5922" s="2">
        <v>0</v>
      </c>
      <c r="B5922" s="38">
        <v>0</v>
      </c>
      <c r="C5922" s="79">
        <v>0</v>
      </c>
    </row>
    <row r="5923" spans="1:3" x14ac:dyDescent="0.25">
      <c r="A5923" s="2">
        <v>0</v>
      </c>
      <c r="B5923" s="38">
        <v>0</v>
      </c>
      <c r="C5923" s="79">
        <v>0</v>
      </c>
    </row>
    <row r="5924" spans="1:3" x14ac:dyDescent="0.25">
      <c r="A5924" s="2">
        <v>0</v>
      </c>
      <c r="B5924" s="38">
        <v>0</v>
      </c>
      <c r="C5924" s="79">
        <v>0</v>
      </c>
    </row>
    <row r="5925" spans="1:3" x14ac:dyDescent="0.25">
      <c r="A5925" s="2">
        <v>0</v>
      </c>
      <c r="B5925" s="38">
        <v>0</v>
      </c>
      <c r="C5925" s="79">
        <v>0</v>
      </c>
    </row>
    <row r="5926" spans="1:3" x14ac:dyDescent="0.25">
      <c r="A5926" s="2">
        <v>0</v>
      </c>
      <c r="B5926" s="38">
        <v>0</v>
      </c>
      <c r="C5926" s="79">
        <v>0</v>
      </c>
    </row>
    <row r="5927" spans="1:3" x14ac:dyDescent="0.25">
      <c r="A5927" s="2">
        <v>0</v>
      </c>
      <c r="B5927" s="38">
        <v>0</v>
      </c>
      <c r="C5927" s="79">
        <v>0</v>
      </c>
    </row>
    <row r="5928" spans="1:3" x14ac:dyDescent="0.25">
      <c r="A5928" s="2">
        <v>0</v>
      </c>
      <c r="B5928" s="38">
        <v>0</v>
      </c>
      <c r="C5928" s="79">
        <v>0</v>
      </c>
    </row>
    <row r="5929" spans="1:3" x14ac:dyDescent="0.25">
      <c r="A5929" s="2">
        <v>0</v>
      </c>
      <c r="B5929" s="38">
        <v>0</v>
      </c>
      <c r="C5929" s="79">
        <v>0</v>
      </c>
    </row>
    <row r="5930" spans="1:3" x14ac:dyDescent="0.25">
      <c r="A5930" s="2">
        <v>0</v>
      </c>
      <c r="B5930" s="38">
        <v>0</v>
      </c>
      <c r="C5930" s="79">
        <v>0</v>
      </c>
    </row>
    <row r="5931" spans="1:3" x14ac:dyDescent="0.25">
      <c r="A5931" s="2">
        <v>0</v>
      </c>
      <c r="B5931" s="38">
        <v>0</v>
      </c>
      <c r="C5931" s="79">
        <v>0</v>
      </c>
    </row>
    <row r="5932" spans="1:3" x14ac:dyDescent="0.25">
      <c r="A5932" s="2">
        <v>0</v>
      </c>
      <c r="B5932" s="38">
        <v>0</v>
      </c>
      <c r="C5932" s="79">
        <v>0</v>
      </c>
    </row>
    <row r="5933" spans="1:3" x14ac:dyDescent="0.25">
      <c r="A5933" s="2">
        <v>0</v>
      </c>
      <c r="B5933" s="38">
        <v>0</v>
      </c>
      <c r="C5933" s="79">
        <v>0</v>
      </c>
    </row>
    <row r="5934" spans="1:3" x14ac:dyDescent="0.25">
      <c r="A5934" s="2">
        <v>0</v>
      </c>
      <c r="B5934" s="38">
        <v>0</v>
      </c>
      <c r="C5934" s="79">
        <v>0</v>
      </c>
    </row>
    <row r="5935" spans="1:3" x14ac:dyDescent="0.25">
      <c r="A5935" s="2">
        <v>0</v>
      </c>
      <c r="B5935" s="38">
        <v>0</v>
      </c>
      <c r="C5935" s="79">
        <v>0</v>
      </c>
    </row>
    <row r="5936" spans="1:3" x14ac:dyDescent="0.25">
      <c r="A5936" s="2">
        <v>0</v>
      </c>
      <c r="B5936" s="38">
        <v>0</v>
      </c>
      <c r="C5936" s="79">
        <v>0</v>
      </c>
    </row>
    <row r="5937" spans="1:3" x14ac:dyDescent="0.25">
      <c r="A5937" s="2">
        <v>0</v>
      </c>
      <c r="B5937" s="38">
        <v>0</v>
      </c>
      <c r="C5937" s="79">
        <v>0</v>
      </c>
    </row>
    <row r="5938" spans="1:3" x14ac:dyDescent="0.25">
      <c r="A5938" s="2">
        <v>0</v>
      </c>
      <c r="B5938" s="38">
        <v>0</v>
      </c>
      <c r="C5938" s="79">
        <v>0</v>
      </c>
    </row>
    <row r="5939" spans="1:3" x14ac:dyDescent="0.25">
      <c r="A5939" s="2">
        <v>0</v>
      </c>
      <c r="B5939" s="38">
        <v>0</v>
      </c>
      <c r="C5939" s="79">
        <v>0</v>
      </c>
    </row>
    <row r="5940" spans="1:3" x14ac:dyDescent="0.25">
      <c r="A5940" s="2">
        <v>0</v>
      </c>
      <c r="B5940" s="38">
        <v>0</v>
      </c>
      <c r="C5940" s="79">
        <v>0</v>
      </c>
    </row>
    <row r="5941" spans="1:3" x14ac:dyDescent="0.25">
      <c r="A5941" s="2">
        <v>0</v>
      </c>
      <c r="B5941" s="38">
        <v>0</v>
      </c>
      <c r="C5941" s="79">
        <v>0</v>
      </c>
    </row>
    <row r="5942" spans="1:3" x14ac:dyDescent="0.25">
      <c r="A5942" s="2">
        <v>0</v>
      </c>
      <c r="B5942" s="38">
        <v>0</v>
      </c>
      <c r="C5942" s="79">
        <v>0</v>
      </c>
    </row>
    <row r="5943" spans="1:3" x14ac:dyDescent="0.25">
      <c r="A5943" s="2">
        <v>0</v>
      </c>
      <c r="B5943" s="38">
        <v>0</v>
      </c>
      <c r="C5943" s="79">
        <v>0</v>
      </c>
    </row>
    <row r="5944" spans="1:3" x14ac:dyDescent="0.25">
      <c r="A5944" s="2">
        <v>0</v>
      </c>
      <c r="B5944" s="38">
        <v>0</v>
      </c>
      <c r="C5944" s="79">
        <v>0</v>
      </c>
    </row>
    <row r="5945" spans="1:3" x14ac:dyDescent="0.25">
      <c r="A5945" s="2">
        <v>0</v>
      </c>
      <c r="B5945" s="38">
        <v>0</v>
      </c>
      <c r="C5945" s="79">
        <v>0</v>
      </c>
    </row>
    <row r="5946" spans="1:3" x14ac:dyDescent="0.25">
      <c r="A5946" s="2">
        <v>0</v>
      </c>
      <c r="B5946" s="38">
        <v>0</v>
      </c>
      <c r="C5946" s="79">
        <v>0</v>
      </c>
    </row>
    <row r="5947" spans="1:3" x14ac:dyDescent="0.25">
      <c r="A5947" s="2">
        <v>0</v>
      </c>
      <c r="B5947" s="38">
        <v>0</v>
      </c>
      <c r="C5947" s="79">
        <v>0</v>
      </c>
    </row>
    <row r="5948" spans="1:3" x14ac:dyDescent="0.25">
      <c r="A5948" s="2">
        <v>0</v>
      </c>
      <c r="B5948" s="38">
        <v>0</v>
      </c>
      <c r="C5948" s="79">
        <v>0</v>
      </c>
    </row>
    <row r="5949" spans="1:3" x14ac:dyDescent="0.25">
      <c r="A5949" s="2">
        <v>0</v>
      </c>
      <c r="B5949" s="38">
        <v>0</v>
      </c>
      <c r="C5949" s="79">
        <v>0</v>
      </c>
    </row>
    <row r="5950" spans="1:3" x14ac:dyDescent="0.25">
      <c r="A5950" s="2">
        <v>0</v>
      </c>
      <c r="B5950" s="38">
        <v>0</v>
      </c>
      <c r="C5950" s="79">
        <v>0</v>
      </c>
    </row>
    <row r="5951" spans="1:3" x14ac:dyDescent="0.25">
      <c r="A5951" s="2">
        <v>0</v>
      </c>
      <c r="B5951" s="38">
        <v>0</v>
      </c>
      <c r="C5951" s="79">
        <v>0</v>
      </c>
    </row>
    <row r="5952" spans="1:3" x14ac:dyDescent="0.25">
      <c r="A5952" s="2">
        <v>0</v>
      </c>
      <c r="B5952" s="38">
        <v>0</v>
      </c>
      <c r="C5952" s="79">
        <v>0</v>
      </c>
    </row>
    <row r="5953" spans="1:3" x14ac:dyDescent="0.25">
      <c r="A5953" s="2">
        <v>0</v>
      </c>
      <c r="B5953" s="38">
        <v>0</v>
      </c>
      <c r="C5953" s="79">
        <v>0</v>
      </c>
    </row>
    <row r="5954" spans="1:3" x14ac:dyDescent="0.25">
      <c r="A5954" s="2">
        <v>0</v>
      </c>
      <c r="B5954" s="38">
        <v>0</v>
      </c>
      <c r="C5954" s="79">
        <v>0</v>
      </c>
    </row>
    <row r="5955" spans="1:3" x14ac:dyDescent="0.25">
      <c r="A5955" s="2">
        <v>0</v>
      </c>
      <c r="B5955" s="38">
        <v>0</v>
      </c>
      <c r="C5955" s="79">
        <v>0</v>
      </c>
    </row>
    <row r="5956" spans="1:3" x14ac:dyDescent="0.25">
      <c r="A5956" s="2">
        <v>0</v>
      </c>
      <c r="B5956" s="38">
        <v>0</v>
      </c>
      <c r="C5956" s="79">
        <v>0</v>
      </c>
    </row>
    <row r="5957" spans="1:3" x14ac:dyDescent="0.25">
      <c r="A5957" s="2">
        <v>0</v>
      </c>
      <c r="B5957" s="38">
        <v>0</v>
      </c>
      <c r="C5957" s="79">
        <v>0</v>
      </c>
    </row>
    <row r="5958" spans="1:3" x14ac:dyDescent="0.25">
      <c r="A5958" s="2">
        <v>0</v>
      </c>
      <c r="B5958" s="38">
        <v>0</v>
      </c>
      <c r="C5958" s="79">
        <v>0</v>
      </c>
    </row>
    <row r="5959" spans="1:3" x14ac:dyDescent="0.25">
      <c r="A5959" s="2">
        <v>0</v>
      </c>
      <c r="B5959" s="38">
        <v>0</v>
      </c>
      <c r="C5959" s="79">
        <v>0</v>
      </c>
    </row>
    <row r="5960" spans="1:3" x14ac:dyDescent="0.25">
      <c r="A5960" s="2">
        <v>0</v>
      </c>
      <c r="B5960" s="38">
        <v>0</v>
      </c>
      <c r="C5960" s="79">
        <v>0</v>
      </c>
    </row>
    <row r="5961" spans="1:3" x14ac:dyDescent="0.25">
      <c r="A5961" s="2">
        <v>0</v>
      </c>
      <c r="B5961" s="38">
        <v>0</v>
      </c>
      <c r="C5961" s="79">
        <v>0</v>
      </c>
    </row>
    <row r="5962" spans="1:3" x14ac:dyDescent="0.25">
      <c r="A5962" s="2">
        <v>0</v>
      </c>
      <c r="B5962" s="38">
        <v>0</v>
      </c>
      <c r="C5962" s="79">
        <v>0</v>
      </c>
    </row>
    <row r="5963" spans="1:3" x14ac:dyDescent="0.25">
      <c r="A5963" s="2">
        <v>0</v>
      </c>
      <c r="B5963" s="38">
        <v>0</v>
      </c>
      <c r="C5963" s="79">
        <v>0</v>
      </c>
    </row>
    <row r="5964" spans="1:3" x14ac:dyDescent="0.25">
      <c r="A5964" s="2">
        <v>0</v>
      </c>
      <c r="B5964" s="38">
        <v>0</v>
      </c>
      <c r="C5964" s="79">
        <v>0</v>
      </c>
    </row>
    <row r="5965" spans="1:3" x14ac:dyDescent="0.25">
      <c r="A5965" s="2">
        <v>0</v>
      </c>
      <c r="B5965" s="38">
        <v>0</v>
      </c>
      <c r="C5965" s="79">
        <v>0</v>
      </c>
    </row>
    <row r="5966" spans="1:3" x14ac:dyDescent="0.25">
      <c r="A5966" s="2">
        <v>0</v>
      </c>
      <c r="B5966" s="38">
        <v>0</v>
      </c>
      <c r="C5966" s="79">
        <v>0</v>
      </c>
    </row>
    <row r="5967" spans="1:3" x14ac:dyDescent="0.25">
      <c r="A5967" s="2">
        <v>0</v>
      </c>
      <c r="B5967" s="38">
        <v>0</v>
      </c>
      <c r="C5967" s="79">
        <v>0</v>
      </c>
    </row>
    <row r="5968" spans="1:3" x14ac:dyDescent="0.25">
      <c r="A5968" s="2">
        <v>0</v>
      </c>
      <c r="B5968" s="38">
        <v>0</v>
      </c>
      <c r="C5968" s="79">
        <v>0</v>
      </c>
    </row>
    <row r="5969" spans="1:3" x14ac:dyDescent="0.25">
      <c r="A5969" s="2">
        <v>0</v>
      </c>
      <c r="B5969" s="38">
        <v>0</v>
      </c>
      <c r="C5969" s="79">
        <v>0</v>
      </c>
    </row>
    <row r="5970" spans="1:3" x14ac:dyDescent="0.25">
      <c r="A5970" s="2">
        <v>0</v>
      </c>
      <c r="B5970" s="38">
        <v>0</v>
      </c>
      <c r="C5970" s="79">
        <v>0</v>
      </c>
    </row>
    <row r="5971" spans="1:3" x14ac:dyDescent="0.25">
      <c r="A5971" s="2">
        <v>0</v>
      </c>
      <c r="B5971" s="38">
        <v>0</v>
      </c>
      <c r="C5971" s="79">
        <v>0</v>
      </c>
    </row>
    <row r="5972" spans="1:3" x14ac:dyDescent="0.25">
      <c r="A5972" s="2">
        <v>0</v>
      </c>
      <c r="B5972" s="38">
        <v>0</v>
      </c>
      <c r="C5972" s="79">
        <v>0</v>
      </c>
    </row>
    <row r="5973" spans="1:3" x14ac:dyDescent="0.25">
      <c r="A5973" s="2">
        <v>0</v>
      </c>
      <c r="B5973" s="38">
        <v>0</v>
      </c>
      <c r="C5973" s="79">
        <v>0</v>
      </c>
    </row>
    <row r="5974" spans="1:3" x14ac:dyDescent="0.25">
      <c r="A5974" s="2">
        <v>0</v>
      </c>
      <c r="B5974" s="38">
        <v>0</v>
      </c>
      <c r="C5974" s="79">
        <v>0</v>
      </c>
    </row>
    <row r="5975" spans="1:3" x14ac:dyDescent="0.25">
      <c r="A5975" s="2">
        <v>0</v>
      </c>
      <c r="B5975" s="38">
        <v>0</v>
      </c>
      <c r="C5975" s="79">
        <v>0</v>
      </c>
    </row>
    <row r="5976" spans="1:3" x14ac:dyDescent="0.25">
      <c r="A5976" s="2">
        <v>0</v>
      </c>
      <c r="B5976" s="38">
        <v>0</v>
      </c>
      <c r="C5976" s="79">
        <v>0</v>
      </c>
    </row>
    <row r="5977" spans="1:3" x14ac:dyDescent="0.25">
      <c r="A5977" s="2">
        <v>0</v>
      </c>
      <c r="B5977" s="38">
        <v>0</v>
      </c>
      <c r="C5977" s="79">
        <v>0</v>
      </c>
    </row>
    <row r="5978" spans="1:3" x14ac:dyDescent="0.25">
      <c r="A5978" s="2">
        <v>0</v>
      </c>
      <c r="B5978" s="38">
        <v>0</v>
      </c>
      <c r="C5978" s="79">
        <v>0</v>
      </c>
    </row>
    <row r="5979" spans="1:3" x14ac:dyDescent="0.25">
      <c r="A5979" s="2">
        <v>0</v>
      </c>
      <c r="B5979" s="38">
        <v>0</v>
      </c>
      <c r="C5979" s="79">
        <v>0</v>
      </c>
    </row>
    <row r="5980" spans="1:3" x14ac:dyDescent="0.25">
      <c r="A5980" s="2">
        <v>0</v>
      </c>
      <c r="B5980" s="38">
        <v>0</v>
      </c>
      <c r="C5980" s="79">
        <v>0</v>
      </c>
    </row>
    <row r="5981" spans="1:3" x14ac:dyDescent="0.25">
      <c r="A5981" s="2">
        <v>0</v>
      </c>
      <c r="B5981" s="38">
        <v>0</v>
      </c>
      <c r="C5981" s="79">
        <v>0</v>
      </c>
    </row>
    <row r="5982" spans="1:3" x14ac:dyDescent="0.25">
      <c r="A5982" s="2">
        <v>0</v>
      </c>
      <c r="B5982" s="38">
        <v>0</v>
      </c>
      <c r="C5982" s="79">
        <v>0</v>
      </c>
    </row>
    <row r="5983" spans="1:3" x14ac:dyDescent="0.25">
      <c r="A5983" s="2">
        <v>0</v>
      </c>
      <c r="B5983" s="38">
        <v>0</v>
      </c>
      <c r="C5983" s="79">
        <v>0</v>
      </c>
    </row>
    <row r="5984" spans="1:3" x14ac:dyDescent="0.25">
      <c r="A5984" s="2">
        <v>0</v>
      </c>
      <c r="B5984" s="38">
        <v>0</v>
      </c>
      <c r="C5984" s="79">
        <v>0</v>
      </c>
    </row>
    <row r="5985" spans="1:3" x14ac:dyDescent="0.25">
      <c r="A5985" s="2">
        <v>0</v>
      </c>
      <c r="B5985" s="38">
        <v>0</v>
      </c>
      <c r="C5985" s="79">
        <v>0</v>
      </c>
    </row>
    <row r="5986" spans="1:3" x14ac:dyDescent="0.25">
      <c r="A5986" s="2">
        <v>0</v>
      </c>
      <c r="B5986" s="38">
        <v>0</v>
      </c>
      <c r="C5986" s="79">
        <v>0</v>
      </c>
    </row>
    <row r="5987" spans="1:3" x14ac:dyDescent="0.25">
      <c r="A5987" s="2">
        <v>0</v>
      </c>
      <c r="B5987" s="38">
        <v>0</v>
      </c>
      <c r="C5987" s="79">
        <v>0</v>
      </c>
    </row>
    <row r="5988" spans="1:3" x14ac:dyDescent="0.25">
      <c r="A5988" s="2">
        <v>0</v>
      </c>
      <c r="B5988" s="38">
        <v>0</v>
      </c>
      <c r="C5988" s="79">
        <v>0</v>
      </c>
    </row>
    <row r="5989" spans="1:3" x14ac:dyDescent="0.25">
      <c r="A5989" s="2">
        <v>0</v>
      </c>
      <c r="B5989" s="38">
        <v>0</v>
      </c>
      <c r="C5989" s="79">
        <v>0</v>
      </c>
    </row>
    <row r="5990" spans="1:3" x14ac:dyDescent="0.25">
      <c r="A5990" s="2">
        <v>0</v>
      </c>
      <c r="B5990" s="38">
        <v>0</v>
      </c>
      <c r="C5990" s="79">
        <v>0</v>
      </c>
    </row>
    <row r="5991" spans="1:3" x14ac:dyDescent="0.25">
      <c r="A5991" s="2">
        <v>0</v>
      </c>
      <c r="B5991" s="38">
        <v>0</v>
      </c>
      <c r="C5991" s="79">
        <v>0</v>
      </c>
    </row>
    <row r="5992" spans="1:3" x14ac:dyDescent="0.25">
      <c r="A5992" s="2">
        <v>0</v>
      </c>
      <c r="B5992" s="38">
        <v>0</v>
      </c>
      <c r="C5992" s="79">
        <v>0</v>
      </c>
    </row>
    <row r="5993" spans="1:3" x14ac:dyDescent="0.25">
      <c r="A5993" s="2">
        <v>0</v>
      </c>
      <c r="B5993" s="38">
        <v>0</v>
      </c>
      <c r="C5993" s="79">
        <v>0</v>
      </c>
    </row>
    <row r="5994" spans="1:3" x14ac:dyDescent="0.25">
      <c r="A5994" s="2">
        <v>0</v>
      </c>
      <c r="B5994" s="38">
        <v>0</v>
      </c>
      <c r="C5994" s="79">
        <v>0</v>
      </c>
    </row>
    <row r="5995" spans="1:3" x14ac:dyDescent="0.25">
      <c r="A5995" s="2">
        <v>0</v>
      </c>
      <c r="B5995" s="38">
        <v>0</v>
      </c>
      <c r="C5995" s="79">
        <v>0</v>
      </c>
    </row>
    <row r="5996" spans="1:3" x14ac:dyDescent="0.25">
      <c r="A5996" s="2">
        <v>0</v>
      </c>
      <c r="B5996" s="38">
        <v>0</v>
      </c>
      <c r="C5996" s="79">
        <v>0</v>
      </c>
    </row>
    <row r="5997" spans="1:3" x14ac:dyDescent="0.25">
      <c r="A5997" s="2">
        <v>0</v>
      </c>
      <c r="B5997" s="38">
        <v>0</v>
      </c>
      <c r="C5997" s="79">
        <v>0</v>
      </c>
    </row>
    <row r="5998" spans="1:3" x14ac:dyDescent="0.25">
      <c r="A5998" s="2">
        <v>0</v>
      </c>
      <c r="B5998" s="38">
        <v>0</v>
      </c>
      <c r="C5998" s="79">
        <v>0</v>
      </c>
    </row>
    <row r="5999" spans="1:3" x14ac:dyDescent="0.25">
      <c r="A5999" s="2">
        <v>0</v>
      </c>
      <c r="B5999" s="38">
        <v>0</v>
      </c>
      <c r="C5999" s="79">
        <v>0</v>
      </c>
    </row>
    <row r="6000" spans="1:3" x14ac:dyDescent="0.25">
      <c r="A6000" s="2">
        <v>0</v>
      </c>
      <c r="B6000" s="38">
        <v>0</v>
      </c>
      <c r="C6000" s="79">
        <v>0</v>
      </c>
    </row>
    <row r="6001" spans="1:3" x14ac:dyDescent="0.25">
      <c r="A6001" s="2">
        <v>0</v>
      </c>
      <c r="B6001" s="38">
        <v>0</v>
      </c>
      <c r="C6001" s="79">
        <v>0</v>
      </c>
    </row>
    <row r="6002" spans="1:3" x14ac:dyDescent="0.25">
      <c r="A6002" s="2">
        <v>0</v>
      </c>
      <c r="B6002" s="38">
        <v>0</v>
      </c>
      <c r="C6002" s="79">
        <v>0</v>
      </c>
    </row>
    <row r="6003" spans="1:3" x14ac:dyDescent="0.25">
      <c r="A6003" s="2">
        <v>0</v>
      </c>
      <c r="B6003" s="38">
        <v>0</v>
      </c>
      <c r="C6003" s="79">
        <v>0</v>
      </c>
    </row>
    <row r="6004" spans="1:3" x14ac:dyDescent="0.25">
      <c r="A6004" s="2">
        <v>0</v>
      </c>
      <c r="B6004" s="38">
        <v>0</v>
      </c>
      <c r="C6004" s="79">
        <v>0</v>
      </c>
    </row>
    <row r="6005" spans="1:3" x14ac:dyDescent="0.25">
      <c r="A6005" s="2">
        <v>0</v>
      </c>
      <c r="B6005" s="38">
        <v>0</v>
      </c>
      <c r="C6005" s="79">
        <v>0</v>
      </c>
    </row>
    <row r="6006" spans="1:3" x14ac:dyDescent="0.25">
      <c r="A6006" s="2">
        <v>0</v>
      </c>
      <c r="B6006" s="38">
        <v>0</v>
      </c>
      <c r="C6006" s="79">
        <v>0</v>
      </c>
    </row>
    <row r="6007" spans="1:3" x14ac:dyDescent="0.25">
      <c r="A6007" s="2">
        <v>0</v>
      </c>
      <c r="B6007" s="38">
        <v>0</v>
      </c>
      <c r="C6007" s="79">
        <v>0</v>
      </c>
    </row>
    <row r="6008" spans="1:3" x14ac:dyDescent="0.25">
      <c r="A6008" s="2">
        <v>0</v>
      </c>
      <c r="B6008" s="38">
        <v>0</v>
      </c>
      <c r="C6008" s="79">
        <v>0</v>
      </c>
    </row>
    <row r="6009" spans="1:3" x14ac:dyDescent="0.25">
      <c r="A6009" s="2">
        <v>0</v>
      </c>
      <c r="B6009" s="38">
        <v>0</v>
      </c>
      <c r="C6009" s="79">
        <v>0</v>
      </c>
    </row>
    <row r="6010" spans="1:3" x14ac:dyDescent="0.25">
      <c r="A6010" s="2">
        <v>0</v>
      </c>
      <c r="B6010" s="38">
        <v>0</v>
      </c>
      <c r="C6010" s="79">
        <v>0</v>
      </c>
    </row>
    <row r="6011" spans="1:3" x14ac:dyDescent="0.25">
      <c r="A6011" s="2">
        <v>0</v>
      </c>
      <c r="B6011" s="38">
        <v>0</v>
      </c>
      <c r="C6011" s="79">
        <v>0</v>
      </c>
    </row>
    <row r="6012" spans="1:3" x14ac:dyDescent="0.25">
      <c r="A6012" s="2">
        <v>0</v>
      </c>
      <c r="B6012" s="38">
        <v>0</v>
      </c>
      <c r="C6012" s="79">
        <v>0</v>
      </c>
    </row>
    <row r="6013" spans="1:3" x14ac:dyDescent="0.25">
      <c r="A6013" s="2">
        <v>0</v>
      </c>
      <c r="B6013" s="38">
        <v>0</v>
      </c>
      <c r="C6013" s="79">
        <v>0</v>
      </c>
    </row>
    <row r="6014" spans="1:3" x14ac:dyDescent="0.25">
      <c r="A6014" s="2">
        <v>0</v>
      </c>
      <c r="B6014" s="38">
        <v>0</v>
      </c>
      <c r="C6014" s="79">
        <v>0</v>
      </c>
    </row>
    <row r="6015" spans="1:3" x14ac:dyDescent="0.25">
      <c r="A6015" s="2">
        <v>0</v>
      </c>
      <c r="B6015" s="38">
        <v>0</v>
      </c>
      <c r="C6015" s="79">
        <v>0</v>
      </c>
    </row>
    <row r="6016" spans="1:3" x14ac:dyDescent="0.25">
      <c r="A6016" s="2">
        <v>0</v>
      </c>
      <c r="B6016" s="38">
        <v>0</v>
      </c>
      <c r="C6016" s="79">
        <v>0</v>
      </c>
    </row>
    <row r="6017" spans="1:3" x14ac:dyDescent="0.25">
      <c r="A6017" s="2">
        <v>0</v>
      </c>
      <c r="B6017" s="38">
        <v>0</v>
      </c>
      <c r="C6017" s="79">
        <v>0</v>
      </c>
    </row>
    <row r="6018" spans="1:3" x14ac:dyDescent="0.25">
      <c r="A6018" s="2">
        <v>0</v>
      </c>
      <c r="B6018" s="38">
        <v>0</v>
      </c>
      <c r="C6018" s="79">
        <v>0</v>
      </c>
    </row>
    <row r="6019" spans="1:3" x14ac:dyDescent="0.25">
      <c r="A6019" s="2">
        <v>0</v>
      </c>
      <c r="B6019" s="38">
        <v>0</v>
      </c>
      <c r="C6019" s="79">
        <v>0</v>
      </c>
    </row>
    <row r="6020" spans="1:3" x14ac:dyDescent="0.25">
      <c r="A6020" s="2">
        <v>0</v>
      </c>
      <c r="B6020" s="38">
        <v>0</v>
      </c>
      <c r="C6020" s="79">
        <v>0</v>
      </c>
    </row>
    <row r="6021" spans="1:3" x14ac:dyDescent="0.25">
      <c r="A6021" s="2">
        <v>0</v>
      </c>
      <c r="B6021" s="38">
        <v>0</v>
      </c>
      <c r="C6021" s="79">
        <v>0</v>
      </c>
    </row>
    <row r="6022" spans="1:3" x14ac:dyDescent="0.25">
      <c r="A6022" s="2">
        <v>0</v>
      </c>
      <c r="B6022" s="38">
        <v>0</v>
      </c>
      <c r="C6022" s="79">
        <v>0</v>
      </c>
    </row>
    <row r="6023" spans="1:3" x14ac:dyDescent="0.25">
      <c r="A6023" s="2">
        <v>0</v>
      </c>
      <c r="B6023" s="38">
        <v>0</v>
      </c>
      <c r="C6023" s="79">
        <v>0</v>
      </c>
    </row>
    <row r="6024" spans="1:3" x14ac:dyDescent="0.25">
      <c r="A6024" s="2">
        <v>0</v>
      </c>
      <c r="B6024" s="38">
        <v>0</v>
      </c>
      <c r="C6024" s="79">
        <v>0</v>
      </c>
    </row>
    <row r="6025" spans="1:3" x14ac:dyDescent="0.25">
      <c r="A6025" s="2">
        <v>0</v>
      </c>
      <c r="B6025" s="38">
        <v>0</v>
      </c>
      <c r="C6025" s="79">
        <v>0</v>
      </c>
    </row>
    <row r="6026" spans="1:3" x14ac:dyDescent="0.25">
      <c r="A6026" s="2">
        <v>0</v>
      </c>
      <c r="B6026" s="38">
        <v>0</v>
      </c>
      <c r="C6026" s="79">
        <v>0</v>
      </c>
    </row>
    <row r="6027" spans="1:3" x14ac:dyDescent="0.25">
      <c r="A6027" s="2">
        <v>0</v>
      </c>
      <c r="B6027" s="38">
        <v>0</v>
      </c>
      <c r="C6027" s="79">
        <v>0</v>
      </c>
    </row>
    <row r="6028" spans="1:3" x14ac:dyDescent="0.25">
      <c r="A6028" s="2">
        <v>0</v>
      </c>
      <c r="B6028" s="38">
        <v>0</v>
      </c>
      <c r="C6028" s="79">
        <v>0</v>
      </c>
    </row>
    <row r="6029" spans="1:3" x14ac:dyDescent="0.25">
      <c r="A6029" s="2">
        <v>0</v>
      </c>
      <c r="B6029" s="38">
        <v>0</v>
      </c>
      <c r="C6029" s="79">
        <v>0</v>
      </c>
    </row>
    <row r="6030" spans="1:3" x14ac:dyDescent="0.25">
      <c r="A6030" s="2">
        <v>0</v>
      </c>
      <c r="B6030" s="38">
        <v>0</v>
      </c>
      <c r="C6030" s="79">
        <v>0</v>
      </c>
    </row>
    <row r="6031" spans="1:3" x14ac:dyDescent="0.25">
      <c r="A6031" s="2">
        <v>0</v>
      </c>
      <c r="B6031" s="38">
        <v>0</v>
      </c>
      <c r="C6031" s="79">
        <v>0</v>
      </c>
    </row>
    <row r="6032" spans="1:3" x14ac:dyDescent="0.25">
      <c r="A6032" s="2">
        <v>0</v>
      </c>
      <c r="B6032" s="38">
        <v>0</v>
      </c>
      <c r="C6032" s="79">
        <v>0</v>
      </c>
    </row>
    <row r="6033" spans="1:3" x14ac:dyDescent="0.25">
      <c r="A6033" s="2">
        <v>0</v>
      </c>
      <c r="B6033" s="38">
        <v>0</v>
      </c>
      <c r="C6033" s="79">
        <v>0</v>
      </c>
    </row>
    <row r="6034" spans="1:3" x14ac:dyDescent="0.25">
      <c r="A6034" s="2">
        <v>0</v>
      </c>
      <c r="B6034" s="38">
        <v>0</v>
      </c>
      <c r="C6034" s="79">
        <v>0</v>
      </c>
    </row>
    <row r="6035" spans="1:3" x14ac:dyDescent="0.25">
      <c r="A6035" s="2">
        <v>0</v>
      </c>
      <c r="B6035" s="38">
        <v>0</v>
      </c>
      <c r="C6035" s="79">
        <v>0</v>
      </c>
    </row>
    <row r="6036" spans="1:3" x14ac:dyDescent="0.25">
      <c r="A6036" s="2">
        <v>0</v>
      </c>
      <c r="B6036" s="38">
        <v>0</v>
      </c>
      <c r="C6036" s="79">
        <v>0</v>
      </c>
    </row>
    <row r="6037" spans="1:3" x14ac:dyDescent="0.25">
      <c r="A6037" s="2">
        <v>0</v>
      </c>
      <c r="B6037" s="38">
        <v>0</v>
      </c>
      <c r="C6037" s="79">
        <v>0</v>
      </c>
    </row>
    <row r="6038" spans="1:3" x14ac:dyDescent="0.25">
      <c r="A6038" s="2">
        <v>0</v>
      </c>
      <c r="B6038" s="38">
        <v>0</v>
      </c>
      <c r="C6038" s="79">
        <v>0</v>
      </c>
    </row>
    <row r="6039" spans="1:3" x14ac:dyDescent="0.25">
      <c r="A6039" s="2">
        <v>0</v>
      </c>
      <c r="B6039" s="38">
        <v>0</v>
      </c>
      <c r="C6039" s="79">
        <v>0</v>
      </c>
    </row>
    <row r="6040" spans="1:3" x14ac:dyDescent="0.25">
      <c r="A6040" s="2">
        <v>0</v>
      </c>
      <c r="B6040" s="38">
        <v>0</v>
      </c>
      <c r="C6040" s="79">
        <v>0</v>
      </c>
    </row>
    <row r="6041" spans="1:3" x14ac:dyDescent="0.25">
      <c r="A6041" s="2">
        <v>0</v>
      </c>
      <c r="B6041" s="38">
        <v>0</v>
      </c>
      <c r="C6041" s="79">
        <v>0</v>
      </c>
    </row>
    <row r="6042" spans="1:3" x14ac:dyDescent="0.25">
      <c r="A6042" s="2">
        <v>0</v>
      </c>
      <c r="B6042" s="38">
        <v>0</v>
      </c>
      <c r="C6042" s="79">
        <v>0</v>
      </c>
    </row>
    <row r="6043" spans="1:3" x14ac:dyDescent="0.25">
      <c r="A6043" s="2">
        <v>0</v>
      </c>
      <c r="B6043" s="38">
        <v>0</v>
      </c>
      <c r="C6043" s="79">
        <v>0</v>
      </c>
    </row>
    <row r="6044" spans="1:3" x14ac:dyDescent="0.25">
      <c r="A6044" s="2">
        <v>0</v>
      </c>
      <c r="B6044" s="38">
        <v>0</v>
      </c>
      <c r="C6044" s="79">
        <v>0</v>
      </c>
    </row>
    <row r="6045" spans="1:3" x14ac:dyDescent="0.25">
      <c r="A6045" s="2">
        <v>0</v>
      </c>
      <c r="B6045" s="38">
        <v>0</v>
      </c>
      <c r="C6045" s="79">
        <v>0</v>
      </c>
    </row>
    <row r="6046" spans="1:3" x14ac:dyDescent="0.25">
      <c r="A6046" s="2">
        <v>0</v>
      </c>
      <c r="B6046" s="38">
        <v>0</v>
      </c>
      <c r="C6046" s="79">
        <v>0</v>
      </c>
    </row>
    <row r="6047" spans="1:3" x14ac:dyDescent="0.25">
      <c r="A6047" s="2">
        <v>0</v>
      </c>
      <c r="B6047" s="38">
        <v>0</v>
      </c>
      <c r="C6047" s="79">
        <v>0</v>
      </c>
    </row>
    <row r="6048" spans="1:3" x14ac:dyDescent="0.25">
      <c r="A6048" s="2">
        <v>0</v>
      </c>
      <c r="B6048" s="38">
        <v>0</v>
      </c>
      <c r="C6048" s="79">
        <v>0</v>
      </c>
    </row>
    <row r="6049" spans="1:3" x14ac:dyDescent="0.25">
      <c r="A6049" s="2">
        <v>0</v>
      </c>
      <c r="B6049" s="38">
        <v>0</v>
      </c>
      <c r="C6049" s="79">
        <v>0</v>
      </c>
    </row>
    <row r="6050" spans="1:3" x14ac:dyDescent="0.25">
      <c r="A6050" s="2">
        <v>0</v>
      </c>
      <c r="B6050" s="38">
        <v>0</v>
      </c>
      <c r="C6050" s="79">
        <v>0</v>
      </c>
    </row>
    <row r="6051" spans="1:3" x14ac:dyDescent="0.25">
      <c r="A6051" s="2">
        <v>0</v>
      </c>
      <c r="B6051" s="38">
        <v>0</v>
      </c>
      <c r="C6051" s="79">
        <v>0</v>
      </c>
    </row>
    <row r="6052" spans="1:3" x14ac:dyDescent="0.25">
      <c r="A6052" s="2">
        <v>0</v>
      </c>
      <c r="B6052" s="38">
        <v>0</v>
      </c>
      <c r="C6052" s="79">
        <v>0</v>
      </c>
    </row>
    <row r="6053" spans="1:3" x14ac:dyDescent="0.25">
      <c r="A6053" s="2">
        <v>0</v>
      </c>
      <c r="B6053" s="38">
        <v>0</v>
      </c>
      <c r="C6053" s="79">
        <v>0</v>
      </c>
    </row>
    <row r="6054" spans="1:3" x14ac:dyDescent="0.25">
      <c r="A6054" s="2">
        <v>0</v>
      </c>
      <c r="B6054" s="38">
        <v>0</v>
      </c>
      <c r="C6054" s="79">
        <v>0</v>
      </c>
    </row>
    <row r="6055" spans="1:3" x14ac:dyDescent="0.25">
      <c r="A6055" s="2">
        <v>0</v>
      </c>
      <c r="B6055" s="38">
        <v>0</v>
      </c>
      <c r="C6055" s="79">
        <v>0</v>
      </c>
    </row>
    <row r="6056" spans="1:3" x14ac:dyDescent="0.25">
      <c r="A6056" s="2">
        <v>0</v>
      </c>
      <c r="B6056" s="38">
        <v>0</v>
      </c>
      <c r="C6056" s="79">
        <v>0</v>
      </c>
    </row>
    <row r="6057" spans="1:3" x14ac:dyDescent="0.25">
      <c r="A6057" s="2">
        <v>0</v>
      </c>
      <c r="B6057" s="38">
        <v>0</v>
      </c>
      <c r="C6057" s="79">
        <v>0</v>
      </c>
    </row>
    <row r="6058" spans="1:3" x14ac:dyDescent="0.25">
      <c r="A6058" s="2">
        <v>0</v>
      </c>
      <c r="B6058" s="38">
        <v>0</v>
      </c>
      <c r="C6058" s="79">
        <v>0</v>
      </c>
    </row>
    <row r="6059" spans="1:3" x14ac:dyDescent="0.25">
      <c r="A6059" s="2">
        <v>0</v>
      </c>
      <c r="B6059" s="38">
        <v>0</v>
      </c>
      <c r="C6059" s="79">
        <v>0</v>
      </c>
    </row>
    <row r="6060" spans="1:3" x14ac:dyDescent="0.25">
      <c r="A6060" s="2">
        <v>0</v>
      </c>
      <c r="B6060" s="38">
        <v>0</v>
      </c>
      <c r="C6060" s="79">
        <v>0</v>
      </c>
    </row>
    <row r="6061" spans="1:3" x14ac:dyDescent="0.25">
      <c r="A6061" s="2">
        <v>0</v>
      </c>
      <c r="B6061" s="38">
        <v>0</v>
      </c>
      <c r="C6061" s="79">
        <v>0</v>
      </c>
    </row>
    <row r="6062" spans="1:3" x14ac:dyDescent="0.25">
      <c r="A6062" s="2">
        <v>0</v>
      </c>
      <c r="B6062" s="38">
        <v>0</v>
      </c>
      <c r="C6062" s="79">
        <v>0</v>
      </c>
    </row>
    <row r="6063" spans="1:3" x14ac:dyDescent="0.25">
      <c r="A6063" s="2">
        <v>0</v>
      </c>
      <c r="B6063" s="38">
        <v>0</v>
      </c>
      <c r="C6063" s="79">
        <v>0</v>
      </c>
    </row>
    <row r="6064" spans="1:3" x14ac:dyDescent="0.25">
      <c r="A6064" s="2">
        <v>0</v>
      </c>
      <c r="B6064" s="38">
        <v>0</v>
      </c>
      <c r="C6064" s="79">
        <v>0</v>
      </c>
    </row>
    <row r="6065" spans="1:3" x14ac:dyDescent="0.25">
      <c r="A6065" s="2">
        <v>0</v>
      </c>
      <c r="B6065" s="38">
        <v>0</v>
      </c>
      <c r="C6065" s="79">
        <v>0</v>
      </c>
    </row>
    <row r="6066" spans="1:3" x14ac:dyDescent="0.25">
      <c r="A6066" s="2">
        <v>0</v>
      </c>
      <c r="B6066" s="38">
        <v>0</v>
      </c>
      <c r="C6066" s="79">
        <v>0</v>
      </c>
    </row>
    <row r="6067" spans="1:3" x14ac:dyDescent="0.25">
      <c r="A6067" s="2">
        <v>0</v>
      </c>
      <c r="B6067" s="38">
        <v>0</v>
      </c>
      <c r="C6067" s="79">
        <v>0</v>
      </c>
    </row>
    <row r="6068" spans="1:3" x14ac:dyDescent="0.25">
      <c r="A6068" s="2">
        <v>0</v>
      </c>
      <c r="B6068" s="38">
        <v>0</v>
      </c>
      <c r="C6068" s="79">
        <v>0</v>
      </c>
    </row>
    <row r="6069" spans="1:3" x14ac:dyDescent="0.25">
      <c r="A6069" s="2">
        <v>0</v>
      </c>
      <c r="B6069" s="38">
        <v>0</v>
      </c>
      <c r="C6069" s="79">
        <v>0</v>
      </c>
    </row>
    <row r="6070" spans="1:3" x14ac:dyDescent="0.25">
      <c r="A6070" s="2">
        <v>0</v>
      </c>
      <c r="B6070" s="38">
        <v>0</v>
      </c>
      <c r="C6070" s="79">
        <v>0</v>
      </c>
    </row>
    <row r="6071" spans="1:3" x14ac:dyDescent="0.25">
      <c r="A6071" s="2">
        <v>0</v>
      </c>
      <c r="B6071" s="38">
        <v>0</v>
      </c>
      <c r="C6071" s="79">
        <v>0</v>
      </c>
    </row>
    <row r="6072" spans="1:3" x14ac:dyDescent="0.25">
      <c r="A6072" s="2">
        <v>0</v>
      </c>
      <c r="B6072" s="38">
        <v>0</v>
      </c>
      <c r="C6072" s="79">
        <v>0</v>
      </c>
    </row>
    <row r="6073" spans="1:3" x14ac:dyDescent="0.25">
      <c r="A6073" s="2">
        <v>0</v>
      </c>
      <c r="B6073" s="38">
        <v>0</v>
      </c>
      <c r="C6073" s="79">
        <v>0</v>
      </c>
    </row>
    <row r="6074" spans="1:3" x14ac:dyDescent="0.25">
      <c r="A6074" s="2">
        <v>0</v>
      </c>
      <c r="B6074" s="38">
        <v>0</v>
      </c>
      <c r="C6074" s="79">
        <v>0</v>
      </c>
    </row>
    <row r="6075" spans="1:3" x14ac:dyDescent="0.25">
      <c r="A6075" s="2">
        <v>0</v>
      </c>
      <c r="B6075" s="38">
        <v>0</v>
      </c>
      <c r="C6075" s="79">
        <v>0</v>
      </c>
    </row>
    <row r="6076" spans="1:3" x14ac:dyDescent="0.25">
      <c r="A6076" s="2">
        <v>0</v>
      </c>
      <c r="B6076" s="38">
        <v>0</v>
      </c>
      <c r="C6076" s="79">
        <v>0</v>
      </c>
    </row>
    <row r="6077" spans="1:3" x14ac:dyDescent="0.25">
      <c r="A6077" s="2">
        <v>0</v>
      </c>
      <c r="B6077" s="38">
        <v>0</v>
      </c>
      <c r="C6077" s="79">
        <v>0</v>
      </c>
    </row>
    <row r="6078" spans="1:3" x14ac:dyDescent="0.25">
      <c r="A6078" s="2">
        <v>0</v>
      </c>
      <c r="B6078" s="38">
        <v>0</v>
      </c>
      <c r="C6078" s="79">
        <v>0</v>
      </c>
    </row>
    <row r="6079" spans="1:3" x14ac:dyDescent="0.25">
      <c r="A6079" s="2">
        <v>0</v>
      </c>
      <c r="B6079" s="38">
        <v>0</v>
      </c>
      <c r="C6079" s="79">
        <v>0</v>
      </c>
    </row>
    <row r="6080" spans="1:3" x14ac:dyDescent="0.25">
      <c r="A6080" s="2">
        <v>0</v>
      </c>
      <c r="B6080" s="38">
        <v>0</v>
      </c>
      <c r="C6080" s="79">
        <v>0</v>
      </c>
    </row>
    <row r="6081" spans="1:3" x14ac:dyDescent="0.25">
      <c r="A6081" s="2">
        <v>0</v>
      </c>
      <c r="B6081" s="38">
        <v>0</v>
      </c>
      <c r="C6081" s="79">
        <v>0</v>
      </c>
    </row>
    <row r="6082" spans="1:3" x14ac:dyDescent="0.25">
      <c r="A6082" s="2">
        <v>0</v>
      </c>
      <c r="B6082" s="38">
        <v>0</v>
      </c>
      <c r="C6082" s="79">
        <v>0</v>
      </c>
    </row>
    <row r="6083" spans="1:3" x14ac:dyDescent="0.25">
      <c r="A6083" s="2">
        <v>0</v>
      </c>
      <c r="B6083" s="38">
        <v>0</v>
      </c>
      <c r="C6083" s="79">
        <v>0</v>
      </c>
    </row>
    <row r="6084" spans="1:3" x14ac:dyDescent="0.25">
      <c r="A6084" s="2">
        <v>0</v>
      </c>
      <c r="B6084" s="38">
        <v>0</v>
      </c>
      <c r="C6084" s="79">
        <v>0</v>
      </c>
    </row>
    <row r="6085" spans="1:3" x14ac:dyDescent="0.25">
      <c r="A6085" s="2">
        <v>0</v>
      </c>
      <c r="B6085" s="38">
        <v>0</v>
      </c>
      <c r="C6085" s="79">
        <v>0</v>
      </c>
    </row>
    <row r="6086" spans="1:3" x14ac:dyDescent="0.25">
      <c r="A6086" s="2">
        <v>0</v>
      </c>
      <c r="B6086" s="38">
        <v>0</v>
      </c>
      <c r="C6086" s="79">
        <v>0</v>
      </c>
    </row>
    <row r="6087" spans="1:3" x14ac:dyDescent="0.25">
      <c r="A6087" s="2">
        <v>0</v>
      </c>
      <c r="B6087" s="38">
        <v>0</v>
      </c>
      <c r="C6087" s="79">
        <v>0</v>
      </c>
    </row>
    <row r="6088" spans="1:3" x14ac:dyDescent="0.25">
      <c r="A6088" s="2">
        <v>0</v>
      </c>
      <c r="B6088" s="38">
        <v>0</v>
      </c>
      <c r="C6088" s="79">
        <v>0</v>
      </c>
    </row>
    <row r="6089" spans="1:3" x14ac:dyDescent="0.25">
      <c r="A6089" s="2">
        <v>0</v>
      </c>
      <c r="B6089" s="38">
        <v>0</v>
      </c>
      <c r="C6089" s="79">
        <v>0</v>
      </c>
    </row>
    <row r="6090" spans="1:3" x14ac:dyDescent="0.25">
      <c r="A6090" s="2">
        <v>0</v>
      </c>
      <c r="B6090" s="38">
        <v>0</v>
      </c>
      <c r="C6090" s="79">
        <v>0</v>
      </c>
    </row>
    <row r="6091" spans="1:3" x14ac:dyDescent="0.25">
      <c r="A6091" s="2">
        <v>0</v>
      </c>
      <c r="B6091" s="38">
        <v>0</v>
      </c>
      <c r="C6091" s="79">
        <v>0</v>
      </c>
    </row>
    <row r="6092" spans="1:3" x14ac:dyDescent="0.25">
      <c r="A6092" s="2">
        <v>0</v>
      </c>
      <c r="B6092" s="38">
        <v>0</v>
      </c>
      <c r="C6092" s="79">
        <v>0</v>
      </c>
    </row>
    <row r="6093" spans="1:3" x14ac:dyDescent="0.25">
      <c r="A6093" s="2">
        <v>0</v>
      </c>
      <c r="B6093" s="38">
        <v>0</v>
      </c>
      <c r="C6093" s="79">
        <v>0</v>
      </c>
    </row>
    <row r="6094" spans="1:3" x14ac:dyDescent="0.25">
      <c r="A6094" s="2">
        <v>0</v>
      </c>
      <c r="B6094" s="38">
        <v>0</v>
      </c>
      <c r="C6094" s="79">
        <v>0</v>
      </c>
    </row>
    <row r="6095" spans="1:3" x14ac:dyDescent="0.25">
      <c r="A6095" s="2">
        <v>0</v>
      </c>
      <c r="B6095" s="38">
        <v>0</v>
      </c>
      <c r="C6095" s="79">
        <v>0</v>
      </c>
    </row>
    <row r="6096" spans="1:3" x14ac:dyDescent="0.25">
      <c r="A6096" s="2">
        <v>0</v>
      </c>
      <c r="B6096" s="38">
        <v>0</v>
      </c>
      <c r="C6096" s="79">
        <v>0</v>
      </c>
    </row>
    <row r="6097" spans="1:3" x14ac:dyDescent="0.25">
      <c r="A6097" s="2">
        <v>0</v>
      </c>
      <c r="B6097" s="38">
        <v>0</v>
      </c>
      <c r="C6097" s="79">
        <v>0</v>
      </c>
    </row>
    <row r="6098" spans="1:3" x14ac:dyDescent="0.25">
      <c r="A6098" s="2">
        <v>0</v>
      </c>
      <c r="B6098" s="38">
        <v>0</v>
      </c>
      <c r="C6098" s="79">
        <v>0</v>
      </c>
    </row>
    <row r="6099" spans="1:3" x14ac:dyDescent="0.25">
      <c r="A6099" s="2">
        <v>0</v>
      </c>
      <c r="B6099" s="38">
        <v>0</v>
      </c>
      <c r="C6099" s="79">
        <v>0</v>
      </c>
    </row>
    <row r="6100" spans="1:3" x14ac:dyDescent="0.25">
      <c r="A6100" s="2">
        <v>0</v>
      </c>
      <c r="B6100" s="38">
        <v>0</v>
      </c>
      <c r="C6100" s="79">
        <v>0</v>
      </c>
    </row>
    <row r="6101" spans="1:3" x14ac:dyDescent="0.25">
      <c r="A6101" s="2">
        <v>0</v>
      </c>
      <c r="B6101" s="38">
        <v>0</v>
      </c>
      <c r="C6101" s="79">
        <v>0</v>
      </c>
    </row>
    <row r="6102" spans="1:3" x14ac:dyDescent="0.25">
      <c r="A6102" s="2">
        <v>0</v>
      </c>
      <c r="B6102" s="38">
        <v>0</v>
      </c>
      <c r="C6102" s="79">
        <v>0</v>
      </c>
    </row>
    <row r="6103" spans="1:3" x14ac:dyDescent="0.25">
      <c r="A6103" s="2">
        <v>0</v>
      </c>
      <c r="B6103" s="38">
        <v>0</v>
      </c>
      <c r="C6103" s="79">
        <v>0</v>
      </c>
    </row>
    <row r="6104" spans="1:3" x14ac:dyDescent="0.25">
      <c r="A6104" s="2">
        <v>0</v>
      </c>
      <c r="B6104" s="38">
        <v>0</v>
      </c>
      <c r="C6104" s="79">
        <v>0</v>
      </c>
    </row>
    <row r="6105" spans="1:3" x14ac:dyDescent="0.25">
      <c r="A6105" s="2">
        <v>0</v>
      </c>
      <c r="B6105" s="38">
        <v>0</v>
      </c>
      <c r="C6105" s="79">
        <v>0</v>
      </c>
    </row>
    <row r="6106" spans="1:3" x14ac:dyDescent="0.25">
      <c r="A6106" s="2">
        <v>0</v>
      </c>
      <c r="B6106" s="38">
        <v>0</v>
      </c>
      <c r="C6106" s="79">
        <v>0</v>
      </c>
    </row>
    <row r="6107" spans="1:3" x14ac:dyDescent="0.25">
      <c r="A6107" s="2">
        <v>0</v>
      </c>
      <c r="B6107" s="38">
        <v>0</v>
      </c>
      <c r="C6107" s="79">
        <v>0</v>
      </c>
    </row>
    <row r="6108" spans="1:3" x14ac:dyDescent="0.25">
      <c r="A6108" s="2">
        <v>0</v>
      </c>
      <c r="B6108" s="38">
        <v>0</v>
      </c>
      <c r="C6108" s="79">
        <v>0</v>
      </c>
    </row>
    <row r="6109" spans="1:3" x14ac:dyDescent="0.25">
      <c r="A6109" s="2">
        <v>0</v>
      </c>
      <c r="B6109" s="38">
        <v>0</v>
      </c>
      <c r="C6109" s="79">
        <v>0</v>
      </c>
    </row>
    <row r="6110" spans="1:3" x14ac:dyDescent="0.25">
      <c r="A6110" s="2">
        <v>0</v>
      </c>
      <c r="B6110" s="38">
        <v>0</v>
      </c>
      <c r="C6110" s="79">
        <v>0</v>
      </c>
    </row>
    <row r="6111" spans="1:3" x14ac:dyDescent="0.25">
      <c r="A6111" s="2">
        <v>0</v>
      </c>
      <c r="B6111" s="38">
        <v>0</v>
      </c>
      <c r="C6111" s="79">
        <v>0</v>
      </c>
    </row>
    <row r="6112" spans="1:3" x14ac:dyDescent="0.25">
      <c r="A6112" s="2">
        <v>0</v>
      </c>
      <c r="B6112" s="38">
        <v>0</v>
      </c>
      <c r="C6112" s="79">
        <v>0</v>
      </c>
    </row>
    <row r="6113" spans="1:3" x14ac:dyDescent="0.25">
      <c r="A6113" s="2">
        <v>0</v>
      </c>
      <c r="B6113" s="38">
        <v>0</v>
      </c>
      <c r="C6113" s="79">
        <v>0</v>
      </c>
    </row>
    <row r="6114" spans="1:3" x14ac:dyDescent="0.25">
      <c r="A6114" s="2">
        <v>0</v>
      </c>
      <c r="B6114" s="38">
        <v>0</v>
      </c>
      <c r="C6114" s="79">
        <v>0</v>
      </c>
    </row>
    <row r="6115" spans="1:3" x14ac:dyDescent="0.25">
      <c r="A6115" s="2">
        <v>0</v>
      </c>
      <c r="B6115" s="38">
        <v>0</v>
      </c>
      <c r="C6115" s="79">
        <v>0</v>
      </c>
    </row>
    <row r="6116" spans="1:3" x14ac:dyDescent="0.25">
      <c r="A6116" s="2">
        <v>0</v>
      </c>
      <c r="B6116" s="38">
        <v>0</v>
      </c>
      <c r="C6116" s="79">
        <v>0</v>
      </c>
    </row>
    <row r="6117" spans="1:3" x14ac:dyDescent="0.25">
      <c r="A6117" s="2">
        <v>0</v>
      </c>
      <c r="B6117" s="38">
        <v>0</v>
      </c>
      <c r="C6117" s="79">
        <v>0</v>
      </c>
    </row>
    <row r="6118" spans="1:3" x14ac:dyDescent="0.25">
      <c r="A6118" s="2">
        <v>0</v>
      </c>
      <c r="B6118" s="38">
        <v>0</v>
      </c>
      <c r="C6118" s="79">
        <v>0</v>
      </c>
    </row>
    <row r="6119" spans="1:3" x14ac:dyDescent="0.25">
      <c r="A6119" s="2">
        <v>0</v>
      </c>
      <c r="B6119" s="38">
        <v>0</v>
      </c>
      <c r="C6119" s="79">
        <v>0</v>
      </c>
    </row>
    <row r="6120" spans="1:3" x14ac:dyDescent="0.25">
      <c r="A6120" s="2">
        <v>0</v>
      </c>
      <c r="B6120" s="38">
        <v>0</v>
      </c>
      <c r="C6120" s="79">
        <v>0</v>
      </c>
    </row>
    <row r="6121" spans="1:3" x14ac:dyDescent="0.25">
      <c r="A6121" s="2">
        <v>0</v>
      </c>
      <c r="B6121" s="38">
        <v>0</v>
      </c>
      <c r="C6121" s="79">
        <v>0</v>
      </c>
    </row>
    <row r="6122" spans="1:3" x14ac:dyDescent="0.25">
      <c r="A6122" s="2">
        <v>0</v>
      </c>
      <c r="B6122" s="38">
        <v>0</v>
      </c>
      <c r="C6122" s="79">
        <v>0</v>
      </c>
    </row>
    <row r="6123" spans="1:3" x14ac:dyDescent="0.25">
      <c r="A6123" s="2">
        <v>0</v>
      </c>
      <c r="B6123" s="38">
        <v>0</v>
      </c>
      <c r="C6123" s="79">
        <v>0</v>
      </c>
    </row>
    <row r="6124" spans="1:3" x14ac:dyDescent="0.25">
      <c r="A6124" s="2">
        <v>0</v>
      </c>
      <c r="B6124" s="38">
        <v>0</v>
      </c>
      <c r="C6124" s="79">
        <v>0</v>
      </c>
    </row>
    <row r="6125" spans="1:3" x14ac:dyDescent="0.25">
      <c r="A6125" s="2">
        <v>0</v>
      </c>
      <c r="B6125" s="38">
        <v>0</v>
      </c>
      <c r="C6125" s="79">
        <v>0</v>
      </c>
    </row>
    <row r="6126" spans="1:3" x14ac:dyDescent="0.25">
      <c r="A6126" s="2">
        <v>0</v>
      </c>
      <c r="B6126" s="38">
        <v>0</v>
      </c>
      <c r="C6126" s="79">
        <v>0</v>
      </c>
    </row>
    <row r="6127" spans="1:3" x14ac:dyDescent="0.25">
      <c r="A6127" s="2">
        <v>0</v>
      </c>
      <c r="B6127" s="38">
        <v>0</v>
      </c>
      <c r="C6127" s="79">
        <v>0</v>
      </c>
    </row>
    <row r="6128" spans="1:3" x14ac:dyDescent="0.25">
      <c r="A6128" s="2">
        <v>0</v>
      </c>
      <c r="B6128" s="38">
        <v>0</v>
      </c>
      <c r="C6128" s="79">
        <v>0</v>
      </c>
    </row>
    <row r="6129" spans="1:3" x14ac:dyDescent="0.25">
      <c r="A6129" s="2">
        <v>0</v>
      </c>
      <c r="B6129" s="38">
        <v>0</v>
      </c>
      <c r="C6129" s="79">
        <v>0</v>
      </c>
    </row>
    <row r="6130" spans="1:3" x14ac:dyDescent="0.25">
      <c r="A6130" s="2">
        <v>0</v>
      </c>
      <c r="B6130" s="38">
        <v>0</v>
      </c>
      <c r="C6130" s="79">
        <v>0</v>
      </c>
    </row>
    <row r="6131" spans="1:3" x14ac:dyDescent="0.25">
      <c r="A6131" s="2">
        <v>0</v>
      </c>
      <c r="B6131" s="38">
        <v>0</v>
      </c>
      <c r="C6131" s="79">
        <v>0</v>
      </c>
    </row>
    <row r="6132" spans="1:3" x14ac:dyDescent="0.25">
      <c r="A6132" s="2">
        <v>0</v>
      </c>
      <c r="B6132" s="38">
        <v>0</v>
      </c>
      <c r="C6132" s="79">
        <v>0</v>
      </c>
    </row>
    <row r="6133" spans="1:3" x14ac:dyDescent="0.25">
      <c r="A6133" s="2">
        <v>0</v>
      </c>
      <c r="B6133" s="38">
        <v>0</v>
      </c>
      <c r="C6133" s="79">
        <v>0</v>
      </c>
    </row>
    <row r="6134" spans="1:3" x14ac:dyDescent="0.25">
      <c r="A6134" s="2">
        <v>0</v>
      </c>
      <c r="B6134" s="38">
        <v>0</v>
      </c>
      <c r="C6134" s="79">
        <v>0</v>
      </c>
    </row>
    <row r="6135" spans="1:3" x14ac:dyDescent="0.25">
      <c r="A6135" s="2">
        <v>0</v>
      </c>
      <c r="B6135" s="38">
        <v>0</v>
      </c>
      <c r="C6135" s="79">
        <v>0</v>
      </c>
    </row>
    <row r="6136" spans="1:3" x14ac:dyDescent="0.25">
      <c r="A6136" s="2">
        <v>0</v>
      </c>
      <c r="B6136" s="38">
        <v>0</v>
      </c>
      <c r="C6136" s="79">
        <v>0</v>
      </c>
    </row>
    <row r="6137" spans="1:3" x14ac:dyDescent="0.25">
      <c r="A6137" s="2">
        <v>0</v>
      </c>
      <c r="B6137" s="38">
        <v>0</v>
      </c>
      <c r="C6137" s="79">
        <v>0</v>
      </c>
    </row>
    <row r="6138" spans="1:3" x14ac:dyDescent="0.25">
      <c r="A6138" s="2">
        <v>0</v>
      </c>
      <c r="B6138" s="38">
        <v>0</v>
      </c>
      <c r="C6138" s="79">
        <v>0</v>
      </c>
    </row>
    <row r="6139" spans="1:3" x14ac:dyDescent="0.25">
      <c r="A6139" s="2">
        <v>0</v>
      </c>
      <c r="B6139" s="38">
        <v>0</v>
      </c>
      <c r="C6139" s="79">
        <v>0</v>
      </c>
    </row>
    <row r="6140" spans="1:3" x14ac:dyDescent="0.25">
      <c r="A6140" s="2">
        <v>0</v>
      </c>
      <c r="B6140" s="38">
        <v>0</v>
      </c>
      <c r="C6140" s="79">
        <v>0</v>
      </c>
    </row>
    <row r="6141" spans="1:3" x14ac:dyDescent="0.25">
      <c r="A6141" s="2">
        <v>0</v>
      </c>
      <c r="B6141" s="38">
        <v>0</v>
      </c>
      <c r="C6141" s="79">
        <v>0</v>
      </c>
    </row>
    <row r="6142" spans="1:3" x14ac:dyDescent="0.25">
      <c r="A6142" s="2">
        <v>0</v>
      </c>
      <c r="B6142" s="38">
        <v>0</v>
      </c>
      <c r="C6142" s="79">
        <v>0</v>
      </c>
    </row>
    <row r="6143" spans="1:3" x14ac:dyDescent="0.25">
      <c r="A6143" s="2">
        <v>0</v>
      </c>
      <c r="B6143" s="38">
        <v>0</v>
      </c>
      <c r="C6143" s="79">
        <v>0</v>
      </c>
    </row>
    <row r="6144" spans="1:3" x14ac:dyDescent="0.25">
      <c r="A6144" s="2">
        <v>0</v>
      </c>
      <c r="B6144" s="38">
        <v>0</v>
      </c>
      <c r="C6144" s="79">
        <v>0</v>
      </c>
    </row>
    <row r="6145" spans="1:3" x14ac:dyDescent="0.25">
      <c r="A6145" s="2">
        <v>0</v>
      </c>
      <c r="B6145" s="38">
        <v>0</v>
      </c>
      <c r="C6145" s="79">
        <v>0</v>
      </c>
    </row>
    <row r="6146" spans="1:3" x14ac:dyDescent="0.25">
      <c r="A6146" s="2">
        <v>0</v>
      </c>
      <c r="B6146" s="38">
        <v>0</v>
      </c>
      <c r="C6146" s="79">
        <v>0</v>
      </c>
    </row>
    <row r="6147" spans="1:3" x14ac:dyDescent="0.25">
      <c r="A6147" s="2">
        <v>0</v>
      </c>
      <c r="B6147" s="38">
        <v>0</v>
      </c>
      <c r="C6147" s="79">
        <v>0</v>
      </c>
    </row>
    <row r="6148" spans="1:3" x14ac:dyDescent="0.25">
      <c r="A6148" s="2">
        <v>0</v>
      </c>
      <c r="B6148" s="38">
        <v>0</v>
      </c>
      <c r="C6148" s="79">
        <v>0</v>
      </c>
    </row>
    <row r="6149" spans="1:3" x14ac:dyDescent="0.25">
      <c r="A6149" s="2">
        <v>0</v>
      </c>
      <c r="B6149" s="38">
        <v>0</v>
      </c>
      <c r="C6149" s="79">
        <v>0</v>
      </c>
    </row>
    <row r="6150" spans="1:3" x14ac:dyDescent="0.25">
      <c r="A6150" s="2">
        <v>0</v>
      </c>
      <c r="B6150" s="38">
        <v>0</v>
      </c>
      <c r="C6150" s="79">
        <v>0</v>
      </c>
    </row>
    <row r="6151" spans="1:3" x14ac:dyDescent="0.25">
      <c r="A6151" s="2">
        <v>0</v>
      </c>
      <c r="B6151" s="38">
        <v>0</v>
      </c>
      <c r="C6151" s="79">
        <v>0</v>
      </c>
    </row>
    <row r="6152" spans="1:3" x14ac:dyDescent="0.25">
      <c r="A6152" s="2">
        <v>0</v>
      </c>
      <c r="B6152" s="38">
        <v>0</v>
      </c>
      <c r="C6152" s="79">
        <v>0</v>
      </c>
    </row>
    <row r="6153" spans="1:3" x14ac:dyDescent="0.25">
      <c r="A6153" s="2">
        <v>0</v>
      </c>
      <c r="B6153" s="38">
        <v>0</v>
      </c>
      <c r="C6153" s="79">
        <v>0</v>
      </c>
    </row>
    <row r="6154" spans="1:3" x14ac:dyDescent="0.25">
      <c r="A6154" s="2">
        <v>0</v>
      </c>
      <c r="B6154" s="38">
        <v>0</v>
      </c>
      <c r="C6154" s="79">
        <v>0</v>
      </c>
    </row>
    <row r="6155" spans="1:3" x14ac:dyDescent="0.25">
      <c r="A6155" s="2">
        <v>0</v>
      </c>
      <c r="B6155" s="38">
        <v>0</v>
      </c>
      <c r="C6155" s="79">
        <v>0</v>
      </c>
    </row>
    <row r="6156" spans="1:3" x14ac:dyDescent="0.25">
      <c r="A6156" s="2">
        <v>0</v>
      </c>
      <c r="B6156" s="38">
        <v>0</v>
      </c>
      <c r="C6156" s="79">
        <v>0</v>
      </c>
    </row>
    <row r="6157" spans="1:3" x14ac:dyDescent="0.25">
      <c r="A6157" s="2">
        <v>0</v>
      </c>
      <c r="B6157" s="38">
        <v>0</v>
      </c>
      <c r="C6157" s="79">
        <v>0</v>
      </c>
    </row>
    <row r="6158" spans="1:3" x14ac:dyDescent="0.25">
      <c r="A6158" s="2">
        <v>0</v>
      </c>
      <c r="B6158" s="38">
        <v>0</v>
      </c>
      <c r="C6158" s="79">
        <v>0</v>
      </c>
    </row>
    <row r="6159" spans="1:3" x14ac:dyDescent="0.25">
      <c r="A6159" s="2">
        <v>0</v>
      </c>
      <c r="B6159" s="38">
        <v>0</v>
      </c>
      <c r="C6159" s="79">
        <v>0</v>
      </c>
    </row>
    <row r="6160" spans="1:3" x14ac:dyDescent="0.25">
      <c r="A6160" s="2">
        <v>0</v>
      </c>
      <c r="B6160" s="38">
        <v>0</v>
      </c>
      <c r="C6160" s="79">
        <v>0</v>
      </c>
    </row>
    <row r="6161" spans="1:3" x14ac:dyDescent="0.25">
      <c r="A6161" s="2">
        <v>0</v>
      </c>
      <c r="B6161" s="38">
        <v>0</v>
      </c>
      <c r="C6161" s="79">
        <v>0</v>
      </c>
    </row>
    <row r="6162" spans="1:3" x14ac:dyDescent="0.25">
      <c r="A6162" s="2">
        <v>0</v>
      </c>
      <c r="B6162" s="38">
        <v>0</v>
      </c>
      <c r="C6162" s="79">
        <v>0</v>
      </c>
    </row>
    <row r="6163" spans="1:3" x14ac:dyDescent="0.25">
      <c r="A6163" s="2">
        <v>0</v>
      </c>
      <c r="B6163" s="38">
        <v>0</v>
      </c>
      <c r="C6163" s="79">
        <v>0</v>
      </c>
    </row>
    <row r="6164" spans="1:3" x14ac:dyDescent="0.25">
      <c r="A6164" s="2">
        <v>0</v>
      </c>
      <c r="B6164" s="38">
        <v>0</v>
      </c>
      <c r="C6164" s="79">
        <v>0</v>
      </c>
    </row>
    <row r="6165" spans="1:3" x14ac:dyDescent="0.25">
      <c r="A6165" s="2">
        <v>0</v>
      </c>
      <c r="B6165" s="38">
        <v>0</v>
      </c>
      <c r="C6165" s="79">
        <v>0</v>
      </c>
    </row>
    <row r="6166" spans="1:3" x14ac:dyDescent="0.25">
      <c r="A6166" s="2">
        <v>0</v>
      </c>
      <c r="B6166" s="38">
        <v>0</v>
      </c>
      <c r="C6166" s="79">
        <v>0</v>
      </c>
    </row>
    <row r="6167" spans="1:3" x14ac:dyDescent="0.25">
      <c r="A6167" s="2">
        <v>0</v>
      </c>
      <c r="B6167" s="38">
        <v>0</v>
      </c>
      <c r="C6167" s="79">
        <v>0</v>
      </c>
    </row>
    <row r="6168" spans="1:3" x14ac:dyDescent="0.25">
      <c r="A6168" s="2">
        <v>0</v>
      </c>
      <c r="B6168" s="38">
        <v>0</v>
      </c>
      <c r="C6168" s="79">
        <v>0</v>
      </c>
    </row>
    <row r="6169" spans="1:3" x14ac:dyDescent="0.25">
      <c r="A6169" s="2">
        <v>0</v>
      </c>
      <c r="B6169" s="38">
        <v>0</v>
      </c>
      <c r="C6169" s="79">
        <v>0</v>
      </c>
    </row>
    <row r="6170" spans="1:3" x14ac:dyDescent="0.25">
      <c r="A6170" s="2">
        <v>0</v>
      </c>
      <c r="B6170" s="38">
        <v>0</v>
      </c>
      <c r="C6170" s="79">
        <v>0</v>
      </c>
    </row>
    <row r="6171" spans="1:3" x14ac:dyDescent="0.25">
      <c r="A6171" s="2">
        <v>0</v>
      </c>
      <c r="B6171" s="38">
        <v>0</v>
      </c>
      <c r="C6171" s="79">
        <v>0</v>
      </c>
    </row>
    <row r="6172" spans="1:3" x14ac:dyDescent="0.25">
      <c r="A6172" s="2">
        <v>0</v>
      </c>
      <c r="B6172" s="38">
        <v>0</v>
      </c>
      <c r="C6172" s="79">
        <v>0</v>
      </c>
    </row>
    <row r="6173" spans="1:3" x14ac:dyDescent="0.25">
      <c r="A6173" s="2">
        <v>0</v>
      </c>
      <c r="B6173" s="38">
        <v>0</v>
      </c>
      <c r="C6173" s="79">
        <v>0</v>
      </c>
    </row>
    <row r="6174" spans="1:3" x14ac:dyDescent="0.25">
      <c r="A6174" s="2">
        <v>0</v>
      </c>
      <c r="B6174" s="38">
        <v>0</v>
      </c>
      <c r="C6174" s="79">
        <v>0</v>
      </c>
    </row>
    <row r="6175" spans="1:3" x14ac:dyDescent="0.25">
      <c r="A6175" s="2">
        <v>0</v>
      </c>
      <c r="B6175" s="38">
        <v>0</v>
      </c>
      <c r="C6175" s="79">
        <v>0</v>
      </c>
    </row>
    <row r="6176" spans="1:3" x14ac:dyDescent="0.25">
      <c r="A6176" s="2">
        <v>0</v>
      </c>
      <c r="B6176" s="38">
        <v>0</v>
      </c>
      <c r="C6176" s="79">
        <v>0</v>
      </c>
    </row>
    <row r="6177" spans="1:3" x14ac:dyDescent="0.25">
      <c r="A6177" s="2">
        <v>0</v>
      </c>
      <c r="B6177" s="38">
        <v>0</v>
      </c>
      <c r="C6177" s="79">
        <v>0</v>
      </c>
    </row>
    <row r="6178" spans="1:3" x14ac:dyDescent="0.25">
      <c r="A6178" s="2">
        <v>0</v>
      </c>
      <c r="B6178" s="38">
        <v>0</v>
      </c>
      <c r="C6178" s="79">
        <v>0</v>
      </c>
    </row>
    <row r="6179" spans="1:3" x14ac:dyDescent="0.25">
      <c r="A6179" s="2">
        <v>0</v>
      </c>
      <c r="B6179" s="38">
        <v>0</v>
      </c>
      <c r="C6179" s="79">
        <v>0</v>
      </c>
    </row>
    <row r="6180" spans="1:3" x14ac:dyDescent="0.25">
      <c r="A6180" s="2">
        <v>0</v>
      </c>
      <c r="B6180" s="38">
        <v>0</v>
      </c>
      <c r="C6180" s="79">
        <v>0</v>
      </c>
    </row>
    <row r="6181" spans="1:3" x14ac:dyDescent="0.25">
      <c r="A6181" s="2">
        <v>0</v>
      </c>
      <c r="B6181" s="38">
        <v>0</v>
      </c>
      <c r="C6181" s="79">
        <v>0</v>
      </c>
    </row>
    <row r="6182" spans="1:3" x14ac:dyDescent="0.25">
      <c r="A6182" s="2">
        <v>0</v>
      </c>
      <c r="B6182" s="38">
        <v>0</v>
      </c>
      <c r="C6182" s="79">
        <v>0</v>
      </c>
    </row>
    <row r="6183" spans="1:3" x14ac:dyDescent="0.25">
      <c r="A6183" s="2">
        <v>0</v>
      </c>
      <c r="B6183" s="38">
        <v>0</v>
      </c>
      <c r="C6183" s="79">
        <v>0</v>
      </c>
    </row>
    <row r="6184" spans="1:3" x14ac:dyDescent="0.25">
      <c r="A6184" s="2">
        <v>0</v>
      </c>
      <c r="B6184" s="38">
        <v>0</v>
      </c>
      <c r="C6184" s="79">
        <v>0</v>
      </c>
    </row>
    <row r="6185" spans="1:3" x14ac:dyDescent="0.25">
      <c r="A6185" s="2">
        <v>0</v>
      </c>
      <c r="B6185" s="38">
        <v>0</v>
      </c>
      <c r="C6185" s="79">
        <v>0</v>
      </c>
    </row>
    <row r="6186" spans="1:3" x14ac:dyDescent="0.25">
      <c r="A6186" s="2">
        <v>0</v>
      </c>
      <c r="B6186" s="38">
        <v>0</v>
      </c>
      <c r="C6186" s="79">
        <v>0</v>
      </c>
    </row>
    <row r="6187" spans="1:3" x14ac:dyDescent="0.25">
      <c r="A6187" s="2">
        <v>0</v>
      </c>
      <c r="B6187" s="38">
        <v>0</v>
      </c>
      <c r="C6187" s="79">
        <v>0</v>
      </c>
    </row>
    <row r="6188" spans="1:3" x14ac:dyDescent="0.25">
      <c r="A6188" s="2">
        <v>0</v>
      </c>
      <c r="B6188" s="38">
        <v>0</v>
      </c>
      <c r="C6188" s="79">
        <v>0</v>
      </c>
    </row>
    <row r="6189" spans="1:3" x14ac:dyDescent="0.25">
      <c r="A6189" s="2">
        <v>0</v>
      </c>
      <c r="B6189" s="38">
        <v>0</v>
      </c>
      <c r="C6189" s="79">
        <v>0</v>
      </c>
    </row>
    <row r="6190" spans="1:3" x14ac:dyDescent="0.25">
      <c r="A6190" s="2">
        <v>0</v>
      </c>
      <c r="B6190" s="38">
        <v>0</v>
      </c>
      <c r="C6190" s="79">
        <v>0</v>
      </c>
    </row>
    <row r="6191" spans="1:3" x14ac:dyDescent="0.25">
      <c r="A6191" s="2">
        <v>0</v>
      </c>
      <c r="B6191" s="38">
        <v>0</v>
      </c>
      <c r="C6191" s="79">
        <v>0</v>
      </c>
    </row>
    <row r="6192" spans="1:3" x14ac:dyDescent="0.25">
      <c r="A6192" s="2">
        <v>0</v>
      </c>
      <c r="B6192" s="38">
        <v>0</v>
      </c>
      <c r="C6192" s="79">
        <v>0</v>
      </c>
    </row>
    <row r="6193" spans="1:3" x14ac:dyDescent="0.25">
      <c r="A6193" s="2">
        <v>0</v>
      </c>
      <c r="B6193" s="38">
        <v>0</v>
      </c>
      <c r="C6193" s="79">
        <v>0</v>
      </c>
    </row>
    <row r="6194" spans="1:3" x14ac:dyDescent="0.25">
      <c r="A6194" s="2">
        <v>0</v>
      </c>
      <c r="B6194" s="38">
        <v>0</v>
      </c>
      <c r="C6194" s="79">
        <v>0</v>
      </c>
    </row>
    <row r="6195" spans="1:3" x14ac:dyDescent="0.25">
      <c r="A6195" s="2">
        <v>0</v>
      </c>
      <c r="B6195" s="38">
        <v>0</v>
      </c>
      <c r="C6195" s="79">
        <v>0</v>
      </c>
    </row>
    <row r="6196" spans="1:3" x14ac:dyDescent="0.25">
      <c r="A6196" s="2">
        <v>0</v>
      </c>
      <c r="B6196" s="38">
        <v>0</v>
      </c>
      <c r="C6196" s="79">
        <v>0</v>
      </c>
    </row>
    <row r="6197" spans="1:3" x14ac:dyDescent="0.25">
      <c r="A6197" s="2">
        <v>0</v>
      </c>
      <c r="B6197" s="38">
        <v>0</v>
      </c>
      <c r="C6197" s="79">
        <v>0</v>
      </c>
    </row>
    <row r="6198" spans="1:3" x14ac:dyDescent="0.25">
      <c r="A6198" s="2">
        <v>0</v>
      </c>
      <c r="B6198" s="38">
        <v>0</v>
      </c>
      <c r="C6198" s="79">
        <v>0</v>
      </c>
    </row>
    <row r="6199" spans="1:3" x14ac:dyDescent="0.25">
      <c r="A6199" s="2">
        <v>0</v>
      </c>
      <c r="B6199" s="38">
        <v>0</v>
      </c>
      <c r="C6199" s="79">
        <v>0</v>
      </c>
    </row>
    <row r="6200" spans="1:3" x14ac:dyDescent="0.25">
      <c r="A6200" s="2">
        <v>0</v>
      </c>
      <c r="B6200" s="38">
        <v>0</v>
      </c>
      <c r="C6200" s="79">
        <v>0</v>
      </c>
    </row>
    <row r="6201" spans="1:3" x14ac:dyDescent="0.25">
      <c r="A6201" s="2">
        <v>0</v>
      </c>
      <c r="B6201" s="38">
        <v>0</v>
      </c>
      <c r="C6201" s="79">
        <v>0</v>
      </c>
    </row>
    <row r="6202" spans="1:3" x14ac:dyDescent="0.25">
      <c r="A6202" s="2">
        <v>0</v>
      </c>
      <c r="B6202" s="38">
        <v>0</v>
      </c>
      <c r="C6202" s="79">
        <v>0</v>
      </c>
    </row>
    <row r="6203" spans="1:3" x14ac:dyDescent="0.25">
      <c r="A6203" s="2">
        <v>0</v>
      </c>
      <c r="B6203" s="38">
        <v>0</v>
      </c>
      <c r="C6203" s="79">
        <v>0</v>
      </c>
    </row>
    <row r="6204" spans="1:3" x14ac:dyDescent="0.25">
      <c r="A6204" s="2">
        <v>0</v>
      </c>
      <c r="B6204" s="38">
        <v>0</v>
      </c>
      <c r="C6204" s="79">
        <v>0</v>
      </c>
    </row>
    <row r="6205" spans="1:3" x14ac:dyDescent="0.25">
      <c r="A6205" s="2">
        <v>0</v>
      </c>
      <c r="B6205" s="38">
        <v>0</v>
      </c>
      <c r="C6205" s="79">
        <v>0</v>
      </c>
    </row>
    <row r="6206" spans="1:3" x14ac:dyDescent="0.25">
      <c r="A6206" s="2">
        <v>0</v>
      </c>
      <c r="B6206" s="38">
        <v>0</v>
      </c>
      <c r="C6206" s="79">
        <v>0</v>
      </c>
    </row>
    <row r="6207" spans="1:3" x14ac:dyDescent="0.25">
      <c r="A6207" s="2">
        <v>0</v>
      </c>
      <c r="B6207" s="38">
        <v>0</v>
      </c>
      <c r="C6207" s="79">
        <v>0</v>
      </c>
    </row>
    <row r="6208" spans="1:3" x14ac:dyDescent="0.25">
      <c r="A6208" s="2">
        <v>0</v>
      </c>
      <c r="B6208" s="38">
        <v>0</v>
      </c>
      <c r="C6208" s="79">
        <v>0</v>
      </c>
    </row>
    <row r="6209" spans="1:3" x14ac:dyDescent="0.25">
      <c r="A6209" s="2">
        <v>0</v>
      </c>
      <c r="B6209" s="38">
        <v>0</v>
      </c>
      <c r="C6209" s="79">
        <v>0</v>
      </c>
    </row>
    <row r="6210" spans="1:3" x14ac:dyDescent="0.25">
      <c r="A6210" s="2">
        <v>0</v>
      </c>
      <c r="B6210" s="38">
        <v>0</v>
      </c>
      <c r="C6210" s="79">
        <v>0</v>
      </c>
    </row>
    <row r="6211" spans="1:3" x14ac:dyDescent="0.25">
      <c r="A6211" s="2">
        <v>0</v>
      </c>
      <c r="B6211" s="38">
        <v>0</v>
      </c>
      <c r="C6211" s="79">
        <v>0</v>
      </c>
    </row>
    <row r="6212" spans="1:3" x14ac:dyDescent="0.25">
      <c r="A6212" s="2">
        <v>0</v>
      </c>
      <c r="B6212" s="38">
        <v>0</v>
      </c>
      <c r="C6212" s="79">
        <v>0</v>
      </c>
    </row>
    <row r="6213" spans="1:3" x14ac:dyDescent="0.25">
      <c r="A6213" s="2">
        <v>0</v>
      </c>
      <c r="B6213" s="38">
        <v>0</v>
      </c>
      <c r="C6213" s="79">
        <v>0</v>
      </c>
    </row>
    <row r="6214" spans="1:3" x14ac:dyDescent="0.25">
      <c r="A6214" s="2">
        <v>0</v>
      </c>
      <c r="B6214" s="38">
        <v>0</v>
      </c>
      <c r="C6214" s="79">
        <v>0</v>
      </c>
    </row>
    <row r="6215" spans="1:3" x14ac:dyDescent="0.25">
      <c r="A6215" s="2">
        <v>0</v>
      </c>
      <c r="B6215" s="38">
        <v>0</v>
      </c>
      <c r="C6215" s="79">
        <v>0</v>
      </c>
    </row>
    <row r="6216" spans="1:3" x14ac:dyDescent="0.25">
      <c r="A6216" s="2">
        <v>0</v>
      </c>
      <c r="B6216" s="38">
        <v>0</v>
      </c>
      <c r="C6216" s="79">
        <v>0</v>
      </c>
    </row>
    <row r="6217" spans="1:3" x14ac:dyDescent="0.25">
      <c r="A6217" s="2">
        <v>0</v>
      </c>
      <c r="B6217" s="38">
        <v>0</v>
      </c>
      <c r="C6217" s="79">
        <v>0</v>
      </c>
    </row>
    <row r="6218" spans="1:3" x14ac:dyDescent="0.25">
      <c r="A6218" s="2">
        <v>0</v>
      </c>
      <c r="B6218" s="38">
        <v>0</v>
      </c>
      <c r="C6218" s="79">
        <v>0</v>
      </c>
    </row>
    <row r="6219" spans="1:3" x14ac:dyDescent="0.25">
      <c r="A6219" s="2">
        <v>0</v>
      </c>
      <c r="B6219" s="38">
        <v>0</v>
      </c>
      <c r="C6219" s="79">
        <v>0</v>
      </c>
    </row>
    <row r="6220" spans="1:3" x14ac:dyDescent="0.25">
      <c r="A6220" s="2">
        <v>0</v>
      </c>
      <c r="B6220" s="38">
        <v>0</v>
      </c>
      <c r="C6220" s="79">
        <v>0</v>
      </c>
    </row>
    <row r="6221" spans="1:3" x14ac:dyDescent="0.25">
      <c r="A6221" s="2">
        <v>0</v>
      </c>
      <c r="B6221" s="38">
        <v>0</v>
      </c>
      <c r="C6221" s="79">
        <v>0</v>
      </c>
    </row>
    <row r="6222" spans="1:3" x14ac:dyDescent="0.25">
      <c r="A6222" s="2">
        <v>0</v>
      </c>
      <c r="B6222" s="38">
        <v>0</v>
      </c>
      <c r="C6222" s="79">
        <v>0</v>
      </c>
    </row>
    <row r="6223" spans="1:3" x14ac:dyDescent="0.25">
      <c r="A6223" s="2">
        <v>0</v>
      </c>
      <c r="B6223" s="38">
        <v>0</v>
      </c>
      <c r="C6223" s="79">
        <v>0</v>
      </c>
    </row>
    <row r="6224" spans="1:3" x14ac:dyDescent="0.25">
      <c r="A6224" s="2">
        <v>0</v>
      </c>
      <c r="B6224" s="38">
        <v>0</v>
      </c>
      <c r="C6224" s="79">
        <v>0</v>
      </c>
    </row>
    <row r="6225" spans="1:3" x14ac:dyDescent="0.25">
      <c r="A6225" s="2">
        <v>0</v>
      </c>
      <c r="B6225" s="38">
        <v>0</v>
      </c>
      <c r="C6225" s="79">
        <v>0</v>
      </c>
    </row>
    <row r="6226" spans="1:3" x14ac:dyDescent="0.25">
      <c r="A6226" s="2">
        <v>0</v>
      </c>
      <c r="B6226" s="38">
        <v>0</v>
      </c>
      <c r="C6226" s="79">
        <v>0</v>
      </c>
    </row>
    <row r="6227" spans="1:3" x14ac:dyDescent="0.25">
      <c r="A6227" s="2">
        <v>0</v>
      </c>
      <c r="B6227" s="38">
        <v>0</v>
      </c>
      <c r="C6227" s="79">
        <v>0</v>
      </c>
    </row>
    <row r="6228" spans="1:3" x14ac:dyDescent="0.25">
      <c r="A6228" s="2">
        <v>0</v>
      </c>
      <c r="B6228" s="38">
        <v>0</v>
      </c>
      <c r="C6228" s="79">
        <v>0</v>
      </c>
    </row>
    <row r="6229" spans="1:3" x14ac:dyDescent="0.25">
      <c r="A6229" s="2">
        <v>0</v>
      </c>
      <c r="B6229" s="38">
        <v>0</v>
      </c>
      <c r="C6229" s="79">
        <v>0</v>
      </c>
    </row>
    <row r="6230" spans="1:3" x14ac:dyDescent="0.25">
      <c r="A6230" s="2">
        <v>0</v>
      </c>
      <c r="B6230" s="38">
        <v>0</v>
      </c>
      <c r="C6230" s="79">
        <v>0</v>
      </c>
    </row>
    <row r="6231" spans="1:3" x14ac:dyDescent="0.25">
      <c r="A6231" s="2">
        <v>0</v>
      </c>
      <c r="B6231" s="38">
        <v>0</v>
      </c>
      <c r="C6231" s="79">
        <v>0</v>
      </c>
    </row>
    <row r="6232" spans="1:3" x14ac:dyDescent="0.25">
      <c r="A6232" s="2">
        <v>0</v>
      </c>
      <c r="B6232" s="38">
        <v>0</v>
      </c>
      <c r="C6232" s="79">
        <v>0</v>
      </c>
    </row>
    <row r="6233" spans="1:3" x14ac:dyDescent="0.25">
      <c r="A6233" s="2">
        <v>0</v>
      </c>
      <c r="B6233" s="38">
        <v>0</v>
      </c>
      <c r="C6233" s="79">
        <v>0</v>
      </c>
    </row>
    <row r="6234" spans="1:3" x14ac:dyDescent="0.25">
      <c r="A6234" s="2">
        <v>0</v>
      </c>
      <c r="B6234" s="38">
        <v>0</v>
      </c>
      <c r="C6234" s="79">
        <v>0</v>
      </c>
    </row>
    <row r="6235" spans="1:3" x14ac:dyDescent="0.25">
      <c r="A6235" s="2">
        <v>0</v>
      </c>
      <c r="B6235" s="38">
        <v>0</v>
      </c>
      <c r="C6235" s="79">
        <v>0</v>
      </c>
    </row>
    <row r="6236" spans="1:3" x14ac:dyDescent="0.25">
      <c r="A6236" s="2">
        <v>0</v>
      </c>
      <c r="B6236" s="38">
        <v>0</v>
      </c>
      <c r="C6236" s="79">
        <v>0</v>
      </c>
    </row>
    <row r="6237" spans="1:3" x14ac:dyDescent="0.25">
      <c r="A6237" s="2">
        <v>0</v>
      </c>
      <c r="B6237" s="38">
        <v>0</v>
      </c>
      <c r="C6237" s="79">
        <v>0</v>
      </c>
    </row>
    <row r="6238" spans="1:3" x14ac:dyDescent="0.25">
      <c r="A6238" s="2">
        <v>0</v>
      </c>
      <c r="B6238" s="38">
        <v>0</v>
      </c>
      <c r="C6238" s="79">
        <v>0</v>
      </c>
    </row>
    <row r="6239" spans="1:3" x14ac:dyDescent="0.25">
      <c r="A6239" s="2">
        <v>0</v>
      </c>
      <c r="B6239" s="38">
        <v>0</v>
      </c>
      <c r="C6239" s="79">
        <v>0</v>
      </c>
    </row>
    <row r="6240" spans="1:3" x14ac:dyDescent="0.25">
      <c r="A6240" s="2">
        <v>0</v>
      </c>
      <c r="B6240" s="38">
        <v>0</v>
      </c>
      <c r="C6240" s="79">
        <v>0</v>
      </c>
    </row>
    <row r="6241" spans="1:3" x14ac:dyDescent="0.25">
      <c r="A6241" s="2">
        <v>0</v>
      </c>
      <c r="B6241" s="38">
        <v>0</v>
      </c>
      <c r="C6241" s="79">
        <v>0</v>
      </c>
    </row>
    <row r="6242" spans="1:3" x14ac:dyDescent="0.25">
      <c r="A6242" s="2">
        <v>0</v>
      </c>
      <c r="B6242" s="38">
        <v>0</v>
      </c>
      <c r="C6242" s="79">
        <v>0</v>
      </c>
    </row>
    <row r="6243" spans="1:3" x14ac:dyDescent="0.25">
      <c r="A6243" s="2">
        <v>0</v>
      </c>
      <c r="B6243" s="38">
        <v>0</v>
      </c>
      <c r="C6243" s="79">
        <v>0</v>
      </c>
    </row>
    <row r="6244" spans="1:3" x14ac:dyDescent="0.25">
      <c r="A6244" s="2">
        <v>0</v>
      </c>
      <c r="B6244" s="38">
        <v>0</v>
      </c>
      <c r="C6244" s="79">
        <v>0</v>
      </c>
    </row>
    <row r="6245" spans="1:3" x14ac:dyDescent="0.25">
      <c r="A6245" s="2">
        <v>0</v>
      </c>
      <c r="B6245" s="38">
        <v>0</v>
      </c>
      <c r="C6245" s="79">
        <v>0</v>
      </c>
    </row>
    <row r="6246" spans="1:3" x14ac:dyDescent="0.25">
      <c r="A6246" s="2">
        <v>0</v>
      </c>
      <c r="B6246" s="38">
        <v>0</v>
      </c>
      <c r="C6246" s="79">
        <v>0</v>
      </c>
    </row>
    <row r="6247" spans="1:3" x14ac:dyDescent="0.25">
      <c r="A6247" s="2">
        <v>0</v>
      </c>
      <c r="B6247" s="38">
        <v>0</v>
      </c>
      <c r="C6247" s="79">
        <v>0</v>
      </c>
    </row>
    <row r="6248" spans="1:3" x14ac:dyDescent="0.25">
      <c r="A6248" s="2">
        <v>0</v>
      </c>
      <c r="B6248" s="38">
        <v>0</v>
      </c>
      <c r="C6248" s="79">
        <v>0</v>
      </c>
    </row>
    <row r="6249" spans="1:3" x14ac:dyDescent="0.25">
      <c r="A6249" s="2">
        <v>0</v>
      </c>
      <c r="B6249" s="38">
        <v>0</v>
      </c>
      <c r="C6249" s="79">
        <v>0</v>
      </c>
    </row>
    <row r="6250" spans="1:3" x14ac:dyDescent="0.25">
      <c r="A6250" s="2">
        <v>0</v>
      </c>
      <c r="B6250" s="38">
        <v>0</v>
      </c>
      <c r="C6250" s="79">
        <v>0</v>
      </c>
    </row>
    <row r="6251" spans="1:3" x14ac:dyDescent="0.25">
      <c r="A6251" s="2">
        <v>0</v>
      </c>
      <c r="B6251" s="38">
        <v>0</v>
      </c>
      <c r="C6251" s="79">
        <v>0</v>
      </c>
    </row>
    <row r="6252" spans="1:3" x14ac:dyDescent="0.25">
      <c r="A6252" s="2">
        <v>0</v>
      </c>
      <c r="B6252" s="38">
        <v>0</v>
      </c>
      <c r="C6252" s="79">
        <v>0</v>
      </c>
    </row>
    <row r="6253" spans="1:3" x14ac:dyDescent="0.25">
      <c r="A6253" s="2">
        <v>0</v>
      </c>
      <c r="B6253" s="38">
        <v>0</v>
      </c>
      <c r="C6253" s="79">
        <v>0</v>
      </c>
    </row>
    <row r="6254" spans="1:3" x14ac:dyDescent="0.25">
      <c r="A6254" s="2">
        <v>0</v>
      </c>
      <c r="B6254" s="38">
        <v>0</v>
      </c>
      <c r="C6254" s="79">
        <v>0</v>
      </c>
    </row>
    <row r="6255" spans="1:3" x14ac:dyDescent="0.25">
      <c r="A6255" s="2">
        <v>0</v>
      </c>
      <c r="B6255" s="38">
        <v>0</v>
      </c>
      <c r="C6255" s="79">
        <v>0</v>
      </c>
    </row>
    <row r="6256" spans="1:3" x14ac:dyDescent="0.25">
      <c r="A6256" s="2">
        <v>0</v>
      </c>
      <c r="B6256" s="38">
        <v>0</v>
      </c>
      <c r="C6256" s="79">
        <v>0</v>
      </c>
    </row>
    <row r="6257" spans="1:3" x14ac:dyDescent="0.25">
      <c r="A6257" s="2">
        <v>0</v>
      </c>
      <c r="B6257" s="38">
        <v>0</v>
      </c>
      <c r="C6257" s="79">
        <v>0</v>
      </c>
    </row>
    <row r="6258" spans="1:3" x14ac:dyDescent="0.25">
      <c r="A6258" s="2">
        <v>0</v>
      </c>
      <c r="B6258" s="38">
        <v>0</v>
      </c>
      <c r="C6258" s="79">
        <v>0</v>
      </c>
    </row>
    <row r="6259" spans="1:3" x14ac:dyDescent="0.25">
      <c r="A6259" s="2">
        <v>0</v>
      </c>
      <c r="B6259" s="38">
        <v>0</v>
      </c>
      <c r="C6259" s="79">
        <v>0</v>
      </c>
    </row>
    <row r="6260" spans="1:3" x14ac:dyDescent="0.25">
      <c r="A6260" s="2">
        <v>0</v>
      </c>
      <c r="B6260" s="38">
        <v>0</v>
      </c>
      <c r="C6260" s="79">
        <v>0</v>
      </c>
    </row>
    <row r="6261" spans="1:3" x14ac:dyDescent="0.25">
      <c r="A6261" s="2">
        <v>0</v>
      </c>
      <c r="B6261" s="38">
        <v>0</v>
      </c>
      <c r="C6261" s="79">
        <v>0</v>
      </c>
    </row>
    <row r="6262" spans="1:3" x14ac:dyDescent="0.25">
      <c r="A6262" s="2">
        <v>0</v>
      </c>
      <c r="B6262" s="38">
        <v>0</v>
      </c>
      <c r="C6262" s="79">
        <v>0</v>
      </c>
    </row>
    <row r="6263" spans="1:3" x14ac:dyDescent="0.25">
      <c r="A6263" s="2">
        <v>0</v>
      </c>
      <c r="B6263" s="38">
        <v>0</v>
      </c>
      <c r="C6263" s="79">
        <v>0</v>
      </c>
    </row>
    <row r="6264" spans="1:3" x14ac:dyDescent="0.25">
      <c r="A6264" s="2">
        <v>0</v>
      </c>
      <c r="B6264" s="38">
        <v>0</v>
      </c>
      <c r="C6264" s="79">
        <v>0</v>
      </c>
    </row>
    <row r="6265" spans="1:3" x14ac:dyDescent="0.25">
      <c r="A6265" s="2">
        <v>0</v>
      </c>
      <c r="B6265" s="38">
        <v>0</v>
      </c>
      <c r="C6265" s="79">
        <v>0</v>
      </c>
    </row>
    <row r="6266" spans="1:3" x14ac:dyDescent="0.25">
      <c r="A6266" s="2">
        <v>0</v>
      </c>
      <c r="B6266" s="38">
        <v>0</v>
      </c>
      <c r="C6266" s="79">
        <v>0</v>
      </c>
    </row>
    <row r="6267" spans="1:3" x14ac:dyDescent="0.25">
      <c r="A6267" s="2">
        <v>0</v>
      </c>
      <c r="B6267" s="38">
        <v>0</v>
      </c>
      <c r="C6267" s="79">
        <v>0</v>
      </c>
    </row>
    <row r="6268" spans="1:3" x14ac:dyDescent="0.25">
      <c r="A6268" s="2">
        <v>0</v>
      </c>
      <c r="B6268" s="38">
        <v>0</v>
      </c>
      <c r="C6268" s="79">
        <v>0</v>
      </c>
    </row>
    <row r="6269" spans="1:3" x14ac:dyDescent="0.25">
      <c r="A6269" s="2">
        <v>0</v>
      </c>
      <c r="B6269" s="38">
        <v>0</v>
      </c>
      <c r="C6269" s="79">
        <v>0</v>
      </c>
    </row>
    <row r="6270" spans="1:3" x14ac:dyDescent="0.25">
      <c r="A6270" s="2">
        <v>0</v>
      </c>
      <c r="B6270" s="38">
        <v>0</v>
      </c>
      <c r="C6270" s="79">
        <v>0</v>
      </c>
    </row>
    <row r="6271" spans="1:3" x14ac:dyDescent="0.25">
      <c r="A6271" s="2">
        <v>0</v>
      </c>
      <c r="B6271" s="38">
        <v>0</v>
      </c>
      <c r="C6271" s="79">
        <v>0</v>
      </c>
    </row>
    <row r="6272" spans="1:3" x14ac:dyDescent="0.25">
      <c r="A6272" s="2">
        <v>0</v>
      </c>
      <c r="B6272" s="38">
        <v>0</v>
      </c>
      <c r="C6272" s="79">
        <v>0</v>
      </c>
    </row>
    <row r="6273" spans="1:3" x14ac:dyDescent="0.25">
      <c r="A6273" s="2">
        <v>0</v>
      </c>
      <c r="B6273" s="38">
        <v>0</v>
      </c>
      <c r="C6273" s="79">
        <v>0</v>
      </c>
    </row>
    <row r="6274" spans="1:3" x14ac:dyDescent="0.25">
      <c r="A6274" s="2">
        <v>0</v>
      </c>
      <c r="B6274" s="38">
        <v>0</v>
      </c>
      <c r="C6274" s="79">
        <v>0</v>
      </c>
    </row>
    <row r="6275" spans="1:3" x14ac:dyDescent="0.25">
      <c r="A6275" s="2">
        <v>0</v>
      </c>
      <c r="B6275" s="38">
        <v>0</v>
      </c>
      <c r="C6275" s="79">
        <v>0</v>
      </c>
    </row>
    <row r="6276" spans="1:3" x14ac:dyDescent="0.25">
      <c r="A6276" s="2">
        <v>0</v>
      </c>
      <c r="B6276" s="38">
        <v>0</v>
      </c>
      <c r="C6276" s="79">
        <v>0</v>
      </c>
    </row>
    <row r="6277" spans="1:3" x14ac:dyDescent="0.25">
      <c r="A6277" s="2">
        <v>0</v>
      </c>
      <c r="B6277" s="38">
        <v>0</v>
      </c>
      <c r="C6277" s="79">
        <v>0</v>
      </c>
    </row>
    <row r="6278" spans="1:3" x14ac:dyDescent="0.25">
      <c r="A6278" s="2">
        <v>0</v>
      </c>
      <c r="B6278" s="38">
        <v>0</v>
      </c>
      <c r="C6278" s="79">
        <v>0</v>
      </c>
    </row>
    <row r="6279" spans="1:3" x14ac:dyDescent="0.25">
      <c r="A6279" s="2">
        <v>0</v>
      </c>
      <c r="B6279" s="38">
        <v>0</v>
      </c>
      <c r="C6279" s="79">
        <v>0</v>
      </c>
    </row>
    <row r="6280" spans="1:3" x14ac:dyDescent="0.25">
      <c r="A6280" s="2">
        <v>0</v>
      </c>
      <c r="B6280" s="38">
        <v>0</v>
      </c>
      <c r="C6280" s="79">
        <v>0</v>
      </c>
    </row>
    <row r="6281" spans="1:3" x14ac:dyDescent="0.25">
      <c r="A6281" s="2">
        <v>0</v>
      </c>
      <c r="B6281" s="38">
        <v>0</v>
      </c>
      <c r="C6281" s="79">
        <v>0</v>
      </c>
    </row>
    <row r="6282" spans="1:3" x14ac:dyDescent="0.25">
      <c r="A6282" s="2">
        <v>0</v>
      </c>
      <c r="B6282" s="38">
        <v>0</v>
      </c>
      <c r="C6282" s="79">
        <v>0</v>
      </c>
    </row>
    <row r="6283" spans="1:3" x14ac:dyDescent="0.25">
      <c r="A6283" s="2">
        <v>0</v>
      </c>
      <c r="B6283" s="38">
        <v>0</v>
      </c>
      <c r="C6283" s="79">
        <v>0</v>
      </c>
    </row>
    <row r="6284" spans="1:3" x14ac:dyDescent="0.25">
      <c r="A6284" s="2">
        <v>0</v>
      </c>
      <c r="B6284" s="38">
        <v>0</v>
      </c>
      <c r="C6284" s="79">
        <v>0</v>
      </c>
    </row>
    <row r="6285" spans="1:3" x14ac:dyDescent="0.25">
      <c r="A6285" s="2">
        <v>0</v>
      </c>
      <c r="B6285" s="38">
        <v>0</v>
      </c>
      <c r="C6285" s="79">
        <v>0</v>
      </c>
    </row>
    <row r="6286" spans="1:3" x14ac:dyDescent="0.25">
      <c r="A6286" s="2">
        <v>0</v>
      </c>
      <c r="B6286" s="38">
        <v>0</v>
      </c>
      <c r="C6286" s="79">
        <v>0</v>
      </c>
    </row>
    <row r="6287" spans="1:3" x14ac:dyDescent="0.25">
      <c r="A6287" s="2">
        <v>0</v>
      </c>
      <c r="B6287" s="38">
        <v>0</v>
      </c>
      <c r="C6287" s="79">
        <v>0</v>
      </c>
    </row>
    <row r="6288" spans="1:3" x14ac:dyDescent="0.25">
      <c r="A6288" s="2">
        <v>0</v>
      </c>
      <c r="B6288" s="38">
        <v>0</v>
      </c>
      <c r="C6288" s="79">
        <v>0</v>
      </c>
    </row>
    <row r="6289" spans="1:3" x14ac:dyDescent="0.25">
      <c r="A6289" s="2">
        <v>0</v>
      </c>
      <c r="B6289" s="38">
        <v>0</v>
      </c>
      <c r="C6289" s="79">
        <v>0</v>
      </c>
    </row>
    <row r="6290" spans="1:3" x14ac:dyDescent="0.25">
      <c r="A6290" s="2">
        <v>0</v>
      </c>
      <c r="B6290" s="38">
        <v>0</v>
      </c>
      <c r="C6290" s="79">
        <v>0</v>
      </c>
    </row>
    <row r="6291" spans="1:3" x14ac:dyDescent="0.25">
      <c r="A6291" s="2">
        <v>0</v>
      </c>
      <c r="B6291" s="38">
        <v>0</v>
      </c>
      <c r="C6291" s="79">
        <v>0</v>
      </c>
    </row>
    <row r="6292" spans="1:3" x14ac:dyDescent="0.25">
      <c r="A6292" s="2">
        <v>0</v>
      </c>
      <c r="B6292" s="38">
        <v>0</v>
      </c>
      <c r="C6292" s="79">
        <v>0</v>
      </c>
    </row>
    <row r="6293" spans="1:3" x14ac:dyDescent="0.25">
      <c r="A6293" s="2">
        <v>0</v>
      </c>
      <c r="B6293" s="38">
        <v>0</v>
      </c>
      <c r="C6293" s="79">
        <v>0</v>
      </c>
    </row>
    <row r="6294" spans="1:3" x14ac:dyDescent="0.25">
      <c r="A6294" s="2">
        <v>0</v>
      </c>
      <c r="B6294" s="38">
        <v>0</v>
      </c>
      <c r="C6294" s="79">
        <v>0</v>
      </c>
    </row>
    <row r="6295" spans="1:3" x14ac:dyDescent="0.25">
      <c r="A6295" s="2">
        <v>0</v>
      </c>
      <c r="B6295" s="38">
        <v>0</v>
      </c>
      <c r="C6295" s="79">
        <v>0</v>
      </c>
    </row>
    <row r="6296" spans="1:3" x14ac:dyDescent="0.25">
      <c r="A6296" s="2">
        <v>0</v>
      </c>
      <c r="B6296" s="38">
        <v>0</v>
      </c>
      <c r="C6296" s="79">
        <v>0</v>
      </c>
    </row>
    <row r="6297" spans="1:3" x14ac:dyDescent="0.25">
      <c r="A6297" s="2">
        <v>0</v>
      </c>
      <c r="B6297" s="38">
        <v>0</v>
      </c>
      <c r="C6297" s="79">
        <v>0</v>
      </c>
    </row>
    <row r="6298" spans="1:3" x14ac:dyDescent="0.25">
      <c r="A6298" s="2">
        <v>0</v>
      </c>
      <c r="B6298" s="38">
        <v>0</v>
      </c>
      <c r="C6298" s="79">
        <v>0</v>
      </c>
    </row>
    <row r="6299" spans="1:3" x14ac:dyDescent="0.25">
      <c r="A6299" s="2">
        <v>0</v>
      </c>
      <c r="B6299" s="38">
        <v>0</v>
      </c>
      <c r="C6299" s="79">
        <v>0</v>
      </c>
    </row>
    <row r="6300" spans="1:3" x14ac:dyDescent="0.25">
      <c r="A6300" s="2">
        <v>0</v>
      </c>
      <c r="B6300" s="38">
        <v>0</v>
      </c>
      <c r="C6300" s="79">
        <v>0</v>
      </c>
    </row>
    <row r="6301" spans="1:3" x14ac:dyDescent="0.25">
      <c r="A6301" s="2">
        <v>0</v>
      </c>
      <c r="B6301" s="38">
        <v>0</v>
      </c>
      <c r="C6301" s="79">
        <v>0</v>
      </c>
    </row>
    <row r="6302" spans="1:3" x14ac:dyDescent="0.25">
      <c r="A6302" s="2">
        <v>0</v>
      </c>
      <c r="B6302" s="38">
        <v>0</v>
      </c>
      <c r="C6302" s="79">
        <v>0</v>
      </c>
    </row>
    <row r="6303" spans="1:3" x14ac:dyDescent="0.25">
      <c r="A6303" s="2">
        <v>0</v>
      </c>
      <c r="B6303" s="38">
        <v>0</v>
      </c>
      <c r="C6303" s="79">
        <v>0</v>
      </c>
    </row>
    <row r="6304" spans="1:3" x14ac:dyDescent="0.25">
      <c r="A6304" s="2">
        <v>0</v>
      </c>
      <c r="B6304" s="38">
        <v>0</v>
      </c>
      <c r="C6304" s="79">
        <v>0</v>
      </c>
    </row>
    <row r="6305" spans="1:3" x14ac:dyDescent="0.25">
      <c r="A6305" s="2">
        <v>0</v>
      </c>
      <c r="B6305" s="38">
        <v>0</v>
      </c>
      <c r="C6305" s="79">
        <v>0</v>
      </c>
    </row>
    <row r="6306" spans="1:3" x14ac:dyDescent="0.25">
      <c r="A6306" s="2">
        <v>0</v>
      </c>
      <c r="B6306" s="38">
        <v>0</v>
      </c>
      <c r="C6306" s="79">
        <v>0</v>
      </c>
    </row>
    <row r="6307" spans="1:3" x14ac:dyDescent="0.25">
      <c r="A6307" s="2">
        <v>0</v>
      </c>
      <c r="B6307" s="38">
        <v>0</v>
      </c>
      <c r="C6307" s="79">
        <v>0</v>
      </c>
    </row>
    <row r="6308" spans="1:3" x14ac:dyDescent="0.25">
      <c r="A6308" s="2">
        <v>0</v>
      </c>
      <c r="B6308" s="38">
        <v>0</v>
      </c>
      <c r="C6308" s="79">
        <v>0</v>
      </c>
    </row>
    <row r="6309" spans="1:3" x14ac:dyDescent="0.25">
      <c r="A6309" s="2">
        <v>0</v>
      </c>
      <c r="B6309" s="38">
        <v>0</v>
      </c>
      <c r="C6309" s="79">
        <v>0</v>
      </c>
    </row>
    <row r="6310" spans="1:3" x14ac:dyDescent="0.25">
      <c r="A6310" s="2">
        <v>0</v>
      </c>
      <c r="B6310" s="38">
        <v>0</v>
      </c>
      <c r="C6310" s="79">
        <v>0</v>
      </c>
    </row>
    <row r="6311" spans="1:3" x14ac:dyDescent="0.25">
      <c r="A6311" s="2">
        <v>0</v>
      </c>
      <c r="B6311" s="38">
        <v>0</v>
      </c>
      <c r="C6311" s="79">
        <v>0</v>
      </c>
    </row>
    <row r="6312" spans="1:3" x14ac:dyDescent="0.25">
      <c r="A6312" s="2">
        <v>0</v>
      </c>
      <c r="B6312" s="38">
        <v>0</v>
      </c>
      <c r="C6312" s="79">
        <v>0</v>
      </c>
    </row>
    <row r="6313" spans="1:3" x14ac:dyDescent="0.25">
      <c r="A6313" s="2">
        <v>0</v>
      </c>
      <c r="B6313" s="38">
        <v>0</v>
      </c>
      <c r="C6313" s="79">
        <v>0</v>
      </c>
    </row>
    <row r="6314" spans="1:3" x14ac:dyDescent="0.25">
      <c r="A6314" s="2">
        <v>0</v>
      </c>
      <c r="B6314" s="38">
        <v>0</v>
      </c>
      <c r="C6314" s="79">
        <v>0</v>
      </c>
    </row>
    <row r="6315" spans="1:3" x14ac:dyDescent="0.25">
      <c r="A6315" s="2">
        <v>0</v>
      </c>
      <c r="B6315" s="38">
        <v>0</v>
      </c>
      <c r="C6315" s="79">
        <v>0</v>
      </c>
    </row>
    <row r="6316" spans="1:3" x14ac:dyDescent="0.25">
      <c r="A6316" s="2">
        <v>0</v>
      </c>
      <c r="B6316" s="38">
        <v>0</v>
      </c>
      <c r="C6316" s="79">
        <v>0</v>
      </c>
    </row>
    <row r="6317" spans="1:3" x14ac:dyDescent="0.25">
      <c r="A6317" s="2">
        <v>0</v>
      </c>
      <c r="B6317" s="38">
        <v>0</v>
      </c>
      <c r="C6317" s="79">
        <v>0</v>
      </c>
    </row>
    <row r="6318" spans="1:3" x14ac:dyDescent="0.25">
      <c r="A6318" s="2">
        <v>0</v>
      </c>
      <c r="B6318" s="38">
        <v>0</v>
      </c>
      <c r="C6318" s="79">
        <v>0</v>
      </c>
    </row>
    <row r="6319" spans="1:3" x14ac:dyDescent="0.25">
      <c r="A6319" s="2">
        <v>0</v>
      </c>
      <c r="B6319" s="38">
        <v>0</v>
      </c>
      <c r="C6319" s="79">
        <v>0</v>
      </c>
    </row>
    <row r="6320" spans="1:3" x14ac:dyDescent="0.25">
      <c r="A6320" s="2">
        <v>0</v>
      </c>
      <c r="B6320" s="38">
        <v>0</v>
      </c>
      <c r="C6320" s="79">
        <v>0</v>
      </c>
    </row>
    <row r="6321" spans="1:3" x14ac:dyDescent="0.25">
      <c r="A6321" s="2">
        <v>0</v>
      </c>
      <c r="B6321" s="38">
        <v>0</v>
      </c>
      <c r="C6321" s="79">
        <v>0</v>
      </c>
    </row>
    <row r="6322" spans="1:3" x14ac:dyDescent="0.25">
      <c r="A6322" s="2">
        <v>0</v>
      </c>
      <c r="B6322" s="38">
        <v>0</v>
      </c>
      <c r="C6322" s="79">
        <v>0</v>
      </c>
    </row>
    <row r="6323" spans="1:3" x14ac:dyDescent="0.25">
      <c r="A6323" s="2">
        <v>0</v>
      </c>
      <c r="B6323" s="38">
        <v>0</v>
      </c>
      <c r="C6323" s="79">
        <v>0</v>
      </c>
    </row>
    <row r="6324" spans="1:3" x14ac:dyDescent="0.25">
      <c r="A6324" s="2">
        <v>0</v>
      </c>
      <c r="B6324" s="38">
        <v>0</v>
      </c>
      <c r="C6324" s="79">
        <v>0</v>
      </c>
    </row>
    <row r="6325" spans="1:3" x14ac:dyDescent="0.25">
      <c r="A6325" s="2">
        <v>0</v>
      </c>
      <c r="B6325" s="38">
        <v>0</v>
      </c>
      <c r="C6325" s="79">
        <v>0</v>
      </c>
    </row>
    <row r="6326" spans="1:3" x14ac:dyDescent="0.25">
      <c r="A6326" s="2">
        <v>0</v>
      </c>
      <c r="B6326" s="38">
        <v>0</v>
      </c>
      <c r="C6326" s="79">
        <v>0</v>
      </c>
    </row>
    <row r="6327" spans="1:3" x14ac:dyDescent="0.25">
      <c r="A6327" s="2">
        <v>0</v>
      </c>
      <c r="B6327" s="38">
        <v>0</v>
      </c>
      <c r="C6327" s="79">
        <v>0</v>
      </c>
    </row>
    <row r="6328" spans="1:3" x14ac:dyDescent="0.25">
      <c r="A6328" s="2">
        <v>0</v>
      </c>
      <c r="B6328" s="38">
        <v>0</v>
      </c>
      <c r="C6328" s="79">
        <v>0</v>
      </c>
    </row>
    <row r="6329" spans="1:3" x14ac:dyDescent="0.25">
      <c r="A6329" s="2">
        <v>0</v>
      </c>
      <c r="B6329" s="38">
        <v>0</v>
      </c>
      <c r="C6329" s="79">
        <v>0</v>
      </c>
    </row>
    <row r="6330" spans="1:3" x14ac:dyDescent="0.25">
      <c r="A6330" s="2">
        <v>0</v>
      </c>
      <c r="B6330" s="38">
        <v>0</v>
      </c>
      <c r="C6330" s="79">
        <v>0</v>
      </c>
    </row>
    <row r="6331" spans="1:3" x14ac:dyDescent="0.25">
      <c r="A6331" s="2">
        <v>0</v>
      </c>
      <c r="B6331" s="38">
        <v>0</v>
      </c>
      <c r="C6331" s="79">
        <v>0</v>
      </c>
    </row>
    <row r="6332" spans="1:3" x14ac:dyDescent="0.25">
      <c r="A6332" s="2">
        <v>0</v>
      </c>
      <c r="B6332" s="38">
        <v>0</v>
      </c>
      <c r="C6332" s="79">
        <v>0</v>
      </c>
    </row>
    <row r="6333" spans="1:3" x14ac:dyDescent="0.25">
      <c r="A6333" s="2">
        <v>0</v>
      </c>
      <c r="B6333" s="38">
        <v>0</v>
      </c>
      <c r="C6333" s="79">
        <v>0</v>
      </c>
    </row>
    <row r="6334" spans="1:3" x14ac:dyDescent="0.25">
      <c r="A6334" s="2">
        <v>0</v>
      </c>
      <c r="B6334" s="38">
        <v>0</v>
      </c>
      <c r="C6334" s="79">
        <v>0</v>
      </c>
    </row>
    <row r="6335" spans="1:3" x14ac:dyDescent="0.25">
      <c r="A6335" s="2">
        <v>0</v>
      </c>
      <c r="B6335" s="38">
        <v>0</v>
      </c>
      <c r="C6335" s="79">
        <v>0</v>
      </c>
    </row>
    <row r="6336" spans="1:3" x14ac:dyDescent="0.25">
      <c r="A6336" s="2">
        <v>0</v>
      </c>
      <c r="B6336" s="38">
        <v>0</v>
      </c>
      <c r="C6336" s="79">
        <v>0</v>
      </c>
    </row>
    <row r="6337" spans="1:3" x14ac:dyDescent="0.25">
      <c r="A6337" s="2">
        <v>0</v>
      </c>
      <c r="B6337" s="38">
        <v>0</v>
      </c>
      <c r="C6337" s="79">
        <v>0</v>
      </c>
    </row>
    <row r="6338" spans="1:3" x14ac:dyDescent="0.25">
      <c r="A6338" s="2">
        <v>0</v>
      </c>
      <c r="B6338" s="38">
        <v>0</v>
      </c>
      <c r="C6338" s="79">
        <v>0</v>
      </c>
    </row>
    <row r="6339" spans="1:3" x14ac:dyDescent="0.25">
      <c r="A6339" s="2">
        <v>0</v>
      </c>
      <c r="B6339" s="38">
        <v>0</v>
      </c>
      <c r="C6339" s="79">
        <v>0</v>
      </c>
    </row>
    <row r="6340" spans="1:3" x14ac:dyDescent="0.25">
      <c r="A6340" s="2">
        <v>0</v>
      </c>
      <c r="B6340" s="38">
        <v>0</v>
      </c>
      <c r="C6340" s="79">
        <v>0</v>
      </c>
    </row>
    <row r="6341" spans="1:3" x14ac:dyDescent="0.25">
      <c r="A6341" s="2">
        <v>0</v>
      </c>
      <c r="B6341" s="38">
        <v>0</v>
      </c>
      <c r="C6341" s="79">
        <v>0</v>
      </c>
    </row>
    <row r="6342" spans="1:3" x14ac:dyDescent="0.25">
      <c r="A6342" s="2">
        <v>0</v>
      </c>
      <c r="B6342" s="38">
        <v>0</v>
      </c>
      <c r="C6342" s="79">
        <v>0</v>
      </c>
    </row>
    <row r="6343" spans="1:3" x14ac:dyDescent="0.25">
      <c r="A6343" s="2">
        <v>0</v>
      </c>
      <c r="B6343" s="38">
        <v>0</v>
      </c>
      <c r="C6343" s="79">
        <v>0</v>
      </c>
    </row>
    <row r="6344" spans="1:3" x14ac:dyDescent="0.25">
      <c r="A6344" s="2">
        <v>0</v>
      </c>
      <c r="B6344" s="38">
        <v>0</v>
      </c>
      <c r="C6344" s="79">
        <v>0</v>
      </c>
    </row>
    <row r="6345" spans="1:3" x14ac:dyDescent="0.25">
      <c r="A6345" s="2">
        <v>0</v>
      </c>
      <c r="B6345" s="38">
        <v>0</v>
      </c>
      <c r="C6345" s="79">
        <v>0</v>
      </c>
    </row>
    <row r="6346" spans="1:3" x14ac:dyDescent="0.25">
      <c r="A6346" s="2">
        <v>0</v>
      </c>
      <c r="B6346" s="38">
        <v>0</v>
      </c>
      <c r="C6346" s="79">
        <v>0</v>
      </c>
    </row>
    <row r="6347" spans="1:3" x14ac:dyDescent="0.25">
      <c r="A6347" s="2">
        <v>0</v>
      </c>
      <c r="B6347" s="38">
        <v>0</v>
      </c>
      <c r="C6347" s="79">
        <v>0</v>
      </c>
    </row>
    <row r="6348" spans="1:3" x14ac:dyDescent="0.25">
      <c r="A6348" s="2">
        <v>0</v>
      </c>
      <c r="B6348" s="38">
        <v>0</v>
      </c>
      <c r="C6348" s="79">
        <v>0</v>
      </c>
    </row>
    <row r="6349" spans="1:3" x14ac:dyDescent="0.25">
      <c r="A6349" s="2">
        <v>0</v>
      </c>
      <c r="B6349" s="38">
        <v>0</v>
      </c>
      <c r="C6349" s="79">
        <v>0</v>
      </c>
    </row>
    <row r="6350" spans="1:3" x14ac:dyDescent="0.25">
      <c r="A6350" s="2">
        <v>0</v>
      </c>
      <c r="B6350" s="38">
        <v>0</v>
      </c>
      <c r="C6350" s="79">
        <v>0</v>
      </c>
    </row>
    <row r="6351" spans="1:3" x14ac:dyDescent="0.25">
      <c r="A6351" s="2">
        <v>0</v>
      </c>
      <c r="B6351" s="38">
        <v>0</v>
      </c>
      <c r="C6351" s="79">
        <v>0</v>
      </c>
    </row>
    <row r="6352" spans="1:3" x14ac:dyDescent="0.25">
      <c r="A6352" s="2">
        <v>0</v>
      </c>
      <c r="B6352" s="38">
        <v>0</v>
      </c>
      <c r="C6352" s="79">
        <v>0</v>
      </c>
    </row>
    <row r="6353" spans="1:3" x14ac:dyDescent="0.25">
      <c r="A6353" s="2">
        <v>0</v>
      </c>
      <c r="B6353" s="38">
        <v>0</v>
      </c>
      <c r="C6353" s="79">
        <v>0</v>
      </c>
    </row>
    <row r="6354" spans="1:3" x14ac:dyDescent="0.25">
      <c r="A6354" s="2">
        <v>0</v>
      </c>
      <c r="B6354" s="38">
        <v>0</v>
      </c>
      <c r="C6354" s="79">
        <v>0</v>
      </c>
    </row>
    <row r="6355" spans="1:3" x14ac:dyDescent="0.25">
      <c r="A6355" s="2">
        <v>0</v>
      </c>
      <c r="B6355" s="38">
        <v>0</v>
      </c>
      <c r="C6355" s="79">
        <v>0</v>
      </c>
    </row>
    <row r="6356" spans="1:3" x14ac:dyDescent="0.25">
      <c r="A6356" s="2">
        <v>0</v>
      </c>
      <c r="B6356" s="38">
        <v>0</v>
      </c>
      <c r="C6356" s="79">
        <v>0</v>
      </c>
    </row>
    <row r="6357" spans="1:3" x14ac:dyDescent="0.25">
      <c r="A6357" s="2">
        <v>0</v>
      </c>
      <c r="B6357" s="38">
        <v>0</v>
      </c>
      <c r="C6357" s="79">
        <v>0</v>
      </c>
    </row>
    <row r="6358" spans="1:3" x14ac:dyDescent="0.25">
      <c r="A6358" s="2">
        <v>0</v>
      </c>
      <c r="B6358" s="38">
        <v>0</v>
      </c>
      <c r="C6358" s="79">
        <v>0</v>
      </c>
    </row>
    <row r="6359" spans="1:3" x14ac:dyDescent="0.25">
      <c r="A6359" s="2">
        <v>0</v>
      </c>
      <c r="B6359" s="38">
        <v>0</v>
      </c>
      <c r="C6359" s="79">
        <v>0</v>
      </c>
    </row>
    <row r="6360" spans="1:3" x14ac:dyDescent="0.25">
      <c r="A6360" s="2">
        <v>0</v>
      </c>
      <c r="B6360" s="38">
        <v>0</v>
      </c>
      <c r="C6360" s="79">
        <v>0</v>
      </c>
    </row>
    <row r="6361" spans="1:3" x14ac:dyDescent="0.25">
      <c r="A6361" s="2">
        <v>0</v>
      </c>
      <c r="B6361" s="38">
        <v>0</v>
      </c>
      <c r="C6361" s="79">
        <v>0</v>
      </c>
    </row>
    <row r="6362" spans="1:3" x14ac:dyDescent="0.25">
      <c r="A6362" s="2">
        <v>0</v>
      </c>
      <c r="B6362" s="38">
        <v>0</v>
      </c>
      <c r="C6362" s="79">
        <v>0</v>
      </c>
    </row>
    <row r="6363" spans="1:3" x14ac:dyDescent="0.25">
      <c r="A6363" s="2">
        <v>0</v>
      </c>
      <c r="B6363" s="38">
        <v>0</v>
      </c>
      <c r="C6363" s="79">
        <v>0</v>
      </c>
    </row>
    <row r="6364" spans="1:3" x14ac:dyDescent="0.25">
      <c r="A6364" s="2">
        <v>0</v>
      </c>
      <c r="B6364" s="38">
        <v>0</v>
      </c>
      <c r="C6364" s="79">
        <v>0</v>
      </c>
    </row>
    <row r="6365" spans="1:3" x14ac:dyDescent="0.25">
      <c r="A6365" s="2">
        <v>0</v>
      </c>
      <c r="B6365" s="38">
        <v>0</v>
      </c>
      <c r="C6365" s="79">
        <v>0</v>
      </c>
    </row>
    <row r="6366" spans="1:3" x14ac:dyDescent="0.25">
      <c r="A6366" s="2">
        <v>0</v>
      </c>
      <c r="B6366" s="38">
        <v>0</v>
      </c>
      <c r="C6366" s="79">
        <v>0</v>
      </c>
    </row>
    <row r="6367" spans="1:3" x14ac:dyDescent="0.25">
      <c r="A6367" s="2">
        <v>0</v>
      </c>
      <c r="B6367" s="38">
        <v>0</v>
      </c>
      <c r="C6367" s="79">
        <v>0</v>
      </c>
    </row>
    <row r="6368" spans="1:3" x14ac:dyDescent="0.25">
      <c r="A6368" s="2">
        <v>0</v>
      </c>
      <c r="B6368" s="38">
        <v>0</v>
      </c>
      <c r="C6368" s="79">
        <v>0</v>
      </c>
    </row>
    <row r="6369" spans="1:3" x14ac:dyDescent="0.25">
      <c r="A6369" s="2">
        <v>0</v>
      </c>
      <c r="B6369" s="38">
        <v>0</v>
      </c>
      <c r="C6369" s="79">
        <v>0</v>
      </c>
    </row>
    <row r="6370" spans="1:3" x14ac:dyDescent="0.25">
      <c r="A6370" s="2">
        <v>0</v>
      </c>
      <c r="B6370" s="38">
        <v>0</v>
      </c>
      <c r="C6370" s="79">
        <v>0</v>
      </c>
    </row>
    <row r="6371" spans="1:3" x14ac:dyDescent="0.25">
      <c r="A6371" s="2">
        <v>0</v>
      </c>
      <c r="B6371" s="38">
        <v>0</v>
      </c>
      <c r="C6371" s="79">
        <v>0</v>
      </c>
    </row>
    <row r="6372" spans="1:3" x14ac:dyDescent="0.25">
      <c r="A6372" s="2">
        <v>0</v>
      </c>
      <c r="B6372" s="38">
        <v>0</v>
      </c>
      <c r="C6372" s="79">
        <v>0</v>
      </c>
    </row>
    <row r="6373" spans="1:3" x14ac:dyDescent="0.25">
      <c r="A6373" s="2">
        <v>0</v>
      </c>
      <c r="B6373" s="38">
        <v>0</v>
      </c>
      <c r="C6373" s="79">
        <v>0</v>
      </c>
    </row>
    <row r="6374" spans="1:3" x14ac:dyDescent="0.25">
      <c r="A6374" s="2">
        <v>0</v>
      </c>
      <c r="B6374" s="38">
        <v>0</v>
      </c>
      <c r="C6374" s="79">
        <v>0</v>
      </c>
    </row>
    <row r="6375" spans="1:3" x14ac:dyDescent="0.25">
      <c r="A6375" s="2">
        <v>0</v>
      </c>
      <c r="B6375" s="38">
        <v>0</v>
      </c>
      <c r="C6375" s="79">
        <v>0</v>
      </c>
    </row>
    <row r="6376" spans="1:3" x14ac:dyDescent="0.25">
      <c r="A6376" s="2">
        <v>0</v>
      </c>
      <c r="B6376" s="38">
        <v>0</v>
      </c>
      <c r="C6376" s="79">
        <v>0</v>
      </c>
    </row>
    <row r="6377" spans="1:3" x14ac:dyDescent="0.25">
      <c r="A6377" s="2">
        <v>0</v>
      </c>
      <c r="B6377" s="38">
        <v>0</v>
      </c>
      <c r="C6377" s="79">
        <v>0</v>
      </c>
    </row>
    <row r="6378" spans="1:3" x14ac:dyDescent="0.25">
      <c r="A6378" s="2">
        <v>0</v>
      </c>
      <c r="B6378" s="38">
        <v>0</v>
      </c>
      <c r="C6378" s="79">
        <v>0</v>
      </c>
    </row>
    <row r="6379" spans="1:3" x14ac:dyDescent="0.25">
      <c r="A6379" s="2">
        <v>0</v>
      </c>
      <c r="B6379" s="38">
        <v>0</v>
      </c>
      <c r="C6379" s="79">
        <v>0</v>
      </c>
    </row>
    <row r="6380" spans="1:3" x14ac:dyDescent="0.25">
      <c r="A6380" s="2">
        <v>0</v>
      </c>
      <c r="B6380" s="38">
        <v>0</v>
      </c>
      <c r="C6380" s="79">
        <v>0</v>
      </c>
    </row>
    <row r="6381" spans="1:3" x14ac:dyDescent="0.25">
      <c r="A6381" s="2">
        <v>0</v>
      </c>
      <c r="B6381" s="38">
        <v>0</v>
      </c>
      <c r="C6381" s="79">
        <v>0</v>
      </c>
    </row>
    <row r="6382" spans="1:3" x14ac:dyDescent="0.25">
      <c r="A6382" s="2">
        <v>0</v>
      </c>
      <c r="B6382" s="38">
        <v>0</v>
      </c>
      <c r="C6382" s="79">
        <v>0</v>
      </c>
    </row>
    <row r="6383" spans="1:3" x14ac:dyDescent="0.25">
      <c r="A6383" s="2">
        <v>0</v>
      </c>
      <c r="B6383" s="38">
        <v>0</v>
      </c>
      <c r="C6383" s="79">
        <v>0</v>
      </c>
    </row>
    <row r="6384" spans="1:3" x14ac:dyDescent="0.25">
      <c r="A6384" s="2">
        <v>0</v>
      </c>
      <c r="B6384" s="38">
        <v>0</v>
      </c>
      <c r="C6384" s="79">
        <v>0</v>
      </c>
    </row>
    <row r="6385" spans="1:3" x14ac:dyDescent="0.25">
      <c r="A6385" s="2">
        <v>0</v>
      </c>
      <c r="B6385" s="38">
        <v>0</v>
      </c>
      <c r="C6385" s="79">
        <v>0</v>
      </c>
    </row>
    <row r="6386" spans="1:3" x14ac:dyDescent="0.25">
      <c r="A6386" s="2">
        <v>0</v>
      </c>
      <c r="B6386" s="38">
        <v>0</v>
      </c>
      <c r="C6386" s="79">
        <v>0</v>
      </c>
    </row>
    <row r="6387" spans="1:3" x14ac:dyDescent="0.25">
      <c r="A6387" s="2">
        <v>0</v>
      </c>
      <c r="B6387" s="38">
        <v>0</v>
      </c>
      <c r="C6387" s="79">
        <v>0</v>
      </c>
    </row>
    <row r="6388" spans="1:3" x14ac:dyDescent="0.25">
      <c r="A6388" s="2">
        <v>0</v>
      </c>
      <c r="B6388" s="38">
        <v>0</v>
      </c>
      <c r="C6388" s="79">
        <v>0</v>
      </c>
    </row>
    <row r="6389" spans="1:3" x14ac:dyDescent="0.25">
      <c r="A6389" s="2">
        <v>0</v>
      </c>
      <c r="B6389" s="38">
        <v>0</v>
      </c>
      <c r="C6389" s="79">
        <v>0</v>
      </c>
    </row>
    <row r="6390" spans="1:3" x14ac:dyDescent="0.25">
      <c r="A6390" s="2">
        <v>0</v>
      </c>
      <c r="B6390" s="38">
        <v>0</v>
      </c>
      <c r="C6390" s="79">
        <v>0</v>
      </c>
    </row>
    <row r="6391" spans="1:3" x14ac:dyDescent="0.25">
      <c r="A6391" s="2">
        <v>0</v>
      </c>
      <c r="B6391" s="38">
        <v>0</v>
      </c>
      <c r="C6391" s="79">
        <v>0</v>
      </c>
    </row>
    <row r="6392" spans="1:3" x14ac:dyDescent="0.25">
      <c r="A6392" s="2">
        <v>0</v>
      </c>
      <c r="B6392" s="38">
        <v>0</v>
      </c>
      <c r="C6392" s="79">
        <v>0</v>
      </c>
    </row>
    <row r="6393" spans="1:3" x14ac:dyDescent="0.25">
      <c r="A6393" s="2">
        <v>0</v>
      </c>
      <c r="B6393" s="38">
        <v>0</v>
      </c>
      <c r="C6393" s="79">
        <v>0</v>
      </c>
    </row>
    <row r="6394" spans="1:3" x14ac:dyDescent="0.25">
      <c r="A6394" s="2">
        <v>0</v>
      </c>
      <c r="B6394" s="38">
        <v>0</v>
      </c>
      <c r="C6394" s="79">
        <v>0</v>
      </c>
    </row>
    <row r="6395" spans="1:3" x14ac:dyDescent="0.25">
      <c r="A6395" s="2">
        <v>0</v>
      </c>
      <c r="B6395" s="38">
        <v>0</v>
      </c>
      <c r="C6395" s="79">
        <v>0</v>
      </c>
    </row>
    <row r="6396" spans="1:3" x14ac:dyDescent="0.25">
      <c r="A6396" s="2">
        <v>0</v>
      </c>
      <c r="B6396" s="38">
        <v>0</v>
      </c>
      <c r="C6396" s="79">
        <v>0</v>
      </c>
    </row>
    <row r="6397" spans="1:3" x14ac:dyDescent="0.25">
      <c r="A6397" s="2">
        <v>0</v>
      </c>
      <c r="B6397" s="38">
        <v>0</v>
      </c>
      <c r="C6397" s="79">
        <v>0</v>
      </c>
    </row>
    <row r="6398" spans="1:3" x14ac:dyDescent="0.25">
      <c r="A6398" s="2">
        <v>0</v>
      </c>
      <c r="B6398" s="38">
        <v>0</v>
      </c>
      <c r="C6398" s="79">
        <v>0</v>
      </c>
    </row>
    <row r="6399" spans="1:3" x14ac:dyDescent="0.25">
      <c r="A6399" s="2">
        <v>0</v>
      </c>
      <c r="B6399" s="38">
        <v>0</v>
      </c>
      <c r="C6399" s="79">
        <v>0</v>
      </c>
    </row>
    <row r="6400" spans="1:3" x14ac:dyDescent="0.25">
      <c r="A6400" s="2">
        <v>0</v>
      </c>
      <c r="B6400" s="38">
        <v>0</v>
      </c>
      <c r="C6400" s="79">
        <v>0</v>
      </c>
    </row>
    <row r="6401" spans="1:3" x14ac:dyDescent="0.25">
      <c r="A6401" s="2">
        <v>0</v>
      </c>
      <c r="B6401" s="38">
        <v>0</v>
      </c>
      <c r="C6401" s="79">
        <v>0</v>
      </c>
    </row>
    <row r="6402" spans="1:3" x14ac:dyDescent="0.25">
      <c r="A6402" s="2">
        <v>0</v>
      </c>
      <c r="B6402" s="38">
        <v>0</v>
      </c>
      <c r="C6402" s="79">
        <v>0</v>
      </c>
    </row>
    <row r="6403" spans="1:3" x14ac:dyDescent="0.25">
      <c r="A6403" s="2">
        <v>0</v>
      </c>
      <c r="B6403" s="38">
        <v>0</v>
      </c>
      <c r="C6403" s="79">
        <v>0</v>
      </c>
    </row>
    <row r="6404" spans="1:3" x14ac:dyDescent="0.25">
      <c r="A6404" s="2">
        <v>0</v>
      </c>
      <c r="B6404" s="38">
        <v>0</v>
      </c>
      <c r="C6404" s="79">
        <v>0</v>
      </c>
    </row>
    <row r="6405" spans="1:3" x14ac:dyDescent="0.25">
      <c r="A6405" s="2">
        <v>0</v>
      </c>
      <c r="B6405" s="38">
        <v>0</v>
      </c>
      <c r="C6405" s="79">
        <v>0</v>
      </c>
    </row>
    <row r="6406" spans="1:3" x14ac:dyDescent="0.25">
      <c r="A6406" s="2">
        <v>0</v>
      </c>
      <c r="B6406" s="38">
        <v>0</v>
      </c>
      <c r="C6406" s="79">
        <v>0</v>
      </c>
    </row>
    <row r="6407" spans="1:3" x14ac:dyDescent="0.25">
      <c r="A6407" s="2">
        <v>0</v>
      </c>
      <c r="B6407" s="38">
        <v>0</v>
      </c>
      <c r="C6407" s="79">
        <v>0</v>
      </c>
    </row>
    <row r="6408" spans="1:3" x14ac:dyDescent="0.25">
      <c r="A6408" s="2">
        <v>0</v>
      </c>
      <c r="B6408" s="38">
        <v>0</v>
      </c>
      <c r="C6408" s="79">
        <v>0</v>
      </c>
    </row>
    <row r="6409" spans="1:3" x14ac:dyDescent="0.25">
      <c r="A6409" s="2">
        <v>0</v>
      </c>
      <c r="B6409" s="38">
        <v>0</v>
      </c>
      <c r="C6409" s="79">
        <v>0</v>
      </c>
    </row>
    <row r="6410" spans="1:3" x14ac:dyDescent="0.25">
      <c r="A6410" s="2">
        <v>0</v>
      </c>
      <c r="B6410" s="38">
        <v>0</v>
      </c>
      <c r="C6410" s="79">
        <v>0</v>
      </c>
    </row>
    <row r="6411" spans="1:3" x14ac:dyDescent="0.25">
      <c r="A6411" s="2">
        <v>0</v>
      </c>
      <c r="B6411" s="38">
        <v>0</v>
      </c>
      <c r="C6411" s="79">
        <v>0</v>
      </c>
    </row>
    <row r="6412" spans="1:3" x14ac:dyDescent="0.25">
      <c r="A6412" s="2">
        <v>0</v>
      </c>
      <c r="B6412" s="38">
        <v>0</v>
      </c>
      <c r="C6412" s="79">
        <v>0</v>
      </c>
    </row>
    <row r="6413" spans="1:3" x14ac:dyDescent="0.25">
      <c r="A6413" s="2">
        <v>0</v>
      </c>
      <c r="B6413" s="38">
        <v>0</v>
      </c>
      <c r="C6413" s="79">
        <v>0</v>
      </c>
    </row>
    <row r="6414" spans="1:3" x14ac:dyDescent="0.25">
      <c r="A6414" s="2">
        <v>0</v>
      </c>
      <c r="B6414" s="38">
        <v>0</v>
      </c>
      <c r="C6414" s="79">
        <v>0</v>
      </c>
    </row>
    <row r="6415" spans="1:3" x14ac:dyDescent="0.25">
      <c r="A6415" s="2">
        <v>0</v>
      </c>
      <c r="B6415" s="38">
        <v>0</v>
      </c>
      <c r="C6415" s="79">
        <v>0</v>
      </c>
    </row>
    <row r="6416" spans="1:3" x14ac:dyDescent="0.25">
      <c r="A6416" s="2">
        <v>0</v>
      </c>
      <c r="B6416" s="38">
        <v>0</v>
      </c>
      <c r="C6416" s="79">
        <v>0</v>
      </c>
    </row>
    <row r="6417" spans="1:3" x14ac:dyDescent="0.25">
      <c r="A6417" s="2">
        <v>0</v>
      </c>
      <c r="B6417" s="38">
        <v>0</v>
      </c>
      <c r="C6417" s="79">
        <v>0</v>
      </c>
    </row>
    <row r="6418" spans="1:3" x14ac:dyDescent="0.25">
      <c r="A6418" s="2">
        <v>0</v>
      </c>
      <c r="B6418" s="38">
        <v>0</v>
      </c>
      <c r="C6418" s="79">
        <v>0</v>
      </c>
    </row>
    <row r="6419" spans="1:3" x14ac:dyDescent="0.25">
      <c r="A6419" s="2">
        <v>0</v>
      </c>
      <c r="B6419" s="38">
        <v>0</v>
      </c>
      <c r="C6419" s="79">
        <v>0</v>
      </c>
    </row>
    <row r="6420" spans="1:3" x14ac:dyDescent="0.25">
      <c r="A6420" s="2">
        <v>0</v>
      </c>
      <c r="B6420" s="38">
        <v>0</v>
      </c>
      <c r="C6420" s="79">
        <v>0</v>
      </c>
    </row>
    <row r="6421" spans="1:3" x14ac:dyDescent="0.25">
      <c r="A6421" s="2">
        <v>0</v>
      </c>
      <c r="B6421" s="38">
        <v>0</v>
      </c>
      <c r="C6421" s="79">
        <v>0</v>
      </c>
    </row>
    <row r="6422" spans="1:3" x14ac:dyDescent="0.25">
      <c r="A6422" s="2">
        <v>0</v>
      </c>
      <c r="B6422" s="38">
        <v>0</v>
      </c>
      <c r="C6422" s="79">
        <v>0</v>
      </c>
    </row>
    <row r="6423" spans="1:3" x14ac:dyDescent="0.25">
      <c r="A6423" s="2">
        <v>0</v>
      </c>
      <c r="B6423" s="38">
        <v>0</v>
      </c>
      <c r="C6423" s="79">
        <v>0</v>
      </c>
    </row>
    <row r="6424" spans="1:3" x14ac:dyDescent="0.25">
      <c r="A6424" s="2">
        <v>0</v>
      </c>
      <c r="B6424" s="38">
        <v>0</v>
      </c>
      <c r="C6424" s="79">
        <v>0</v>
      </c>
    </row>
    <row r="6425" spans="1:3" x14ac:dyDescent="0.25">
      <c r="A6425" s="2">
        <v>0</v>
      </c>
      <c r="B6425" s="38">
        <v>0</v>
      </c>
      <c r="C6425" s="79">
        <v>0</v>
      </c>
    </row>
    <row r="6426" spans="1:3" x14ac:dyDescent="0.25">
      <c r="A6426" s="2">
        <v>0</v>
      </c>
      <c r="B6426" s="38">
        <v>0</v>
      </c>
      <c r="C6426" s="79">
        <v>0</v>
      </c>
    </row>
    <row r="6427" spans="1:3" x14ac:dyDescent="0.25">
      <c r="A6427" s="2">
        <v>0</v>
      </c>
      <c r="B6427" s="38">
        <v>0</v>
      </c>
      <c r="C6427" s="79">
        <v>0</v>
      </c>
    </row>
    <row r="6428" spans="1:3" x14ac:dyDescent="0.25">
      <c r="A6428" s="2">
        <v>0</v>
      </c>
      <c r="B6428" s="38">
        <v>0</v>
      </c>
      <c r="C6428" s="79">
        <v>0</v>
      </c>
    </row>
    <row r="6429" spans="1:3" x14ac:dyDescent="0.25">
      <c r="A6429" s="2">
        <v>0</v>
      </c>
      <c r="B6429" s="38">
        <v>0</v>
      </c>
      <c r="C6429" s="79">
        <v>0</v>
      </c>
    </row>
    <row r="6430" spans="1:3" x14ac:dyDescent="0.25">
      <c r="A6430" s="2">
        <v>0</v>
      </c>
      <c r="B6430" s="38">
        <v>0</v>
      </c>
      <c r="C6430" s="79">
        <v>0</v>
      </c>
    </row>
    <row r="6431" spans="1:3" x14ac:dyDescent="0.25">
      <c r="A6431" s="2">
        <v>0</v>
      </c>
      <c r="B6431" s="38">
        <v>0</v>
      </c>
      <c r="C6431" s="79">
        <v>0</v>
      </c>
    </row>
    <row r="6432" spans="1:3" x14ac:dyDescent="0.25">
      <c r="A6432" s="2">
        <v>0</v>
      </c>
      <c r="B6432" s="38">
        <v>0</v>
      </c>
      <c r="C6432" s="79">
        <v>0</v>
      </c>
    </row>
    <row r="6433" spans="1:3" x14ac:dyDescent="0.25">
      <c r="A6433" s="2">
        <v>0</v>
      </c>
      <c r="B6433" s="38">
        <v>0</v>
      </c>
      <c r="C6433" s="79">
        <v>0</v>
      </c>
    </row>
    <row r="6434" spans="1:3" x14ac:dyDescent="0.25">
      <c r="A6434" s="2">
        <v>0</v>
      </c>
      <c r="B6434" s="38">
        <v>0</v>
      </c>
      <c r="C6434" s="79">
        <v>0</v>
      </c>
    </row>
    <row r="6435" spans="1:3" x14ac:dyDescent="0.25">
      <c r="A6435" s="2">
        <v>0</v>
      </c>
      <c r="B6435" s="38">
        <v>0</v>
      </c>
      <c r="C6435" s="79">
        <v>0</v>
      </c>
    </row>
    <row r="6436" spans="1:3" x14ac:dyDescent="0.25">
      <c r="A6436" s="2">
        <v>0</v>
      </c>
      <c r="B6436" s="38">
        <v>0</v>
      </c>
      <c r="C6436" s="79">
        <v>0</v>
      </c>
    </row>
    <row r="6437" spans="1:3" x14ac:dyDescent="0.25">
      <c r="A6437" s="2">
        <v>0</v>
      </c>
      <c r="B6437" s="38">
        <v>0</v>
      </c>
      <c r="C6437" s="79">
        <v>0</v>
      </c>
    </row>
    <row r="6438" spans="1:3" x14ac:dyDescent="0.25">
      <c r="A6438" s="2">
        <v>0</v>
      </c>
      <c r="B6438" s="38">
        <v>0</v>
      </c>
      <c r="C6438" s="79">
        <v>0</v>
      </c>
    </row>
    <row r="6439" spans="1:3" x14ac:dyDescent="0.25">
      <c r="A6439" s="2">
        <v>0</v>
      </c>
      <c r="B6439" s="38">
        <v>0</v>
      </c>
      <c r="C6439" s="79">
        <v>0</v>
      </c>
    </row>
    <row r="6440" spans="1:3" x14ac:dyDescent="0.25">
      <c r="A6440" s="2">
        <v>0</v>
      </c>
      <c r="B6440" s="38">
        <v>0</v>
      </c>
      <c r="C6440" s="79">
        <v>0</v>
      </c>
    </row>
    <row r="6441" spans="1:3" x14ac:dyDescent="0.25">
      <c r="A6441" s="2">
        <v>0</v>
      </c>
      <c r="B6441" s="38">
        <v>0</v>
      </c>
      <c r="C6441" s="79">
        <v>0</v>
      </c>
    </row>
    <row r="6442" spans="1:3" x14ac:dyDescent="0.25">
      <c r="A6442" s="2">
        <v>0</v>
      </c>
      <c r="B6442" s="38">
        <v>0</v>
      </c>
      <c r="C6442" s="79">
        <v>0</v>
      </c>
    </row>
    <row r="6443" spans="1:3" x14ac:dyDescent="0.25">
      <c r="A6443" s="2">
        <v>0</v>
      </c>
      <c r="B6443" s="38">
        <v>0</v>
      </c>
      <c r="C6443" s="79">
        <v>0</v>
      </c>
    </row>
    <row r="6444" spans="1:3" x14ac:dyDescent="0.25">
      <c r="A6444" s="2">
        <v>0</v>
      </c>
      <c r="B6444" s="38">
        <v>0</v>
      </c>
      <c r="C6444" s="79">
        <v>0</v>
      </c>
    </row>
    <row r="6445" spans="1:3" x14ac:dyDescent="0.25">
      <c r="A6445" s="2">
        <v>0</v>
      </c>
      <c r="B6445" s="38">
        <v>0</v>
      </c>
      <c r="C6445" s="79">
        <v>0</v>
      </c>
    </row>
    <row r="6446" spans="1:3" x14ac:dyDescent="0.25">
      <c r="A6446" s="2">
        <v>0</v>
      </c>
      <c r="B6446" s="38">
        <v>0</v>
      </c>
      <c r="C6446" s="79">
        <v>0</v>
      </c>
    </row>
    <row r="6447" spans="1:3" x14ac:dyDescent="0.25">
      <c r="A6447" s="2">
        <v>0</v>
      </c>
      <c r="B6447" s="38">
        <v>0</v>
      </c>
      <c r="C6447" s="79">
        <v>0</v>
      </c>
    </row>
    <row r="6448" spans="1:3" x14ac:dyDescent="0.25">
      <c r="A6448" s="2">
        <v>0</v>
      </c>
      <c r="B6448" s="38">
        <v>0</v>
      </c>
      <c r="C6448" s="79">
        <v>0</v>
      </c>
    </row>
    <row r="6449" spans="1:3" x14ac:dyDescent="0.25">
      <c r="A6449" s="2">
        <v>0</v>
      </c>
      <c r="B6449" s="38">
        <v>0</v>
      </c>
      <c r="C6449" s="79">
        <v>0</v>
      </c>
    </row>
    <row r="6450" spans="1:3" x14ac:dyDescent="0.25">
      <c r="A6450" s="2">
        <v>0</v>
      </c>
      <c r="B6450" s="38">
        <v>0</v>
      </c>
      <c r="C6450" s="79">
        <v>0</v>
      </c>
    </row>
    <row r="6451" spans="1:3" x14ac:dyDescent="0.25">
      <c r="A6451" s="2">
        <v>0</v>
      </c>
      <c r="B6451" s="38">
        <v>0</v>
      </c>
      <c r="C6451" s="79">
        <v>0</v>
      </c>
    </row>
    <row r="6452" spans="1:3" x14ac:dyDescent="0.25">
      <c r="A6452" s="2">
        <v>0</v>
      </c>
      <c r="B6452" s="38">
        <v>0</v>
      </c>
      <c r="C6452" s="79">
        <v>0</v>
      </c>
    </row>
    <row r="6453" spans="1:3" x14ac:dyDescent="0.25">
      <c r="A6453" s="2">
        <v>0</v>
      </c>
      <c r="B6453" s="38">
        <v>0</v>
      </c>
      <c r="C6453" s="79">
        <v>0</v>
      </c>
    </row>
    <row r="6454" spans="1:3" x14ac:dyDescent="0.25">
      <c r="A6454" s="2">
        <v>0</v>
      </c>
      <c r="B6454" s="38">
        <v>0</v>
      </c>
      <c r="C6454" s="79">
        <v>0</v>
      </c>
    </row>
    <row r="6455" spans="1:3" x14ac:dyDescent="0.25">
      <c r="A6455" s="2">
        <v>0</v>
      </c>
      <c r="B6455" s="38">
        <v>0</v>
      </c>
      <c r="C6455" s="79">
        <v>0</v>
      </c>
    </row>
    <row r="6456" spans="1:3" x14ac:dyDescent="0.25">
      <c r="A6456" s="2">
        <v>0</v>
      </c>
      <c r="B6456" s="38">
        <v>0</v>
      </c>
      <c r="C6456" s="79">
        <v>0</v>
      </c>
    </row>
    <row r="6457" spans="1:3" x14ac:dyDescent="0.25">
      <c r="A6457" s="2">
        <v>0</v>
      </c>
      <c r="B6457" s="38">
        <v>0</v>
      </c>
      <c r="C6457" s="79">
        <v>0</v>
      </c>
    </row>
    <row r="6458" spans="1:3" x14ac:dyDescent="0.25">
      <c r="A6458" s="2">
        <v>0</v>
      </c>
      <c r="B6458" s="38">
        <v>0</v>
      </c>
      <c r="C6458" s="79">
        <v>0</v>
      </c>
    </row>
    <row r="6459" spans="1:3" x14ac:dyDescent="0.25">
      <c r="A6459" s="2">
        <v>0</v>
      </c>
      <c r="B6459" s="38">
        <v>0</v>
      </c>
      <c r="C6459" s="79">
        <v>0</v>
      </c>
    </row>
    <row r="6460" spans="1:3" x14ac:dyDescent="0.25">
      <c r="A6460" s="2">
        <v>0</v>
      </c>
      <c r="B6460" s="38">
        <v>0</v>
      </c>
      <c r="C6460" s="79">
        <v>0</v>
      </c>
    </row>
    <row r="6461" spans="1:3" x14ac:dyDescent="0.25">
      <c r="A6461" s="2">
        <v>0</v>
      </c>
      <c r="B6461" s="38">
        <v>0</v>
      </c>
      <c r="C6461" s="79">
        <v>0</v>
      </c>
    </row>
    <row r="6462" spans="1:3" x14ac:dyDescent="0.25">
      <c r="A6462" s="2">
        <v>0</v>
      </c>
      <c r="B6462" s="38">
        <v>0</v>
      </c>
      <c r="C6462" s="79">
        <v>0</v>
      </c>
    </row>
    <row r="6463" spans="1:3" x14ac:dyDescent="0.25">
      <c r="A6463" s="2">
        <v>0</v>
      </c>
      <c r="B6463" s="38">
        <v>0</v>
      </c>
      <c r="C6463" s="79">
        <v>0</v>
      </c>
    </row>
    <row r="6464" spans="1:3" x14ac:dyDescent="0.25">
      <c r="A6464" s="2">
        <v>0</v>
      </c>
      <c r="B6464" s="38">
        <v>0</v>
      </c>
      <c r="C6464" s="79">
        <v>0</v>
      </c>
    </row>
    <row r="6465" spans="1:3" x14ac:dyDescent="0.25">
      <c r="A6465" s="2">
        <v>0</v>
      </c>
      <c r="B6465" s="38">
        <v>0</v>
      </c>
      <c r="C6465" s="79">
        <v>0</v>
      </c>
    </row>
    <row r="6466" spans="1:3" x14ac:dyDescent="0.25">
      <c r="A6466" s="2">
        <v>0</v>
      </c>
      <c r="B6466" s="38">
        <v>0</v>
      </c>
      <c r="C6466" s="79">
        <v>0</v>
      </c>
    </row>
    <row r="6467" spans="1:3" x14ac:dyDescent="0.25">
      <c r="A6467" s="2">
        <v>0</v>
      </c>
      <c r="B6467" s="38">
        <v>0</v>
      </c>
      <c r="C6467" s="79">
        <v>0</v>
      </c>
    </row>
    <row r="6468" spans="1:3" x14ac:dyDescent="0.25">
      <c r="A6468" s="2">
        <v>0</v>
      </c>
      <c r="B6468" s="38">
        <v>0</v>
      </c>
      <c r="C6468" s="79">
        <v>0</v>
      </c>
    </row>
    <row r="6469" spans="1:3" x14ac:dyDescent="0.25">
      <c r="A6469" s="2">
        <v>0</v>
      </c>
      <c r="B6469" s="38">
        <v>0</v>
      </c>
      <c r="C6469" s="79">
        <v>0</v>
      </c>
    </row>
    <row r="6470" spans="1:3" x14ac:dyDescent="0.25">
      <c r="A6470" s="2">
        <v>0</v>
      </c>
      <c r="B6470" s="38">
        <v>0</v>
      </c>
      <c r="C6470" s="79">
        <v>0</v>
      </c>
    </row>
    <row r="6471" spans="1:3" x14ac:dyDescent="0.25">
      <c r="A6471" s="2">
        <v>0</v>
      </c>
      <c r="B6471" s="38">
        <v>0</v>
      </c>
      <c r="C6471" s="79">
        <v>0</v>
      </c>
    </row>
    <row r="6472" spans="1:3" x14ac:dyDescent="0.25">
      <c r="A6472" s="2">
        <v>0</v>
      </c>
      <c r="B6472" s="38">
        <v>0</v>
      </c>
      <c r="C6472" s="79">
        <v>0</v>
      </c>
    </row>
    <row r="6473" spans="1:3" x14ac:dyDescent="0.25">
      <c r="A6473" s="2">
        <v>0</v>
      </c>
      <c r="B6473" s="38">
        <v>0</v>
      </c>
      <c r="C6473" s="79">
        <v>0</v>
      </c>
    </row>
    <row r="6474" spans="1:3" x14ac:dyDescent="0.25">
      <c r="A6474" s="2">
        <v>0</v>
      </c>
      <c r="B6474" s="38">
        <v>0</v>
      </c>
      <c r="C6474" s="79">
        <v>0</v>
      </c>
    </row>
    <row r="6475" spans="1:3" x14ac:dyDescent="0.25">
      <c r="A6475" s="2">
        <v>0</v>
      </c>
      <c r="B6475" s="38">
        <v>0</v>
      </c>
      <c r="C6475" s="79">
        <v>0</v>
      </c>
    </row>
    <row r="6476" spans="1:3" x14ac:dyDescent="0.25">
      <c r="A6476" s="2">
        <v>0</v>
      </c>
      <c r="B6476" s="38">
        <v>0</v>
      </c>
      <c r="C6476" s="79">
        <v>0</v>
      </c>
    </row>
    <row r="6477" spans="1:3" x14ac:dyDescent="0.25">
      <c r="A6477" s="2">
        <v>0</v>
      </c>
      <c r="B6477" s="38">
        <v>0</v>
      </c>
      <c r="C6477" s="79">
        <v>0</v>
      </c>
    </row>
    <row r="6478" spans="1:3" x14ac:dyDescent="0.25">
      <c r="A6478" s="2">
        <v>0</v>
      </c>
      <c r="B6478" s="38">
        <v>0</v>
      </c>
      <c r="C6478" s="79">
        <v>0</v>
      </c>
    </row>
    <row r="6479" spans="1:3" x14ac:dyDescent="0.25">
      <c r="A6479" s="2">
        <v>0</v>
      </c>
      <c r="B6479" s="38">
        <v>0</v>
      </c>
      <c r="C6479" s="79">
        <v>0</v>
      </c>
    </row>
    <row r="6480" spans="1:3" x14ac:dyDescent="0.25">
      <c r="A6480" s="2">
        <v>0</v>
      </c>
      <c r="B6480" s="38">
        <v>0</v>
      </c>
      <c r="C6480" s="79">
        <v>0</v>
      </c>
    </row>
    <row r="6481" spans="1:3" x14ac:dyDescent="0.25">
      <c r="A6481" s="2">
        <v>0</v>
      </c>
      <c r="B6481" s="38">
        <v>0</v>
      </c>
      <c r="C6481" s="79">
        <v>0</v>
      </c>
    </row>
    <row r="6482" spans="1:3" x14ac:dyDescent="0.25">
      <c r="A6482" s="2">
        <v>0</v>
      </c>
      <c r="B6482" s="38">
        <v>0</v>
      </c>
      <c r="C6482" s="79">
        <v>0</v>
      </c>
    </row>
    <row r="6483" spans="1:3" x14ac:dyDescent="0.25">
      <c r="A6483" s="2">
        <v>0</v>
      </c>
      <c r="B6483" s="38">
        <v>0</v>
      </c>
      <c r="C6483" s="79">
        <v>0</v>
      </c>
    </row>
    <row r="6484" spans="1:3" x14ac:dyDescent="0.25">
      <c r="A6484" s="2">
        <v>0</v>
      </c>
      <c r="B6484" s="38">
        <v>0</v>
      </c>
      <c r="C6484" s="79">
        <v>0</v>
      </c>
    </row>
    <row r="6485" spans="1:3" x14ac:dyDescent="0.25">
      <c r="A6485" s="2">
        <v>0</v>
      </c>
      <c r="B6485" s="38">
        <v>0</v>
      </c>
      <c r="C6485" s="79">
        <v>0</v>
      </c>
    </row>
    <row r="6486" spans="1:3" x14ac:dyDescent="0.25">
      <c r="A6486" s="2">
        <v>0</v>
      </c>
      <c r="B6486" s="38">
        <v>0</v>
      </c>
      <c r="C6486" s="79">
        <v>0</v>
      </c>
    </row>
    <row r="6487" spans="1:3" x14ac:dyDescent="0.25">
      <c r="A6487" s="2">
        <v>0</v>
      </c>
      <c r="B6487" s="38">
        <v>0</v>
      </c>
      <c r="C6487" s="79">
        <v>0</v>
      </c>
    </row>
    <row r="6488" spans="1:3" x14ac:dyDescent="0.25">
      <c r="A6488" s="2">
        <v>0</v>
      </c>
      <c r="B6488" s="38">
        <v>0</v>
      </c>
      <c r="C6488" s="79">
        <v>0</v>
      </c>
    </row>
    <row r="6489" spans="1:3" x14ac:dyDescent="0.25">
      <c r="A6489" s="2">
        <v>0</v>
      </c>
      <c r="B6489" s="38">
        <v>0</v>
      </c>
      <c r="C6489" s="79">
        <v>0</v>
      </c>
    </row>
    <row r="6490" spans="1:3" x14ac:dyDescent="0.25">
      <c r="A6490" s="2">
        <v>0</v>
      </c>
      <c r="B6490" s="38">
        <v>0</v>
      </c>
      <c r="C6490" s="79">
        <v>0</v>
      </c>
    </row>
    <row r="6491" spans="1:3" x14ac:dyDescent="0.25">
      <c r="A6491" s="2">
        <v>0</v>
      </c>
      <c r="B6491" s="38">
        <v>0</v>
      </c>
      <c r="C6491" s="79">
        <v>0</v>
      </c>
    </row>
    <row r="6492" spans="1:3" x14ac:dyDescent="0.25">
      <c r="A6492" s="2">
        <v>0</v>
      </c>
      <c r="B6492" s="38">
        <v>0</v>
      </c>
      <c r="C6492" s="79">
        <v>0</v>
      </c>
    </row>
    <row r="6493" spans="1:3" x14ac:dyDescent="0.25">
      <c r="A6493" s="2">
        <v>0</v>
      </c>
      <c r="B6493" s="38">
        <v>0</v>
      </c>
      <c r="C6493" s="79">
        <v>0</v>
      </c>
    </row>
    <row r="6494" spans="1:3" x14ac:dyDescent="0.25">
      <c r="A6494" s="2">
        <v>0</v>
      </c>
      <c r="B6494" s="38">
        <v>0</v>
      </c>
      <c r="C6494" s="79">
        <v>0</v>
      </c>
    </row>
    <row r="6495" spans="1:3" x14ac:dyDescent="0.25">
      <c r="A6495" s="2">
        <v>0</v>
      </c>
      <c r="B6495" s="38">
        <v>0</v>
      </c>
      <c r="C6495" s="79">
        <v>0</v>
      </c>
    </row>
    <row r="6496" spans="1:3" x14ac:dyDescent="0.25">
      <c r="A6496" s="2">
        <v>0</v>
      </c>
      <c r="B6496" s="38">
        <v>0</v>
      </c>
      <c r="C6496" s="79">
        <v>0</v>
      </c>
    </row>
    <row r="6497" spans="1:3" x14ac:dyDescent="0.25">
      <c r="A6497" s="2">
        <v>0</v>
      </c>
      <c r="B6497" s="38">
        <v>0</v>
      </c>
      <c r="C6497" s="79">
        <v>0</v>
      </c>
    </row>
    <row r="6498" spans="1:3" x14ac:dyDescent="0.25">
      <c r="A6498" s="2">
        <v>0</v>
      </c>
      <c r="B6498" s="38">
        <v>0</v>
      </c>
      <c r="C6498" s="79">
        <v>0</v>
      </c>
    </row>
    <row r="6499" spans="1:3" x14ac:dyDescent="0.25">
      <c r="A6499" s="2">
        <v>0</v>
      </c>
      <c r="B6499" s="38">
        <v>0</v>
      </c>
      <c r="C6499" s="79">
        <v>0</v>
      </c>
    </row>
    <row r="6500" spans="1:3" x14ac:dyDescent="0.25">
      <c r="A6500" s="2">
        <v>0</v>
      </c>
      <c r="B6500" s="38">
        <v>0</v>
      </c>
      <c r="C6500" s="79">
        <v>0</v>
      </c>
    </row>
    <row r="6501" spans="1:3" x14ac:dyDescent="0.25">
      <c r="A6501" s="2">
        <v>0</v>
      </c>
      <c r="B6501" s="38">
        <v>0</v>
      </c>
      <c r="C6501" s="79">
        <v>0</v>
      </c>
    </row>
    <row r="6502" spans="1:3" x14ac:dyDescent="0.25">
      <c r="A6502" s="2">
        <v>0</v>
      </c>
      <c r="B6502" s="38">
        <v>0</v>
      </c>
      <c r="C6502" s="79">
        <v>0</v>
      </c>
    </row>
    <row r="6503" spans="1:3" x14ac:dyDescent="0.25">
      <c r="A6503" s="2">
        <v>0</v>
      </c>
      <c r="B6503" s="38">
        <v>0</v>
      </c>
      <c r="C6503" s="79">
        <v>0</v>
      </c>
    </row>
    <row r="6504" spans="1:3" x14ac:dyDescent="0.25">
      <c r="A6504" s="2">
        <v>0</v>
      </c>
      <c r="B6504" s="38">
        <v>0</v>
      </c>
      <c r="C6504" s="79">
        <v>0</v>
      </c>
    </row>
    <row r="6505" spans="1:3" x14ac:dyDescent="0.25">
      <c r="A6505" s="2">
        <v>0</v>
      </c>
      <c r="B6505" s="38">
        <v>0</v>
      </c>
      <c r="C6505" s="79">
        <v>0</v>
      </c>
    </row>
    <row r="6506" spans="1:3" x14ac:dyDescent="0.25">
      <c r="A6506" s="2">
        <v>0</v>
      </c>
      <c r="B6506" s="38">
        <v>0</v>
      </c>
      <c r="C6506" s="79">
        <v>0</v>
      </c>
    </row>
    <row r="6507" spans="1:3" x14ac:dyDescent="0.25">
      <c r="A6507" s="2">
        <v>0</v>
      </c>
      <c r="B6507" s="38">
        <v>0</v>
      </c>
      <c r="C6507" s="79">
        <v>0</v>
      </c>
    </row>
    <row r="6508" spans="1:3" x14ac:dyDescent="0.25">
      <c r="A6508" s="2">
        <v>0</v>
      </c>
      <c r="B6508" s="38">
        <v>0</v>
      </c>
      <c r="C6508" s="79">
        <v>0</v>
      </c>
    </row>
    <row r="6509" spans="1:3" x14ac:dyDescent="0.25">
      <c r="A6509" s="2">
        <v>0</v>
      </c>
      <c r="B6509" s="38">
        <v>0</v>
      </c>
      <c r="C6509" s="79">
        <v>0</v>
      </c>
    </row>
    <row r="6510" spans="1:3" x14ac:dyDescent="0.25">
      <c r="A6510" s="2">
        <v>0</v>
      </c>
      <c r="B6510" s="38">
        <v>0</v>
      </c>
      <c r="C6510" s="79">
        <v>0</v>
      </c>
    </row>
    <row r="6511" spans="1:3" x14ac:dyDescent="0.25">
      <c r="A6511" s="2">
        <v>0</v>
      </c>
      <c r="B6511" s="38">
        <v>0</v>
      </c>
      <c r="C6511" s="79">
        <v>0</v>
      </c>
    </row>
    <row r="6512" spans="1:3" x14ac:dyDescent="0.25">
      <c r="A6512" s="2">
        <v>0</v>
      </c>
      <c r="B6512" s="38">
        <v>0</v>
      </c>
      <c r="C6512" s="79">
        <v>0</v>
      </c>
    </row>
    <row r="6513" spans="1:3" x14ac:dyDescent="0.25">
      <c r="A6513" s="2">
        <v>0</v>
      </c>
      <c r="B6513" s="38">
        <v>0</v>
      </c>
      <c r="C6513" s="79">
        <v>0</v>
      </c>
    </row>
    <row r="6514" spans="1:3" x14ac:dyDescent="0.25">
      <c r="A6514" s="2">
        <v>0</v>
      </c>
      <c r="B6514" s="38">
        <v>0</v>
      </c>
      <c r="C6514" s="79">
        <v>0</v>
      </c>
    </row>
    <row r="6515" spans="1:3" x14ac:dyDescent="0.25">
      <c r="A6515" s="2">
        <v>0</v>
      </c>
      <c r="B6515" s="38">
        <v>0</v>
      </c>
      <c r="C6515" s="79">
        <v>0</v>
      </c>
    </row>
    <row r="6516" spans="1:3" x14ac:dyDescent="0.25">
      <c r="A6516" s="2">
        <v>0</v>
      </c>
      <c r="B6516" s="38">
        <v>0</v>
      </c>
      <c r="C6516" s="79">
        <v>0</v>
      </c>
    </row>
    <row r="6517" spans="1:3" x14ac:dyDescent="0.25">
      <c r="A6517" s="2">
        <v>0</v>
      </c>
      <c r="B6517" s="38">
        <v>0</v>
      </c>
      <c r="C6517" s="79">
        <v>0</v>
      </c>
    </row>
    <row r="6518" spans="1:3" x14ac:dyDescent="0.25">
      <c r="A6518" s="2">
        <v>0</v>
      </c>
      <c r="B6518" s="38">
        <v>0</v>
      </c>
      <c r="C6518" s="79">
        <v>0</v>
      </c>
    </row>
    <row r="6519" spans="1:3" x14ac:dyDescent="0.25">
      <c r="A6519" s="2">
        <v>0</v>
      </c>
      <c r="B6519" s="38">
        <v>0</v>
      </c>
      <c r="C6519" s="79">
        <v>0</v>
      </c>
    </row>
    <row r="6520" spans="1:3" x14ac:dyDescent="0.25">
      <c r="A6520" s="2">
        <v>0</v>
      </c>
      <c r="B6520" s="38">
        <v>0</v>
      </c>
      <c r="C6520" s="79">
        <v>0</v>
      </c>
    </row>
    <row r="6521" spans="1:3" x14ac:dyDescent="0.25">
      <c r="A6521" s="2">
        <v>0</v>
      </c>
      <c r="B6521" s="38">
        <v>0</v>
      </c>
      <c r="C6521" s="79">
        <v>0</v>
      </c>
    </row>
    <row r="6522" spans="1:3" x14ac:dyDescent="0.25">
      <c r="A6522" s="2">
        <v>0</v>
      </c>
      <c r="B6522" s="38">
        <v>0</v>
      </c>
      <c r="C6522" s="79">
        <v>0</v>
      </c>
    </row>
    <row r="6523" spans="1:3" x14ac:dyDescent="0.25">
      <c r="A6523" s="2">
        <v>0</v>
      </c>
      <c r="B6523" s="38">
        <v>0</v>
      </c>
      <c r="C6523" s="79">
        <v>0</v>
      </c>
    </row>
    <row r="6524" spans="1:3" x14ac:dyDescent="0.25">
      <c r="A6524" s="2">
        <v>0</v>
      </c>
      <c r="B6524" s="38">
        <v>0</v>
      </c>
      <c r="C6524" s="79">
        <v>0</v>
      </c>
    </row>
    <row r="6525" spans="1:3" x14ac:dyDescent="0.25">
      <c r="A6525" s="2">
        <v>0</v>
      </c>
      <c r="B6525" s="38">
        <v>0</v>
      </c>
      <c r="C6525" s="79">
        <v>0</v>
      </c>
    </row>
    <row r="6526" spans="1:3" x14ac:dyDescent="0.25">
      <c r="A6526" s="2">
        <v>0</v>
      </c>
      <c r="B6526" s="38">
        <v>0</v>
      </c>
      <c r="C6526" s="79">
        <v>0</v>
      </c>
    </row>
    <row r="6527" spans="1:3" x14ac:dyDescent="0.25">
      <c r="A6527" s="2">
        <v>0</v>
      </c>
      <c r="B6527" s="38">
        <v>0</v>
      </c>
      <c r="C6527" s="79">
        <v>0</v>
      </c>
    </row>
    <row r="6528" spans="1:3" x14ac:dyDescent="0.25">
      <c r="A6528" s="2">
        <v>0</v>
      </c>
      <c r="B6528" s="38">
        <v>0</v>
      </c>
      <c r="C6528" s="79">
        <v>0</v>
      </c>
    </row>
    <row r="6529" spans="1:3" x14ac:dyDescent="0.25">
      <c r="A6529" s="2">
        <v>0</v>
      </c>
      <c r="B6529" s="38">
        <v>0</v>
      </c>
      <c r="C6529" s="79">
        <v>0</v>
      </c>
    </row>
    <row r="6530" spans="1:3" x14ac:dyDescent="0.25">
      <c r="A6530" s="2">
        <v>0</v>
      </c>
      <c r="B6530" s="38">
        <v>0</v>
      </c>
      <c r="C6530" s="79">
        <v>0</v>
      </c>
    </row>
    <row r="6531" spans="1:3" x14ac:dyDescent="0.25">
      <c r="A6531" s="2">
        <v>0</v>
      </c>
      <c r="B6531" s="38">
        <v>0</v>
      </c>
      <c r="C6531" s="79">
        <v>0</v>
      </c>
    </row>
    <row r="6532" spans="1:3" x14ac:dyDescent="0.25">
      <c r="A6532" s="2">
        <v>0</v>
      </c>
      <c r="B6532" s="38">
        <v>0</v>
      </c>
      <c r="C6532" s="79">
        <v>0</v>
      </c>
    </row>
    <row r="6533" spans="1:3" x14ac:dyDescent="0.25">
      <c r="A6533" s="2">
        <v>0</v>
      </c>
      <c r="B6533" s="38">
        <v>0</v>
      </c>
      <c r="C6533" s="79">
        <v>0</v>
      </c>
    </row>
    <row r="6534" spans="1:3" x14ac:dyDescent="0.25">
      <c r="A6534" s="2">
        <v>0</v>
      </c>
      <c r="B6534" s="38">
        <v>0</v>
      </c>
      <c r="C6534" s="79">
        <v>0</v>
      </c>
    </row>
    <row r="6535" spans="1:3" x14ac:dyDescent="0.25">
      <c r="A6535" s="2">
        <v>0</v>
      </c>
      <c r="B6535" s="38">
        <v>0</v>
      </c>
      <c r="C6535" s="79">
        <v>0</v>
      </c>
    </row>
    <row r="6536" spans="1:3" x14ac:dyDescent="0.25">
      <c r="A6536" s="2">
        <v>0</v>
      </c>
      <c r="B6536" s="38">
        <v>0</v>
      </c>
      <c r="C6536" s="79">
        <v>0</v>
      </c>
    </row>
    <row r="6537" spans="1:3" x14ac:dyDescent="0.25">
      <c r="A6537" s="2">
        <v>0</v>
      </c>
      <c r="B6537" s="38">
        <v>0</v>
      </c>
      <c r="C6537" s="79">
        <v>0</v>
      </c>
    </row>
    <row r="6538" spans="1:3" x14ac:dyDescent="0.25">
      <c r="A6538" s="2">
        <v>0</v>
      </c>
      <c r="B6538" s="38">
        <v>0</v>
      </c>
      <c r="C6538" s="79">
        <v>0</v>
      </c>
    </row>
    <row r="6539" spans="1:3" x14ac:dyDescent="0.25">
      <c r="A6539" s="2">
        <v>0</v>
      </c>
      <c r="B6539" s="38">
        <v>0</v>
      </c>
      <c r="C6539" s="79">
        <v>0</v>
      </c>
    </row>
    <row r="6540" spans="1:3" x14ac:dyDescent="0.25">
      <c r="A6540" s="2">
        <v>0</v>
      </c>
      <c r="B6540" s="38">
        <v>0</v>
      </c>
      <c r="C6540" s="79">
        <v>0</v>
      </c>
    </row>
    <row r="6541" spans="1:3" x14ac:dyDescent="0.25">
      <c r="A6541" s="2">
        <v>0</v>
      </c>
      <c r="B6541" s="38">
        <v>0</v>
      </c>
      <c r="C6541" s="79">
        <v>0</v>
      </c>
    </row>
    <row r="6542" spans="1:3" x14ac:dyDescent="0.25">
      <c r="A6542" s="2">
        <v>0</v>
      </c>
      <c r="B6542" s="38">
        <v>0</v>
      </c>
      <c r="C6542" s="79">
        <v>0</v>
      </c>
    </row>
    <row r="6543" spans="1:3" x14ac:dyDescent="0.25">
      <c r="A6543" s="2">
        <v>0</v>
      </c>
      <c r="B6543" s="38">
        <v>0</v>
      </c>
      <c r="C6543" s="79">
        <v>0</v>
      </c>
    </row>
    <row r="6544" spans="1:3" x14ac:dyDescent="0.25">
      <c r="A6544" s="2">
        <v>0</v>
      </c>
      <c r="B6544" s="38">
        <v>0</v>
      </c>
      <c r="C6544" s="79">
        <v>0</v>
      </c>
    </row>
    <row r="6545" spans="1:3" x14ac:dyDescent="0.25">
      <c r="A6545" s="2">
        <v>0</v>
      </c>
      <c r="B6545" s="38">
        <v>0</v>
      </c>
      <c r="C6545" s="79">
        <v>0</v>
      </c>
    </row>
    <row r="6546" spans="1:3" x14ac:dyDescent="0.25">
      <c r="A6546" s="2">
        <v>0</v>
      </c>
      <c r="B6546" s="38">
        <v>0</v>
      </c>
      <c r="C6546" s="79">
        <v>0</v>
      </c>
    </row>
    <row r="6547" spans="1:3" x14ac:dyDescent="0.25">
      <c r="A6547" s="2">
        <v>0</v>
      </c>
      <c r="B6547" s="38">
        <v>0</v>
      </c>
      <c r="C6547" s="79">
        <v>0</v>
      </c>
    </row>
    <row r="6548" spans="1:3" x14ac:dyDescent="0.25">
      <c r="A6548" s="2">
        <v>0</v>
      </c>
      <c r="B6548" s="38">
        <v>0</v>
      </c>
      <c r="C6548" s="79">
        <v>0</v>
      </c>
    </row>
    <row r="6549" spans="1:3" x14ac:dyDescent="0.25">
      <c r="A6549" s="2">
        <v>0</v>
      </c>
      <c r="B6549" s="38">
        <v>0</v>
      </c>
      <c r="C6549" s="79">
        <v>0</v>
      </c>
    </row>
    <row r="6550" spans="1:3" x14ac:dyDescent="0.25">
      <c r="A6550" s="2">
        <v>0</v>
      </c>
      <c r="B6550" s="38">
        <v>0</v>
      </c>
      <c r="C6550" s="79">
        <v>0</v>
      </c>
    </row>
    <row r="6551" spans="1:3" x14ac:dyDescent="0.25">
      <c r="A6551" s="2">
        <v>0</v>
      </c>
      <c r="B6551" s="38">
        <v>0</v>
      </c>
      <c r="C6551" s="79">
        <v>0</v>
      </c>
    </row>
    <row r="6552" spans="1:3" x14ac:dyDescent="0.25">
      <c r="A6552" s="2">
        <v>0</v>
      </c>
      <c r="B6552" s="38">
        <v>0</v>
      </c>
      <c r="C6552" s="79">
        <v>0</v>
      </c>
    </row>
    <row r="6553" spans="1:3" x14ac:dyDescent="0.25">
      <c r="A6553" s="2">
        <v>0</v>
      </c>
      <c r="B6553" s="38">
        <v>0</v>
      </c>
      <c r="C6553" s="79">
        <v>0</v>
      </c>
    </row>
    <row r="6554" spans="1:3" x14ac:dyDescent="0.25">
      <c r="A6554" s="2">
        <v>0</v>
      </c>
      <c r="B6554" s="38">
        <v>0</v>
      </c>
      <c r="C6554" s="79">
        <v>0</v>
      </c>
    </row>
    <row r="6555" spans="1:3" x14ac:dyDescent="0.25">
      <c r="A6555" s="2">
        <v>0</v>
      </c>
      <c r="B6555" s="38">
        <v>0</v>
      </c>
      <c r="C6555" s="79">
        <v>0</v>
      </c>
    </row>
    <row r="6556" spans="1:3" x14ac:dyDescent="0.25">
      <c r="A6556" s="2">
        <v>0</v>
      </c>
      <c r="B6556" s="38">
        <v>0</v>
      </c>
      <c r="C6556" s="79">
        <v>0</v>
      </c>
    </row>
    <row r="6557" spans="1:3" x14ac:dyDescent="0.25">
      <c r="A6557" s="2">
        <v>0</v>
      </c>
      <c r="B6557" s="38">
        <v>0</v>
      </c>
      <c r="C6557" s="79">
        <v>0</v>
      </c>
    </row>
    <row r="6558" spans="1:3" x14ac:dyDescent="0.25">
      <c r="A6558" s="2">
        <v>0</v>
      </c>
      <c r="B6558" s="38">
        <v>0</v>
      </c>
      <c r="C6558" s="79">
        <v>0</v>
      </c>
    </row>
    <row r="6559" spans="1:3" x14ac:dyDescent="0.25">
      <c r="A6559" s="2">
        <v>0</v>
      </c>
      <c r="B6559" s="38">
        <v>0</v>
      </c>
      <c r="C6559" s="79">
        <v>0</v>
      </c>
    </row>
    <row r="6560" spans="1:3" x14ac:dyDescent="0.25">
      <c r="A6560" s="2">
        <v>0</v>
      </c>
      <c r="B6560" s="38">
        <v>0</v>
      </c>
      <c r="C6560" s="79">
        <v>0</v>
      </c>
    </row>
    <row r="6561" spans="1:3" x14ac:dyDescent="0.25">
      <c r="A6561" s="2">
        <v>0</v>
      </c>
      <c r="B6561" s="38">
        <v>0</v>
      </c>
      <c r="C6561" s="79">
        <v>0</v>
      </c>
    </row>
    <row r="6562" spans="1:3" x14ac:dyDescent="0.25">
      <c r="A6562" s="2">
        <v>0</v>
      </c>
      <c r="B6562" s="38">
        <v>0</v>
      </c>
      <c r="C6562" s="79">
        <v>0</v>
      </c>
    </row>
    <row r="6563" spans="1:3" x14ac:dyDescent="0.25">
      <c r="A6563" s="2">
        <v>0</v>
      </c>
      <c r="B6563" s="38">
        <v>0</v>
      </c>
      <c r="C6563" s="79">
        <v>0</v>
      </c>
    </row>
    <row r="6564" spans="1:3" x14ac:dyDescent="0.25">
      <c r="A6564" s="2">
        <v>0</v>
      </c>
      <c r="B6564" s="38">
        <v>0</v>
      </c>
      <c r="C6564" s="79">
        <v>0</v>
      </c>
    </row>
    <row r="6565" spans="1:3" x14ac:dyDescent="0.25">
      <c r="A6565" s="2">
        <v>0</v>
      </c>
      <c r="B6565" s="38">
        <v>0</v>
      </c>
      <c r="C6565" s="79">
        <v>0</v>
      </c>
    </row>
    <row r="6566" spans="1:3" x14ac:dyDescent="0.25">
      <c r="A6566" s="2">
        <v>0</v>
      </c>
      <c r="B6566" s="38">
        <v>0</v>
      </c>
      <c r="C6566" s="79">
        <v>0</v>
      </c>
    </row>
    <row r="6567" spans="1:3" x14ac:dyDescent="0.25">
      <c r="A6567" s="2">
        <v>0</v>
      </c>
      <c r="B6567" s="38">
        <v>0</v>
      </c>
      <c r="C6567" s="79">
        <v>0</v>
      </c>
    </row>
    <row r="6568" spans="1:3" x14ac:dyDescent="0.25">
      <c r="A6568" s="2">
        <v>0</v>
      </c>
      <c r="B6568" s="38">
        <v>0</v>
      </c>
      <c r="C6568" s="79">
        <v>0</v>
      </c>
    </row>
    <row r="6569" spans="1:3" x14ac:dyDescent="0.25">
      <c r="A6569" s="2">
        <v>0</v>
      </c>
      <c r="B6569" s="38">
        <v>0</v>
      </c>
      <c r="C6569" s="79">
        <v>0</v>
      </c>
    </row>
    <row r="6570" spans="1:3" x14ac:dyDescent="0.25">
      <c r="A6570" s="2">
        <v>0</v>
      </c>
      <c r="B6570" s="38">
        <v>0</v>
      </c>
      <c r="C6570" s="79">
        <v>0</v>
      </c>
    </row>
    <row r="6571" spans="1:3" x14ac:dyDescent="0.25">
      <c r="A6571" s="2">
        <v>0</v>
      </c>
      <c r="B6571" s="38">
        <v>0</v>
      </c>
      <c r="C6571" s="79">
        <v>0</v>
      </c>
    </row>
    <row r="6572" spans="1:3" x14ac:dyDescent="0.25">
      <c r="A6572" s="2">
        <v>0</v>
      </c>
      <c r="B6572" s="38">
        <v>0</v>
      </c>
      <c r="C6572" s="79">
        <v>0</v>
      </c>
    </row>
    <row r="6573" spans="1:3" x14ac:dyDescent="0.25">
      <c r="A6573" s="2">
        <v>0</v>
      </c>
      <c r="B6573" s="38">
        <v>0</v>
      </c>
      <c r="C6573" s="79">
        <v>0</v>
      </c>
    </row>
    <row r="6574" spans="1:3" x14ac:dyDescent="0.25">
      <c r="A6574" s="2">
        <v>0</v>
      </c>
      <c r="B6574" s="38">
        <v>0</v>
      </c>
      <c r="C6574" s="79">
        <v>0</v>
      </c>
    </row>
    <row r="6575" spans="1:3" x14ac:dyDescent="0.25">
      <c r="A6575" s="2">
        <v>0</v>
      </c>
      <c r="B6575" s="38">
        <v>0</v>
      </c>
      <c r="C6575" s="79">
        <v>0</v>
      </c>
    </row>
    <row r="6576" spans="1:3" x14ac:dyDescent="0.25">
      <c r="A6576" s="2">
        <v>0</v>
      </c>
      <c r="B6576" s="38">
        <v>0</v>
      </c>
      <c r="C6576" s="79">
        <v>0</v>
      </c>
    </row>
    <row r="6577" spans="1:3" x14ac:dyDescent="0.25">
      <c r="A6577" s="2">
        <v>0</v>
      </c>
      <c r="B6577" s="38">
        <v>0</v>
      </c>
      <c r="C6577" s="79">
        <v>0</v>
      </c>
    </row>
    <row r="6578" spans="1:3" x14ac:dyDescent="0.25">
      <c r="A6578" s="2">
        <v>0</v>
      </c>
      <c r="B6578" s="38">
        <v>0</v>
      </c>
      <c r="C6578" s="79">
        <v>0</v>
      </c>
    </row>
    <row r="6579" spans="1:3" x14ac:dyDescent="0.25">
      <c r="A6579" s="2">
        <v>0</v>
      </c>
      <c r="B6579" s="38">
        <v>0</v>
      </c>
      <c r="C6579" s="79">
        <v>0</v>
      </c>
    </row>
    <row r="6580" spans="1:3" x14ac:dyDescent="0.25">
      <c r="A6580" s="2">
        <v>0</v>
      </c>
      <c r="B6580" s="38">
        <v>0</v>
      </c>
      <c r="C6580" s="79">
        <v>0</v>
      </c>
    </row>
    <row r="6581" spans="1:3" x14ac:dyDescent="0.25">
      <c r="A6581" s="2">
        <v>0</v>
      </c>
      <c r="B6581" s="38">
        <v>0</v>
      </c>
      <c r="C6581" s="79">
        <v>0</v>
      </c>
    </row>
    <row r="6582" spans="1:3" x14ac:dyDescent="0.25">
      <c r="A6582" s="2">
        <v>0</v>
      </c>
      <c r="B6582" s="38">
        <v>0</v>
      </c>
      <c r="C6582" s="79">
        <v>0</v>
      </c>
    </row>
    <row r="6583" spans="1:3" x14ac:dyDescent="0.25">
      <c r="A6583" s="2">
        <v>0</v>
      </c>
      <c r="B6583" s="38">
        <v>0</v>
      </c>
      <c r="C6583" s="79">
        <v>0</v>
      </c>
    </row>
    <row r="6584" spans="1:3" x14ac:dyDescent="0.25">
      <c r="A6584" s="2">
        <v>0</v>
      </c>
      <c r="B6584" s="38">
        <v>0</v>
      </c>
      <c r="C6584" s="79">
        <v>0</v>
      </c>
    </row>
    <row r="6585" spans="1:3" x14ac:dyDescent="0.25">
      <c r="A6585" s="2">
        <v>0</v>
      </c>
      <c r="B6585" s="38">
        <v>0</v>
      </c>
      <c r="C6585" s="79">
        <v>0</v>
      </c>
    </row>
    <row r="6586" spans="1:3" x14ac:dyDescent="0.25">
      <c r="A6586" s="2">
        <v>0</v>
      </c>
      <c r="B6586" s="38">
        <v>0</v>
      </c>
      <c r="C6586" s="79">
        <v>0</v>
      </c>
    </row>
    <row r="6587" spans="1:3" x14ac:dyDescent="0.25">
      <c r="A6587" s="2">
        <v>0</v>
      </c>
      <c r="B6587" s="38">
        <v>0</v>
      </c>
      <c r="C6587" s="79">
        <v>0</v>
      </c>
    </row>
    <row r="6588" spans="1:3" x14ac:dyDescent="0.25">
      <c r="A6588" s="2">
        <v>0</v>
      </c>
      <c r="B6588" s="38">
        <v>0</v>
      </c>
      <c r="C6588" s="79">
        <v>0</v>
      </c>
    </row>
    <row r="6589" spans="1:3" x14ac:dyDescent="0.25">
      <c r="A6589" s="2">
        <v>0</v>
      </c>
      <c r="B6589" s="38">
        <v>0</v>
      </c>
      <c r="C6589" s="79">
        <v>0</v>
      </c>
    </row>
    <row r="6590" spans="1:3" x14ac:dyDescent="0.25">
      <c r="A6590" s="2">
        <v>0</v>
      </c>
      <c r="B6590" s="38">
        <v>0</v>
      </c>
      <c r="C6590" s="79">
        <v>0</v>
      </c>
    </row>
    <row r="6591" spans="1:3" x14ac:dyDescent="0.25">
      <c r="A6591" s="2">
        <v>0</v>
      </c>
      <c r="B6591" s="38">
        <v>0</v>
      </c>
      <c r="C6591" s="79">
        <v>0</v>
      </c>
    </row>
    <row r="6592" spans="1:3" x14ac:dyDescent="0.25">
      <c r="A6592" s="2">
        <v>0</v>
      </c>
      <c r="B6592" s="38">
        <v>0</v>
      </c>
      <c r="C6592" s="79">
        <v>0</v>
      </c>
    </row>
    <row r="6593" spans="1:3" x14ac:dyDescent="0.25">
      <c r="A6593" s="2">
        <v>0</v>
      </c>
      <c r="B6593" s="38">
        <v>0</v>
      </c>
      <c r="C6593" s="79">
        <v>0</v>
      </c>
    </row>
    <row r="6594" spans="1:3" x14ac:dyDescent="0.25">
      <c r="A6594" s="2">
        <v>0</v>
      </c>
      <c r="B6594" s="38">
        <v>0</v>
      </c>
      <c r="C6594" s="79">
        <v>0</v>
      </c>
    </row>
    <row r="6595" spans="1:3" x14ac:dyDescent="0.25">
      <c r="A6595" s="2">
        <v>0</v>
      </c>
      <c r="B6595" s="38">
        <v>0</v>
      </c>
      <c r="C6595" s="79">
        <v>0</v>
      </c>
    </row>
    <row r="6596" spans="1:3" x14ac:dyDescent="0.25">
      <c r="A6596" s="2">
        <v>0</v>
      </c>
      <c r="B6596" s="38">
        <v>0</v>
      </c>
      <c r="C6596" s="79">
        <v>0</v>
      </c>
    </row>
    <row r="6597" spans="1:3" x14ac:dyDescent="0.25">
      <c r="A6597" s="2">
        <v>0</v>
      </c>
      <c r="B6597" s="38">
        <v>0</v>
      </c>
      <c r="C6597" s="79">
        <v>0</v>
      </c>
    </row>
    <row r="6598" spans="1:3" x14ac:dyDescent="0.25">
      <c r="A6598" s="2">
        <v>0</v>
      </c>
      <c r="B6598" s="38">
        <v>0</v>
      </c>
      <c r="C6598" s="79">
        <v>0</v>
      </c>
    </row>
    <row r="6599" spans="1:3" x14ac:dyDescent="0.25">
      <c r="A6599" s="2">
        <v>0</v>
      </c>
      <c r="B6599" s="38">
        <v>0</v>
      </c>
      <c r="C6599" s="79">
        <v>0</v>
      </c>
    </row>
    <row r="6600" spans="1:3" x14ac:dyDescent="0.25">
      <c r="A6600" s="2">
        <v>0</v>
      </c>
      <c r="B6600" s="38">
        <v>0</v>
      </c>
      <c r="C6600" s="79">
        <v>0</v>
      </c>
    </row>
    <row r="6601" spans="1:3" x14ac:dyDescent="0.25">
      <c r="A6601" s="2">
        <v>0</v>
      </c>
      <c r="B6601" s="38">
        <v>0</v>
      </c>
      <c r="C6601" s="79">
        <v>0</v>
      </c>
    </row>
    <row r="6602" spans="1:3" x14ac:dyDescent="0.25">
      <c r="A6602" s="2">
        <v>0</v>
      </c>
      <c r="B6602" s="38">
        <v>0</v>
      </c>
      <c r="C6602" s="79">
        <v>0</v>
      </c>
    </row>
    <row r="6603" spans="1:3" x14ac:dyDescent="0.25">
      <c r="A6603" s="2">
        <v>0</v>
      </c>
      <c r="B6603" s="38">
        <v>0</v>
      </c>
      <c r="C6603" s="79">
        <v>0</v>
      </c>
    </row>
    <row r="6604" spans="1:3" x14ac:dyDescent="0.25">
      <c r="A6604" s="2">
        <v>0</v>
      </c>
      <c r="B6604" s="38">
        <v>0</v>
      </c>
      <c r="C6604" s="79">
        <v>0</v>
      </c>
    </row>
    <row r="6605" spans="1:3" x14ac:dyDescent="0.25">
      <c r="A6605" s="2">
        <v>0</v>
      </c>
      <c r="B6605" s="38">
        <v>0</v>
      </c>
      <c r="C6605" s="79">
        <v>0</v>
      </c>
    </row>
    <row r="6606" spans="1:3" x14ac:dyDescent="0.25">
      <c r="A6606" s="2">
        <v>0</v>
      </c>
      <c r="B6606" s="38">
        <v>0</v>
      </c>
      <c r="C6606" s="79">
        <v>0</v>
      </c>
    </row>
    <row r="6607" spans="1:3" x14ac:dyDescent="0.25">
      <c r="A6607" s="2">
        <v>0</v>
      </c>
      <c r="B6607" s="38">
        <v>0</v>
      </c>
      <c r="C6607" s="79">
        <v>0</v>
      </c>
    </row>
    <row r="6608" spans="1:3" x14ac:dyDescent="0.25">
      <c r="A6608" s="2">
        <v>0</v>
      </c>
      <c r="B6608" s="38">
        <v>0</v>
      </c>
      <c r="C6608" s="79">
        <v>0</v>
      </c>
    </row>
    <row r="6609" spans="1:3" x14ac:dyDescent="0.25">
      <c r="A6609" s="2">
        <v>0</v>
      </c>
      <c r="B6609" s="38">
        <v>0</v>
      </c>
      <c r="C6609" s="79">
        <v>0</v>
      </c>
    </row>
    <row r="6610" spans="1:3" x14ac:dyDescent="0.25">
      <c r="A6610" s="2">
        <v>0</v>
      </c>
      <c r="B6610" s="38">
        <v>0</v>
      </c>
      <c r="C6610" s="79">
        <v>0</v>
      </c>
    </row>
    <row r="6611" spans="1:3" x14ac:dyDescent="0.25">
      <c r="A6611" s="2">
        <v>0</v>
      </c>
      <c r="B6611" s="38">
        <v>0</v>
      </c>
      <c r="C6611" s="79">
        <v>0</v>
      </c>
    </row>
    <row r="6612" spans="1:3" x14ac:dyDescent="0.25">
      <c r="A6612" s="2">
        <v>0</v>
      </c>
      <c r="B6612" s="38">
        <v>0</v>
      </c>
      <c r="C6612" s="79">
        <v>0</v>
      </c>
    </row>
    <row r="6613" spans="1:3" x14ac:dyDescent="0.25">
      <c r="A6613" s="2">
        <v>0</v>
      </c>
      <c r="B6613" s="38">
        <v>0</v>
      </c>
      <c r="C6613" s="79">
        <v>0</v>
      </c>
    </row>
    <row r="6614" spans="1:3" x14ac:dyDescent="0.25">
      <c r="A6614" s="2">
        <v>0</v>
      </c>
      <c r="B6614" s="38">
        <v>0</v>
      </c>
      <c r="C6614" s="79">
        <v>0</v>
      </c>
    </row>
    <row r="6615" spans="1:3" x14ac:dyDescent="0.25">
      <c r="A6615" s="2">
        <v>0</v>
      </c>
      <c r="B6615" s="38">
        <v>0</v>
      </c>
      <c r="C6615" s="79">
        <v>0</v>
      </c>
    </row>
    <row r="6616" spans="1:3" x14ac:dyDescent="0.25">
      <c r="A6616" s="2">
        <v>0</v>
      </c>
      <c r="B6616" s="38">
        <v>0</v>
      </c>
      <c r="C6616" s="79">
        <v>0</v>
      </c>
    </row>
    <row r="6617" spans="1:3" x14ac:dyDescent="0.25">
      <c r="A6617" s="2">
        <v>0</v>
      </c>
      <c r="B6617" s="38">
        <v>0</v>
      </c>
      <c r="C6617" s="79">
        <v>0</v>
      </c>
    </row>
    <row r="6618" spans="1:3" x14ac:dyDescent="0.25">
      <c r="A6618" s="2">
        <v>0</v>
      </c>
      <c r="B6618" s="38">
        <v>0</v>
      </c>
      <c r="C6618" s="79">
        <v>0</v>
      </c>
    </row>
    <row r="6619" spans="1:3" x14ac:dyDescent="0.25">
      <c r="A6619" s="2">
        <v>0</v>
      </c>
      <c r="B6619" s="38">
        <v>0</v>
      </c>
      <c r="C6619" s="79">
        <v>0</v>
      </c>
    </row>
    <row r="6620" spans="1:3" x14ac:dyDescent="0.25">
      <c r="A6620" s="2">
        <v>0</v>
      </c>
      <c r="B6620" s="38">
        <v>0</v>
      </c>
      <c r="C6620" s="79">
        <v>0</v>
      </c>
    </row>
    <row r="6621" spans="1:3" x14ac:dyDescent="0.25">
      <c r="A6621" s="2">
        <v>0</v>
      </c>
      <c r="B6621" s="38">
        <v>0</v>
      </c>
      <c r="C6621" s="79">
        <v>0</v>
      </c>
    </row>
    <row r="6622" spans="1:3" x14ac:dyDescent="0.25">
      <c r="A6622" s="2">
        <v>0</v>
      </c>
      <c r="B6622" s="38">
        <v>0</v>
      </c>
      <c r="C6622" s="79">
        <v>0</v>
      </c>
    </row>
    <row r="6623" spans="1:3" x14ac:dyDescent="0.25">
      <c r="A6623" s="2">
        <v>0</v>
      </c>
      <c r="B6623" s="38">
        <v>0</v>
      </c>
      <c r="C6623" s="79">
        <v>0</v>
      </c>
    </row>
    <row r="6624" spans="1:3" x14ac:dyDescent="0.25">
      <c r="A6624" s="2">
        <v>0</v>
      </c>
      <c r="B6624" s="38">
        <v>0</v>
      </c>
      <c r="C6624" s="79">
        <v>0</v>
      </c>
    </row>
    <row r="6625" spans="1:3" x14ac:dyDescent="0.25">
      <c r="A6625" s="2">
        <v>0</v>
      </c>
      <c r="B6625" s="38">
        <v>0</v>
      </c>
      <c r="C6625" s="79">
        <v>0</v>
      </c>
    </row>
    <row r="6626" spans="1:3" x14ac:dyDescent="0.25">
      <c r="A6626" s="2">
        <v>0</v>
      </c>
      <c r="B6626" s="38">
        <v>0</v>
      </c>
      <c r="C6626" s="79">
        <v>0</v>
      </c>
    </row>
    <row r="6627" spans="1:3" x14ac:dyDescent="0.25">
      <c r="A6627" s="2">
        <v>0</v>
      </c>
      <c r="B6627" s="38">
        <v>0</v>
      </c>
      <c r="C6627" s="79">
        <v>0</v>
      </c>
    </row>
    <row r="6628" spans="1:3" x14ac:dyDescent="0.25">
      <c r="A6628" s="2">
        <v>0</v>
      </c>
      <c r="B6628" s="38">
        <v>0</v>
      </c>
      <c r="C6628" s="79">
        <v>0</v>
      </c>
    </row>
    <row r="6629" spans="1:3" x14ac:dyDescent="0.25">
      <c r="A6629" s="2">
        <v>0</v>
      </c>
      <c r="B6629" s="38">
        <v>0</v>
      </c>
      <c r="C6629" s="79">
        <v>0</v>
      </c>
    </row>
    <row r="6630" spans="1:3" x14ac:dyDescent="0.25">
      <c r="A6630" s="2">
        <v>0</v>
      </c>
      <c r="B6630" s="38">
        <v>0</v>
      </c>
      <c r="C6630" s="79">
        <v>0</v>
      </c>
    </row>
    <row r="6631" spans="1:3" x14ac:dyDescent="0.25">
      <c r="A6631" s="2">
        <v>0</v>
      </c>
      <c r="B6631" s="38">
        <v>0</v>
      </c>
      <c r="C6631" s="79">
        <v>0</v>
      </c>
    </row>
    <row r="6632" spans="1:3" x14ac:dyDescent="0.25">
      <c r="A6632" s="2">
        <v>0</v>
      </c>
      <c r="B6632" s="38">
        <v>0</v>
      </c>
      <c r="C6632" s="79">
        <v>0</v>
      </c>
    </row>
    <row r="6633" spans="1:3" x14ac:dyDescent="0.25">
      <c r="A6633" s="2">
        <v>0</v>
      </c>
      <c r="B6633" s="38">
        <v>0</v>
      </c>
      <c r="C6633" s="79">
        <v>0</v>
      </c>
    </row>
    <row r="6634" spans="1:3" x14ac:dyDescent="0.25">
      <c r="A6634" s="2">
        <v>0</v>
      </c>
      <c r="B6634" s="38">
        <v>0</v>
      </c>
      <c r="C6634" s="79">
        <v>0</v>
      </c>
    </row>
    <row r="6635" spans="1:3" x14ac:dyDescent="0.25">
      <c r="A6635" s="2">
        <v>0</v>
      </c>
      <c r="B6635" s="38">
        <v>0</v>
      </c>
      <c r="C6635" s="79">
        <v>0</v>
      </c>
    </row>
    <row r="6636" spans="1:3" x14ac:dyDescent="0.25">
      <c r="A6636" s="2">
        <v>0</v>
      </c>
      <c r="B6636" s="38">
        <v>0</v>
      </c>
      <c r="C6636" s="79">
        <v>0</v>
      </c>
    </row>
    <row r="6637" spans="1:3" x14ac:dyDescent="0.25">
      <c r="A6637" s="2">
        <v>0</v>
      </c>
      <c r="B6637" s="38">
        <v>0</v>
      </c>
      <c r="C6637" s="79">
        <v>0</v>
      </c>
    </row>
    <row r="6638" spans="1:3" x14ac:dyDescent="0.25">
      <c r="A6638" s="2">
        <v>0</v>
      </c>
      <c r="B6638" s="38">
        <v>0</v>
      </c>
      <c r="C6638" s="79">
        <v>0</v>
      </c>
    </row>
    <row r="6639" spans="1:3" x14ac:dyDescent="0.25">
      <c r="A6639" s="2">
        <v>0</v>
      </c>
      <c r="B6639" s="38">
        <v>0</v>
      </c>
      <c r="C6639" s="79">
        <v>0</v>
      </c>
    </row>
    <row r="6640" spans="1:3" x14ac:dyDescent="0.25">
      <c r="A6640" s="2">
        <v>0</v>
      </c>
      <c r="B6640" s="38">
        <v>0</v>
      </c>
      <c r="C6640" s="79">
        <v>0</v>
      </c>
    </row>
    <row r="6641" spans="1:3" x14ac:dyDescent="0.25">
      <c r="A6641" s="2">
        <v>0</v>
      </c>
      <c r="B6641" s="38">
        <v>0</v>
      </c>
      <c r="C6641" s="79">
        <v>0</v>
      </c>
    </row>
    <row r="6642" spans="1:3" x14ac:dyDescent="0.25">
      <c r="A6642" s="2">
        <v>0</v>
      </c>
      <c r="B6642" s="38">
        <v>0</v>
      </c>
      <c r="C6642" s="79">
        <v>0</v>
      </c>
    </row>
    <row r="6643" spans="1:3" x14ac:dyDescent="0.25">
      <c r="A6643" s="2">
        <v>0</v>
      </c>
      <c r="B6643" s="38">
        <v>0</v>
      </c>
      <c r="C6643" s="79">
        <v>0</v>
      </c>
    </row>
    <row r="6644" spans="1:3" x14ac:dyDescent="0.25">
      <c r="A6644" s="2">
        <v>0</v>
      </c>
      <c r="B6644" s="38">
        <v>0</v>
      </c>
      <c r="C6644" s="79">
        <v>0</v>
      </c>
    </row>
    <row r="6645" spans="1:3" x14ac:dyDescent="0.25">
      <c r="A6645" s="2">
        <v>0</v>
      </c>
      <c r="B6645" s="38">
        <v>0</v>
      </c>
      <c r="C6645" s="79">
        <v>0</v>
      </c>
    </row>
    <row r="6646" spans="1:3" x14ac:dyDescent="0.25">
      <c r="A6646" s="2">
        <v>0</v>
      </c>
      <c r="B6646" s="38">
        <v>0</v>
      </c>
      <c r="C6646" s="79">
        <v>0</v>
      </c>
    </row>
    <row r="6647" spans="1:3" x14ac:dyDescent="0.25">
      <c r="A6647" s="2">
        <v>0</v>
      </c>
      <c r="B6647" s="38">
        <v>0</v>
      </c>
      <c r="C6647" s="79">
        <v>0</v>
      </c>
    </row>
    <row r="6648" spans="1:3" x14ac:dyDescent="0.25">
      <c r="A6648" s="2">
        <v>0</v>
      </c>
      <c r="B6648" s="38">
        <v>0</v>
      </c>
      <c r="C6648" s="79">
        <v>0</v>
      </c>
    </row>
    <row r="6649" spans="1:3" x14ac:dyDescent="0.25">
      <c r="A6649" s="2">
        <v>0</v>
      </c>
      <c r="B6649" s="38">
        <v>0</v>
      </c>
      <c r="C6649" s="79">
        <v>0</v>
      </c>
    </row>
    <row r="6650" spans="1:3" x14ac:dyDescent="0.25">
      <c r="A6650" s="2">
        <v>0</v>
      </c>
      <c r="B6650" s="38">
        <v>0</v>
      </c>
      <c r="C6650" s="79">
        <v>0</v>
      </c>
    </row>
    <row r="6651" spans="1:3" x14ac:dyDescent="0.25">
      <c r="A6651" s="2">
        <v>0</v>
      </c>
      <c r="B6651" s="38">
        <v>0</v>
      </c>
      <c r="C6651" s="79">
        <v>0</v>
      </c>
    </row>
    <row r="6652" spans="1:3" x14ac:dyDescent="0.25">
      <c r="A6652" s="2">
        <v>0</v>
      </c>
      <c r="B6652" s="38">
        <v>0</v>
      </c>
      <c r="C6652" s="79">
        <v>0</v>
      </c>
    </row>
    <row r="6653" spans="1:3" x14ac:dyDescent="0.25">
      <c r="A6653" s="2">
        <v>0</v>
      </c>
      <c r="B6653" s="38">
        <v>0</v>
      </c>
      <c r="C6653" s="79">
        <v>0</v>
      </c>
    </row>
    <row r="6654" spans="1:3" x14ac:dyDescent="0.25">
      <c r="A6654" s="2">
        <v>0</v>
      </c>
      <c r="B6654" s="38">
        <v>0</v>
      </c>
      <c r="C6654" s="79">
        <v>0</v>
      </c>
    </row>
    <row r="6655" spans="1:3" x14ac:dyDescent="0.25">
      <c r="A6655" s="2">
        <v>0</v>
      </c>
      <c r="B6655" s="38">
        <v>0</v>
      </c>
      <c r="C6655" s="79">
        <v>0</v>
      </c>
    </row>
    <row r="6656" spans="1:3" x14ac:dyDescent="0.25">
      <c r="A6656" s="2">
        <v>0</v>
      </c>
      <c r="B6656" s="38">
        <v>0</v>
      </c>
      <c r="C6656" s="79">
        <v>0</v>
      </c>
    </row>
    <row r="6657" spans="1:3" x14ac:dyDescent="0.25">
      <c r="A6657" s="2">
        <v>0</v>
      </c>
      <c r="B6657" s="38">
        <v>0</v>
      </c>
      <c r="C6657" s="79">
        <v>0</v>
      </c>
    </row>
    <row r="6658" spans="1:3" x14ac:dyDescent="0.25">
      <c r="A6658" s="2">
        <v>0</v>
      </c>
      <c r="B6658" s="38">
        <v>0</v>
      </c>
      <c r="C6658" s="79">
        <v>0</v>
      </c>
    </row>
    <row r="6659" spans="1:3" x14ac:dyDescent="0.25">
      <c r="A6659" s="2">
        <v>0</v>
      </c>
      <c r="B6659" s="38">
        <v>0</v>
      </c>
      <c r="C6659" s="79">
        <v>0</v>
      </c>
    </row>
    <row r="6660" spans="1:3" x14ac:dyDescent="0.25">
      <c r="A6660" s="2">
        <v>0</v>
      </c>
      <c r="B6660" s="38">
        <v>0</v>
      </c>
      <c r="C6660" s="79">
        <v>0</v>
      </c>
    </row>
    <row r="6661" spans="1:3" x14ac:dyDescent="0.25">
      <c r="A6661" s="2">
        <v>0</v>
      </c>
      <c r="B6661" s="38">
        <v>0</v>
      </c>
      <c r="C6661" s="79">
        <v>0</v>
      </c>
    </row>
    <row r="6662" spans="1:3" x14ac:dyDescent="0.25">
      <c r="A6662" s="2">
        <v>0</v>
      </c>
      <c r="B6662" s="38">
        <v>0</v>
      </c>
      <c r="C6662" s="79">
        <v>0</v>
      </c>
    </row>
    <row r="6663" spans="1:3" x14ac:dyDescent="0.25">
      <c r="A6663" s="2">
        <v>0</v>
      </c>
      <c r="B6663" s="38">
        <v>0</v>
      </c>
      <c r="C6663" s="79">
        <v>0</v>
      </c>
    </row>
    <row r="6664" spans="1:3" x14ac:dyDescent="0.25">
      <c r="A6664" s="2">
        <v>0</v>
      </c>
      <c r="B6664" s="38">
        <v>0</v>
      </c>
      <c r="C6664" s="79">
        <v>0</v>
      </c>
    </row>
    <row r="6665" spans="1:3" x14ac:dyDescent="0.25">
      <c r="A6665" s="2">
        <v>0</v>
      </c>
      <c r="B6665" s="38">
        <v>0</v>
      </c>
      <c r="C6665" s="79">
        <v>0</v>
      </c>
    </row>
    <row r="6666" spans="1:3" x14ac:dyDescent="0.25">
      <c r="A6666" s="2">
        <v>0</v>
      </c>
      <c r="B6666" s="38">
        <v>0</v>
      </c>
      <c r="C6666" s="79">
        <v>0</v>
      </c>
    </row>
    <row r="6667" spans="1:3" x14ac:dyDescent="0.25">
      <c r="A6667" s="2">
        <v>0</v>
      </c>
      <c r="B6667" s="38">
        <v>0</v>
      </c>
      <c r="C6667" s="79">
        <v>0</v>
      </c>
    </row>
    <row r="6668" spans="1:3" x14ac:dyDescent="0.25">
      <c r="A6668" s="2">
        <v>0</v>
      </c>
      <c r="B6668" s="38">
        <v>0</v>
      </c>
      <c r="C6668" s="79">
        <v>0</v>
      </c>
    </row>
    <row r="6669" spans="1:3" x14ac:dyDescent="0.25">
      <c r="A6669" s="2">
        <v>0</v>
      </c>
      <c r="B6669" s="38">
        <v>0</v>
      </c>
      <c r="C6669" s="79">
        <v>0</v>
      </c>
    </row>
    <row r="6670" spans="1:3" x14ac:dyDescent="0.25">
      <c r="A6670" s="2">
        <v>0</v>
      </c>
      <c r="B6670" s="38">
        <v>0</v>
      </c>
      <c r="C6670" s="79">
        <v>0</v>
      </c>
    </row>
    <row r="6671" spans="1:3" x14ac:dyDescent="0.25">
      <c r="A6671" s="2">
        <v>0</v>
      </c>
      <c r="B6671" s="38">
        <v>0</v>
      </c>
      <c r="C6671" s="79">
        <v>0</v>
      </c>
    </row>
    <row r="6672" spans="1:3" x14ac:dyDescent="0.25">
      <c r="A6672" s="2">
        <v>0</v>
      </c>
      <c r="B6672" s="38">
        <v>0</v>
      </c>
      <c r="C6672" s="79">
        <v>0</v>
      </c>
    </row>
    <row r="6673" spans="1:3" x14ac:dyDescent="0.25">
      <c r="A6673" s="2">
        <v>0</v>
      </c>
      <c r="B6673" s="38">
        <v>0</v>
      </c>
      <c r="C6673" s="79">
        <v>0</v>
      </c>
    </row>
    <row r="6674" spans="1:3" x14ac:dyDescent="0.25">
      <c r="A6674" s="2">
        <v>0</v>
      </c>
      <c r="B6674" s="38">
        <v>0</v>
      </c>
      <c r="C6674" s="79">
        <v>0</v>
      </c>
    </row>
    <row r="6675" spans="1:3" x14ac:dyDescent="0.25">
      <c r="A6675" s="2">
        <v>0</v>
      </c>
      <c r="B6675" s="38">
        <v>0</v>
      </c>
      <c r="C6675" s="79">
        <v>0</v>
      </c>
    </row>
    <row r="6676" spans="1:3" x14ac:dyDescent="0.25">
      <c r="A6676" s="2">
        <v>0</v>
      </c>
      <c r="B6676" s="38">
        <v>0</v>
      </c>
      <c r="C6676" s="79">
        <v>0</v>
      </c>
    </row>
    <row r="6677" spans="1:3" x14ac:dyDescent="0.25">
      <c r="A6677" s="2">
        <v>0</v>
      </c>
      <c r="B6677" s="38">
        <v>0</v>
      </c>
      <c r="C6677" s="79">
        <v>0</v>
      </c>
    </row>
    <row r="6678" spans="1:3" x14ac:dyDescent="0.25">
      <c r="A6678" s="2">
        <v>0</v>
      </c>
      <c r="B6678" s="38">
        <v>0</v>
      </c>
      <c r="C6678" s="79">
        <v>0</v>
      </c>
    </row>
    <row r="6679" spans="1:3" x14ac:dyDescent="0.25">
      <c r="A6679" s="2">
        <v>0</v>
      </c>
      <c r="B6679" s="38">
        <v>0</v>
      </c>
      <c r="C6679" s="79">
        <v>0</v>
      </c>
    </row>
    <row r="6680" spans="1:3" x14ac:dyDescent="0.25">
      <c r="A6680" s="2">
        <v>0</v>
      </c>
      <c r="B6680" s="38">
        <v>0</v>
      </c>
      <c r="C6680" s="79">
        <v>0</v>
      </c>
    </row>
    <row r="6681" spans="1:3" x14ac:dyDescent="0.25">
      <c r="A6681" s="2">
        <v>0</v>
      </c>
      <c r="B6681" s="38">
        <v>0</v>
      </c>
      <c r="C6681" s="79">
        <v>0</v>
      </c>
    </row>
    <row r="6682" spans="1:3" x14ac:dyDescent="0.25">
      <c r="A6682" s="2">
        <v>0</v>
      </c>
      <c r="B6682" s="38">
        <v>0</v>
      </c>
      <c r="C6682" s="79">
        <v>0</v>
      </c>
    </row>
    <row r="6683" spans="1:3" x14ac:dyDescent="0.25">
      <c r="A6683" s="2">
        <v>0</v>
      </c>
      <c r="B6683" s="38">
        <v>0</v>
      </c>
      <c r="C6683" s="79">
        <v>0</v>
      </c>
    </row>
    <row r="6684" spans="1:3" x14ac:dyDescent="0.25">
      <c r="A6684" s="2">
        <v>0</v>
      </c>
      <c r="B6684" s="38">
        <v>0</v>
      </c>
      <c r="C6684" s="79">
        <v>0</v>
      </c>
    </row>
    <row r="6685" spans="1:3" x14ac:dyDescent="0.25">
      <c r="A6685" s="2">
        <v>0</v>
      </c>
      <c r="B6685" s="38">
        <v>0</v>
      </c>
      <c r="C6685" s="79">
        <v>0</v>
      </c>
    </row>
    <row r="6686" spans="1:3" x14ac:dyDescent="0.25">
      <c r="A6686" s="2">
        <v>0</v>
      </c>
      <c r="B6686" s="38">
        <v>0</v>
      </c>
      <c r="C6686" s="79">
        <v>0</v>
      </c>
    </row>
    <row r="6687" spans="1:3" x14ac:dyDescent="0.25">
      <c r="A6687" s="2">
        <v>0</v>
      </c>
      <c r="B6687" s="38">
        <v>0</v>
      </c>
      <c r="C6687" s="79">
        <v>0</v>
      </c>
    </row>
    <row r="6688" spans="1:3" x14ac:dyDescent="0.25">
      <c r="A6688" s="2">
        <v>0</v>
      </c>
      <c r="B6688" s="38">
        <v>0</v>
      </c>
      <c r="C6688" s="79">
        <v>0</v>
      </c>
    </row>
    <row r="6689" spans="1:3" x14ac:dyDescent="0.25">
      <c r="A6689" s="2">
        <v>0</v>
      </c>
      <c r="B6689" s="38">
        <v>0</v>
      </c>
      <c r="C6689" s="79">
        <v>0</v>
      </c>
    </row>
    <row r="6690" spans="1:3" x14ac:dyDescent="0.25">
      <c r="A6690" s="2">
        <v>0</v>
      </c>
      <c r="B6690" s="38">
        <v>0</v>
      </c>
      <c r="C6690" s="79">
        <v>0</v>
      </c>
    </row>
    <row r="6691" spans="1:3" x14ac:dyDescent="0.25">
      <c r="A6691" s="2">
        <v>0</v>
      </c>
      <c r="B6691" s="38">
        <v>0</v>
      </c>
      <c r="C6691" s="79">
        <v>0</v>
      </c>
    </row>
    <row r="6692" spans="1:3" x14ac:dyDescent="0.25">
      <c r="A6692" s="2">
        <v>0</v>
      </c>
      <c r="B6692" s="38">
        <v>0</v>
      </c>
      <c r="C6692" s="79">
        <v>0</v>
      </c>
    </row>
    <row r="6693" spans="1:3" x14ac:dyDescent="0.25">
      <c r="A6693" s="2">
        <v>0</v>
      </c>
      <c r="B6693" s="38">
        <v>0</v>
      </c>
      <c r="C6693" s="79">
        <v>0</v>
      </c>
    </row>
    <row r="6694" spans="1:3" x14ac:dyDescent="0.25">
      <c r="A6694" s="2">
        <v>0</v>
      </c>
      <c r="B6694" s="38">
        <v>0</v>
      </c>
      <c r="C6694" s="79">
        <v>0</v>
      </c>
    </row>
    <row r="6695" spans="1:3" x14ac:dyDescent="0.25">
      <c r="A6695" s="2">
        <v>0</v>
      </c>
      <c r="B6695" s="38">
        <v>0</v>
      </c>
      <c r="C6695" s="79">
        <v>0</v>
      </c>
    </row>
    <row r="6696" spans="1:3" x14ac:dyDescent="0.25">
      <c r="A6696" s="2">
        <v>0</v>
      </c>
      <c r="B6696" s="38">
        <v>0</v>
      </c>
      <c r="C6696" s="79">
        <v>0</v>
      </c>
    </row>
    <row r="6697" spans="1:3" x14ac:dyDescent="0.25">
      <c r="A6697" s="2">
        <v>0</v>
      </c>
      <c r="B6697" s="38">
        <v>0</v>
      </c>
      <c r="C6697" s="79">
        <v>0</v>
      </c>
    </row>
    <row r="6698" spans="1:3" x14ac:dyDescent="0.25">
      <c r="A6698" s="2">
        <v>0</v>
      </c>
      <c r="B6698" s="38">
        <v>0</v>
      </c>
      <c r="C6698" s="79">
        <v>0</v>
      </c>
    </row>
    <row r="6699" spans="1:3" x14ac:dyDescent="0.25">
      <c r="A6699" s="2">
        <v>0</v>
      </c>
      <c r="B6699" s="38">
        <v>0</v>
      </c>
      <c r="C6699" s="79">
        <v>0</v>
      </c>
    </row>
    <row r="6700" spans="1:3" x14ac:dyDescent="0.25">
      <c r="A6700" s="2">
        <v>0</v>
      </c>
      <c r="B6700" s="38">
        <v>0</v>
      </c>
      <c r="C6700" s="79">
        <v>0</v>
      </c>
    </row>
    <row r="6701" spans="1:3" x14ac:dyDescent="0.25">
      <c r="A6701" s="2">
        <v>0</v>
      </c>
      <c r="B6701" s="38">
        <v>0</v>
      </c>
      <c r="C6701" s="79">
        <v>0</v>
      </c>
    </row>
    <row r="6702" spans="1:3" x14ac:dyDescent="0.25">
      <c r="A6702" s="2">
        <v>0</v>
      </c>
      <c r="B6702" s="38">
        <v>0</v>
      </c>
      <c r="C6702" s="79">
        <v>0</v>
      </c>
    </row>
    <row r="6703" spans="1:3" x14ac:dyDescent="0.25">
      <c r="A6703" s="2">
        <v>0</v>
      </c>
      <c r="B6703" s="38">
        <v>0</v>
      </c>
      <c r="C6703" s="79">
        <v>0</v>
      </c>
    </row>
    <row r="6704" spans="1:3" x14ac:dyDescent="0.25">
      <c r="A6704" s="2">
        <v>0</v>
      </c>
      <c r="B6704" s="38">
        <v>0</v>
      </c>
      <c r="C6704" s="79">
        <v>0</v>
      </c>
    </row>
    <row r="6705" spans="1:3" x14ac:dyDescent="0.25">
      <c r="A6705" s="2">
        <v>0</v>
      </c>
      <c r="B6705" s="38">
        <v>0</v>
      </c>
      <c r="C6705" s="79">
        <v>0</v>
      </c>
    </row>
    <row r="6706" spans="1:3" x14ac:dyDescent="0.25">
      <c r="A6706" s="2">
        <v>0</v>
      </c>
      <c r="B6706" s="38">
        <v>0</v>
      </c>
      <c r="C6706" s="79">
        <v>0</v>
      </c>
    </row>
    <row r="6707" spans="1:3" x14ac:dyDescent="0.25">
      <c r="A6707" s="2">
        <v>0</v>
      </c>
      <c r="B6707" s="38">
        <v>0</v>
      </c>
      <c r="C6707" s="79">
        <v>0</v>
      </c>
    </row>
    <row r="6708" spans="1:3" x14ac:dyDescent="0.25">
      <c r="A6708" s="2">
        <v>0</v>
      </c>
      <c r="B6708" s="38">
        <v>0</v>
      </c>
      <c r="C6708" s="79">
        <v>0</v>
      </c>
    </row>
    <row r="6709" spans="1:3" x14ac:dyDescent="0.25">
      <c r="A6709" s="2">
        <v>0</v>
      </c>
      <c r="B6709" s="38">
        <v>0</v>
      </c>
      <c r="C6709" s="79">
        <v>0</v>
      </c>
    </row>
    <row r="6710" spans="1:3" x14ac:dyDescent="0.25">
      <c r="A6710" s="2">
        <v>0</v>
      </c>
      <c r="B6710" s="38">
        <v>0</v>
      </c>
      <c r="C6710" s="79">
        <v>0</v>
      </c>
    </row>
    <row r="6711" spans="1:3" x14ac:dyDescent="0.25">
      <c r="A6711" s="2">
        <v>0</v>
      </c>
      <c r="B6711" s="38">
        <v>0</v>
      </c>
      <c r="C6711" s="79">
        <v>0</v>
      </c>
    </row>
    <row r="6712" spans="1:3" x14ac:dyDescent="0.25">
      <c r="A6712" s="2">
        <v>0</v>
      </c>
      <c r="B6712" s="38">
        <v>0</v>
      </c>
      <c r="C6712" s="79">
        <v>0</v>
      </c>
    </row>
    <row r="6713" spans="1:3" x14ac:dyDescent="0.25">
      <c r="A6713" s="2">
        <v>0</v>
      </c>
      <c r="B6713" s="38">
        <v>0</v>
      </c>
      <c r="C6713" s="79">
        <v>0</v>
      </c>
    </row>
    <row r="6714" spans="1:3" x14ac:dyDescent="0.25">
      <c r="A6714" s="2">
        <v>0</v>
      </c>
      <c r="B6714" s="38">
        <v>0</v>
      </c>
      <c r="C6714" s="79">
        <v>0</v>
      </c>
    </row>
    <row r="6715" spans="1:3" x14ac:dyDescent="0.25">
      <c r="A6715" s="2">
        <v>0</v>
      </c>
      <c r="B6715" s="38">
        <v>0</v>
      </c>
      <c r="C6715" s="79">
        <v>0</v>
      </c>
    </row>
    <row r="6716" spans="1:3" x14ac:dyDescent="0.25">
      <c r="A6716" s="2">
        <v>0</v>
      </c>
      <c r="B6716" s="38">
        <v>0</v>
      </c>
      <c r="C6716" s="79">
        <v>0</v>
      </c>
    </row>
    <row r="6717" spans="1:3" x14ac:dyDescent="0.25">
      <c r="A6717" s="2">
        <v>0</v>
      </c>
      <c r="B6717" s="38">
        <v>0</v>
      </c>
      <c r="C6717" s="79">
        <v>0</v>
      </c>
    </row>
    <row r="6718" spans="1:3" x14ac:dyDescent="0.25">
      <c r="A6718" s="2">
        <v>0</v>
      </c>
      <c r="B6718" s="38">
        <v>0</v>
      </c>
      <c r="C6718" s="79">
        <v>0</v>
      </c>
    </row>
    <row r="6719" spans="1:3" x14ac:dyDescent="0.25">
      <c r="A6719" s="2">
        <v>0</v>
      </c>
      <c r="B6719" s="38">
        <v>0</v>
      </c>
      <c r="C6719" s="79">
        <v>0</v>
      </c>
    </row>
    <row r="6720" spans="1:3" x14ac:dyDescent="0.25">
      <c r="A6720" s="2">
        <v>0</v>
      </c>
      <c r="B6720" s="38">
        <v>0</v>
      </c>
      <c r="C6720" s="79">
        <v>0</v>
      </c>
    </row>
    <row r="6721" spans="1:3" x14ac:dyDescent="0.25">
      <c r="A6721" s="2">
        <v>0</v>
      </c>
      <c r="B6721" s="38">
        <v>0</v>
      </c>
      <c r="C6721" s="79">
        <v>0</v>
      </c>
    </row>
    <row r="6722" spans="1:3" x14ac:dyDescent="0.25">
      <c r="A6722" s="2">
        <v>0</v>
      </c>
      <c r="B6722" s="38">
        <v>0</v>
      </c>
      <c r="C6722" s="79">
        <v>0</v>
      </c>
    </row>
    <row r="6723" spans="1:3" x14ac:dyDescent="0.25">
      <c r="A6723" s="2">
        <v>0</v>
      </c>
      <c r="B6723" s="38">
        <v>0</v>
      </c>
      <c r="C6723" s="79">
        <v>0</v>
      </c>
    </row>
    <row r="6724" spans="1:3" x14ac:dyDescent="0.25">
      <c r="A6724" s="2">
        <v>0</v>
      </c>
      <c r="B6724" s="38">
        <v>0</v>
      </c>
      <c r="C6724" s="79">
        <v>0</v>
      </c>
    </row>
    <row r="6725" spans="1:3" x14ac:dyDescent="0.25">
      <c r="A6725" s="2">
        <v>0</v>
      </c>
      <c r="B6725" s="38">
        <v>0</v>
      </c>
      <c r="C6725" s="79">
        <v>0</v>
      </c>
    </row>
    <row r="6726" spans="1:3" x14ac:dyDescent="0.25">
      <c r="A6726" s="2">
        <v>0</v>
      </c>
      <c r="B6726" s="38">
        <v>0</v>
      </c>
      <c r="C6726" s="79">
        <v>0</v>
      </c>
    </row>
    <row r="6727" spans="1:3" x14ac:dyDescent="0.25">
      <c r="A6727" s="2">
        <v>0</v>
      </c>
      <c r="B6727" s="38">
        <v>0</v>
      </c>
      <c r="C6727" s="79">
        <v>0</v>
      </c>
    </row>
    <row r="6728" spans="1:3" x14ac:dyDescent="0.25">
      <c r="A6728" s="2">
        <v>0</v>
      </c>
      <c r="B6728" s="38">
        <v>0</v>
      </c>
      <c r="C6728" s="79">
        <v>0</v>
      </c>
    </row>
    <row r="6729" spans="1:3" x14ac:dyDescent="0.25">
      <c r="A6729" s="2">
        <v>0</v>
      </c>
      <c r="B6729" s="38">
        <v>0</v>
      </c>
      <c r="C6729" s="79">
        <v>0</v>
      </c>
    </row>
    <row r="6730" spans="1:3" x14ac:dyDescent="0.25">
      <c r="A6730" s="2">
        <v>0</v>
      </c>
      <c r="B6730" s="38">
        <v>0</v>
      </c>
      <c r="C6730" s="79">
        <v>0</v>
      </c>
    </row>
    <row r="6731" spans="1:3" x14ac:dyDescent="0.25">
      <c r="A6731" s="2">
        <v>0</v>
      </c>
      <c r="B6731" s="38">
        <v>0</v>
      </c>
      <c r="C6731" s="79">
        <v>0</v>
      </c>
    </row>
    <row r="6732" spans="1:3" x14ac:dyDescent="0.25">
      <c r="A6732" s="2">
        <v>0</v>
      </c>
      <c r="B6732" s="38">
        <v>0</v>
      </c>
      <c r="C6732" s="79">
        <v>0</v>
      </c>
    </row>
    <row r="6733" spans="1:3" x14ac:dyDescent="0.25">
      <c r="A6733" s="2">
        <v>0</v>
      </c>
      <c r="B6733" s="38">
        <v>0</v>
      </c>
      <c r="C6733" s="79">
        <v>0</v>
      </c>
    </row>
    <row r="6734" spans="1:3" x14ac:dyDescent="0.25">
      <c r="A6734" s="2">
        <v>0</v>
      </c>
      <c r="B6734" s="38">
        <v>0</v>
      </c>
      <c r="C6734" s="79">
        <v>0</v>
      </c>
    </row>
    <row r="6735" spans="1:3" x14ac:dyDescent="0.25">
      <c r="A6735" s="2">
        <v>0</v>
      </c>
      <c r="B6735" s="38">
        <v>0</v>
      </c>
      <c r="C6735" s="79">
        <v>0</v>
      </c>
    </row>
    <row r="6736" spans="1:3" x14ac:dyDescent="0.25">
      <c r="A6736" s="2">
        <v>0</v>
      </c>
      <c r="B6736" s="38">
        <v>0</v>
      </c>
      <c r="C6736" s="79">
        <v>0</v>
      </c>
    </row>
    <row r="6737" spans="1:3" x14ac:dyDescent="0.25">
      <c r="A6737" s="2">
        <v>0</v>
      </c>
      <c r="B6737" s="38">
        <v>0</v>
      </c>
      <c r="C6737" s="79">
        <v>0</v>
      </c>
    </row>
    <row r="6738" spans="1:3" x14ac:dyDescent="0.25">
      <c r="A6738" s="2">
        <v>0</v>
      </c>
      <c r="B6738" s="38">
        <v>0</v>
      </c>
      <c r="C6738" s="79">
        <v>0</v>
      </c>
    </row>
    <row r="6739" spans="1:3" x14ac:dyDescent="0.25">
      <c r="A6739" s="2">
        <v>0</v>
      </c>
      <c r="B6739" s="38">
        <v>0</v>
      </c>
      <c r="C6739" s="79">
        <v>0</v>
      </c>
    </row>
    <row r="6740" spans="1:3" x14ac:dyDescent="0.25">
      <c r="A6740" s="2">
        <v>0</v>
      </c>
      <c r="B6740" s="38">
        <v>0</v>
      </c>
      <c r="C6740" s="79">
        <v>0</v>
      </c>
    </row>
    <row r="6741" spans="1:3" x14ac:dyDescent="0.25">
      <c r="A6741" s="2">
        <v>0</v>
      </c>
      <c r="B6741" s="38">
        <v>0</v>
      </c>
      <c r="C6741" s="79">
        <v>0</v>
      </c>
    </row>
    <row r="6742" spans="1:3" x14ac:dyDescent="0.25">
      <c r="A6742" s="2">
        <v>0</v>
      </c>
      <c r="B6742" s="38">
        <v>0</v>
      </c>
      <c r="C6742" s="79">
        <v>0</v>
      </c>
    </row>
    <row r="6743" spans="1:3" x14ac:dyDescent="0.25">
      <c r="A6743" s="2">
        <v>0</v>
      </c>
      <c r="B6743" s="38">
        <v>0</v>
      </c>
      <c r="C6743" s="79">
        <v>0</v>
      </c>
    </row>
    <row r="6744" spans="1:3" x14ac:dyDescent="0.25">
      <c r="A6744" s="2">
        <v>0</v>
      </c>
      <c r="B6744" s="38">
        <v>0</v>
      </c>
      <c r="C6744" s="79">
        <v>0</v>
      </c>
    </row>
    <row r="6745" spans="1:3" x14ac:dyDescent="0.25">
      <c r="A6745" s="2">
        <v>0</v>
      </c>
      <c r="B6745" s="38">
        <v>0</v>
      </c>
      <c r="C6745" s="79">
        <v>0</v>
      </c>
    </row>
    <row r="6746" spans="1:3" x14ac:dyDescent="0.25">
      <c r="A6746" s="2">
        <v>0</v>
      </c>
      <c r="B6746" s="38">
        <v>0</v>
      </c>
      <c r="C6746" s="79">
        <v>0</v>
      </c>
    </row>
    <row r="6747" spans="1:3" x14ac:dyDescent="0.25">
      <c r="A6747" s="2">
        <v>0</v>
      </c>
      <c r="B6747" s="38">
        <v>0</v>
      </c>
      <c r="C6747" s="79">
        <v>0</v>
      </c>
    </row>
    <row r="6748" spans="1:3" x14ac:dyDescent="0.25">
      <c r="A6748" s="2">
        <v>0</v>
      </c>
      <c r="B6748" s="38">
        <v>0</v>
      </c>
      <c r="C6748" s="79">
        <v>0</v>
      </c>
    </row>
    <row r="6749" spans="1:3" x14ac:dyDescent="0.25">
      <c r="A6749" s="2">
        <v>0</v>
      </c>
      <c r="B6749" s="38">
        <v>0</v>
      </c>
      <c r="C6749" s="79">
        <v>0</v>
      </c>
    </row>
    <row r="6750" spans="1:3" x14ac:dyDescent="0.25">
      <c r="A6750" s="2">
        <v>0</v>
      </c>
      <c r="B6750" s="38">
        <v>0</v>
      </c>
      <c r="C6750" s="79">
        <v>0</v>
      </c>
    </row>
    <row r="6751" spans="1:3" x14ac:dyDescent="0.25">
      <c r="A6751" s="2">
        <v>0</v>
      </c>
      <c r="B6751" s="38">
        <v>0</v>
      </c>
      <c r="C6751" s="79">
        <v>0</v>
      </c>
    </row>
    <row r="6752" spans="1:3" x14ac:dyDescent="0.25">
      <c r="A6752" s="2">
        <v>0</v>
      </c>
      <c r="B6752" s="38">
        <v>0</v>
      </c>
      <c r="C6752" s="79">
        <v>0</v>
      </c>
    </row>
    <row r="6753" spans="1:3" x14ac:dyDescent="0.25">
      <c r="A6753" s="2">
        <v>0</v>
      </c>
      <c r="B6753" s="38">
        <v>0</v>
      </c>
      <c r="C6753" s="79">
        <v>0</v>
      </c>
    </row>
    <row r="6754" spans="1:3" x14ac:dyDescent="0.25">
      <c r="A6754" s="2">
        <v>0</v>
      </c>
      <c r="B6754" s="38">
        <v>0</v>
      </c>
      <c r="C6754" s="79">
        <v>0</v>
      </c>
    </row>
    <row r="6755" spans="1:3" x14ac:dyDescent="0.25">
      <c r="A6755" s="2">
        <v>0</v>
      </c>
      <c r="B6755" s="38">
        <v>0</v>
      </c>
      <c r="C6755" s="79">
        <v>0</v>
      </c>
    </row>
    <row r="6756" spans="1:3" x14ac:dyDescent="0.25">
      <c r="A6756" s="2">
        <v>0</v>
      </c>
      <c r="B6756" s="38">
        <v>0</v>
      </c>
      <c r="C6756" s="79">
        <v>0</v>
      </c>
    </row>
    <row r="6757" spans="1:3" x14ac:dyDescent="0.25">
      <c r="A6757" s="2">
        <v>0</v>
      </c>
      <c r="B6757" s="38">
        <v>0</v>
      </c>
      <c r="C6757" s="79">
        <v>0</v>
      </c>
    </row>
    <row r="6758" spans="1:3" x14ac:dyDescent="0.25">
      <c r="A6758" s="2">
        <v>0</v>
      </c>
      <c r="B6758" s="38">
        <v>0</v>
      </c>
      <c r="C6758" s="79">
        <v>0</v>
      </c>
    </row>
    <row r="6759" spans="1:3" x14ac:dyDescent="0.25">
      <c r="A6759" s="2">
        <v>0</v>
      </c>
      <c r="B6759" s="38">
        <v>0</v>
      </c>
      <c r="C6759" s="79">
        <v>0</v>
      </c>
    </row>
    <row r="6760" spans="1:3" x14ac:dyDescent="0.25">
      <c r="A6760" s="2">
        <v>0</v>
      </c>
      <c r="B6760" s="38">
        <v>0</v>
      </c>
      <c r="C6760" s="79">
        <v>0</v>
      </c>
    </row>
    <row r="6761" spans="1:3" x14ac:dyDescent="0.25">
      <c r="A6761" s="2">
        <v>0</v>
      </c>
      <c r="B6761" s="38">
        <v>0</v>
      </c>
      <c r="C6761" s="79">
        <v>0</v>
      </c>
    </row>
    <row r="6762" spans="1:3" x14ac:dyDescent="0.25">
      <c r="A6762" s="2">
        <v>0</v>
      </c>
      <c r="B6762" s="38">
        <v>0</v>
      </c>
      <c r="C6762" s="79">
        <v>0</v>
      </c>
    </row>
    <row r="6763" spans="1:3" x14ac:dyDescent="0.25">
      <c r="A6763" s="2">
        <v>0</v>
      </c>
      <c r="B6763" s="38">
        <v>0</v>
      </c>
      <c r="C6763" s="79">
        <v>0</v>
      </c>
    </row>
    <row r="6764" spans="1:3" x14ac:dyDescent="0.25">
      <c r="A6764" s="2">
        <v>0</v>
      </c>
      <c r="B6764" s="38">
        <v>0</v>
      </c>
      <c r="C6764" s="79">
        <v>0</v>
      </c>
    </row>
    <row r="6765" spans="1:3" x14ac:dyDescent="0.25">
      <c r="A6765" s="2">
        <v>0</v>
      </c>
      <c r="B6765" s="38">
        <v>0</v>
      </c>
      <c r="C6765" s="79">
        <v>0</v>
      </c>
    </row>
    <row r="6766" spans="1:3" x14ac:dyDescent="0.25">
      <c r="A6766" s="2">
        <v>0</v>
      </c>
      <c r="B6766" s="38">
        <v>0</v>
      </c>
      <c r="C6766" s="79">
        <v>0</v>
      </c>
    </row>
    <row r="6767" spans="1:3" x14ac:dyDescent="0.25">
      <c r="A6767" s="2">
        <v>0</v>
      </c>
      <c r="B6767" s="38">
        <v>0</v>
      </c>
      <c r="C6767" s="79">
        <v>0</v>
      </c>
    </row>
    <row r="6768" spans="1:3" x14ac:dyDescent="0.25">
      <c r="A6768" s="2">
        <v>0</v>
      </c>
      <c r="B6768" s="38">
        <v>0</v>
      </c>
      <c r="C6768" s="79">
        <v>0</v>
      </c>
    </row>
    <row r="6769" spans="1:3" x14ac:dyDescent="0.25">
      <c r="A6769" s="2">
        <v>0</v>
      </c>
      <c r="B6769" s="38">
        <v>0</v>
      </c>
      <c r="C6769" s="79">
        <v>0</v>
      </c>
    </row>
    <row r="6770" spans="1:3" x14ac:dyDescent="0.25">
      <c r="A6770" s="2">
        <v>0</v>
      </c>
      <c r="B6770" s="38">
        <v>0</v>
      </c>
      <c r="C6770" s="79">
        <v>0</v>
      </c>
    </row>
    <row r="6771" spans="1:3" x14ac:dyDescent="0.25">
      <c r="A6771" s="2">
        <v>0</v>
      </c>
      <c r="B6771" s="38">
        <v>0</v>
      </c>
      <c r="C6771" s="79">
        <v>0</v>
      </c>
    </row>
    <row r="6772" spans="1:3" x14ac:dyDescent="0.25">
      <c r="A6772" s="2">
        <v>0</v>
      </c>
      <c r="B6772" s="38">
        <v>0</v>
      </c>
      <c r="C6772" s="79">
        <v>0</v>
      </c>
    </row>
    <row r="6773" spans="1:3" x14ac:dyDescent="0.25">
      <c r="A6773" s="2">
        <v>0</v>
      </c>
      <c r="B6773" s="38">
        <v>0</v>
      </c>
      <c r="C6773" s="79">
        <v>0</v>
      </c>
    </row>
    <row r="6774" spans="1:3" x14ac:dyDescent="0.25">
      <c r="A6774" s="2">
        <v>0</v>
      </c>
      <c r="B6774" s="38">
        <v>0</v>
      </c>
      <c r="C6774" s="79">
        <v>0</v>
      </c>
    </row>
    <row r="6775" spans="1:3" x14ac:dyDescent="0.25">
      <c r="A6775" s="2">
        <v>0</v>
      </c>
      <c r="B6775" s="38">
        <v>0</v>
      </c>
      <c r="C6775" s="79">
        <v>0</v>
      </c>
    </row>
    <row r="6776" spans="1:3" x14ac:dyDescent="0.25">
      <c r="A6776" s="2">
        <v>0</v>
      </c>
      <c r="B6776" s="38">
        <v>0</v>
      </c>
      <c r="C6776" s="79">
        <v>0</v>
      </c>
    </row>
    <row r="6777" spans="1:3" x14ac:dyDescent="0.25">
      <c r="A6777" s="2">
        <v>0</v>
      </c>
      <c r="B6777" s="38">
        <v>0</v>
      </c>
      <c r="C6777" s="79">
        <v>0</v>
      </c>
    </row>
    <row r="6778" spans="1:3" x14ac:dyDescent="0.25">
      <c r="A6778" s="2">
        <v>0</v>
      </c>
      <c r="B6778" s="38">
        <v>0</v>
      </c>
      <c r="C6778" s="79">
        <v>0</v>
      </c>
    </row>
    <row r="6779" spans="1:3" x14ac:dyDescent="0.25">
      <c r="A6779" s="2">
        <v>0</v>
      </c>
      <c r="B6779" s="38">
        <v>0</v>
      </c>
      <c r="C6779" s="79">
        <v>0</v>
      </c>
    </row>
    <row r="6780" spans="1:3" x14ac:dyDescent="0.25">
      <c r="A6780" s="2">
        <v>0</v>
      </c>
      <c r="B6780" s="38">
        <v>0</v>
      </c>
      <c r="C6780" s="79">
        <v>0</v>
      </c>
    </row>
    <row r="6781" spans="1:3" x14ac:dyDescent="0.25">
      <c r="A6781" s="2">
        <v>0</v>
      </c>
      <c r="B6781" s="38">
        <v>0</v>
      </c>
      <c r="C6781" s="79">
        <v>0</v>
      </c>
    </row>
    <row r="6782" spans="1:3" x14ac:dyDescent="0.25">
      <c r="A6782" s="2">
        <v>0</v>
      </c>
      <c r="B6782" s="38">
        <v>0</v>
      </c>
      <c r="C6782" s="79">
        <v>0</v>
      </c>
    </row>
    <row r="6783" spans="1:3" x14ac:dyDescent="0.25">
      <c r="A6783" s="2">
        <v>0</v>
      </c>
      <c r="B6783" s="38">
        <v>0</v>
      </c>
      <c r="C6783" s="79">
        <v>0</v>
      </c>
    </row>
    <row r="6784" spans="1:3" x14ac:dyDescent="0.25">
      <c r="A6784" s="2">
        <v>0</v>
      </c>
      <c r="B6784" s="38">
        <v>0</v>
      </c>
      <c r="C6784" s="79">
        <v>0</v>
      </c>
    </row>
    <row r="6785" spans="1:3" x14ac:dyDescent="0.25">
      <c r="A6785" s="2">
        <v>0</v>
      </c>
      <c r="B6785" s="38">
        <v>0</v>
      </c>
      <c r="C6785" s="79">
        <v>0</v>
      </c>
    </row>
    <row r="6786" spans="1:3" x14ac:dyDescent="0.25">
      <c r="A6786" s="2">
        <v>0</v>
      </c>
      <c r="B6786" s="38">
        <v>0</v>
      </c>
      <c r="C6786" s="79">
        <v>0</v>
      </c>
    </row>
    <row r="6787" spans="1:3" x14ac:dyDescent="0.25">
      <c r="A6787" s="2">
        <v>0</v>
      </c>
      <c r="B6787" s="38">
        <v>0</v>
      </c>
      <c r="C6787" s="79">
        <v>0</v>
      </c>
    </row>
    <row r="6788" spans="1:3" x14ac:dyDescent="0.25">
      <c r="A6788" s="2">
        <v>0</v>
      </c>
      <c r="B6788" s="38">
        <v>0</v>
      </c>
      <c r="C6788" s="79">
        <v>0</v>
      </c>
    </row>
    <row r="6789" spans="1:3" x14ac:dyDescent="0.25">
      <c r="A6789" s="2">
        <v>0</v>
      </c>
      <c r="B6789" s="38">
        <v>0</v>
      </c>
      <c r="C6789" s="79">
        <v>0</v>
      </c>
    </row>
    <row r="6790" spans="1:3" x14ac:dyDescent="0.25">
      <c r="A6790" s="2">
        <v>0</v>
      </c>
      <c r="B6790" s="38">
        <v>0</v>
      </c>
      <c r="C6790" s="79">
        <v>0</v>
      </c>
    </row>
    <row r="6791" spans="1:3" x14ac:dyDescent="0.25">
      <c r="A6791" s="2">
        <v>0</v>
      </c>
      <c r="B6791" s="38">
        <v>0</v>
      </c>
      <c r="C6791" s="79">
        <v>0</v>
      </c>
    </row>
    <row r="6792" spans="1:3" x14ac:dyDescent="0.25">
      <c r="A6792" s="2">
        <v>0</v>
      </c>
      <c r="B6792" s="38">
        <v>0</v>
      </c>
      <c r="C6792" s="79">
        <v>0</v>
      </c>
    </row>
    <row r="6793" spans="1:3" x14ac:dyDescent="0.25">
      <c r="A6793" s="2">
        <v>0</v>
      </c>
      <c r="B6793" s="38">
        <v>0</v>
      </c>
      <c r="C6793" s="79">
        <v>0</v>
      </c>
    </row>
    <row r="6794" spans="1:3" x14ac:dyDescent="0.25">
      <c r="A6794" s="2">
        <v>0</v>
      </c>
      <c r="B6794" s="38">
        <v>0</v>
      </c>
      <c r="C6794" s="79">
        <v>0</v>
      </c>
    </row>
    <row r="6795" spans="1:3" x14ac:dyDescent="0.25">
      <c r="A6795" s="2">
        <v>0</v>
      </c>
      <c r="B6795" s="38">
        <v>0</v>
      </c>
      <c r="C6795" s="79">
        <v>0</v>
      </c>
    </row>
    <row r="6796" spans="1:3" x14ac:dyDescent="0.25">
      <c r="A6796" s="2">
        <v>0</v>
      </c>
      <c r="B6796" s="38">
        <v>0</v>
      </c>
      <c r="C6796" s="79">
        <v>0</v>
      </c>
    </row>
    <row r="6797" spans="1:3" x14ac:dyDescent="0.25">
      <c r="A6797" s="2">
        <v>0</v>
      </c>
      <c r="B6797" s="38">
        <v>0</v>
      </c>
      <c r="C6797" s="79">
        <v>0</v>
      </c>
    </row>
    <row r="6798" spans="1:3" x14ac:dyDescent="0.25">
      <c r="A6798" s="2">
        <v>0</v>
      </c>
      <c r="B6798" s="38">
        <v>0</v>
      </c>
      <c r="C6798" s="79">
        <v>0</v>
      </c>
    </row>
    <row r="6799" spans="1:3" x14ac:dyDescent="0.25">
      <c r="A6799" s="2">
        <v>0</v>
      </c>
      <c r="B6799" s="38">
        <v>0</v>
      </c>
      <c r="C6799" s="79">
        <v>0</v>
      </c>
    </row>
    <row r="6800" spans="1:3" x14ac:dyDescent="0.25">
      <c r="A6800" s="2">
        <v>0</v>
      </c>
      <c r="B6800" s="38">
        <v>0</v>
      </c>
      <c r="C6800" s="79">
        <v>0</v>
      </c>
    </row>
    <row r="6801" spans="1:3" x14ac:dyDescent="0.25">
      <c r="A6801" s="2">
        <v>0</v>
      </c>
      <c r="B6801" s="38">
        <v>0</v>
      </c>
      <c r="C6801" s="79">
        <v>0</v>
      </c>
    </row>
    <row r="6802" spans="1:3" x14ac:dyDescent="0.25">
      <c r="A6802" s="2">
        <v>0</v>
      </c>
      <c r="B6802" s="38">
        <v>0</v>
      </c>
      <c r="C6802" s="79">
        <v>0</v>
      </c>
    </row>
    <row r="6803" spans="1:3" x14ac:dyDescent="0.25">
      <c r="A6803" s="2">
        <v>0</v>
      </c>
      <c r="B6803" s="38">
        <v>0</v>
      </c>
      <c r="C6803" s="79">
        <v>0</v>
      </c>
    </row>
    <row r="6804" spans="1:3" x14ac:dyDescent="0.25">
      <c r="A6804" s="2">
        <v>0</v>
      </c>
      <c r="B6804" s="38">
        <v>0</v>
      </c>
      <c r="C6804" s="79">
        <v>0</v>
      </c>
    </row>
    <row r="6805" spans="1:3" x14ac:dyDescent="0.25">
      <c r="A6805" s="2">
        <v>0</v>
      </c>
      <c r="B6805" s="38">
        <v>0</v>
      </c>
      <c r="C6805" s="79">
        <v>0</v>
      </c>
    </row>
    <row r="6806" spans="1:3" x14ac:dyDescent="0.25">
      <c r="A6806" s="2">
        <v>0</v>
      </c>
      <c r="B6806" s="38">
        <v>0</v>
      </c>
      <c r="C6806" s="79">
        <v>0</v>
      </c>
    </row>
    <row r="6807" spans="1:3" x14ac:dyDescent="0.25">
      <c r="A6807" s="2">
        <v>0</v>
      </c>
      <c r="B6807" s="38">
        <v>0</v>
      </c>
      <c r="C6807" s="79">
        <v>0</v>
      </c>
    </row>
    <row r="6808" spans="1:3" x14ac:dyDescent="0.25">
      <c r="A6808" s="2">
        <v>0</v>
      </c>
      <c r="B6808" s="38">
        <v>0</v>
      </c>
      <c r="C6808" s="79">
        <v>0</v>
      </c>
    </row>
    <row r="6809" spans="1:3" x14ac:dyDescent="0.25">
      <c r="A6809" s="2">
        <v>0</v>
      </c>
      <c r="B6809" s="38">
        <v>0</v>
      </c>
      <c r="C6809" s="79">
        <v>0</v>
      </c>
    </row>
    <row r="6810" spans="1:3" x14ac:dyDescent="0.25">
      <c r="A6810" s="2">
        <v>0</v>
      </c>
      <c r="B6810" s="38">
        <v>0</v>
      </c>
      <c r="C6810" s="79">
        <v>0</v>
      </c>
    </row>
    <row r="6811" spans="1:3" x14ac:dyDescent="0.25">
      <c r="A6811" s="2">
        <v>0</v>
      </c>
      <c r="B6811" s="38">
        <v>0</v>
      </c>
      <c r="C6811" s="79">
        <v>0</v>
      </c>
    </row>
    <row r="6812" spans="1:3" x14ac:dyDescent="0.25">
      <c r="A6812" s="2">
        <v>0</v>
      </c>
      <c r="B6812" s="38">
        <v>0</v>
      </c>
      <c r="C6812" s="79">
        <v>0</v>
      </c>
    </row>
    <row r="6813" spans="1:3" x14ac:dyDescent="0.25">
      <c r="A6813" s="2">
        <v>0</v>
      </c>
      <c r="B6813" s="38">
        <v>0</v>
      </c>
      <c r="C6813" s="79">
        <v>0</v>
      </c>
    </row>
    <row r="6814" spans="1:3" x14ac:dyDescent="0.25">
      <c r="A6814" s="2">
        <v>0</v>
      </c>
      <c r="B6814" s="38">
        <v>0</v>
      </c>
      <c r="C6814" s="79">
        <v>0</v>
      </c>
    </row>
    <row r="6815" spans="1:3" x14ac:dyDescent="0.25">
      <c r="A6815" s="2">
        <v>0</v>
      </c>
      <c r="B6815" s="38">
        <v>0</v>
      </c>
      <c r="C6815" s="79">
        <v>0</v>
      </c>
    </row>
    <row r="6816" spans="1:3" x14ac:dyDescent="0.25">
      <c r="A6816" s="2">
        <v>0</v>
      </c>
      <c r="B6816" s="38">
        <v>0</v>
      </c>
      <c r="C6816" s="79">
        <v>0</v>
      </c>
    </row>
    <row r="6817" spans="1:3" x14ac:dyDescent="0.25">
      <c r="A6817" s="2">
        <v>0</v>
      </c>
      <c r="B6817" s="38">
        <v>0</v>
      </c>
      <c r="C6817" s="79">
        <v>0</v>
      </c>
    </row>
    <row r="6818" spans="1:3" x14ac:dyDescent="0.25">
      <c r="A6818" s="2">
        <v>0</v>
      </c>
      <c r="B6818" s="38">
        <v>0</v>
      </c>
      <c r="C6818" s="79">
        <v>0</v>
      </c>
    </row>
    <row r="6819" spans="1:3" x14ac:dyDescent="0.25">
      <c r="A6819" s="2">
        <v>0</v>
      </c>
      <c r="B6819" s="38">
        <v>0</v>
      </c>
      <c r="C6819" s="79">
        <v>0</v>
      </c>
    </row>
    <row r="6820" spans="1:3" x14ac:dyDescent="0.25">
      <c r="A6820" s="2">
        <v>0</v>
      </c>
      <c r="B6820" s="38">
        <v>0</v>
      </c>
      <c r="C6820" s="79">
        <v>0</v>
      </c>
    </row>
    <row r="6821" spans="1:3" x14ac:dyDescent="0.25">
      <c r="A6821" s="2">
        <v>0</v>
      </c>
      <c r="B6821" s="38">
        <v>0</v>
      </c>
      <c r="C6821" s="79">
        <v>0</v>
      </c>
    </row>
    <row r="6822" spans="1:3" x14ac:dyDescent="0.25">
      <c r="A6822" s="2">
        <v>0</v>
      </c>
      <c r="B6822" s="38">
        <v>0</v>
      </c>
      <c r="C6822" s="79">
        <v>0</v>
      </c>
    </row>
    <row r="6823" spans="1:3" x14ac:dyDescent="0.25">
      <c r="A6823" s="2">
        <v>0</v>
      </c>
      <c r="B6823" s="38">
        <v>0</v>
      </c>
      <c r="C6823" s="79">
        <v>0</v>
      </c>
    </row>
    <row r="6824" spans="1:3" x14ac:dyDescent="0.25">
      <c r="A6824" s="2">
        <v>0</v>
      </c>
      <c r="B6824" s="38">
        <v>0</v>
      </c>
      <c r="C6824" s="79">
        <v>0</v>
      </c>
    </row>
    <row r="6825" spans="1:3" x14ac:dyDescent="0.25">
      <c r="A6825" s="2">
        <v>0</v>
      </c>
      <c r="B6825" s="38">
        <v>0</v>
      </c>
      <c r="C6825" s="79">
        <v>0</v>
      </c>
    </row>
    <row r="6826" spans="1:3" x14ac:dyDescent="0.25">
      <c r="A6826" s="2">
        <v>0</v>
      </c>
      <c r="B6826" s="38">
        <v>0</v>
      </c>
      <c r="C6826" s="79">
        <v>0</v>
      </c>
    </row>
    <row r="6827" spans="1:3" x14ac:dyDescent="0.25">
      <c r="A6827" s="2">
        <v>0</v>
      </c>
      <c r="B6827" s="38">
        <v>0</v>
      </c>
      <c r="C6827" s="79">
        <v>0</v>
      </c>
    </row>
    <row r="6828" spans="1:3" x14ac:dyDescent="0.25">
      <c r="A6828" s="2">
        <v>0</v>
      </c>
      <c r="B6828" s="38">
        <v>0</v>
      </c>
      <c r="C6828" s="79">
        <v>0</v>
      </c>
    </row>
    <row r="6829" spans="1:3" x14ac:dyDescent="0.25">
      <c r="A6829" s="2">
        <v>0</v>
      </c>
      <c r="B6829" s="38">
        <v>0</v>
      </c>
      <c r="C6829" s="79">
        <v>0</v>
      </c>
    </row>
    <row r="6830" spans="1:3" x14ac:dyDescent="0.25">
      <c r="A6830" s="2">
        <v>0</v>
      </c>
      <c r="B6830" s="38">
        <v>0</v>
      </c>
      <c r="C6830" s="79">
        <v>0</v>
      </c>
    </row>
    <row r="6831" spans="1:3" x14ac:dyDescent="0.25">
      <c r="A6831" s="2">
        <v>0</v>
      </c>
      <c r="B6831" s="38">
        <v>0</v>
      </c>
      <c r="C6831" s="79">
        <v>0</v>
      </c>
    </row>
    <row r="6832" spans="1:3" x14ac:dyDescent="0.25">
      <c r="A6832" s="2">
        <v>0</v>
      </c>
      <c r="B6832" s="38">
        <v>0</v>
      </c>
      <c r="C6832" s="79">
        <v>0</v>
      </c>
    </row>
    <row r="6833" spans="1:3" x14ac:dyDescent="0.25">
      <c r="A6833" s="2">
        <v>0</v>
      </c>
      <c r="B6833" s="38">
        <v>0</v>
      </c>
      <c r="C6833" s="79">
        <v>0</v>
      </c>
    </row>
    <row r="6834" spans="1:3" x14ac:dyDescent="0.25">
      <c r="A6834" s="2">
        <v>0</v>
      </c>
      <c r="B6834" s="38">
        <v>0</v>
      </c>
      <c r="C6834" s="79">
        <v>0</v>
      </c>
    </row>
    <row r="6835" spans="1:3" x14ac:dyDescent="0.25">
      <c r="A6835" s="2">
        <v>0</v>
      </c>
      <c r="B6835" s="38">
        <v>0</v>
      </c>
      <c r="C6835" s="79">
        <v>0</v>
      </c>
    </row>
    <row r="6836" spans="1:3" x14ac:dyDescent="0.25">
      <c r="A6836" s="2">
        <v>0</v>
      </c>
      <c r="B6836" s="38">
        <v>0</v>
      </c>
      <c r="C6836" s="79">
        <v>0</v>
      </c>
    </row>
    <row r="6837" spans="1:3" x14ac:dyDescent="0.25">
      <c r="A6837" s="2">
        <v>0</v>
      </c>
      <c r="B6837" s="38">
        <v>0</v>
      </c>
      <c r="C6837" s="79">
        <v>0</v>
      </c>
    </row>
    <row r="6838" spans="1:3" x14ac:dyDescent="0.25">
      <c r="A6838" s="2">
        <v>0</v>
      </c>
      <c r="B6838" s="38">
        <v>0</v>
      </c>
      <c r="C6838" s="79">
        <v>0</v>
      </c>
    </row>
    <row r="6839" spans="1:3" x14ac:dyDescent="0.25">
      <c r="A6839" s="2">
        <v>0</v>
      </c>
      <c r="B6839" s="38">
        <v>0</v>
      </c>
      <c r="C6839" s="79">
        <v>0</v>
      </c>
    </row>
    <row r="6840" spans="1:3" x14ac:dyDescent="0.25">
      <c r="A6840" s="2">
        <v>0</v>
      </c>
      <c r="B6840" s="38">
        <v>0</v>
      </c>
      <c r="C6840" s="79">
        <v>0</v>
      </c>
    </row>
    <row r="6841" spans="1:3" x14ac:dyDescent="0.25">
      <c r="A6841" s="2">
        <v>0</v>
      </c>
      <c r="B6841" s="38">
        <v>0</v>
      </c>
      <c r="C6841" s="79">
        <v>0</v>
      </c>
    </row>
    <row r="6842" spans="1:3" x14ac:dyDescent="0.25">
      <c r="A6842" s="2">
        <v>0</v>
      </c>
      <c r="B6842" s="38">
        <v>0</v>
      </c>
      <c r="C6842" s="79">
        <v>0</v>
      </c>
    </row>
    <row r="6843" spans="1:3" x14ac:dyDescent="0.25">
      <c r="A6843" s="2">
        <v>0</v>
      </c>
      <c r="B6843" s="38">
        <v>0</v>
      </c>
      <c r="C6843" s="79">
        <v>0</v>
      </c>
    </row>
    <row r="6844" spans="1:3" x14ac:dyDescent="0.25">
      <c r="A6844" s="2">
        <v>0</v>
      </c>
      <c r="B6844" s="38">
        <v>0</v>
      </c>
      <c r="C6844" s="79">
        <v>0</v>
      </c>
    </row>
    <row r="6845" spans="1:3" x14ac:dyDescent="0.25">
      <c r="A6845" s="2">
        <v>0</v>
      </c>
      <c r="B6845" s="38">
        <v>0</v>
      </c>
      <c r="C6845" s="79">
        <v>0</v>
      </c>
    </row>
    <row r="6846" spans="1:3" x14ac:dyDescent="0.25">
      <c r="A6846" s="2">
        <v>0</v>
      </c>
      <c r="B6846" s="38">
        <v>0</v>
      </c>
      <c r="C6846" s="79">
        <v>0</v>
      </c>
    </row>
    <row r="6847" spans="1:3" x14ac:dyDescent="0.25">
      <c r="A6847" s="2">
        <v>0</v>
      </c>
      <c r="B6847" s="38">
        <v>0</v>
      </c>
      <c r="C6847" s="79">
        <v>0</v>
      </c>
    </row>
    <row r="6848" spans="1:3" x14ac:dyDescent="0.25">
      <c r="A6848" s="2">
        <v>0</v>
      </c>
      <c r="B6848" s="38">
        <v>0</v>
      </c>
      <c r="C6848" s="79">
        <v>0</v>
      </c>
    </row>
    <row r="6849" spans="1:3" x14ac:dyDescent="0.25">
      <c r="A6849" s="2">
        <v>0</v>
      </c>
      <c r="B6849" s="38">
        <v>0</v>
      </c>
      <c r="C6849" s="79">
        <v>0</v>
      </c>
    </row>
    <row r="6850" spans="1:3" x14ac:dyDescent="0.25">
      <c r="A6850" s="2">
        <v>0</v>
      </c>
      <c r="B6850" s="38">
        <v>0</v>
      </c>
      <c r="C6850" s="79">
        <v>0</v>
      </c>
    </row>
    <row r="6851" spans="1:3" x14ac:dyDescent="0.25">
      <c r="A6851" s="2">
        <v>0</v>
      </c>
      <c r="B6851" s="38">
        <v>0</v>
      </c>
      <c r="C6851" s="79">
        <v>0</v>
      </c>
    </row>
    <row r="6852" spans="1:3" x14ac:dyDescent="0.25">
      <c r="A6852" s="2">
        <v>0</v>
      </c>
      <c r="B6852" s="38">
        <v>0</v>
      </c>
      <c r="C6852" s="79">
        <v>0</v>
      </c>
    </row>
    <row r="6853" spans="1:3" x14ac:dyDescent="0.25">
      <c r="A6853" s="2">
        <v>0</v>
      </c>
      <c r="B6853" s="38">
        <v>0</v>
      </c>
      <c r="C6853" s="79">
        <v>0</v>
      </c>
    </row>
    <row r="6854" spans="1:3" x14ac:dyDescent="0.25">
      <c r="A6854" s="2">
        <v>0</v>
      </c>
      <c r="B6854" s="38">
        <v>0</v>
      </c>
      <c r="C6854" s="79">
        <v>0</v>
      </c>
    </row>
    <row r="6855" spans="1:3" x14ac:dyDescent="0.25">
      <c r="A6855" s="2">
        <v>0</v>
      </c>
      <c r="B6855" s="38">
        <v>0</v>
      </c>
      <c r="C6855" s="79">
        <v>0</v>
      </c>
    </row>
    <row r="6856" spans="1:3" x14ac:dyDescent="0.25">
      <c r="A6856" s="2">
        <v>0</v>
      </c>
      <c r="B6856" s="38">
        <v>0</v>
      </c>
      <c r="C6856" s="79">
        <v>0</v>
      </c>
    </row>
    <row r="6857" spans="1:3" x14ac:dyDescent="0.25">
      <c r="A6857" s="2">
        <v>0</v>
      </c>
      <c r="B6857" s="38">
        <v>0</v>
      </c>
      <c r="C6857" s="79">
        <v>0</v>
      </c>
    </row>
    <row r="6858" spans="1:3" x14ac:dyDescent="0.25">
      <c r="A6858" s="2">
        <v>0</v>
      </c>
      <c r="B6858" s="38">
        <v>0</v>
      </c>
      <c r="C6858" s="79">
        <v>0</v>
      </c>
    </row>
    <row r="6859" spans="1:3" x14ac:dyDescent="0.25">
      <c r="A6859" s="2">
        <v>0</v>
      </c>
      <c r="B6859" s="38">
        <v>0</v>
      </c>
      <c r="C6859" s="79">
        <v>0</v>
      </c>
    </row>
    <row r="6860" spans="1:3" x14ac:dyDescent="0.25">
      <c r="A6860" s="2">
        <v>0</v>
      </c>
      <c r="B6860" s="38">
        <v>0</v>
      </c>
      <c r="C6860" s="79">
        <v>0</v>
      </c>
    </row>
    <row r="6861" spans="1:3" x14ac:dyDescent="0.25">
      <c r="A6861" s="2">
        <v>0</v>
      </c>
      <c r="B6861" s="38">
        <v>0</v>
      </c>
      <c r="C6861" s="79">
        <v>0</v>
      </c>
    </row>
    <row r="6862" spans="1:3" x14ac:dyDescent="0.25">
      <c r="A6862" s="2">
        <v>0</v>
      </c>
      <c r="B6862" s="38">
        <v>0</v>
      </c>
      <c r="C6862" s="79">
        <v>0</v>
      </c>
    </row>
    <row r="6863" spans="1:3" x14ac:dyDescent="0.25">
      <c r="A6863" s="2">
        <v>0</v>
      </c>
      <c r="B6863" s="38">
        <v>0</v>
      </c>
      <c r="C6863" s="79">
        <v>0</v>
      </c>
    </row>
    <row r="6864" spans="1:3" x14ac:dyDescent="0.25">
      <c r="A6864" s="2">
        <v>0</v>
      </c>
      <c r="B6864" s="38">
        <v>0</v>
      </c>
      <c r="C6864" s="79">
        <v>0</v>
      </c>
    </row>
    <row r="6865" spans="1:3" x14ac:dyDescent="0.25">
      <c r="A6865" s="2">
        <v>0</v>
      </c>
      <c r="B6865" s="38">
        <v>0</v>
      </c>
      <c r="C6865" s="79">
        <v>0</v>
      </c>
    </row>
    <row r="6866" spans="1:3" x14ac:dyDescent="0.25">
      <c r="A6866" s="2">
        <v>0</v>
      </c>
      <c r="B6866" s="38">
        <v>0</v>
      </c>
      <c r="C6866" s="79">
        <v>0</v>
      </c>
    </row>
    <row r="6867" spans="1:3" x14ac:dyDescent="0.25">
      <c r="A6867" s="2">
        <v>0</v>
      </c>
      <c r="B6867" s="38">
        <v>0</v>
      </c>
      <c r="C6867" s="79">
        <v>0</v>
      </c>
    </row>
    <row r="6868" spans="1:3" x14ac:dyDescent="0.25">
      <c r="A6868" s="2">
        <v>0</v>
      </c>
      <c r="B6868" s="38">
        <v>0</v>
      </c>
      <c r="C6868" s="79">
        <v>0</v>
      </c>
    </row>
    <row r="6869" spans="1:3" x14ac:dyDescent="0.25">
      <c r="A6869" s="2">
        <v>0</v>
      </c>
      <c r="B6869" s="38">
        <v>0</v>
      </c>
      <c r="C6869" s="79">
        <v>0</v>
      </c>
    </row>
    <row r="6870" spans="1:3" x14ac:dyDescent="0.25">
      <c r="A6870" s="2">
        <v>0</v>
      </c>
      <c r="B6870" s="38">
        <v>0</v>
      </c>
      <c r="C6870" s="79">
        <v>0</v>
      </c>
    </row>
    <row r="6871" spans="1:3" x14ac:dyDescent="0.25">
      <c r="A6871" s="2">
        <v>0</v>
      </c>
      <c r="B6871" s="38">
        <v>0</v>
      </c>
      <c r="C6871" s="79">
        <v>0</v>
      </c>
    </row>
    <row r="6872" spans="1:3" x14ac:dyDescent="0.25">
      <c r="A6872" s="2">
        <v>0</v>
      </c>
      <c r="B6872" s="38">
        <v>0</v>
      </c>
      <c r="C6872" s="79">
        <v>0</v>
      </c>
    </row>
    <row r="6873" spans="1:3" x14ac:dyDescent="0.25">
      <c r="A6873" s="2">
        <v>0</v>
      </c>
      <c r="B6873" s="38">
        <v>0</v>
      </c>
      <c r="C6873" s="79">
        <v>0</v>
      </c>
    </row>
    <row r="6874" spans="1:3" x14ac:dyDescent="0.25">
      <c r="A6874" s="2">
        <v>0</v>
      </c>
      <c r="B6874" s="38">
        <v>0</v>
      </c>
      <c r="C6874" s="79">
        <v>0</v>
      </c>
    </row>
    <row r="6875" spans="1:3" x14ac:dyDescent="0.25">
      <c r="A6875" s="2">
        <v>0</v>
      </c>
      <c r="B6875" s="38">
        <v>0</v>
      </c>
      <c r="C6875" s="79">
        <v>0</v>
      </c>
    </row>
    <row r="6876" spans="1:3" x14ac:dyDescent="0.25">
      <c r="A6876" s="2">
        <v>0</v>
      </c>
      <c r="B6876" s="38">
        <v>0</v>
      </c>
      <c r="C6876" s="79">
        <v>0</v>
      </c>
    </row>
    <row r="6877" spans="1:3" x14ac:dyDescent="0.25">
      <c r="A6877" s="2">
        <v>0</v>
      </c>
      <c r="B6877" s="38">
        <v>0</v>
      </c>
      <c r="C6877" s="79">
        <v>0</v>
      </c>
    </row>
    <row r="6878" spans="1:3" x14ac:dyDescent="0.25">
      <c r="A6878" s="2">
        <v>0</v>
      </c>
      <c r="B6878" s="38">
        <v>0</v>
      </c>
      <c r="C6878" s="79">
        <v>0</v>
      </c>
    </row>
    <row r="6879" spans="1:3" x14ac:dyDescent="0.25">
      <c r="A6879" s="2">
        <v>0</v>
      </c>
      <c r="B6879" s="38">
        <v>0</v>
      </c>
      <c r="C6879" s="79">
        <v>0</v>
      </c>
    </row>
    <row r="6880" spans="1:3" x14ac:dyDescent="0.25">
      <c r="A6880" s="2">
        <v>0</v>
      </c>
      <c r="B6880" s="38">
        <v>0</v>
      </c>
      <c r="C6880" s="79">
        <v>0</v>
      </c>
    </row>
    <row r="6881" spans="1:3" x14ac:dyDescent="0.25">
      <c r="A6881" s="2">
        <v>0</v>
      </c>
      <c r="B6881" s="38">
        <v>0</v>
      </c>
      <c r="C6881" s="79">
        <v>0</v>
      </c>
    </row>
    <row r="6882" spans="1:3" x14ac:dyDescent="0.25">
      <c r="A6882" s="2">
        <v>0</v>
      </c>
      <c r="B6882" s="38">
        <v>0</v>
      </c>
      <c r="C6882" s="79">
        <v>0</v>
      </c>
    </row>
    <row r="6883" spans="1:3" x14ac:dyDescent="0.25">
      <c r="A6883" s="2">
        <v>0</v>
      </c>
      <c r="B6883" s="38">
        <v>0</v>
      </c>
      <c r="C6883" s="79">
        <v>0</v>
      </c>
    </row>
    <row r="6884" spans="1:3" x14ac:dyDescent="0.25">
      <c r="A6884" s="2">
        <v>0</v>
      </c>
      <c r="B6884" s="38">
        <v>0</v>
      </c>
      <c r="C6884" s="79">
        <v>0</v>
      </c>
    </row>
    <row r="6885" spans="1:3" x14ac:dyDescent="0.25">
      <c r="A6885" s="2">
        <v>0</v>
      </c>
      <c r="B6885" s="38">
        <v>0</v>
      </c>
      <c r="C6885" s="79">
        <v>0</v>
      </c>
    </row>
    <row r="6886" spans="1:3" x14ac:dyDescent="0.25">
      <c r="A6886" s="2">
        <v>0</v>
      </c>
      <c r="B6886" s="38">
        <v>0</v>
      </c>
      <c r="C6886" s="79">
        <v>0</v>
      </c>
    </row>
    <row r="6887" spans="1:3" x14ac:dyDescent="0.25">
      <c r="A6887" s="2">
        <v>0</v>
      </c>
      <c r="B6887" s="38">
        <v>0</v>
      </c>
      <c r="C6887" s="79">
        <v>0</v>
      </c>
    </row>
    <row r="6888" spans="1:3" x14ac:dyDescent="0.25">
      <c r="A6888" s="2">
        <v>0</v>
      </c>
      <c r="B6888" s="38">
        <v>0</v>
      </c>
      <c r="C6888" s="79">
        <v>0</v>
      </c>
    </row>
    <row r="6889" spans="1:3" x14ac:dyDescent="0.25">
      <c r="A6889" s="2">
        <v>0</v>
      </c>
      <c r="B6889" s="38">
        <v>0</v>
      </c>
      <c r="C6889" s="79">
        <v>0</v>
      </c>
    </row>
    <row r="6890" spans="1:3" x14ac:dyDescent="0.25">
      <c r="A6890" s="2">
        <v>0</v>
      </c>
      <c r="B6890" s="38">
        <v>0</v>
      </c>
      <c r="C6890" s="79">
        <v>0</v>
      </c>
    </row>
    <row r="6891" spans="1:3" x14ac:dyDescent="0.25">
      <c r="A6891" s="2">
        <v>0</v>
      </c>
      <c r="B6891" s="38">
        <v>0</v>
      </c>
      <c r="C6891" s="79">
        <v>0</v>
      </c>
    </row>
    <row r="6892" spans="1:3" x14ac:dyDescent="0.25">
      <c r="A6892" s="2">
        <v>0</v>
      </c>
      <c r="B6892" s="38">
        <v>0</v>
      </c>
      <c r="C6892" s="79">
        <v>0</v>
      </c>
    </row>
    <row r="6893" spans="1:3" x14ac:dyDescent="0.25">
      <c r="A6893" s="2">
        <v>0</v>
      </c>
      <c r="B6893" s="38">
        <v>0</v>
      </c>
      <c r="C6893" s="79">
        <v>0</v>
      </c>
    </row>
    <row r="6894" spans="1:3" x14ac:dyDescent="0.25">
      <c r="A6894" s="2">
        <v>0</v>
      </c>
      <c r="B6894" s="38">
        <v>0</v>
      </c>
      <c r="C6894" s="79">
        <v>0</v>
      </c>
    </row>
    <row r="6895" spans="1:3" x14ac:dyDescent="0.25">
      <c r="A6895" s="2">
        <v>0</v>
      </c>
      <c r="B6895" s="38">
        <v>0</v>
      </c>
      <c r="C6895" s="79">
        <v>0</v>
      </c>
    </row>
    <row r="6896" spans="1:3" x14ac:dyDescent="0.25">
      <c r="A6896" s="2">
        <v>0</v>
      </c>
      <c r="B6896" s="38">
        <v>0</v>
      </c>
      <c r="C6896" s="79">
        <v>0</v>
      </c>
    </row>
    <row r="6897" spans="1:3" x14ac:dyDescent="0.25">
      <c r="A6897" s="2">
        <v>0</v>
      </c>
      <c r="B6897" s="38">
        <v>0</v>
      </c>
      <c r="C6897" s="79">
        <v>0</v>
      </c>
    </row>
    <row r="6898" spans="1:3" x14ac:dyDescent="0.25">
      <c r="A6898" s="2">
        <v>0</v>
      </c>
      <c r="B6898" s="38">
        <v>0</v>
      </c>
      <c r="C6898" s="79">
        <v>0</v>
      </c>
    </row>
    <row r="6899" spans="1:3" x14ac:dyDescent="0.25">
      <c r="A6899" s="2">
        <v>0</v>
      </c>
      <c r="B6899" s="38">
        <v>0</v>
      </c>
      <c r="C6899" s="79">
        <v>0</v>
      </c>
    </row>
    <row r="6900" spans="1:3" x14ac:dyDescent="0.25">
      <c r="A6900" s="2">
        <v>0</v>
      </c>
      <c r="B6900" s="38">
        <v>0</v>
      </c>
      <c r="C6900" s="79">
        <v>0</v>
      </c>
    </row>
    <row r="6901" spans="1:3" x14ac:dyDescent="0.25">
      <c r="A6901" s="2">
        <v>0</v>
      </c>
      <c r="B6901" s="38">
        <v>0</v>
      </c>
      <c r="C6901" s="79">
        <v>0</v>
      </c>
    </row>
    <row r="6902" spans="1:3" x14ac:dyDescent="0.25">
      <c r="A6902" s="2">
        <v>0</v>
      </c>
      <c r="B6902" s="38">
        <v>0</v>
      </c>
      <c r="C6902" s="79">
        <v>0</v>
      </c>
    </row>
    <row r="6903" spans="1:3" x14ac:dyDescent="0.25">
      <c r="A6903" s="2">
        <v>0</v>
      </c>
      <c r="B6903" s="38">
        <v>0</v>
      </c>
      <c r="C6903" s="79">
        <v>0</v>
      </c>
    </row>
    <row r="6904" spans="1:3" x14ac:dyDescent="0.25">
      <c r="A6904" s="2">
        <v>0</v>
      </c>
      <c r="B6904" s="38">
        <v>0</v>
      </c>
      <c r="C6904" s="79">
        <v>0</v>
      </c>
    </row>
    <row r="6905" spans="1:3" x14ac:dyDescent="0.25">
      <c r="A6905" s="2">
        <v>0</v>
      </c>
      <c r="B6905" s="38">
        <v>0</v>
      </c>
      <c r="C6905" s="79">
        <v>0</v>
      </c>
    </row>
    <row r="6906" spans="1:3" x14ac:dyDescent="0.25">
      <c r="A6906" s="2">
        <v>0</v>
      </c>
      <c r="B6906" s="38">
        <v>0</v>
      </c>
      <c r="C6906" s="79">
        <v>0</v>
      </c>
    </row>
    <row r="6907" spans="1:3" x14ac:dyDescent="0.25">
      <c r="A6907" s="2">
        <v>0</v>
      </c>
      <c r="B6907" s="38">
        <v>0</v>
      </c>
      <c r="C6907" s="79">
        <v>0</v>
      </c>
    </row>
    <row r="6908" spans="1:3" x14ac:dyDescent="0.25">
      <c r="A6908" s="2">
        <v>0</v>
      </c>
      <c r="B6908" s="38">
        <v>0</v>
      </c>
      <c r="C6908" s="79">
        <v>0</v>
      </c>
    </row>
    <row r="6909" spans="1:3" x14ac:dyDescent="0.25">
      <c r="A6909" s="2">
        <v>0</v>
      </c>
      <c r="B6909" s="38">
        <v>0</v>
      </c>
      <c r="C6909" s="79">
        <v>0</v>
      </c>
    </row>
    <row r="6910" spans="1:3" x14ac:dyDescent="0.25">
      <c r="A6910" s="2">
        <v>0</v>
      </c>
      <c r="B6910" s="38">
        <v>0</v>
      </c>
      <c r="C6910" s="79">
        <v>0</v>
      </c>
    </row>
    <row r="6911" spans="1:3" x14ac:dyDescent="0.25">
      <c r="A6911" s="2">
        <v>0</v>
      </c>
      <c r="B6911" s="38">
        <v>0</v>
      </c>
      <c r="C6911" s="79">
        <v>0</v>
      </c>
    </row>
    <row r="6912" spans="1:3" x14ac:dyDescent="0.25">
      <c r="A6912" s="2">
        <v>0</v>
      </c>
      <c r="B6912" s="38">
        <v>0</v>
      </c>
      <c r="C6912" s="79">
        <v>0</v>
      </c>
    </row>
    <row r="6913" spans="1:3" x14ac:dyDescent="0.25">
      <c r="A6913" s="2">
        <v>0</v>
      </c>
      <c r="B6913" s="38">
        <v>0</v>
      </c>
      <c r="C6913" s="79">
        <v>0</v>
      </c>
    </row>
    <row r="6914" spans="1:3" x14ac:dyDescent="0.25">
      <c r="A6914" s="2">
        <v>0</v>
      </c>
      <c r="B6914" s="38">
        <v>0</v>
      </c>
      <c r="C6914" s="79">
        <v>0</v>
      </c>
    </row>
    <row r="6915" spans="1:3" x14ac:dyDescent="0.25">
      <c r="A6915" s="2">
        <v>0</v>
      </c>
      <c r="B6915" s="38">
        <v>0</v>
      </c>
      <c r="C6915" s="79">
        <v>0</v>
      </c>
    </row>
    <row r="6916" spans="1:3" x14ac:dyDescent="0.25">
      <c r="A6916" s="2">
        <v>0</v>
      </c>
      <c r="B6916" s="38">
        <v>0</v>
      </c>
      <c r="C6916" s="79">
        <v>0</v>
      </c>
    </row>
    <row r="6917" spans="1:3" x14ac:dyDescent="0.25">
      <c r="A6917" s="2">
        <v>0</v>
      </c>
      <c r="B6917" s="38">
        <v>0</v>
      </c>
      <c r="C6917" s="79">
        <v>0</v>
      </c>
    </row>
    <row r="6918" spans="1:3" x14ac:dyDescent="0.25">
      <c r="A6918" s="2">
        <v>0</v>
      </c>
      <c r="B6918" s="38">
        <v>0</v>
      </c>
      <c r="C6918" s="79">
        <v>0</v>
      </c>
    </row>
    <row r="6919" spans="1:3" x14ac:dyDescent="0.25">
      <c r="A6919" s="2">
        <v>0</v>
      </c>
      <c r="B6919" s="38">
        <v>0</v>
      </c>
      <c r="C6919" s="79">
        <v>0</v>
      </c>
    </row>
    <row r="6920" spans="1:3" x14ac:dyDescent="0.25">
      <c r="A6920" s="2">
        <v>0</v>
      </c>
      <c r="B6920" s="38">
        <v>0</v>
      </c>
      <c r="C6920" s="79">
        <v>0</v>
      </c>
    </row>
    <row r="6921" spans="1:3" x14ac:dyDescent="0.25">
      <c r="A6921" s="2">
        <v>0</v>
      </c>
      <c r="B6921" s="38">
        <v>0</v>
      </c>
      <c r="C6921" s="79">
        <v>0</v>
      </c>
    </row>
    <row r="6922" spans="1:3" x14ac:dyDescent="0.25">
      <c r="A6922" s="2">
        <v>0</v>
      </c>
      <c r="B6922" s="38">
        <v>0</v>
      </c>
      <c r="C6922" s="79">
        <v>0</v>
      </c>
    </row>
    <row r="6923" spans="1:3" x14ac:dyDescent="0.25">
      <c r="A6923" s="2">
        <v>0</v>
      </c>
      <c r="B6923" s="38">
        <v>0</v>
      </c>
      <c r="C6923" s="79">
        <v>0</v>
      </c>
    </row>
    <row r="6924" spans="1:3" x14ac:dyDescent="0.25">
      <c r="A6924" s="2">
        <v>0</v>
      </c>
      <c r="B6924" s="38">
        <v>0</v>
      </c>
      <c r="C6924" s="79">
        <v>0</v>
      </c>
    </row>
    <row r="6925" spans="1:3" x14ac:dyDescent="0.25">
      <c r="A6925" s="2">
        <v>0</v>
      </c>
      <c r="B6925" s="38">
        <v>0</v>
      </c>
      <c r="C6925" s="79">
        <v>0</v>
      </c>
    </row>
    <row r="6926" spans="1:3" x14ac:dyDescent="0.25">
      <c r="A6926" s="2">
        <v>0</v>
      </c>
      <c r="B6926" s="38">
        <v>0</v>
      </c>
      <c r="C6926" s="79">
        <v>0</v>
      </c>
    </row>
    <row r="6927" spans="1:3" x14ac:dyDescent="0.25">
      <c r="A6927" s="2">
        <v>0</v>
      </c>
      <c r="B6927" s="38">
        <v>0</v>
      </c>
      <c r="C6927" s="79">
        <v>0</v>
      </c>
    </row>
    <row r="6928" spans="1:3" x14ac:dyDescent="0.25">
      <c r="A6928" s="2">
        <v>0</v>
      </c>
      <c r="B6928" s="38">
        <v>0</v>
      </c>
      <c r="C6928" s="79">
        <v>0</v>
      </c>
    </row>
    <row r="6929" spans="1:3" x14ac:dyDescent="0.25">
      <c r="A6929" s="2">
        <v>0</v>
      </c>
      <c r="B6929" s="38">
        <v>0</v>
      </c>
      <c r="C6929" s="79">
        <v>0</v>
      </c>
    </row>
    <row r="6930" spans="1:3" x14ac:dyDescent="0.25">
      <c r="A6930" s="2">
        <v>0</v>
      </c>
      <c r="B6930" s="38">
        <v>0</v>
      </c>
      <c r="C6930" s="79">
        <v>0</v>
      </c>
    </row>
    <row r="6931" spans="1:3" x14ac:dyDescent="0.25">
      <c r="A6931" s="2">
        <v>0</v>
      </c>
      <c r="B6931" s="38">
        <v>0</v>
      </c>
      <c r="C6931" s="79">
        <v>0</v>
      </c>
    </row>
    <row r="6932" spans="1:3" x14ac:dyDescent="0.25">
      <c r="A6932" s="2">
        <v>0</v>
      </c>
      <c r="B6932" s="38">
        <v>0</v>
      </c>
      <c r="C6932" s="79">
        <v>0</v>
      </c>
    </row>
    <row r="6933" spans="1:3" x14ac:dyDescent="0.25">
      <c r="A6933" s="2">
        <v>0</v>
      </c>
      <c r="B6933" s="38">
        <v>0</v>
      </c>
      <c r="C6933" s="79">
        <v>0</v>
      </c>
    </row>
    <row r="6934" spans="1:3" x14ac:dyDescent="0.25">
      <c r="A6934" s="2">
        <v>0</v>
      </c>
      <c r="B6934" s="38">
        <v>0</v>
      </c>
      <c r="C6934" s="79">
        <v>0</v>
      </c>
    </row>
    <row r="6935" spans="1:3" x14ac:dyDescent="0.25">
      <c r="A6935" s="2">
        <v>0</v>
      </c>
      <c r="B6935" s="38">
        <v>0</v>
      </c>
      <c r="C6935" s="79">
        <v>0</v>
      </c>
    </row>
    <row r="6936" spans="1:3" x14ac:dyDescent="0.25">
      <c r="A6936" s="2">
        <v>0</v>
      </c>
      <c r="B6936" s="38">
        <v>0</v>
      </c>
      <c r="C6936" s="79">
        <v>0</v>
      </c>
    </row>
    <row r="6937" spans="1:3" x14ac:dyDescent="0.25">
      <c r="A6937" s="2">
        <v>0</v>
      </c>
      <c r="B6937" s="38">
        <v>0</v>
      </c>
      <c r="C6937" s="79">
        <v>0</v>
      </c>
    </row>
    <row r="6938" spans="1:3" x14ac:dyDescent="0.25">
      <c r="A6938" s="2">
        <v>0</v>
      </c>
      <c r="B6938" s="38">
        <v>0</v>
      </c>
      <c r="C6938" s="79">
        <v>0</v>
      </c>
    </row>
    <row r="6939" spans="1:3" x14ac:dyDescent="0.25">
      <c r="A6939" s="2">
        <v>0</v>
      </c>
      <c r="B6939" s="38">
        <v>0</v>
      </c>
      <c r="C6939" s="79">
        <v>0</v>
      </c>
    </row>
    <row r="6940" spans="1:3" x14ac:dyDescent="0.25">
      <c r="A6940" s="2">
        <v>0</v>
      </c>
      <c r="B6940" s="38">
        <v>0</v>
      </c>
      <c r="C6940" s="79">
        <v>0</v>
      </c>
    </row>
    <row r="6941" spans="1:3" x14ac:dyDescent="0.25">
      <c r="A6941" s="2">
        <v>0</v>
      </c>
      <c r="B6941" s="38">
        <v>0</v>
      </c>
      <c r="C6941" s="79">
        <v>0</v>
      </c>
    </row>
    <row r="6942" spans="1:3" x14ac:dyDescent="0.25">
      <c r="A6942" s="2">
        <v>0</v>
      </c>
      <c r="B6942" s="38">
        <v>0</v>
      </c>
      <c r="C6942" s="79">
        <v>0</v>
      </c>
    </row>
    <row r="6943" spans="1:3" x14ac:dyDescent="0.25">
      <c r="A6943" s="2">
        <v>0</v>
      </c>
      <c r="B6943" s="38">
        <v>0</v>
      </c>
      <c r="C6943" s="79">
        <v>0</v>
      </c>
    </row>
    <row r="6944" spans="1:3" x14ac:dyDescent="0.25">
      <c r="A6944" s="2">
        <v>0</v>
      </c>
      <c r="B6944" s="38">
        <v>0</v>
      </c>
      <c r="C6944" s="79">
        <v>0</v>
      </c>
    </row>
    <row r="6945" spans="1:3" x14ac:dyDescent="0.25">
      <c r="A6945" s="2">
        <v>0</v>
      </c>
      <c r="B6945" s="38">
        <v>0</v>
      </c>
      <c r="C6945" s="79">
        <v>0</v>
      </c>
    </row>
    <row r="6946" spans="1:3" x14ac:dyDescent="0.25">
      <c r="A6946" s="2">
        <v>0</v>
      </c>
      <c r="B6946" s="38">
        <v>0</v>
      </c>
      <c r="C6946" s="79">
        <v>0</v>
      </c>
    </row>
    <row r="6947" spans="1:3" x14ac:dyDescent="0.25">
      <c r="A6947" s="2">
        <v>0</v>
      </c>
      <c r="B6947" s="38">
        <v>0</v>
      </c>
      <c r="C6947" s="79">
        <v>0</v>
      </c>
    </row>
    <row r="6948" spans="1:3" x14ac:dyDescent="0.25">
      <c r="A6948" s="2">
        <v>0</v>
      </c>
      <c r="B6948" s="38">
        <v>0</v>
      </c>
      <c r="C6948" s="79">
        <v>0</v>
      </c>
    </row>
    <row r="6949" spans="1:3" x14ac:dyDescent="0.25">
      <c r="A6949" s="2">
        <v>0</v>
      </c>
      <c r="B6949" s="38">
        <v>0</v>
      </c>
      <c r="C6949" s="79">
        <v>0</v>
      </c>
    </row>
    <row r="6950" spans="1:3" x14ac:dyDescent="0.25">
      <c r="A6950" s="2">
        <v>0</v>
      </c>
      <c r="B6950" s="38">
        <v>0</v>
      </c>
      <c r="C6950" s="79">
        <v>0</v>
      </c>
    </row>
    <row r="6951" spans="1:3" x14ac:dyDescent="0.25">
      <c r="A6951" s="2">
        <v>0</v>
      </c>
      <c r="B6951" s="38">
        <v>0</v>
      </c>
      <c r="C6951" s="79">
        <v>0</v>
      </c>
    </row>
    <row r="6952" spans="1:3" x14ac:dyDescent="0.25">
      <c r="A6952" s="2">
        <v>0</v>
      </c>
      <c r="B6952" s="38">
        <v>0</v>
      </c>
      <c r="C6952" s="79">
        <v>0</v>
      </c>
    </row>
    <row r="6953" spans="1:3" x14ac:dyDescent="0.25">
      <c r="A6953" s="2">
        <v>0</v>
      </c>
      <c r="B6953" s="38">
        <v>0</v>
      </c>
      <c r="C6953" s="79">
        <v>0</v>
      </c>
    </row>
    <row r="6954" spans="1:3" x14ac:dyDescent="0.25">
      <c r="A6954" s="2">
        <v>0</v>
      </c>
      <c r="B6954" s="38">
        <v>0</v>
      </c>
      <c r="C6954" s="79">
        <v>0</v>
      </c>
    </row>
    <row r="6955" spans="1:3" x14ac:dyDescent="0.25">
      <c r="A6955" s="2">
        <v>0</v>
      </c>
      <c r="B6955" s="38">
        <v>0</v>
      </c>
      <c r="C6955" s="79">
        <v>0</v>
      </c>
    </row>
    <row r="6956" spans="1:3" x14ac:dyDescent="0.25">
      <c r="A6956" s="2">
        <v>0</v>
      </c>
      <c r="B6956" s="38">
        <v>0</v>
      </c>
      <c r="C6956" s="79">
        <v>0</v>
      </c>
    </row>
    <row r="6957" spans="1:3" x14ac:dyDescent="0.25">
      <c r="A6957" s="2">
        <v>0</v>
      </c>
      <c r="B6957" s="38">
        <v>0</v>
      </c>
      <c r="C6957" s="79">
        <v>0</v>
      </c>
    </row>
    <row r="6958" spans="1:3" x14ac:dyDescent="0.25">
      <c r="A6958" s="2">
        <v>0</v>
      </c>
      <c r="B6958" s="38">
        <v>0</v>
      </c>
      <c r="C6958" s="79">
        <v>0</v>
      </c>
    </row>
    <row r="6959" spans="1:3" x14ac:dyDescent="0.25">
      <c r="A6959" s="2">
        <v>0</v>
      </c>
      <c r="B6959" s="38">
        <v>0</v>
      </c>
      <c r="C6959" s="79">
        <v>0</v>
      </c>
    </row>
    <row r="6960" spans="1:3" x14ac:dyDescent="0.25">
      <c r="A6960" s="2">
        <v>0</v>
      </c>
      <c r="B6960" s="38">
        <v>0</v>
      </c>
      <c r="C6960" s="79">
        <v>0</v>
      </c>
    </row>
    <row r="6961" spans="1:3" x14ac:dyDescent="0.25">
      <c r="A6961" s="2">
        <v>0</v>
      </c>
      <c r="B6961" s="38">
        <v>0</v>
      </c>
      <c r="C6961" s="79">
        <v>0</v>
      </c>
    </row>
    <row r="6962" spans="1:3" x14ac:dyDescent="0.25">
      <c r="A6962" s="2">
        <v>0</v>
      </c>
      <c r="B6962" s="38">
        <v>0</v>
      </c>
      <c r="C6962" s="79">
        <v>0</v>
      </c>
    </row>
    <row r="6963" spans="1:3" x14ac:dyDescent="0.25">
      <c r="A6963" s="2">
        <v>0</v>
      </c>
      <c r="B6963" s="38">
        <v>0</v>
      </c>
      <c r="C6963" s="79">
        <v>0</v>
      </c>
    </row>
    <row r="6964" spans="1:3" x14ac:dyDescent="0.25">
      <c r="A6964" s="2">
        <v>0</v>
      </c>
      <c r="B6964" s="38">
        <v>0</v>
      </c>
      <c r="C6964" s="79">
        <v>0</v>
      </c>
    </row>
    <row r="6965" spans="1:3" x14ac:dyDescent="0.25">
      <c r="A6965" s="2">
        <v>0</v>
      </c>
      <c r="B6965" s="38">
        <v>0</v>
      </c>
      <c r="C6965" s="79">
        <v>0</v>
      </c>
    </row>
    <row r="6966" spans="1:3" x14ac:dyDescent="0.25">
      <c r="A6966" s="2">
        <v>0</v>
      </c>
      <c r="B6966" s="38">
        <v>0</v>
      </c>
      <c r="C6966" s="79">
        <v>0</v>
      </c>
    </row>
    <row r="6967" spans="1:3" x14ac:dyDescent="0.25">
      <c r="A6967" s="2">
        <v>0</v>
      </c>
      <c r="B6967" s="38">
        <v>0</v>
      </c>
      <c r="C6967" s="79">
        <v>0</v>
      </c>
    </row>
    <row r="6968" spans="1:3" x14ac:dyDescent="0.25">
      <c r="A6968" s="2">
        <v>0</v>
      </c>
      <c r="B6968" s="38">
        <v>0</v>
      </c>
      <c r="C6968" s="79">
        <v>0</v>
      </c>
    </row>
    <row r="6969" spans="1:3" x14ac:dyDescent="0.25">
      <c r="A6969" s="2">
        <v>0</v>
      </c>
      <c r="B6969" s="38">
        <v>0</v>
      </c>
      <c r="C6969" s="79">
        <v>0</v>
      </c>
    </row>
    <row r="6970" spans="1:3" x14ac:dyDescent="0.25">
      <c r="A6970" s="2">
        <v>0</v>
      </c>
      <c r="B6970" s="38">
        <v>0</v>
      </c>
      <c r="C6970" s="79">
        <v>0</v>
      </c>
    </row>
    <row r="6971" spans="1:3" x14ac:dyDescent="0.25">
      <c r="A6971" s="2">
        <v>0</v>
      </c>
      <c r="B6971" s="38">
        <v>0</v>
      </c>
      <c r="C6971" s="79">
        <v>0</v>
      </c>
    </row>
    <row r="6972" spans="1:3" x14ac:dyDescent="0.25">
      <c r="A6972" s="2">
        <v>0</v>
      </c>
      <c r="B6972" s="38">
        <v>0</v>
      </c>
      <c r="C6972" s="79">
        <v>0</v>
      </c>
    </row>
    <row r="6973" spans="1:3" x14ac:dyDescent="0.25">
      <c r="A6973" s="2">
        <v>0</v>
      </c>
      <c r="B6973" s="38">
        <v>0</v>
      </c>
      <c r="C6973" s="79">
        <v>0</v>
      </c>
    </row>
    <row r="6974" spans="1:3" x14ac:dyDescent="0.25">
      <c r="A6974" s="2">
        <v>0</v>
      </c>
      <c r="B6974" s="38">
        <v>0</v>
      </c>
      <c r="C6974" s="79">
        <v>0</v>
      </c>
    </row>
    <row r="6975" spans="1:3" x14ac:dyDescent="0.25">
      <c r="A6975" s="2">
        <v>0</v>
      </c>
      <c r="B6975" s="38">
        <v>0</v>
      </c>
      <c r="C6975" s="79">
        <v>0</v>
      </c>
    </row>
    <row r="6976" spans="1:3" x14ac:dyDescent="0.25">
      <c r="A6976" s="2">
        <v>0</v>
      </c>
      <c r="B6976" s="38">
        <v>0</v>
      </c>
      <c r="C6976" s="79">
        <v>0</v>
      </c>
    </row>
    <row r="6977" spans="1:3" x14ac:dyDescent="0.25">
      <c r="A6977" s="2">
        <v>0</v>
      </c>
      <c r="B6977" s="38">
        <v>0</v>
      </c>
      <c r="C6977" s="79">
        <v>0</v>
      </c>
    </row>
    <row r="6978" spans="1:3" x14ac:dyDescent="0.25">
      <c r="A6978" s="2">
        <v>0</v>
      </c>
      <c r="B6978" s="38">
        <v>0</v>
      </c>
      <c r="C6978" s="79">
        <v>0</v>
      </c>
    </row>
    <row r="6979" spans="1:3" x14ac:dyDescent="0.25">
      <c r="A6979" s="2">
        <v>0</v>
      </c>
      <c r="B6979" s="38">
        <v>0</v>
      </c>
      <c r="C6979" s="79">
        <v>0</v>
      </c>
    </row>
    <row r="6980" spans="1:3" x14ac:dyDescent="0.25">
      <c r="A6980" s="2">
        <v>0</v>
      </c>
      <c r="B6980" s="38">
        <v>0</v>
      </c>
      <c r="C6980" s="79">
        <v>0</v>
      </c>
    </row>
    <row r="6981" spans="1:3" x14ac:dyDescent="0.25">
      <c r="A6981" s="2">
        <v>0</v>
      </c>
      <c r="B6981" s="38">
        <v>0</v>
      </c>
      <c r="C6981" s="79">
        <v>0</v>
      </c>
    </row>
    <row r="6982" spans="1:3" x14ac:dyDescent="0.25">
      <c r="A6982" s="2">
        <v>0</v>
      </c>
      <c r="B6982" s="38">
        <v>0</v>
      </c>
      <c r="C6982" s="79">
        <v>0</v>
      </c>
    </row>
    <row r="6983" spans="1:3" x14ac:dyDescent="0.25">
      <c r="A6983" s="2">
        <v>0</v>
      </c>
      <c r="B6983" s="38">
        <v>0</v>
      </c>
      <c r="C6983" s="79">
        <v>0</v>
      </c>
    </row>
    <row r="6984" spans="1:3" x14ac:dyDescent="0.25">
      <c r="A6984" s="2">
        <v>0</v>
      </c>
      <c r="B6984" s="38">
        <v>0</v>
      </c>
      <c r="C6984" s="79">
        <v>0</v>
      </c>
    </row>
    <row r="6985" spans="1:3" x14ac:dyDescent="0.25">
      <c r="A6985" s="2">
        <v>0</v>
      </c>
      <c r="B6985" s="38">
        <v>0</v>
      </c>
      <c r="C6985" s="79">
        <v>0</v>
      </c>
    </row>
    <row r="6986" spans="1:3" x14ac:dyDescent="0.25">
      <c r="A6986" s="2">
        <v>0</v>
      </c>
      <c r="B6986" s="38">
        <v>0</v>
      </c>
      <c r="C6986" s="79">
        <v>0</v>
      </c>
    </row>
    <row r="6987" spans="1:3" x14ac:dyDescent="0.25">
      <c r="A6987" s="2">
        <v>0</v>
      </c>
      <c r="B6987" s="38">
        <v>0</v>
      </c>
      <c r="C6987" s="79">
        <v>0</v>
      </c>
    </row>
    <row r="6988" spans="1:3" x14ac:dyDescent="0.25">
      <c r="A6988" s="2">
        <v>0</v>
      </c>
      <c r="B6988" s="38">
        <v>0</v>
      </c>
      <c r="C6988" s="79">
        <v>0</v>
      </c>
    </row>
    <row r="6989" spans="1:3" x14ac:dyDescent="0.25">
      <c r="A6989" s="2">
        <v>0</v>
      </c>
      <c r="B6989" s="38">
        <v>0</v>
      </c>
      <c r="C6989" s="79">
        <v>0</v>
      </c>
    </row>
    <row r="6990" spans="1:3" x14ac:dyDescent="0.25">
      <c r="A6990" s="2">
        <v>0</v>
      </c>
      <c r="B6990" s="38">
        <v>0</v>
      </c>
      <c r="C6990" s="79">
        <v>0</v>
      </c>
    </row>
    <row r="6991" spans="1:3" x14ac:dyDescent="0.25">
      <c r="A6991" s="2">
        <v>0</v>
      </c>
      <c r="B6991" s="38">
        <v>0</v>
      </c>
      <c r="C6991" s="79">
        <v>0</v>
      </c>
    </row>
    <row r="6992" spans="1:3" x14ac:dyDescent="0.25">
      <c r="A6992" s="2">
        <v>0</v>
      </c>
      <c r="B6992" s="38">
        <v>0</v>
      </c>
      <c r="C6992" s="79">
        <v>0</v>
      </c>
    </row>
    <row r="6993" spans="1:3" x14ac:dyDescent="0.25">
      <c r="A6993" s="2">
        <v>0</v>
      </c>
      <c r="B6993" s="38">
        <v>0</v>
      </c>
      <c r="C6993" s="79">
        <v>0</v>
      </c>
    </row>
    <row r="6994" spans="1:3" x14ac:dyDescent="0.25">
      <c r="A6994" s="2">
        <v>0</v>
      </c>
      <c r="B6994" s="38">
        <v>0</v>
      </c>
      <c r="C6994" s="79">
        <v>0</v>
      </c>
    </row>
    <row r="6995" spans="1:3" x14ac:dyDescent="0.25">
      <c r="A6995" s="2">
        <v>0</v>
      </c>
      <c r="B6995" s="38">
        <v>0</v>
      </c>
      <c r="C6995" s="79">
        <v>0</v>
      </c>
    </row>
    <row r="6996" spans="1:3" x14ac:dyDescent="0.25">
      <c r="A6996" s="2">
        <v>0</v>
      </c>
      <c r="B6996" s="38">
        <v>0</v>
      </c>
      <c r="C6996" s="79">
        <v>0</v>
      </c>
    </row>
    <row r="6997" spans="1:3" x14ac:dyDescent="0.25">
      <c r="A6997" s="2">
        <v>0</v>
      </c>
      <c r="B6997" s="38">
        <v>0</v>
      </c>
      <c r="C6997" s="79">
        <v>0</v>
      </c>
    </row>
    <row r="6998" spans="1:3" x14ac:dyDescent="0.25">
      <c r="A6998" s="2">
        <v>0</v>
      </c>
      <c r="B6998" s="38">
        <v>0</v>
      </c>
      <c r="C6998" s="79">
        <v>0</v>
      </c>
    </row>
    <row r="6999" spans="1:3" x14ac:dyDescent="0.25">
      <c r="A6999" s="2">
        <v>0</v>
      </c>
      <c r="B6999" s="38">
        <v>0</v>
      </c>
      <c r="C6999" s="79">
        <v>0</v>
      </c>
    </row>
    <row r="7000" spans="1:3" x14ac:dyDescent="0.25">
      <c r="A7000" s="2">
        <v>0</v>
      </c>
      <c r="B7000" s="38">
        <v>0</v>
      </c>
      <c r="C7000" s="79">
        <v>0</v>
      </c>
    </row>
    <row r="7001" spans="1:3" x14ac:dyDescent="0.25">
      <c r="A7001" s="2">
        <v>0</v>
      </c>
      <c r="B7001" s="38">
        <v>0</v>
      </c>
      <c r="C7001" s="79">
        <v>0</v>
      </c>
    </row>
    <row r="7002" spans="1:3" x14ac:dyDescent="0.25">
      <c r="A7002" s="2">
        <v>0</v>
      </c>
      <c r="B7002" s="38">
        <v>0</v>
      </c>
      <c r="C7002" s="79">
        <v>0</v>
      </c>
    </row>
    <row r="7003" spans="1:3" x14ac:dyDescent="0.25">
      <c r="A7003" s="2">
        <v>0</v>
      </c>
      <c r="B7003" s="38">
        <v>0</v>
      </c>
      <c r="C7003" s="79">
        <v>0</v>
      </c>
    </row>
    <row r="7004" spans="1:3" x14ac:dyDescent="0.25">
      <c r="A7004" s="2">
        <v>0</v>
      </c>
      <c r="B7004" s="38">
        <v>0</v>
      </c>
      <c r="C7004" s="79">
        <v>0</v>
      </c>
    </row>
    <row r="7005" spans="1:3" x14ac:dyDescent="0.25">
      <c r="A7005" s="2">
        <v>0</v>
      </c>
      <c r="B7005" s="38">
        <v>0</v>
      </c>
      <c r="C7005" s="79">
        <v>0</v>
      </c>
    </row>
    <row r="7006" spans="1:3" x14ac:dyDescent="0.25">
      <c r="A7006" s="2">
        <v>0</v>
      </c>
      <c r="B7006" s="38">
        <v>0</v>
      </c>
      <c r="C7006" s="79">
        <v>0</v>
      </c>
    </row>
    <row r="7007" spans="1:3" x14ac:dyDescent="0.25">
      <c r="A7007" s="2">
        <v>0</v>
      </c>
      <c r="B7007" s="38">
        <v>0</v>
      </c>
      <c r="C7007" s="79">
        <v>0</v>
      </c>
    </row>
    <row r="7008" spans="1:3" x14ac:dyDescent="0.25">
      <c r="A7008" s="2">
        <v>0</v>
      </c>
      <c r="B7008" s="38">
        <v>0</v>
      </c>
      <c r="C7008" s="79">
        <v>0</v>
      </c>
    </row>
    <row r="7009" spans="1:3" x14ac:dyDescent="0.25">
      <c r="A7009" s="2">
        <v>0</v>
      </c>
      <c r="B7009" s="38">
        <v>0</v>
      </c>
      <c r="C7009" s="79">
        <v>0</v>
      </c>
    </row>
    <row r="7010" spans="1:3" x14ac:dyDescent="0.25">
      <c r="A7010" s="2">
        <v>0</v>
      </c>
      <c r="B7010" s="38">
        <v>0</v>
      </c>
      <c r="C7010" s="79">
        <v>0</v>
      </c>
    </row>
    <row r="7011" spans="1:3" x14ac:dyDescent="0.25">
      <c r="A7011" s="2">
        <v>0</v>
      </c>
      <c r="B7011" s="38">
        <v>0</v>
      </c>
      <c r="C7011" s="79">
        <v>0</v>
      </c>
    </row>
    <row r="7012" spans="1:3" x14ac:dyDescent="0.25">
      <c r="A7012" s="2">
        <v>0</v>
      </c>
      <c r="B7012" s="38">
        <v>0</v>
      </c>
      <c r="C7012" s="79">
        <v>0</v>
      </c>
    </row>
    <row r="7013" spans="1:3" x14ac:dyDescent="0.25">
      <c r="A7013" s="2">
        <v>0</v>
      </c>
      <c r="B7013" s="38">
        <v>0</v>
      </c>
      <c r="C7013" s="79">
        <v>0</v>
      </c>
    </row>
    <row r="7014" spans="1:3" x14ac:dyDescent="0.25">
      <c r="A7014" s="2">
        <v>0</v>
      </c>
      <c r="B7014" s="38">
        <v>0</v>
      </c>
      <c r="C7014" s="79">
        <v>0</v>
      </c>
    </row>
    <row r="7015" spans="1:3" x14ac:dyDescent="0.25">
      <c r="A7015" s="2">
        <v>0</v>
      </c>
      <c r="B7015" s="38">
        <v>0</v>
      </c>
      <c r="C7015" s="79">
        <v>0</v>
      </c>
    </row>
    <row r="7016" spans="1:3" x14ac:dyDescent="0.25">
      <c r="A7016" s="2">
        <v>0</v>
      </c>
      <c r="B7016" s="38">
        <v>0</v>
      </c>
      <c r="C7016" s="79">
        <v>0</v>
      </c>
    </row>
    <row r="7017" spans="1:3" x14ac:dyDescent="0.25">
      <c r="A7017" s="2">
        <v>0</v>
      </c>
      <c r="B7017" s="38">
        <v>0</v>
      </c>
      <c r="C7017" s="79">
        <v>0</v>
      </c>
    </row>
    <row r="7018" spans="1:3" x14ac:dyDescent="0.25">
      <c r="A7018" s="2">
        <v>0</v>
      </c>
      <c r="B7018" s="38">
        <v>0</v>
      </c>
      <c r="C7018" s="79">
        <v>0</v>
      </c>
    </row>
    <row r="7019" spans="1:3" x14ac:dyDescent="0.25">
      <c r="A7019" s="2">
        <v>0</v>
      </c>
      <c r="B7019" s="38">
        <v>0</v>
      </c>
      <c r="C7019" s="79">
        <v>0</v>
      </c>
    </row>
    <row r="7020" spans="1:3" x14ac:dyDescent="0.25">
      <c r="A7020" s="2">
        <v>0</v>
      </c>
      <c r="B7020" s="38">
        <v>0</v>
      </c>
      <c r="C7020" s="79">
        <v>0</v>
      </c>
    </row>
    <row r="7021" spans="1:3" x14ac:dyDescent="0.25">
      <c r="A7021" s="2">
        <v>0</v>
      </c>
      <c r="B7021" s="38">
        <v>0</v>
      </c>
      <c r="C7021" s="79">
        <v>0</v>
      </c>
    </row>
    <row r="7022" spans="1:3" x14ac:dyDescent="0.25">
      <c r="A7022" s="2">
        <v>0</v>
      </c>
      <c r="B7022" s="38">
        <v>0</v>
      </c>
      <c r="C7022" s="79">
        <v>0</v>
      </c>
    </row>
    <row r="7023" spans="1:3" x14ac:dyDescent="0.25">
      <c r="A7023" s="2">
        <v>0</v>
      </c>
      <c r="B7023" s="38">
        <v>0</v>
      </c>
      <c r="C7023" s="79">
        <v>0</v>
      </c>
    </row>
    <row r="7024" spans="1:3" x14ac:dyDescent="0.25">
      <c r="A7024" s="2">
        <v>0</v>
      </c>
      <c r="B7024" s="38">
        <v>0</v>
      </c>
      <c r="C7024" s="79">
        <v>0</v>
      </c>
    </row>
    <row r="7025" spans="1:3" x14ac:dyDescent="0.25">
      <c r="A7025" s="2">
        <v>0</v>
      </c>
      <c r="B7025" s="38">
        <v>0</v>
      </c>
      <c r="C7025" s="79">
        <v>0</v>
      </c>
    </row>
    <row r="7026" spans="1:3" x14ac:dyDescent="0.25">
      <c r="A7026" s="2">
        <v>0</v>
      </c>
      <c r="B7026" s="38">
        <v>0</v>
      </c>
      <c r="C7026" s="79">
        <v>0</v>
      </c>
    </row>
    <row r="7027" spans="1:3" x14ac:dyDescent="0.25">
      <c r="A7027" s="2">
        <v>0</v>
      </c>
      <c r="B7027" s="38">
        <v>0</v>
      </c>
      <c r="C7027" s="79">
        <v>0</v>
      </c>
    </row>
    <row r="7028" spans="1:3" x14ac:dyDescent="0.25">
      <c r="A7028" s="2">
        <v>0</v>
      </c>
      <c r="B7028" s="38">
        <v>0</v>
      </c>
      <c r="C7028" s="79">
        <v>0</v>
      </c>
    </row>
    <row r="7029" spans="1:3" x14ac:dyDescent="0.25">
      <c r="A7029" s="2">
        <v>0</v>
      </c>
      <c r="B7029" s="38">
        <v>0</v>
      </c>
      <c r="C7029" s="79">
        <v>0</v>
      </c>
    </row>
    <row r="7030" spans="1:3" x14ac:dyDescent="0.25">
      <c r="A7030" s="2">
        <v>0</v>
      </c>
      <c r="B7030" s="38">
        <v>0</v>
      </c>
      <c r="C7030" s="79">
        <v>0</v>
      </c>
    </row>
    <row r="7031" spans="1:3" x14ac:dyDescent="0.25">
      <c r="A7031" s="2">
        <v>0</v>
      </c>
      <c r="B7031" s="38">
        <v>0</v>
      </c>
      <c r="C7031" s="79">
        <v>0</v>
      </c>
    </row>
    <row r="7032" spans="1:3" x14ac:dyDescent="0.25">
      <c r="A7032" s="2">
        <v>0</v>
      </c>
      <c r="B7032" s="38">
        <v>0</v>
      </c>
      <c r="C7032" s="79">
        <v>0</v>
      </c>
    </row>
    <row r="7033" spans="1:3" x14ac:dyDescent="0.25">
      <c r="A7033" s="2">
        <v>0</v>
      </c>
      <c r="B7033" s="38">
        <v>0</v>
      </c>
      <c r="C7033" s="79">
        <v>0</v>
      </c>
    </row>
    <row r="7034" spans="1:3" x14ac:dyDescent="0.25">
      <c r="A7034" s="2">
        <v>0</v>
      </c>
      <c r="B7034" s="38">
        <v>0</v>
      </c>
      <c r="C7034" s="79">
        <v>0</v>
      </c>
    </row>
    <row r="7035" spans="1:3" x14ac:dyDescent="0.25">
      <c r="A7035" s="2">
        <v>0</v>
      </c>
      <c r="B7035" s="38">
        <v>0</v>
      </c>
      <c r="C7035" s="79">
        <v>0</v>
      </c>
    </row>
    <row r="7036" spans="1:3" x14ac:dyDescent="0.25">
      <c r="A7036" s="2">
        <v>0</v>
      </c>
      <c r="B7036" s="38">
        <v>0</v>
      </c>
      <c r="C7036" s="79">
        <v>0</v>
      </c>
    </row>
    <row r="7037" spans="1:3" x14ac:dyDescent="0.25">
      <c r="A7037" s="2">
        <v>0</v>
      </c>
      <c r="B7037" s="38">
        <v>0</v>
      </c>
      <c r="C7037" s="79">
        <v>0</v>
      </c>
    </row>
    <row r="7038" spans="1:3" x14ac:dyDescent="0.25">
      <c r="A7038" s="2">
        <v>0</v>
      </c>
      <c r="B7038" s="38">
        <v>0</v>
      </c>
      <c r="C7038" s="79">
        <v>0</v>
      </c>
    </row>
    <row r="7039" spans="1:3" x14ac:dyDescent="0.25">
      <c r="A7039" s="2">
        <v>0</v>
      </c>
      <c r="B7039" s="38">
        <v>0</v>
      </c>
      <c r="C7039" s="79">
        <v>0</v>
      </c>
    </row>
    <row r="7040" spans="1:3" x14ac:dyDescent="0.25">
      <c r="A7040" s="2">
        <v>0</v>
      </c>
      <c r="B7040" s="38">
        <v>0</v>
      </c>
      <c r="C7040" s="79">
        <v>0</v>
      </c>
    </row>
    <row r="7041" spans="1:3" x14ac:dyDescent="0.25">
      <c r="A7041" s="2">
        <v>0</v>
      </c>
      <c r="B7041" s="38">
        <v>0</v>
      </c>
      <c r="C7041" s="79">
        <v>0</v>
      </c>
    </row>
    <row r="7042" spans="1:3" x14ac:dyDescent="0.25">
      <c r="A7042" s="2">
        <v>0</v>
      </c>
      <c r="B7042" s="38">
        <v>0</v>
      </c>
      <c r="C7042" s="79">
        <v>0</v>
      </c>
    </row>
    <row r="7043" spans="1:3" x14ac:dyDescent="0.25">
      <c r="A7043" s="2">
        <v>0</v>
      </c>
      <c r="B7043" s="38">
        <v>0</v>
      </c>
      <c r="C7043" s="79">
        <v>0</v>
      </c>
    </row>
    <row r="7044" spans="1:3" x14ac:dyDescent="0.25">
      <c r="A7044" s="2">
        <v>0</v>
      </c>
      <c r="B7044" s="38">
        <v>0</v>
      </c>
      <c r="C7044" s="79">
        <v>0</v>
      </c>
    </row>
    <row r="7045" spans="1:3" x14ac:dyDescent="0.25">
      <c r="A7045" s="2">
        <v>0</v>
      </c>
      <c r="B7045" s="38">
        <v>0</v>
      </c>
      <c r="C7045" s="79">
        <v>0</v>
      </c>
    </row>
    <row r="7046" spans="1:3" x14ac:dyDescent="0.25">
      <c r="A7046" s="2">
        <v>0</v>
      </c>
      <c r="B7046" s="38">
        <v>0</v>
      </c>
      <c r="C7046" s="79">
        <v>0</v>
      </c>
    </row>
    <row r="7047" spans="1:3" x14ac:dyDescent="0.25">
      <c r="A7047" s="2">
        <v>0</v>
      </c>
      <c r="B7047" s="38">
        <v>0</v>
      </c>
      <c r="C7047" s="79">
        <v>0</v>
      </c>
    </row>
    <row r="7048" spans="1:3" x14ac:dyDescent="0.25">
      <c r="A7048" s="2">
        <v>0</v>
      </c>
      <c r="B7048" s="38">
        <v>0</v>
      </c>
      <c r="C7048" s="79">
        <v>0</v>
      </c>
    </row>
    <row r="7049" spans="1:3" x14ac:dyDescent="0.25">
      <c r="A7049" s="2">
        <v>0</v>
      </c>
      <c r="B7049" s="38">
        <v>0</v>
      </c>
      <c r="C7049" s="79">
        <v>0</v>
      </c>
    </row>
    <row r="7050" spans="1:3" x14ac:dyDescent="0.25">
      <c r="A7050" s="2">
        <v>0</v>
      </c>
      <c r="B7050" s="38">
        <v>0</v>
      </c>
      <c r="C7050" s="79">
        <v>0</v>
      </c>
    </row>
    <row r="7051" spans="1:3" x14ac:dyDescent="0.25">
      <c r="A7051" s="2">
        <v>0</v>
      </c>
      <c r="B7051" s="38">
        <v>0</v>
      </c>
      <c r="C7051" s="79">
        <v>0</v>
      </c>
    </row>
    <row r="7052" spans="1:3" x14ac:dyDescent="0.25">
      <c r="A7052" s="2">
        <v>0</v>
      </c>
      <c r="B7052" s="38">
        <v>0</v>
      </c>
      <c r="C7052" s="79">
        <v>0</v>
      </c>
    </row>
    <row r="7053" spans="1:3" x14ac:dyDescent="0.25">
      <c r="A7053" s="2">
        <v>0</v>
      </c>
      <c r="B7053" s="38">
        <v>0</v>
      </c>
      <c r="C7053" s="79">
        <v>0</v>
      </c>
    </row>
    <row r="7054" spans="1:3" x14ac:dyDescent="0.25">
      <c r="A7054" s="2">
        <v>0</v>
      </c>
      <c r="B7054" s="38">
        <v>0</v>
      </c>
      <c r="C7054" s="79">
        <v>0</v>
      </c>
    </row>
    <row r="7055" spans="1:3" x14ac:dyDescent="0.25">
      <c r="A7055" s="2">
        <v>0</v>
      </c>
      <c r="B7055" s="38">
        <v>0</v>
      </c>
      <c r="C7055" s="79">
        <v>0</v>
      </c>
    </row>
    <row r="7056" spans="1:3" x14ac:dyDescent="0.25">
      <c r="A7056" s="2">
        <v>0</v>
      </c>
      <c r="B7056" s="38">
        <v>0</v>
      </c>
      <c r="C7056" s="79">
        <v>0</v>
      </c>
    </row>
    <row r="7057" spans="1:3" x14ac:dyDescent="0.25">
      <c r="A7057" s="2">
        <v>0</v>
      </c>
      <c r="B7057" s="38">
        <v>0</v>
      </c>
      <c r="C7057" s="79">
        <v>0</v>
      </c>
    </row>
    <row r="7058" spans="1:3" x14ac:dyDescent="0.25">
      <c r="A7058" s="2">
        <v>0</v>
      </c>
      <c r="B7058" s="38">
        <v>0</v>
      </c>
      <c r="C7058" s="79">
        <v>0</v>
      </c>
    </row>
    <row r="7059" spans="1:3" x14ac:dyDescent="0.25">
      <c r="A7059" s="2">
        <v>0</v>
      </c>
      <c r="B7059" s="38">
        <v>0</v>
      </c>
      <c r="C7059" s="79">
        <v>0</v>
      </c>
    </row>
    <row r="7060" spans="1:3" x14ac:dyDescent="0.25">
      <c r="A7060" s="2">
        <v>0</v>
      </c>
      <c r="B7060" s="38">
        <v>0</v>
      </c>
      <c r="C7060" s="79">
        <v>0</v>
      </c>
    </row>
    <row r="7061" spans="1:3" x14ac:dyDescent="0.25">
      <c r="A7061" s="2">
        <v>0</v>
      </c>
      <c r="B7061" s="38">
        <v>0</v>
      </c>
      <c r="C7061" s="79">
        <v>0</v>
      </c>
    </row>
    <row r="7062" spans="1:3" x14ac:dyDescent="0.25">
      <c r="A7062" s="2">
        <v>0</v>
      </c>
      <c r="B7062" s="38">
        <v>0</v>
      </c>
      <c r="C7062" s="79">
        <v>0</v>
      </c>
    </row>
    <row r="7063" spans="1:3" x14ac:dyDescent="0.25">
      <c r="A7063" s="2">
        <v>0</v>
      </c>
      <c r="B7063" s="38">
        <v>0</v>
      </c>
      <c r="C7063" s="79">
        <v>0</v>
      </c>
    </row>
    <row r="7064" spans="1:3" x14ac:dyDescent="0.25">
      <c r="A7064" s="2">
        <v>0</v>
      </c>
      <c r="B7064" s="38">
        <v>0</v>
      </c>
      <c r="C7064" s="79">
        <v>0</v>
      </c>
    </row>
    <row r="7065" spans="1:3" x14ac:dyDescent="0.25">
      <c r="A7065" s="2">
        <v>0</v>
      </c>
      <c r="B7065" s="38">
        <v>0</v>
      </c>
      <c r="C7065" s="79">
        <v>0</v>
      </c>
    </row>
    <row r="7066" spans="1:3" x14ac:dyDescent="0.25">
      <c r="A7066" s="2">
        <v>0</v>
      </c>
      <c r="B7066" s="38">
        <v>0</v>
      </c>
      <c r="C7066" s="79">
        <v>0</v>
      </c>
    </row>
    <row r="7067" spans="1:3" x14ac:dyDescent="0.25">
      <c r="A7067" s="2">
        <v>0</v>
      </c>
      <c r="B7067" s="38">
        <v>0</v>
      </c>
      <c r="C7067" s="79">
        <v>0</v>
      </c>
    </row>
    <row r="7068" spans="1:3" x14ac:dyDescent="0.25">
      <c r="A7068" s="2">
        <v>0</v>
      </c>
      <c r="B7068" s="38">
        <v>0</v>
      </c>
      <c r="C7068" s="79">
        <v>0</v>
      </c>
    </row>
    <row r="7069" spans="1:3" x14ac:dyDescent="0.25">
      <c r="A7069" s="2">
        <v>0</v>
      </c>
      <c r="B7069" s="38">
        <v>0</v>
      </c>
      <c r="C7069" s="79">
        <v>0</v>
      </c>
    </row>
    <row r="7070" spans="1:3" x14ac:dyDescent="0.25">
      <c r="A7070" s="2">
        <v>0</v>
      </c>
      <c r="B7070" s="38">
        <v>0</v>
      </c>
      <c r="C7070" s="79">
        <v>0</v>
      </c>
    </row>
    <row r="7071" spans="1:3" x14ac:dyDescent="0.25">
      <c r="A7071" s="2">
        <v>0</v>
      </c>
      <c r="B7071" s="38">
        <v>0</v>
      </c>
      <c r="C7071" s="79">
        <v>0</v>
      </c>
    </row>
    <row r="7072" spans="1:3" x14ac:dyDescent="0.25">
      <c r="A7072" s="2">
        <v>0</v>
      </c>
      <c r="B7072" s="38">
        <v>0</v>
      </c>
      <c r="C7072" s="79">
        <v>0</v>
      </c>
    </row>
    <row r="7073" spans="1:3" x14ac:dyDescent="0.25">
      <c r="A7073" s="2">
        <v>0</v>
      </c>
      <c r="B7073" s="38">
        <v>0</v>
      </c>
      <c r="C7073" s="79">
        <v>0</v>
      </c>
    </row>
    <row r="7074" spans="1:3" x14ac:dyDescent="0.25">
      <c r="A7074" s="2">
        <v>0</v>
      </c>
      <c r="B7074" s="38">
        <v>0</v>
      </c>
      <c r="C7074" s="79">
        <v>0</v>
      </c>
    </row>
    <row r="7075" spans="1:3" x14ac:dyDescent="0.25">
      <c r="A7075" s="2">
        <v>0</v>
      </c>
      <c r="B7075" s="38">
        <v>0</v>
      </c>
      <c r="C7075" s="79">
        <v>0</v>
      </c>
    </row>
    <row r="7076" spans="1:3" x14ac:dyDescent="0.25">
      <c r="A7076" s="2">
        <v>0</v>
      </c>
      <c r="B7076" s="38">
        <v>0</v>
      </c>
      <c r="C7076" s="79">
        <v>0</v>
      </c>
    </row>
    <row r="7077" spans="1:3" x14ac:dyDescent="0.25">
      <c r="A7077" s="2">
        <v>0</v>
      </c>
      <c r="B7077" s="38">
        <v>0</v>
      </c>
      <c r="C7077" s="79">
        <v>0</v>
      </c>
    </row>
    <row r="7078" spans="1:3" x14ac:dyDescent="0.25">
      <c r="A7078" s="2">
        <v>0</v>
      </c>
      <c r="B7078" s="38">
        <v>0</v>
      </c>
      <c r="C7078" s="79">
        <v>0</v>
      </c>
    </row>
    <row r="7079" spans="1:3" x14ac:dyDescent="0.25">
      <c r="A7079" s="2">
        <v>0</v>
      </c>
      <c r="B7079" s="38">
        <v>0</v>
      </c>
      <c r="C7079" s="79">
        <v>0</v>
      </c>
    </row>
    <row r="7080" spans="1:3" x14ac:dyDescent="0.25">
      <c r="A7080" s="2">
        <v>0</v>
      </c>
      <c r="B7080" s="38">
        <v>0</v>
      </c>
      <c r="C7080" s="79">
        <v>0</v>
      </c>
    </row>
    <row r="7081" spans="1:3" x14ac:dyDescent="0.25">
      <c r="A7081" s="2">
        <v>0</v>
      </c>
      <c r="B7081" s="38">
        <v>0</v>
      </c>
      <c r="C7081" s="79">
        <v>0</v>
      </c>
    </row>
    <row r="7082" spans="1:3" x14ac:dyDescent="0.25">
      <c r="A7082" s="2">
        <v>0</v>
      </c>
      <c r="B7082" s="38">
        <v>0</v>
      </c>
      <c r="C7082" s="79">
        <v>0</v>
      </c>
    </row>
    <row r="7083" spans="1:3" x14ac:dyDescent="0.25">
      <c r="A7083" s="2">
        <v>0</v>
      </c>
      <c r="B7083" s="38">
        <v>0</v>
      </c>
      <c r="C7083" s="79">
        <v>0</v>
      </c>
    </row>
    <row r="7084" spans="1:3" x14ac:dyDescent="0.25">
      <c r="A7084" s="2">
        <v>0</v>
      </c>
      <c r="B7084" s="38">
        <v>0</v>
      </c>
      <c r="C7084" s="79">
        <v>0</v>
      </c>
    </row>
    <row r="7085" spans="1:3" x14ac:dyDescent="0.25">
      <c r="A7085" s="2">
        <v>0</v>
      </c>
      <c r="B7085" s="38">
        <v>0</v>
      </c>
      <c r="C7085" s="79">
        <v>0</v>
      </c>
    </row>
    <row r="7086" spans="1:3" x14ac:dyDescent="0.25">
      <c r="A7086" s="2">
        <v>0</v>
      </c>
      <c r="B7086" s="38">
        <v>0</v>
      </c>
      <c r="C7086" s="79">
        <v>0</v>
      </c>
    </row>
    <row r="7087" spans="1:3" x14ac:dyDescent="0.25">
      <c r="A7087" s="2">
        <v>0</v>
      </c>
      <c r="B7087" s="38">
        <v>0</v>
      </c>
      <c r="C7087" s="79">
        <v>0</v>
      </c>
    </row>
    <row r="7088" spans="1:3" x14ac:dyDescent="0.25">
      <c r="A7088" s="2">
        <v>0</v>
      </c>
      <c r="B7088" s="38">
        <v>0</v>
      </c>
      <c r="C7088" s="79">
        <v>0</v>
      </c>
    </row>
    <row r="7089" spans="1:3" x14ac:dyDescent="0.25">
      <c r="A7089" s="2">
        <v>0</v>
      </c>
      <c r="B7089" s="38">
        <v>0</v>
      </c>
      <c r="C7089" s="79">
        <v>0</v>
      </c>
    </row>
    <row r="7090" spans="1:3" x14ac:dyDescent="0.25">
      <c r="A7090" s="2">
        <v>0</v>
      </c>
      <c r="B7090" s="38">
        <v>0</v>
      </c>
      <c r="C7090" s="79">
        <v>0</v>
      </c>
    </row>
    <row r="7091" spans="1:3" x14ac:dyDescent="0.25">
      <c r="A7091" s="2">
        <v>0</v>
      </c>
      <c r="B7091" s="38">
        <v>0</v>
      </c>
      <c r="C7091" s="79">
        <v>0</v>
      </c>
    </row>
    <row r="7092" spans="1:3" x14ac:dyDescent="0.25">
      <c r="A7092" s="2">
        <v>0</v>
      </c>
      <c r="B7092" s="38">
        <v>0</v>
      </c>
      <c r="C7092" s="79">
        <v>0</v>
      </c>
    </row>
    <row r="7093" spans="1:3" x14ac:dyDescent="0.25">
      <c r="A7093" s="2">
        <v>0</v>
      </c>
      <c r="B7093" s="38">
        <v>0</v>
      </c>
      <c r="C7093" s="79">
        <v>0</v>
      </c>
    </row>
    <row r="7094" spans="1:3" x14ac:dyDescent="0.25">
      <c r="A7094" s="2">
        <v>0</v>
      </c>
      <c r="B7094" s="38">
        <v>0</v>
      </c>
      <c r="C7094" s="79">
        <v>0</v>
      </c>
    </row>
    <row r="7095" spans="1:3" x14ac:dyDescent="0.25">
      <c r="A7095" s="2">
        <v>0</v>
      </c>
      <c r="B7095" s="38">
        <v>0</v>
      </c>
      <c r="C7095" s="79">
        <v>0</v>
      </c>
    </row>
    <row r="7096" spans="1:3" x14ac:dyDescent="0.25">
      <c r="A7096" s="2">
        <v>0</v>
      </c>
      <c r="B7096" s="38">
        <v>0</v>
      </c>
      <c r="C7096" s="79">
        <v>0</v>
      </c>
    </row>
    <row r="7097" spans="1:3" x14ac:dyDescent="0.25">
      <c r="A7097" s="2">
        <v>0</v>
      </c>
      <c r="B7097" s="38">
        <v>0</v>
      </c>
      <c r="C7097" s="79">
        <v>0</v>
      </c>
    </row>
    <row r="7098" spans="1:3" x14ac:dyDescent="0.25">
      <c r="A7098" s="2">
        <v>0</v>
      </c>
      <c r="B7098" s="38">
        <v>0</v>
      </c>
      <c r="C7098" s="79">
        <v>0</v>
      </c>
    </row>
    <row r="7099" spans="1:3" x14ac:dyDescent="0.25">
      <c r="A7099" s="2">
        <v>0</v>
      </c>
      <c r="B7099" s="38">
        <v>0</v>
      </c>
      <c r="C7099" s="79">
        <v>0</v>
      </c>
    </row>
    <row r="7100" spans="1:3" x14ac:dyDescent="0.25">
      <c r="A7100" s="2">
        <v>0</v>
      </c>
      <c r="B7100" s="38">
        <v>0</v>
      </c>
      <c r="C7100" s="79">
        <v>0</v>
      </c>
    </row>
    <row r="7101" spans="1:3" x14ac:dyDescent="0.25">
      <c r="A7101" s="2">
        <v>0</v>
      </c>
      <c r="B7101" s="38">
        <v>0</v>
      </c>
      <c r="C7101" s="79">
        <v>0</v>
      </c>
    </row>
    <row r="7102" spans="1:3" x14ac:dyDescent="0.25">
      <c r="A7102" s="2">
        <v>0</v>
      </c>
      <c r="B7102" s="38">
        <v>0</v>
      </c>
      <c r="C7102" s="79">
        <v>0</v>
      </c>
    </row>
    <row r="7103" spans="1:3" x14ac:dyDescent="0.25">
      <c r="A7103" s="2">
        <v>0</v>
      </c>
      <c r="B7103" s="38">
        <v>0</v>
      </c>
      <c r="C7103" s="79">
        <v>0</v>
      </c>
    </row>
    <row r="7104" spans="1:3" x14ac:dyDescent="0.25">
      <c r="A7104" s="2">
        <v>0</v>
      </c>
      <c r="B7104" s="38">
        <v>0</v>
      </c>
      <c r="C7104" s="79">
        <v>0</v>
      </c>
    </row>
    <row r="7105" spans="1:3" x14ac:dyDescent="0.25">
      <c r="A7105" s="2">
        <v>0</v>
      </c>
      <c r="B7105" s="38">
        <v>0</v>
      </c>
      <c r="C7105" s="79">
        <v>0</v>
      </c>
    </row>
    <row r="7106" spans="1:3" x14ac:dyDescent="0.25">
      <c r="A7106" s="2">
        <v>0</v>
      </c>
      <c r="B7106" s="38">
        <v>0</v>
      </c>
      <c r="C7106" s="79">
        <v>0</v>
      </c>
    </row>
    <row r="7107" spans="1:3" x14ac:dyDescent="0.25">
      <c r="A7107" s="2">
        <v>0</v>
      </c>
      <c r="B7107" s="38">
        <v>0</v>
      </c>
      <c r="C7107" s="79">
        <v>0</v>
      </c>
    </row>
    <row r="7108" spans="1:3" x14ac:dyDescent="0.25">
      <c r="A7108" s="2">
        <v>0</v>
      </c>
      <c r="B7108" s="38">
        <v>0</v>
      </c>
      <c r="C7108" s="79">
        <v>0</v>
      </c>
    </row>
    <row r="7109" spans="1:3" x14ac:dyDescent="0.25">
      <c r="A7109" s="2">
        <v>0</v>
      </c>
      <c r="B7109" s="38">
        <v>0</v>
      </c>
      <c r="C7109" s="79">
        <v>0</v>
      </c>
    </row>
    <row r="7110" spans="1:3" x14ac:dyDescent="0.25">
      <c r="A7110" s="2">
        <v>0</v>
      </c>
      <c r="B7110" s="38">
        <v>0</v>
      </c>
      <c r="C7110" s="79">
        <v>0</v>
      </c>
    </row>
    <row r="7111" spans="1:3" x14ac:dyDescent="0.25">
      <c r="A7111" s="2">
        <v>0</v>
      </c>
      <c r="B7111" s="38">
        <v>0</v>
      </c>
      <c r="C7111" s="79">
        <v>0</v>
      </c>
    </row>
    <row r="7112" spans="1:3" x14ac:dyDescent="0.25">
      <c r="A7112" s="2">
        <v>0</v>
      </c>
      <c r="B7112" s="38">
        <v>0</v>
      </c>
      <c r="C7112" s="79">
        <v>0</v>
      </c>
    </row>
    <row r="7113" spans="1:3" x14ac:dyDescent="0.25">
      <c r="A7113" s="2">
        <v>0</v>
      </c>
      <c r="B7113" s="38">
        <v>0</v>
      </c>
      <c r="C7113" s="79">
        <v>0</v>
      </c>
    </row>
    <row r="7114" spans="1:3" x14ac:dyDescent="0.25">
      <c r="A7114" s="2">
        <v>0</v>
      </c>
      <c r="B7114" s="38">
        <v>0</v>
      </c>
      <c r="C7114" s="79">
        <v>0</v>
      </c>
    </row>
    <row r="7115" spans="1:3" x14ac:dyDescent="0.25">
      <c r="A7115" s="2">
        <v>0</v>
      </c>
      <c r="B7115" s="38">
        <v>0</v>
      </c>
      <c r="C7115" s="79">
        <v>0</v>
      </c>
    </row>
    <row r="7116" spans="1:3" x14ac:dyDescent="0.25">
      <c r="A7116" s="2">
        <v>0</v>
      </c>
      <c r="B7116" s="38">
        <v>0</v>
      </c>
      <c r="C7116" s="79">
        <v>0</v>
      </c>
    </row>
    <row r="7117" spans="1:3" x14ac:dyDescent="0.25">
      <c r="A7117" s="2">
        <v>0</v>
      </c>
      <c r="B7117" s="38">
        <v>0</v>
      </c>
      <c r="C7117" s="79">
        <v>0</v>
      </c>
    </row>
    <row r="7118" spans="1:3" x14ac:dyDescent="0.25">
      <c r="A7118" s="2">
        <v>0</v>
      </c>
      <c r="B7118" s="38">
        <v>0</v>
      </c>
      <c r="C7118" s="79">
        <v>0</v>
      </c>
    </row>
    <row r="7119" spans="1:3" x14ac:dyDescent="0.25">
      <c r="A7119" s="2">
        <v>0</v>
      </c>
      <c r="B7119" s="38">
        <v>0</v>
      </c>
      <c r="C7119" s="79">
        <v>0</v>
      </c>
    </row>
    <row r="7120" spans="1:3" x14ac:dyDescent="0.25">
      <c r="A7120" s="2">
        <v>0</v>
      </c>
      <c r="B7120" s="38">
        <v>0</v>
      </c>
      <c r="C7120" s="79">
        <v>0</v>
      </c>
    </row>
    <row r="7121" spans="1:3" x14ac:dyDescent="0.25">
      <c r="A7121" s="2">
        <v>0</v>
      </c>
      <c r="B7121" s="38">
        <v>0</v>
      </c>
      <c r="C7121" s="79">
        <v>0</v>
      </c>
    </row>
    <row r="7122" spans="1:3" x14ac:dyDescent="0.25">
      <c r="A7122" s="2">
        <v>0</v>
      </c>
      <c r="B7122" s="38">
        <v>0</v>
      </c>
      <c r="C7122" s="79">
        <v>0</v>
      </c>
    </row>
    <row r="7123" spans="1:3" x14ac:dyDescent="0.25">
      <c r="A7123" s="2">
        <v>0</v>
      </c>
      <c r="B7123" s="38">
        <v>0</v>
      </c>
      <c r="C7123" s="79">
        <v>0</v>
      </c>
    </row>
    <row r="7124" spans="1:3" x14ac:dyDescent="0.25">
      <c r="A7124" s="2">
        <v>0</v>
      </c>
      <c r="B7124" s="38">
        <v>0</v>
      </c>
      <c r="C7124" s="79">
        <v>0</v>
      </c>
    </row>
    <row r="7125" spans="1:3" x14ac:dyDescent="0.25">
      <c r="A7125" s="2">
        <v>0</v>
      </c>
      <c r="B7125" s="38">
        <v>0</v>
      </c>
      <c r="C7125" s="79">
        <v>0</v>
      </c>
    </row>
    <row r="7126" spans="1:3" x14ac:dyDescent="0.25">
      <c r="A7126" s="2">
        <v>0</v>
      </c>
      <c r="B7126" s="38">
        <v>0</v>
      </c>
      <c r="C7126" s="79">
        <v>0</v>
      </c>
    </row>
    <row r="7127" spans="1:3" x14ac:dyDescent="0.25">
      <c r="A7127" s="2">
        <v>0</v>
      </c>
      <c r="B7127" s="38">
        <v>0</v>
      </c>
      <c r="C7127" s="79">
        <v>0</v>
      </c>
    </row>
    <row r="7128" spans="1:3" x14ac:dyDescent="0.25">
      <c r="A7128" s="2">
        <v>0</v>
      </c>
      <c r="B7128" s="38">
        <v>0</v>
      </c>
      <c r="C7128" s="79">
        <v>0</v>
      </c>
    </row>
    <row r="7129" spans="1:3" x14ac:dyDescent="0.25">
      <c r="A7129" s="2">
        <v>0</v>
      </c>
      <c r="B7129" s="38">
        <v>0</v>
      </c>
      <c r="C7129" s="79">
        <v>0</v>
      </c>
    </row>
    <row r="7130" spans="1:3" x14ac:dyDescent="0.25">
      <c r="A7130" s="2">
        <v>0</v>
      </c>
      <c r="B7130" s="38">
        <v>0</v>
      </c>
      <c r="C7130" s="79">
        <v>0</v>
      </c>
    </row>
    <row r="7131" spans="1:3" x14ac:dyDescent="0.25">
      <c r="A7131" s="2">
        <v>0</v>
      </c>
      <c r="B7131" s="38">
        <v>0</v>
      </c>
      <c r="C7131" s="79">
        <v>0</v>
      </c>
    </row>
    <row r="7132" spans="1:3" x14ac:dyDescent="0.25">
      <c r="A7132" s="2">
        <v>0</v>
      </c>
      <c r="B7132" s="38">
        <v>0</v>
      </c>
      <c r="C7132" s="79">
        <v>0</v>
      </c>
    </row>
    <row r="7133" spans="1:3" x14ac:dyDescent="0.25">
      <c r="A7133" s="2">
        <v>0</v>
      </c>
      <c r="B7133" s="38">
        <v>0</v>
      </c>
      <c r="C7133" s="79">
        <v>0</v>
      </c>
    </row>
    <row r="7134" spans="1:3" x14ac:dyDescent="0.25">
      <c r="A7134" s="2">
        <v>0</v>
      </c>
      <c r="B7134" s="38">
        <v>0</v>
      </c>
      <c r="C7134" s="79">
        <v>0</v>
      </c>
    </row>
    <row r="7135" spans="1:3" x14ac:dyDescent="0.25">
      <c r="A7135" s="2">
        <v>0</v>
      </c>
      <c r="B7135" s="38">
        <v>0</v>
      </c>
      <c r="C7135" s="79">
        <v>0</v>
      </c>
    </row>
    <row r="7136" spans="1:3" x14ac:dyDescent="0.25">
      <c r="A7136" s="2">
        <v>0</v>
      </c>
      <c r="B7136" s="38">
        <v>0</v>
      </c>
      <c r="C7136" s="79">
        <v>0</v>
      </c>
    </row>
    <row r="7137" spans="1:3" x14ac:dyDescent="0.25">
      <c r="A7137" s="2">
        <v>0</v>
      </c>
      <c r="B7137" s="38">
        <v>0</v>
      </c>
      <c r="C7137" s="79">
        <v>0</v>
      </c>
    </row>
    <row r="7138" spans="1:3" x14ac:dyDescent="0.25">
      <c r="A7138" s="2">
        <v>0</v>
      </c>
      <c r="B7138" s="38">
        <v>0</v>
      </c>
      <c r="C7138" s="79">
        <v>0</v>
      </c>
    </row>
    <row r="7139" spans="1:3" x14ac:dyDescent="0.25">
      <c r="A7139" s="2">
        <v>0</v>
      </c>
      <c r="B7139" s="38">
        <v>0</v>
      </c>
      <c r="C7139" s="79">
        <v>0</v>
      </c>
    </row>
    <row r="7140" spans="1:3" x14ac:dyDescent="0.25">
      <c r="A7140" s="2">
        <v>0</v>
      </c>
      <c r="B7140" s="38">
        <v>0</v>
      </c>
      <c r="C7140" s="79">
        <v>0</v>
      </c>
    </row>
    <row r="7141" spans="1:3" x14ac:dyDescent="0.25">
      <c r="A7141" s="2">
        <v>0</v>
      </c>
      <c r="B7141" s="38">
        <v>0</v>
      </c>
      <c r="C7141" s="79">
        <v>0</v>
      </c>
    </row>
    <row r="7142" spans="1:3" x14ac:dyDescent="0.25">
      <c r="A7142" s="2">
        <v>0</v>
      </c>
      <c r="B7142" s="38">
        <v>0</v>
      </c>
      <c r="C7142" s="79">
        <v>0</v>
      </c>
    </row>
    <row r="7143" spans="1:3" x14ac:dyDescent="0.25">
      <c r="A7143" s="2">
        <v>0</v>
      </c>
      <c r="B7143" s="38">
        <v>0</v>
      </c>
      <c r="C7143" s="79">
        <v>0</v>
      </c>
    </row>
    <row r="7144" spans="1:3" x14ac:dyDescent="0.25">
      <c r="A7144" s="2">
        <v>0</v>
      </c>
      <c r="B7144" s="38">
        <v>0</v>
      </c>
      <c r="C7144" s="79">
        <v>0</v>
      </c>
    </row>
    <row r="7145" spans="1:3" x14ac:dyDescent="0.25">
      <c r="A7145" s="2">
        <v>0</v>
      </c>
      <c r="B7145" s="38">
        <v>0</v>
      </c>
      <c r="C7145" s="79">
        <v>0</v>
      </c>
    </row>
    <row r="7146" spans="1:3" x14ac:dyDescent="0.25">
      <c r="A7146" s="2">
        <v>0</v>
      </c>
      <c r="B7146" s="38">
        <v>0</v>
      </c>
      <c r="C7146" s="79">
        <v>0</v>
      </c>
    </row>
    <row r="7147" spans="1:3" x14ac:dyDescent="0.25">
      <c r="A7147" s="2">
        <v>0</v>
      </c>
      <c r="B7147" s="38">
        <v>0</v>
      </c>
      <c r="C7147" s="79">
        <v>0</v>
      </c>
    </row>
    <row r="7148" spans="1:3" x14ac:dyDescent="0.25">
      <c r="A7148" s="2">
        <v>0</v>
      </c>
      <c r="B7148" s="38">
        <v>0</v>
      </c>
      <c r="C7148" s="79">
        <v>0</v>
      </c>
    </row>
    <row r="7149" spans="1:3" x14ac:dyDescent="0.25">
      <c r="A7149" s="2">
        <v>0</v>
      </c>
      <c r="B7149" s="38">
        <v>0</v>
      </c>
      <c r="C7149" s="79">
        <v>0</v>
      </c>
    </row>
    <row r="7150" spans="1:3" x14ac:dyDescent="0.25">
      <c r="A7150" s="2">
        <v>0</v>
      </c>
      <c r="B7150" s="38">
        <v>0</v>
      </c>
      <c r="C7150" s="79">
        <v>0</v>
      </c>
    </row>
    <row r="7151" spans="1:3" x14ac:dyDescent="0.25">
      <c r="A7151" s="2">
        <v>0</v>
      </c>
      <c r="B7151" s="38">
        <v>0</v>
      </c>
      <c r="C7151" s="79">
        <v>0</v>
      </c>
    </row>
    <row r="7152" spans="1:3" x14ac:dyDescent="0.25">
      <c r="A7152" s="2">
        <v>0</v>
      </c>
      <c r="B7152" s="38">
        <v>0</v>
      </c>
      <c r="C7152" s="79">
        <v>0</v>
      </c>
    </row>
    <row r="7153" spans="1:3" x14ac:dyDescent="0.25">
      <c r="A7153" s="2">
        <v>0</v>
      </c>
      <c r="B7153" s="38">
        <v>0</v>
      </c>
      <c r="C7153" s="79">
        <v>0</v>
      </c>
    </row>
    <row r="7154" spans="1:3" x14ac:dyDescent="0.25">
      <c r="A7154" s="2">
        <v>0</v>
      </c>
      <c r="B7154" s="38">
        <v>0</v>
      </c>
      <c r="C7154" s="79">
        <v>0</v>
      </c>
    </row>
    <row r="7155" spans="1:3" x14ac:dyDescent="0.25">
      <c r="A7155" s="2">
        <v>0</v>
      </c>
      <c r="B7155" s="38">
        <v>0</v>
      </c>
      <c r="C7155" s="79">
        <v>0</v>
      </c>
    </row>
    <row r="7156" spans="1:3" x14ac:dyDescent="0.25">
      <c r="A7156" s="2">
        <v>0</v>
      </c>
      <c r="B7156" s="38">
        <v>0</v>
      </c>
      <c r="C7156" s="79">
        <v>0</v>
      </c>
    </row>
    <row r="7157" spans="1:3" x14ac:dyDescent="0.25">
      <c r="A7157" s="2">
        <v>0</v>
      </c>
      <c r="B7157" s="38">
        <v>0</v>
      </c>
      <c r="C7157" s="79">
        <v>0</v>
      </c>
    </row>
    <row r="7158" spans="1:3" x14ac:dyDescent="0.25">
      <c r="A7158" s="2">
        <v>0</v>
      </c>
      <c r="B7158" s="38">
        <v>0</v>
      </c>
      <c r="C7158" s="79">
        <v>0</v>
      </c>
    </row>
    <row r="7159" spans="1:3" x14ac:dyDescent="0.25">
      <c r="A7159" s="2">
        <v>0</v>
      </c>
      <c r="B7159" s="38">
        <v>0</v>
      </c>
      <c r="C7159" s="79">
        <v>0</v>
      </c>
    </row>
    <row r="7160" spans="1:3" x14ac:dyDescent="0.25">
      <c r="A7160" s="2">
        <v>0</v>
      </c>
      <c r="B7160" s="38">
        <v>0</v>
      </c>
      <c r="C7160" s="79">
        <v>0</v>
      </c>
    </row>
    <row r="7161" spans="1:3" x14ac:dyDescent="0.25">
      <c r="A7161" s="2">
        <v>0</v>
      </c>
      <c r="B7161" s="38">
        <v>0</v>
      </c>
      <c r="C7161" s="79">
        <v>0</v>
      </c>
    </row>
    <row r="7162" spans="1:3" x14ac:dyDescent="0.25">
      <c r="A7162" s="2">
        <v>0</v>
      </c>
      <c r="B7162" s="38">
        <v>0</v>
      </c>
      <c r="C7162" s="79">
        <v>0</v>
      </c>
    </row>
    <row r="7163" spans="1:3" x14ac:dyDescent="0.25">
      <c r="A7163" s="2">
        <v>0</v>
      </c>
      <c r="B7163" s="38">
        <v>0</v>
      </c>
      <c r="C7163" s="79">
        <v>0</v>
      </c>
    </row>
    <row r="7164" spans="1:3" x14ac:dyDescent="0.25">
      <c r="A7164" s="2">
        <v>0</v>
      </c>
      <c r="B7164" s="38">
        <v>0</v>
      </c>
      <c r="C7164" s="79">
        <v>0</v>
      </c>
    </row>
    <row r="7165" spans="1:3" x14ac:dyDescent="0.25">
      <c r="A7165" s="2">
        <v>0</v>
      </c>
      <c r="B7165" s="38">
        <v>0</v>
      </c>
      <c r="C7165" s="79">
        <v>0</v>
      </c>
    </row>
    <row r="7166" spans="1:3" x14ac:dyDescent="0.25">
      <c r="A7166" s="2">
        <v>0</v>
      </c>
      <c r="B7166" s="38">
        <v>0</v>
      </c>
      <c r="C7166" s="79">
        <v>0</v>
      </c>
    </row>
    <row r="7167" spans="1:3" x14ac:dyDescent="0.25">
      <c r="A7167" s="2">
        <v>0</v>
      </c>
      <c r="B7167" s="38">
        <v>0</v>
      </c>
      <c r="C7167" s="79">
        <v>0</v>
      </c>
    </row>
    <row r="7168" spans="1:3" x14ac:dyDescent="0.25">
      <c r="A7168" s="2">
        <v>0</v>
      </c>
      <c r="B7168" s="38">
        <v>0</v>
      </c>
      <c r="C7168" s="79">
        <v>0</v>
      </c>
    </row>
    <row r="7169" spans="1:3" x14ac:dyDescent="0.25">
      <c r="A7169" s="2">
        <v>0</v>
      </c>
      <c r="B7169" s="38">
        <v>0</v>
      </c>
      <c r="C7169" s="79">
        <v>0</v>
      </c>
    </row>
    <row r="7170" spans="1:3" x14ac:dyDescent="0.25">
      <c r="A7170" s="2">
        <v>0</v>
      </c>
      <c r="B7170" s="38">
        <v>0</v>
      </c>
      <c r="C7170" s="79">
        <v>0</v>
      </c>
    </row>
    <row r="7171" spans="1:3" x14ac:dyDescent="0.25">
      <c r="A7171" s="2">
        <v>0</v>
      </c>
      <c r="B7171" s="38">
        <v>0</v>
      </c>
      <c r="C7171" s="79">
        <v>0</v>
      </c>
    </row>
    <row r="7172" spans="1:3" x14ac:dyDescent="0.25">
      <c r="A7172" s="2">
        <v>0</v>
      </c>
      <c r="B7172" s="38">
        <v>0</v>
      </c>
      <c r="C7172" s="79">
        <v>0</v>
      </c>
    </row>
    <row r="7173" spans="1:3" x14ac:dyDescent="0.25">
      <c r="A7173" s="2">
        <v>0</v>
      </c>
      <c r="B7173" s="38">
        <v>0</v>
      </c>
      <c r="C7173" s="79">
        <v>0</v>
      </c>
    </row>
    <row r="7174" spans="1:3" x14ac:dyDescent="0.25">
      <c r="A7174" s="2">
        <v>0</v>
      </c>
      <c r="B7174" s="38">
        <v>0</v>
      </c>
      <c r="C7174" s="79">
        <v>0</v>
      </c>
    </row>
    <row r="7175" spans="1:3" x14ac:dyDescent="0.25">
      <c r="A7175" s="2">
        <v>0</v>
      </c>
      <c r="B7175" s="38">
        <v>0</v>
      </c>
      <c r="C7175" s="79">
        <v>0</v>
      </c>
    </row>
    <row r="7176" spans="1:3" x14ac:dyDescent="0.25">
      <c r="A7176" s="2">
        <v>0</v>
      </c>
      <c r="B7176" s="38">
        <v>0</v>
      </c>
      <c r="C7176" s="79">
        <v>0</v>
      </c>
    </row>
    <row r="7177" spans="1:3" x14ac:dyDescent="0.25">
      <c r="A7177" s="2">
        <v>0</v>
      </c>
      <c r="B7177" s="38">
        <v>0</v>
      </c>
      <c r="C7177" s="79">
        <v>0</v>
      </c>
    </row>
    <row r="7178" spans="1:3" x14ac:dyDescent="0.25">
      <c r="A7178" s="2">
        <v>0</v>
      </c>
      <c r="B7178" s="38">
        <v>0</v>
      </c>
      <c r="C7178" s="79">
        <v>0</v>
      </c>
    </row>
    <row r="7179" spans="1:3" x14ac:dyDescent="0.25">
      <c r="A7179" s="2">
        <v>0</v>
      </c>
      <c r="B7179" s="38">
        <v>0</v>
      </c>
      <c r="C7179" s="79">
        <v>0</v>
      </c>
    </row>
    <row r="7180" spans="1:3" x14ac:dyDescent="0.25">
      <c r="A7180" s="2">
        <v>0</v>
      </c>
      <c r="B7180" s="38">
        <v>0</v>
      </c>
      <c r="C7180" s="79">
        <v>0</v>
      </c>
    </row>
    <row r="7181" spans="1:3" x14ac:dyDescent="0.25">
      <c r="A7181" s="2">
        <v>0</v>
      </c>
      <c r="B7181" s="38">
        <v>0</v>
      </c>
      <c r="C7181" s="79">
        <v>0</v>
      </c>
    </row>
    <row r="7182" spans="1:3" x14ac:dyDescent="0.25">
      <c r="A7182" s="2">
        <v>0</v>
      </c>
      <c r="B7182" s="38">
        <v>0</v>
      </c>
      <c r="C7182" s="79">
        <v>0</v>
      </c>
    </row>
    <row r="7183" spans="1:3" x14ac:dyDescent="0.25">
      <c r="A7183" s="2">
        <v>0</v>
      </c>
      <c r="B7183" s="38">
        <v>0</v>
      </c>
      <c r="C7183" s="79">
        <v>0</v>
      </c>
    </row>
    <row r="7184" spans="1:3" x14ac:dyDescent="0.25">
      <c r="A7184" s="2">
        <v>0</v>
      </c>
      <c r="B7184" s="38">
        <v>0</v>
      </c>
      <c r="C7184" s="79">
        <v>0</v>
      </c>
    </row>
    <row r="7185" spans="1:3" x14ac:dyDescent="0.25">
      <c r="A7185" s="2">
        <v>0</v>
      </c>
      <c r="B7185" s="38">
        <v>0</v>
      </c>
      <c r="C7185" s="79">
        <v>0</v>
      </c>
    </row>
    <row r="7186" spans="1:3" x14ac:dyDescent="0.25">
      <c r="A7186" s="2">
        <v>0</v>
      </c>
      <c r="B7186" s="38">
        <v>0</v>
      </c>
      <c r="C7186" s="79">
        <v>0</v>
      </c>
    </row>
    <row r="7187" spans="1:3" x14ac:dyDescent="0.25">
      <c r="A7187" s="2">
        <v>0</v>
      </c>
      <c r="B7187" s="38">
        <v>0</v>
      </c>
      <c r="C7187" s="79">
        <v>0</v>
      </c>
    </row>
    <row r="7188" spans="1:3" x14ac:dyDescent="0.25">
      <c r="A7188" s="2">
        <v>0</v>
      </c>
      <c r="B7188" s="38">
        <v>0</v>
      </c>
      <c r="C7188" s="79">
        <v>0</v>
      </c>
    </row>
    <row r="7189" spans="1:3" x14ac:dyDescent="0.25">
      <c r="A7189" s="2">
        <v>0</v>
      </c>
      <c r="B7189" s="38">
        <v>0</v>
      </c>
      <c r="C7189" s="79">
        <v>0</v>
      </c>
    </row>
    <row r="7190" spans="1:3" x14ac:dyDescent="0.25">
      <c r="A7190" s="2">
        <v>0</v>
      </c>
      <c r="B7190" s="38">
        <v>0</v>
      </c>
      <c r="C7190" s="79">
        <v>0</v>
      </c>
    </row>
    <row r="7191" spans="1:3" x14ac:dyDescent="0.25">
      <c r="A7191" s="2">
        <v>0</v>
      </c>
      <c r="B7191" s="38">
        <v>0</v>
      </c>
      <c r="C7191" s="79">
        <v>0</v>
      </c>
    </row>
    <row r="7192" spans="1:3" x14ac:dyDescent="0.25">
      <c r="A7192" s="2">
        <v>0</v>
      </c>
      <c r="B7192" s="38">
        <v>0</v>
      </c>
      <c r="C7192" s="79">
        <v>0</v>
      </c>
    </row>
    <row r="7193" spans="1:3" x14ac:dyDescent="0.25">
      <c r="A7193" s="2">
        <v>0</v>
      </c>
      <c r="B7193" s="38">
        <v>0</v>
      </c>
      <c r="C7193" s="79">
        <v>0</v>
      </c>
    </row>
    <row r="7194" spans="1:3" x14ac:dyDescent="0.25">
      <c r="A7194" s="2">
        <v>0</v>
      </c>
      <c r="B7194" s="38">
        <v>0</v>
      </c>
      <c r="C7194" s="79">
        <v>0</v>
      </c>
    </row>
    <row r="7195" spans="1:3" x14ac:dyDescent="0.25">
      <c r="A7195" s="2">
        <v>0</v>
      </c>
      <c r="B7195" s="38">
        <v>0</v>
      </c>
      <c r="C7195" s="79">
        <v>0</v>
      </c>
    </row>
    <row r="7196" spans="1:3" x14ac:dyDescent="0.25">
      <c r="A7196" s="2">
        <v>0</v>
      </c>
      <c r="B7196" s="38">
        <v>0</v>
      </c>
      <c r="C7196" s="79">
        <v>0</v>
      </c>
    </row>
    <row r="7197" spans="1:3" x14ac:dyDescent="0.25">
      <c r="A7197" s="2">
        <v>0</v>
      </c>
      <c r="B7197" s="38">
        <v>0</v>
      </c>
      <c r="C7197" s="79">
        <v>0</v>
      </c>
    </row>
    <row r="7198" spans="1:3" x14ac:dyDescent="0.25">
      <c r="A7198" s="2">
        <v>0</v>
      </c>
      <c r="B7198" s="38">
        <v>0</v>
      </c>
      <c r="C7198" s="79">
        <v>0</v>
      </c>
    </row>
    <row r="7199" spans="1:3" x14ac:dyDescent="0.25">
      <c r="A7199" s="2">
        <v>0</v>
      </c>
      <c r="B7199" s="38">
        <v>0</v>
      </c>
      <c r="C7199" s="79">
        <v>0</v>
      </c>
    </row>
    <row r="7200" spans="1:3" x14ac:dyDescent="0.25">
      <c r="A7200" s="2">
        <v>0</v>
      </c>
      <c r="B7200" s="38">
        <v>0</v>
      </c>
      <c r="C7200" s="79">
        <v>0</v>
      </c>
    </row>
    <row r="7201" spans="1:3" x14ac:dyDescent="0.25">
      <c r="A7201" s="2">
        <v>0</v>
      </c>
      <c r="B7201" s="38">
        <v>0</v>
      </c>
      <c r="C7201" s="79">
        <v>0</v>
      </c>
    </row>
    <row r="7202" spans="1:3" x14ac:dyDescent="0.25">
      <c r="A7202" s="2">
        <v>0</v>
      </c>
      <c r="B7202" s="38">
        <v>0</v>
      </c>
      <c r="C7202" s="79">
        <v>0</v>
      </c>
    </row>
    <row r="7203" spans="1:3" x14ac:dyDescent="0.25">
      <c r="A7203" s="2">
        <v>0</v>
      </c>
      <c r="B7203" s="38">
        <v>0</v>
      </c>
      <c r="C7203" s="79">
        <v>0</v>
      </c>
    </row>
    <row r="7204" spans="1:3" x14ac:dyDescent="0.25">
      <c r="A7204" s="2">
        <v>0</v>
      </c>
      <c r="B7204" s="38">
        <v>0</v>
      </c>
      <c r="C7204" s="79">
        <v>0</v>
      </c>
    </row>
    <row r="7205" spans="1:3" x14ac:dyDescent="0.25">
      <c r="A7205" s="2">
        <v>0</v>
      </c>
      <c r="B7205" s="38">
        <v>0</v>
      </c>
      <c r="C7205" s="79">
        <v>0</v>
      </c>
    </row>
    <row r="7206" spans="1:3" x14ac:dyDescent="0.25">
      <c r="A7206" s="2">
        <v>0</v>
      </c>
      <c r="B7206" s="38">
        <v>0</v>
      </c>
      <c r="C7206" s="79">
        <v>0</v>
      </c>
    </row>
    <row r="7207" spans="1:3" x14ac:dyDescent="0.25">
      <c r="A7207" s="2">
        <v>0</v>
      </c>
      <c r="B7207" s="38">
        <v>0</v>
      </c>
      <c r="C7207" s="79">
        <v>0</v>
      </c>
    </row>
    <row r="7208" spans="1:3" x14ac:dyDescent="0.25">
      <c r="A7208" s="2">
        <v>0</v>
      </c>
      <c r="B7208" s="38">
        <v>0</v>
      </c>
      <c r="C7208" s="79">
        <v>0</v>
      </c>
    </row>
    <row r="7209" spans="1:3" x14ac:dyDescent="0.25">
      <c r="A7209" s="2">
        <v>0</v>
      </c>
      <c r="B7209" s="38">
        <v>0</v>
      </c>
      <c r="C7209" s="79">
        <v>0</v>
      </c>
    </row>
    <row r="7210" spans="1:3" x14ac:dyDescent="0.25">
      <c r="A7210" s="2">
        <v>0</v>
      </c>
      <c r="B7210" s="38">
        <v>0</v>
      </c>
      <c r="C7210" s="79">
        <v>0</v>
      </c>
    </row>
    <row r="7211" spans="1:3" x14ac:dyDescent="0.25">
      <c r="A7211" s="2">
        <v>0</v>
      </c>
      <c r="B7211" s="38">
        <v>0</v>
      </c>
      <c r="C7211" s="79">
        <v>0</v>
      </c>
    </row>
    <row r="7212" spans="1:3" x14ac:dyDescent="0.25">
      <c r="A7212" s="2">
        <v>0</v>
      </c>
      <c r="B7212" s="38">
        <v>0</v>
      </c>
      <c r="C7212" s="79">
        <v>0</v>
      </c>
    </row>
    <row r="7213" spans="1:3" x14ac:dyDescent="0.25">
      <c r="A7213" s="2">
        <v>0</v>
      </c>
      <c r="B7213" s="38">
        <v>0</v>
      </c>
      <c r="C7213" s="79">
        <v>0</v>
      </c>
    </row>
    <row r="7214" spans="1:3" x14ac:dyDescent="0.25">
      <c r="A7214" s="2">
        <v>0</v>
      </c>
      <c r="B7214" s="38">
        <v>0</v>
      </c>
      <c r="C7214" s="79">
        <v>0</v>
      </c>
    </row>
    <row r="7215" spans="1:3" x14ac:dyDescent="0.25">
      <c r="A7215" s="2">
        <v>0</v>
      </c>
      <c r="B7215" s="38">
        <v>0</v>
      </c>
      <c r="C7215" s="79">
        <v>0</v>
      </c>
    </row>
    <row r="7216" spans="1:3" x14ac:dyDescent="0.25">
      <c r="A7216" s="2">
        <v>0</v>
      </c>
      <c r="B7216" s="38">
        <v>0</v>
      </c>
      <c r="C7216" s="79">
        <v>0</v>
      </c>
    </row>
    <row r="7217" spans="1:3" x14ac:dyDescent="0.25">
      <c r="A7217" s="2">
        <v>0</v>
      </c>
      <c r="B7217" s="38">
        <v>0</v>
      </c>
      <c r="C7217" s="79">
        <v>0</v>
      </c>
    </row>
    <row r="7218" spans="1:3" x14ac:dyDescent="0.25">
      <c r="A7218" s="2">
        <v>0</v>
      </c>
      <c r="B7218" s="38">
        <v>0</v>
      </c>
      <c r="C7218" s="79">
        <v>0</v>
      </c>
    </row>
    <row r="7219" spans="1:3" x14ac:dyDescent="0.25">
      <c r="A7219" s="2">
        <v>0</v>
      </c>
      <c r="B7219" s="38">
        <v>0</v>
      </c>
      <c r="C7219" s="79">
        <v>0</v>
      </c>
    </row>
    <row r="7220" spans="1:3" x14ac:dyDescent="0.25">
      <c r="A7220" s="2">
        <v>0</v>
      </c>
      <c r="B7220" s="38">
        <v>0</v>
      </c>
      <c r="C7220" s="79">
        <v>0</v>
      </c>
    </row>
    <row r="7221" spans="1:3" x14ac:dyDescent="0.25">
      <c r="A7221" s="2">
        <v>0</v>
      </c>
      <c r="B7221" s="38">
        <v>0</v>
      </c>
      <c r="C7221" s="79">
        <v>0</v>
      </c>
    </row>
    <row r="7222" spans="1:3" x14ac:dyDescent="0.25">
      <c r="A7222" s="2">
        <v>0</v>
      </c>
      <c r="B7222" s="38">
        <v>0</v>
      </c>
      <c r="C7222" s="79">
        <v>0</v>
      </c>
    </row>
    <row r="7223" spans="1:3" x14ac:dyDescent="0.25">
      <c r="A7223" s="2">
        <v>0</v>
      </c>
      <c r="B7223" s="38">
        <v>0</v>
      </c>
      <c r="C7223" s="79">
        <v>0</v>
      </c>
    </row>
    <row r="7224" spans="1:3" x14ac:dyDescent="0.25">
      <c r="A7224" s="2">
        <v>0</v>
      </c>
      <c r="B7224" s="38">
        <v>0</v>
      </c>
      <c r="C7224" s="79">
        <v>0</v>
      </c>
    </row>
    <row r="7225" spans="1:3" x14ac:dyDescent="0.25">
      <c r="A7225" s="2">
        <v>0</v>
      </c>
      <c r="B7225" s="38">
        <v>0</v>
      </c>
      <c r="C7225" s="79">
        <v>0</v>
      </c>
    </row>
    <row r="7226" spans="1:3" x14ac:dyDescent="0.25">
      <c r="A7226" s="2">
        <v>0</v>
      </c>
      <c r="B7226" s="38">
        <v>0</v>
      </c>
      <c r="C7226" s="79">
        <v>0</v>
      </c>
    </row>
    <row r="7227" spans="1:3" x14ac:dyDescent="0.25">
      <c r="A7227" s="2">
        <v>0</v>
      </c>
      <c r="B7227" s="38">
        <v>0</v>
      </c>
      <c r="C7227" s="79">
        <v>0</v>
      </c>
    </row>
    <row r="7228" spans="1:3" x14ac:dyDescent="0.25">
      <c r="A7228" s="2">
        <v>0</v>
      </c>
      <c r="B7228" s="38">
        <v>0</v>
      </c>
      <c r="C7228" s="79">
        <v>0</v>
      </c>
    </row>
    <row r="7229" spans="1:3" x14ac:dyDescent="0.25">
      <c r="A7229" s="2">
        <v>0</v>
      </c>
      <c r="B7229" s="38">
        <v>0</v>
      </c>
      <c r="C7229" s="79">
        <v>0</v>
      </c>
    </row>
    <row r="7230" spans="1:3" x14ac:dyDescent="0.25">
      <c r="A7230" s="2">
        <v>0</v>
      </c>
      <c r="B7230" s="38">
        <v>0</v>
      </c>
      <c r="C7230" s="79">
        <v>0</v>
      </c>
    </row>
    <row r="7231" spans="1:3" x14ac:dyDescent="0.25">
      <c r="A7231" s="2">
        <v>0</v>
      </c>
      <c r="B7231" s="38">
        <v>0</v>
      </c>
      <c r="C7231" s="79">
        <v>0</v>
      </c>
    </row>
    <row r="7232" spans="1:3" x14ac:dyDescent="0.25">
      <c r="A7232" s="2">
        <v>0</v>
      </c>
      <c r="B7232" s="38">
        <v>0</v>
      </c>
      <c r="C7232" s="79">
        <v>0</v>
      </c>
    </row>
    <row r="7233" spans="1:3" x14ac:dyDescent="0.25">
      <c r="A7233" s="2">
        <v>0</v>
      </c>
      <c r="B7233" s="38">
        <v>0</v>
      </c>
      <c r="C7233" s="79">
        <v>0</v>
      </c>
    </row>
    <row r="7234" spans="1:3" x14ac:dyDescent="0.25">
      <c r="A7234" s="2">
        <v>0</v>
      </c>
      <c r="B7234" s="38">
        <v>0</v>
      </c>
      <c r="C7234" s="79">
        <v>0</v>
      </c>
    </row>
    <row r="7235" spans="1:3" x14ac:dyDescent="0.25">
      <c r="A7235" s="2">
        <v>0</v>
      </c>
      <c r="B7235" s="38">
        <v>0</v>
      </c>
      <c r="C7235" s="79">
        <v>0</v>
      </c>
    </row>
    <row r="7236" spans="1:3" x14ac:dyDescent="0.25">
      <c r="A7236" s="2">
        <v>0</v>
      </c>
      <c r="B7236" s="38">
        <v>0</v>
      </c>
      <c r="C7236" s="79">
        <v>0</v>
      </c>
    </row>
    <row r="7237" spans="1:3" x14ac:dyDescent="0.25">
      <c r="A7237" s="2">
        <v>0</v>
      </c>
      <c r="B7237" s="38">
        <v>0</v>
      </c>
      <c r="C7237" s="79">
        <v>0</v>
      </c>
    </row>
    <row r="7238" spans="1:3" x14ac:dyDescent="0.25">
      <c r="A7238" s="2">
        <v>0</v>
      </c>
      <c r="B7238" s="38">
        <v>0</v>
      </c>
      <c r="C7238" s="79">
        <v>0</v>
      </c>
    </row>
    <row r="7239" spans="1:3" x14ac:dyDescent="0.25">
      <c r="A7239" s="2">
        <v>0</v>
      </c>
      <c r="B7239" s="38">
        <v>0</v>
      </c>
      <c r="C7239" s="79">
        <v>0</v>
      </c>
    </row>
    <row r="7240" spans="1:3" x14ac:dyDescent="0.25">
      <c r="A7240" s="2">
        <v>0</v>
      </c>
      <c r="B7240" s="38">
        <v>0</v>
      </c>
      <c r="C7240" s="79">
        <v>0</v>
      </c>
    </row>
    <row r="7241" spans="1:3" x14ac:dyDescent="0.25">
      <c r="A7241" s="2">
        <v>0</v>
      </c>
      <c r="B7241" s="38">
        <v>0</v>
      </c>
      <c r="C7241" s="79">
        <v>0</v>
      </c>
    </row>
    <row r="7242" spans="1:3" x14ac:dyDescent="0.25">
      <c r="A7242" s="2">
        <v>0</v>
      </c>
      <c r="B7242" s="38">
        <v>0</v>
      </c>
      <c r="C7242" s="79">
        <v>0</v>
      </c>
    </row>
    <row r="7243" spans="1:3" x14ac:dyDescent="0.25">
      <c r="A7243" s="2">
        <v>0</v>
      </c>
      <c r="B7243" s="38">
        <v>0</v>
      </c>
      <c r="C7243" s="79">
        <v>0</v>
      </c>
    </row>
    <row r="7244" spans="1:3" x14ac:dyDescent="0.25">
      <c r="A7244" s="2">
        <v>0</v>
      </c>
      <c r="B7244" s="38">
        <v>0</v>
      </c>
      <c r="C7244" s="79">
        <v>0</v>
      </c>
    </row>
    <row r="7245" spans="1:3" x14ac:dyDescent="0.25">
      <c r="A7245" s="2">
        <v>0</v>
      </c>
      <c r="B7245" s="38">
        <v>0</v>
      </c>
      <c r="C7245" s="79">
        <v>0</v>
      </c>
    </row>
    <row r="7246" spans="1:3" x14ac:dyDescent="0.25">
      <c r="A7246" s="2">
        <v>0</v>
      </c>
      <c r="B7246" s="38">
        <v>0</v>
      </c>
      <c r="C7246" s="79">
        <v>0</v>
      </c>
    </row>
    <row r="7247" spans="1:3" x14ac:dyDescent="0.25">
      <c r="A7247" s="2">
        <v>0</v>
      </c>
      <c r="B7247" s="38">
        <v>0</v>
      </c>
      <c r="C7247" s="79">
        <v>0</v>
      </c>
    </row>
    <row r="7248" spans="1:3" x14ac:dyDescent="0.25">
      <c r="A7248" s="2">
        <v>0</v>
      </c>
      <c r="B7248" s="38">
        <v>0</v>
      </c>
      <c r="C7248" s="79">
        <v>0</v>
      </c>
    </row>
    <row r="7249" spans="1:3" x14ac:dyDescent="0.25">
      <c r="A7249" s="2">
        <v>0</v>
      </c>
      <c r="B7249" s="38">
        <v>0</v>
      </c>
      <c r="C7249" s="79">
        <v>0</v>
      </c>
    </row>
    <row r="7250" spans="1:3" x14ac:dyDescent="0.25">
      <c r="A7250" s="2">
        <v>0</v>
      </c>
      <c r="B7250" s="38">
        <v>0</v>
      </c>
      <c r="C7250" s="79">
        <v>0</v>
      </c>
    </row>
    <row r="7251" spans="1:3" x14ac:dyDescent="0.25">
      <c r="A7251" s="2">
        <v>0</v>
      </c>
      <c r="B7251" s="38">
        <v>0</v>
      </c>
      <c r="C7251" s="79">
        <v>0</v>
      </c>
    </row>
    <row r="7252" spans="1:3" x14ac:dyDescent="0.25">
      <c r="A7252" s="2">
        <v>0</v>
      </c>
      <c r="B7252" s="38">
        <v>0</v>
      </c>
      <c r="C7252" s="79">
        <v>0</v>
      </c>
    </row>
    <row r="7253" spans="1:3" x14ac:dyDescent="0.25">
      <c r="A7253" s="2">
        <v>0</v>
      </c>
      <c r="B7253" s="38">
        <v>0</v>
      </c>
      <c r="C7253" s="79">
        <v>0</v>
      </c>
    </row>
    <row r="7254" spans="1:3" x14ac:dyDescent="0.25">
      <c r="A7254" s="2">
        <v>0</v>
      </c>
      <c r="B7254" s="38">
        <v>0</v>
      </c>
      <c r="C7254" s="79">
        <v>0</v>
      </c>
    </row>
    <row r="7255" spans="1:3" x14ac:dyDescent="0.25">
      <c r="A7255" s="2">
        <v>0</v>
      </c>
      <c r="B7255" s="38">
        <v>0</v>
      </c>
      <c r="C7255" s="79">
        <v>0</v>
      </c>
    </row>
    <row r="7256" spans="1:3" x14ac:dyDescent="0.25">
      <c r="A7256" s="2">
        <v>0</v>
      </c>
      <c r="B7256" s="38">
        <v>0</v>
      </c>
      <c r="C7256" s="79">
        <v>0</v>
      </c>
    </row>
    <row r="7257" spans="1:3" x14ac:dyDescent="0.25">
      <c r="A7257" s="2">
        <v>0</v>
      </c>
      <c r="B7257" s="38">
        <v>0</v>
      </c>
      <c r="C7257" s="79">
        <v>0</v>
      </c>
    </row>
    <row r="7258" spans="1:3" x14ac:dyDescent="0.25">
      <c r="A7258" s="2">
        <v>0</v>
      </c>
      <c r="B7258" s="38">
        <v>0</v>
      </c>
      <c r="C7258" s="79">
        <v>0</v>
      </c>
    </row>
    <row r="7259" spans="1:3" x14ac:dyDescent="0.25">
      <c r="A7259" s="2">
        <v>0</v>
      </c>
      <c r="B7259" s="38">
        <v>0</v>
      </c>
      <c r="C7259" s="79">
        <v>0</v>
      </c>
    </row>
    <row r="7260" spans="1:3" x14ac:dyDescent="0.25">
      <c r="A7260" s="2">
        <v>0</v>
      </c>
      <c r="B7260" s="38">
        <v>0</v>
      </c>
      <c r="C7260" s="79">
        <v>0</v>
      </c>
    </row>
    <row r="7261" spans="1:3" x14ac:dyDescent="0.25">
      <c r="A7261" s="2">
        <v>0</v>
      </c>
      <c r="B7261" s="38">
        <v>0</v>
      </c>
      <c r="C7261" s="79">
        <v>0</v>
      </c>
    </row>
    <row r="7262" spans="1:3" x14ac:dyDescent="0.25">
      <c r="A7262" s="2">
        <v>0</v>
      </c>
      <c r="B7262" s="38">
        <v>0</v>
      </c>
      <c r="C7262" s="79">
        <v>0</v>
      </c>
    </row>
    <row r="7263" spans="1:3" x14ac:dyDescent="0.25">
      <c r="A7263" s="2">
        <v>0</v>
      </c>
      <c r="B7263" s="38">
        <v>0</v>
      </c>
      <c r="C7263" s="79">
        <v>0</v>
      </c>
    </row>
    <row r="7264" spans="1:3" x14ac:dyDescent="0.25">
      <c r="A7264" s="2">
        <v>0</v>
      </c>
      <c r="B7264" s="38">
        <v>0</v>
      </c>
      <c r="C7264" s="79">
        <v>0</v>
      </c>
    </row>
    <row r="7265" spans="1:3" x14ac:dyDescent="0.25">
      <c r="A7265" s="2">
        <v>0</v>
      </c>
      <c r="B7265" s="38">
        <v>0</v>
      </c>
      <c r="C7265" s="79">
        <v>0</v>
      </c>
    </row>
    <row r="7266" spans="1:3" x14ac:dyDescent="0.25">
      <c r="A7266" s="2">
        <v>0</v>
      </c>
      <c r="B7266" s="38">
        <v>0</v>
      </c>
      <c r="C7266" s="79">
        <v>0</v>
      </c>
    </row>
    <row r="7267" spans="1:3" x14ac:dyDescent="0.25">
      <c r="A7267" s="2">
        <v>0</v>
      </c>
      <c r="B7267" s="38">
        <v>0</v>
      </c>
      <c r="C7267" s="79">
        <v>0</v>
      </c>
    </row>
    <row r="7268" spans="1:3" x14ac:dyDescent="0.25">
      <c r="A7268" s="2">
        <v>0</v>
      </c>
      <c r="B7268" s="38">
        <v>0</v>
      </c>
      <c r="C7268" s="79">
        <v>0</v>
      </c>
    </row>
    <row r="7269" spans="1:3" x14ac:dyDescent="0.25">
      <c r="A7269" s="2">
        <v>0</v>
      </c>
      <c r="B7269" s="38">
        <v>0</v>
      </c>
      <c r="C7269" s="79">
        <v>0</v>
      </c>
    </row>
    <row r="7270" spans="1:3" x14ac:dyDescent="0.25">
      <c r="A7270" s="2">
        <v>0</v>
      </c>
      <c r="B7270" s="38">
        <v>0</v>
      </c>
      <c r="C7270" s="79">
        <v>0</v>
      </c>
    </row>
    <row r="7271" spans="1:3" x14ac:dyDescent="0.25">
      <c r="A7271" s="2">
        <v>0</v>
      </c>
      <c r="B7271" s="38">
        <v>0</v>
      </c>
      <c r="C7271" s="79">
        <v>0</v>
      </c>
    </row>
    <row r="7272" spans="1:3" x14ac:dyDescent="0.25">
      <c r="A7272" s="2">
        <v>0</v>
      </c>
      <c r="B7272" s="38">
        <v>0</v>
      </c>
      <c r="C7272" s="79">
        <v>0</v>
      </c>
    </row>
    <row r="7273" spans="1:3" x14ac:dyDescent="0.25">
      <c r="A7273" s="2">
        <v>0</v>
      </c>
      <c r="B7273" s="38">
        <v>0</v>
      </c>
      <c r="C7273" s="79">
        <v>0</v>
      </c>
    </row>
    <row r="7274" spans="1:3" x14ac:dyDescent="0.25">
      <c r="A7274" s="2">
        <v>0</v>
      </c>
      <c r="B7274" s="38">
        <v>0</v>
      </c>
      <c r="C7274" s="79">
        <v>0</v>
      </c>
    </row>
    <row r="7275" spans="1:3" x14ac:dyDescent="0.25">
      <c r="A7275" s="2">
        <v>0</v>
      </c>
      <c r="B7275" s="38">
        <v>0</v>
      </c>
      <c r="C7275" s="79">
        <v>0</v>
      </c>
    </row>
    <row r="7276" spans="1:3" x14ac:dyDescent="0.25">
      <c r="A7276" s="2">
        <v>0</v>
      </c>
      <c r="B7276" s="38">
        <v>0</v>
      </c>
      <c r="C7276" s="79">
        <v>0</v>
      </c>
    </row>
    <row r="7277" spans="1:3" x14ac:dyDescent="0.25">
      <c r="A7277" s="2">
        <v>0</v>
      </c>
      <c r="B7277" s="38">
        <v>0</v>
      </c>
      <c r="C7277" s="79">
        <v>0</v>
      </c>
    </row>
    <row r="7278" spans="1:3" x14ac:dyDescent="0.25">
      <c r="A7278" s="2">
        <v>0</v>
      </c>
      <c r="B7278" s="38">
        <v>0</v>
      </c>
      <c r="C7278" s="79">
        <v>0</v>
      </c>
    </row>
    <row r="7279" spans="1:3" x14ac:dyDescent="0.25">
      <c r="A7279" s="2">
        <v>0</v>
      </c>
      <c r="B7279" s="38">
        <v>0</v>
      </c>
      <c r="C7279" s="79">
        <v>0</v>
      </c>
    </row>
    <row r="7280" spans="1:3" x14ac:dyDescent="0.25">
      <c r="A7280" s="2">
        <v>0</v>
      </c>
      <c r="B7280" s="38">
        <v>0</v>
      </c>
      <c r="C7280" s="79">
        <v>0</v>
      </c>
    </row>
    <row r="7281" spans="1:3" x14ac:dyDescent="0.25">
      <c r="A7281" s="2">
        <v>0</v>
      </c>
      <c r="B7281" s="38">
        <v>0</v>
      </c>
      <c r="C7281" s="79">
        <v>0</v>
      </c>
    </row>
    <row r="7282" spans="1:3" x14ac:dyDescent="0.25">
      <c r="A7282" s="2">
        <v>0</v>
      </c>
      <c r="B7282" s="38">
        <v>0</v>
      </c>
      <c r="C7282" s="79">
        <v>0</v>
      </c>
    </row>
    <row r="7283" spans="1:3" x14ac:dyDescent="0.25">
      <c r="A7283" s="2">
        <v>0</v>
      </c>
      <c r="B7283" s="38">
        <v>0</v>
      </c>
      <c r="C7283" s="79">
        <v>0</v>
      </c>
    </row>
    <row r="7284" spans="1:3" x14ac:dyDescent="0.25">
      <c r="A7284" s="2">
        <v>0</v>
      </c>
      <c r="B7284" s="38">
        <v>0</v>
      </c>
      <c r="C7284" s="79">
        <v>0</v>
      </c>
    </row>
    <row r="7285" spans="1:3" x14ac:dyDescent="0.25">
      <c r="A7285" s="2">
        <v>0</v>
      </c>
      <c r="B7285" s="38">
        <v>0</v>
      </c>
      <c r="C7285" s="79">
        <v>0</v>
      </c>
    </row>
    <row r="7286" spans="1:3" x14ac:dyDescent="0.25">
      <c r="A7286" s="2">
        <v>0</v>
      </c>
      <c r="B7286" s="38">
        <v>0</v>
      </c>
      <c r="C7286" s="79">
        <v>0</v>
      </c>
    </row>
    <row r="7287" spans="1:3" x14ac:dyDescent="0.25">
      <c r="A7287" s="2">
        <v>0</v>
      </c>
      <c r="B7287" s="38">
        <v>0</v>
      </c>
      <c r="C7287" s="79">
        <v>0</v>
      </c>
    </row>
    <row r="7288" spans="1:3" x14ac:dyDescent="0.25">
      <c r="A7288" s="2">
        <v>0</v>
      </c>
      <c r="B7288" s="38">
        <v>0</v>
      </c>
      <c r="C7288" s="79">
        <v>0</v>
      </c>
    </row>
    <row r="7289" spans="1:3" x14ac:dyDescent="0.25">
      <c r="A7289" s="2">
        <v>0</v>
      </c>
      <c r="B7289" s="38">
        <v>0</v>
      </c>
      <c r="C7289" s="79">
        <v>0</v>
      </c>
    </row>
    <row r="7290" spans="1:3" x14ac:dyDescent="0.25">
      <c r="A7290" s="2">
        <v>0</v>
      </c>
      <c r="B7290" s="38">
        <v>0</v>
      </c>
      <c r="C7290" s="79">
        <v>0</v>
      </c>
    </row>
    <row r="7291" spans="1:3" x14ac:dyDescent="0.25">
      <c r="A7291" s="2">
        <v>0</v>
      </c>
      <c r="B7291" s="38">
        <v>0</v>
      </c>
      <c r="C7291" s="79">
        <v>0</v>
      </c>
    </row>
    <row r="7292" spans="1:3" x14ac:dyDescent="0.25">
      <c r="A7292" s="2">
        <v>0</v>
      </c>
      <c r="B7292" s="38">
        <v>0</v>
      </c>
      <c r="C7292" s="79">
        <v>0</v>
      </c>
    </row>
    <row r="7293" spans="1:3" x14ac:dyDescent="0.25">
      <c r="A7293" s="2">
        <v>0</v>
      </c>
      <c r="B7293" s="38">
        <v>0</v>
      </c>
      <c r="C7293" s="79">
        <v>0</v>
      </c>
    </row>
    <row r="7294" spans="1:3" x14ac:dyDescent="0.25">
      <c r="A7294" s="2">
        <v>0</v>
      </c>
      <c r="B7294" s="38">
        <v>0</v>
      </c>
      <c r="C7294" s="79">
        <v>0</v>
      </c>
    </row>
    <row r="7295" spans="1:3" x14ac:dyDescent="0.25">
      <c r="A7295" s="2">
        <v>0</v>
      </c>
      <c r="B7295" s="38">
        <v>0</v>
      </c>
      <c r="C7295" s="79">
        <v>0</v>
      </c>
    </row>
    <row r="7296" spans="1:3" x14ac:dyDescent="0.25">
      <c r="A7296" s="2">
        <v>0</v>
      </c>
      <c r="B7296" s="38">
        <v>0</v>
      </c>
      <c r="C7296" s="79">
        <v>0</v>
      </c>
    </row>
    <row r="7297" spans="1:3" x14ac:dyDescent="0.25">
      <c r="A7297" s="2">
        <v>0</v>
      </c>
      <c r="B7297" s="38">
        <v>0</v>
      </c>
      <c r="C7297" s="79">
        <v>0</v>
      </c>
    </row>
    <row r="7298" spans="1:3" x14ac:dyDescent="0.25">
      <c r="A7298" s="2">
        <v>0</v>
      </c>
      <c r="B7298" s="38">
        <v>0</v>
      </c>
      <c r="C7298" s="79">
        <v>0</v>
      </c>
    </row>
    <row r="7299" spans="1:3" x14ac:dyDescent="0.25">
      <c r="A7299" s="2">
        <v>0</v>
      </c>
      <c r="B7299" s="38">
        <v>0</v>
      </c>
      <c r="C7299" s="79">
        <v>0</v>
      </c>
    </row>
    <row r="7300" spans="1:3" x14ac:dyDescent="0.25">
      <c r="A7300" s="2">
        <v>0</v>
      </c>
      <c r="B7300" s="38">
        <v>0</v>
      </c>
      <c r="C7300" s="79">
        <v>0</v>
      </c>
    </row>
    <row r="7301" spans="1:3" x14ac:dyDescent="0.25">
      <c r="A7301" s="2">
        <v>0</v>
      </c>
      <c r="B7301" s="38">
        <v>0</v>
      </c>
      <c r="C7301" s="79">
        <v>0</v>
      </c>
    </row>
    <row r="7302" spans="1:3" x14ac:dyDescent="0.25">
      <c r="A7302" s="2">
        <v>0</v>
      </c>
      <c r="B7302" s="38">
        <v>0</v>
      </c>
      <c r="C7302" s="79">
        <v>0</v>
      </c>
    </row>
    <row r="7303" spans="1:3" x14ac:dyDescent="0.25">
      <c r="A7303" s="2">
        <v>0</v>
      </c>
      <c r="B7303" s="38">
        <v>0</v>
      </c>
      <c r="C7303" s="79">
        <v>0</v>
      </c>
    </row>
    <row r="7304" spans="1:3" x14ac:dyDescent="0.25">
      <c r="A7304" s="2">
        <v>0</v>
      </c>
      <c r="B7304" s="38">
        <v>0</v>
      </c>
      <c r="C7304" s="79">
        <v>0</v>
      </c>
    </row>
    <row r="7305" spans="1:3" x14ac:dyDescent="0.25">
      <c r="A7305" s="2">
        <v>0</v>
      </c>
      <c r="B7305" s="38">
        <v>0</v>
      </c>
      <c r="C7305" s="79">
        <v>0</v>
      </c>
    </row>
    <row r="7306" spans="1:3" x14ac:dyDescent="0.25">
      <c r="A7306" s="2">
        <v>0</v>
      </c>
      <c r="B7306" s="38">
        <v>0</v>
      </c>
      <c r="C7306" s="79">
        <v>0</v>
      </c>
    </row>
    <row r="7307" spans="1:3" x14ac:dyDescent="0.25">
      <c r="A7307" s="2">
        <v>0</v>
      </c>
      <c r="B7307" s="38">
        <v>0</v>
      </c>
      <c r="C7307" s="79">
        <v>0</v>
      </c>
    </row>
    <row r="7308" spans="1:3" x14ac:dyDescent="0.25">
      <c r="A7308" s="2">
        <v>0</v>
      </c>
      <c r="B7308" s="38">
        <v>0</v>
      </c>
      <c r="C7308" s="79">
        <v>0</v>
      </c>
    </row>
    <row r="7309" spans="1:3" x14ac:dyDescent="0.25">
      <c r="A7309" s="2">
        <v>0</v>
      </c>
      <c r="B7309" s="38">
        <v>0</v>
      </c>
      <c r="C7309" s="79">
        <v>0</v>
      </c>
    </row>
    <row r="7310" spans="1:3" x14ac:dyDescent="0.25">
      <c r="A7310" s="2">
        <v>0</v>
      </c>
      <c r="B7310" s="38">
        <v>0</v>
      </c>
      <c r="C7310" s="79">
        <v>0</v>
      </c>
    </row>
    <row r="7311" spans="1:3" x14ac:dyDescent="0.25">
      <c r="A7311" s="2">
        <v>0</v>
      </c>
      <c r="B7311" s="38">
        <v>0</v>
      </c>
      <c r="C7311" s="79">
        <v>0</v>
      </c>
    </row>
    <row r="7312" spans="1:3" x14ac:dyDescent="0.25">
      <c r="A7312" s="2">
        <v>0</v>
      </c>
      <c r="B7312" s="38">
        <v>0</v>
      </c>
      <c r="C7312" s="79">
        <v>0</v>
      </c>
    </row>
    <row r="7313" spans="1:3" x14ac:dyDescent="0.25">
      <c r="A7313" s="2">
        <v>0</v>
      </c>
      <c r="B7313" s="38">
        <v>0</v>
      </c>
      <c r="C7313" s="79">
        <v>0</v>
      </c>
    </row>
    <row r="7314" spans="1:3" x14ac:dyDescent="0.25">
      <c r="A7314" s="2">
        <v>0</v>
      </c>
      <c r="B7314" s="38">
        <v>0</v>
      </c>
      <c r="C7314" s="79">
        <v>0</v>
      </c>
    </row>
    <row r="7315" spans="1:3" x14ac:dyDescent="0.25">
      <c r="A7315" s="2">
        <v>0</v>
      </c>
      <c r="B7315" s="38">
        <v>0</v>
      </c>
      <c r="C7315" s="79">
        <v>0</v>
      </c>
    </row>
    <row r="7316" spans="1:3" x14ac:dyDescent="0.25">
      <c r="A7316" s="2">
        <v>0</v>
      </c>
      <c r="B7316" s="38">
        <v>0</v>
      </c>
      <c r="C7316" s="79">
        <v>0</v>
      </c>
    </row>
    <row r="7317" spans="1:3" x14ac:dyDescent="0.25">
      <c r="A7317" s="2">
        <v>0</v>
      </c>
      <c r="B7317" s="38">
        <v>0</v>
      </c>
      <c r="C7317" s="79">
        <v>0</v>
      </c>
    </row>
    <row r="7318" spans="1:3" x14ac:dyDescent="0.25">
      <c r="A7318" s="2">
        <v>0</v>
      </c>
      <c r="B7318" s="38">
        <v>0</v>
      </c>
      <c r="C7318" s="79">
        <v>0</v>
      </c>
    </row>
    <row r="7319" spans="1:3" x14ac:dyDescent="0.25">
      <c r="A7319" s="2">
        <v>0</v>
      </c>
      <c r="B7319" s="38">
        <v>0</v>
      </c>
      <c r="C7319" s="79">
        <v>0</v>
      </c>
    </row>
    <row r="7320" spans="1:3" x14ac:dyDescent="0.25">
      <c r="A7320" s="2">
        <v>0</v>
      </c>
      <c r="B7320" s="38">
        <v>0</v>
      </c>
      <c r="C7320" s="79">
        <v>0</v>
      </c>
    </row>
    <row r="7321" spans="1:3" x14ac:dyDescent="0.25">
      <c r="A7321" s="2">
        <v>0</v>
      </c>
      <c r="B7321" s="38">
        <v>0</v>
      </c>
      <c r="C7321" s="79">
        <v>0</v>
      </c>
    </row>
    <row r="7322" spans="1:3" x14ac:dyDescent="0.25">
      <c r="A7322" s="2">
        <v>0</v>
      </c>
      <c r="B7322" s="38">
        <v>0</v>
      </c>
      <c r="C7322" s="79">
        <v>0</v>
      </c>
    </row>
    <row r="7323" spans="1:3" x14ac:dyDescent="0.25">
      <c r="A7323" s="2">
        <v>0</v>
      </c>
      <c r="B7323" s="38">
        <v>0</v>
      </c>
      <c r="C7323" s="79">
        <v>0</v>
      </c>
    </row>
    <row r="7324" spans="1:3" x14ac:dyDescent="0.25">
      <c r="A7324" s="2">
        <v>0</v>
      </c>
      <c r="B7324" s="38">
        <v>0</v>
      </c>
      <c r="C7324" s="79">
        <v>0</v>
      </c>
    </row>
    <row r="7325" spans="1:3" x14ac:dyDescent="0.25">
      <c r="A7325" s="2">
        <v>0</v>
      </c>
      <c r="B7325" s="38">
        <v>0</v>
      </c>
      <c r="C7325" s="79">
        <v>0</v>
      </c>
    </row>
    <row r="7326" spans="1:3" x14ac:dyDescent="0.25">
      <c r="A7326" s="2">
        <v>0</v>
      </c>
      <c r="B7326" s="38">
        <v>0</v>
      </c>
      <c r="C7326" s="79">
        <v>0</v>
      </c>
    </row>
    <row r="7327" spans="1:3" x14ac:dyDescent="0.25">
      <c r="A7327" s="2">
        <v>0</v>
      </c>
      <c r="B7327" s="38">
        <v>0</v>
      </c>
      <c r="C7327" s="79">
        <v>0</v>
      </c>
    </row>
    <row r="7328" spans="1:3" x14ac:dyDescent="0.25">
      <c r="A7328" s="2">
        <v>0</v>
      </c>
      <c r="B7328" s="38">
        <v>0</v>
      </c>
      <c r="C7328" s="79">
        <v>0</v>
      </c>
    </row>
    <row r="7329" spans="1:3" x14ac:dyDescent="0.25">
      <c r="A7329" s="2">
        <v>0</v>
      </c>
      <c r="B7329" s="38">
        <v>0</v>
      </c>
      <c r="C7329" s="79">
        <v>0</v>
      </c>
    </row>
    <row r="7330" spans="1:3" x14ac:dyDescent="0.25">
      <c r="A7330" s="2">
        <v>0</v>
      </c>
      <c r="B7330" s="38">
        <v>0</v>
      </c>
      <c r="C7330" s="79">
        <v>0</v>
      </c>
    </row>
    <row r="7331" spans="1:3" x14ac:dyDescent="0.25">
      <c r="A7331" s="2">
        <v>0</v>
      </c>
      <c r="B7331" s="38">
        <v>0</v>
      </c>
      <c r="C7331" s="79">
        <v>0</v>
      </c>
    </row>
    <row r="7332" spans="1:3" x14ac:dyDescent="0.25">
      <c r="A7332" s="2">
        <v>0</v>
      </c>
      <c r="B7332" s="38">
        <v>0</v>
      </c>
      <c r="C7332" s="79">
        <v>0</v>
      </c>
    </row>
    <row r="7333" spans="1:3" x14ac:dyDescent="0.25">
      <c r="A7333" s="2">
        <v>0</v>
      </c>
      <c r="B7333" s="38">
        <v>0</v>
      </c>
      <c r="C7333" s="79">
        <v>0</v>
      </c>
    </row>
    <row r="7334" spans="1:3" x14ac:dyDescent="0.25">
      <c r="A7334" s="2">
        <v>0</v>
      </c>
      <c r="B7334" s="38">
        <v>0</v>
      </c>
      <c r="C7334" s="79">
        <v>0</v>
      </c>
    </row>
    <row r="7335" spans="1:3" x14ac:dyDescent="0.25">
      <c r="A7335" s="2">
        <v>0</v>
      </c>
      <c r="B7335" s="38">
        <v>0</v>
      </c>
      <c r="C7335" s="79">
        <v>0</v>
      </c>
    </row>
    <row r="7336" spans="1:3" x14ac:dyDescent="0.25">
      <c r="A7336" s="2">
        <v>0</v>
      </c>
      <c r="B7336" s="38">
        <v>0</v>
      </c>
      <c r="C7336" s="79">
        <v>0</v>
      </c>
    </row>
    <row r="7337" spans="1:3" x14ac:dyDescent="0.25">
      <c r="A7337" s="2">
        <v>0</v>
      </c>
      <c r="B7337" s="38">
        <v>0</v>
      </c>
      <c r="C7337" s="79">
        <v>0</v>
      </c>
    </row>
    <row r="7338" spans="1:3" x14ac:dyDescent="0.25">
      <c r="A7338" s="2">
        <v>0</v>
      </c>
      <c r="B7338" s="38">
        <v>0</v>
      </c>
      <c r="C7338" s="79">
        <v>0</v>
      </c>
    </row>
    <row r="7339" spans="1:3" x14ac:dyDescent="0.25">
      <c r="A7339" s="2">
        <v>0</v>
      </c>
      <c r="B7339" s="38">
        <v>0</v>
      </c>
      <c r="C7339" s="79">
        <v>0</v>
      </c>
    </row>
    <row r="7340" spans="1:3" x14ac:dyDescent="0.25">
      <c r="A7340" s="2">
        <v>0</v>
      </c>
      <c r="B7340" s="38">
        <v>0</v>
      </c>
      <c r="C7340" s="79">
        <v>0</v>
      </c>
    </row>
    <row r="7341" spans="1:3" x14ac:dyDescent="0.25">
      <c r="A7341" s="2">
        <v>0</v>
      </c>
      <c r="B7341" s="38">
        <v>0</v>
      </c>
      <c r="C7341" s="79">
        <v>0</v>
      </c>
    </row>
    <row r="7342" spans="1:3" x14ac:dyDescent="0.25">
      <c r="A7342" s="2">
        <v>0</v>
      </c>
      <c r="B7342" s="38">
        <v>0</v>
      </c>
      <c r="C7342" s="79">
        <v>0</v>
      </c>
    </row>
    <row r="7343" spans="1:3" x14ac:dyDescent="0.25">
      <c r="A7343" s="2">
        <v>0</v>
      </c>
      <c r="B7343" s="38">
        <v>0</v>
      </c>
      <c r="C7343" s="79">
        <v>0</v>
      </c>
    </row>
    <row r="7344" spans="1:3" x14ac:dyDescent="0.25">
      <c r="A7344" s="2">
        <v>0</v>
      </c>
      <c r="B7344" s="38">
        <v>0</v>
      </c>
      <c r="C7344" s="79">
        <v>0</v>
      </c>
    </row>
    <row r="7345" spans="1:3" x14ac:dyDescent="0.25">
      <c r="A7345" s="2">
        <v>0</v>
      </c>
      <c r="B7345" s="38">
        <v>0</v>
      </c>
      <c r="C7345" s="79">
        <v>0</v>
      </c>
    </row>
    <row r="7346" spans="1:3" x14ac:dyDescent="0.25">
      <c r="A7346" s="2">
        <v>0</v>
      </c>
      <c r="B7346" s="38">
        <v>0</v>
      </c>
      <c r="C7346" s="79">
        <v>0</v>
      </c>
    </row>
    <row r="7347" spans="1:3" x14ac:dyDescent="0.25">
      <c r="A7347" s="2">
        <v>0</v>
      </c>
      <c r="B7347" s="38">
        <v>0</v>
      </c>
      <c r="C7347" s="79">
        <v>0</v>
      </c>
    </row>
    <row r="7348" spans="1:3" x14ac:dyDescent="0.25">
      <c r="A7348" s="2">
        <v>0</v>
      </c>
      <c r="B7348" s="38">
        <v>0</v>
      </c>
      <c r="C7348" s="79">
        <v>0</v>
      </c>
    </row>
    <row r="7349" spans="1:3" x14ac:dyDescent="0.25">
      <c r="A7349" s="2">
        <v>0</v>
      </c>
      <c r="B7349" s="38">
        <v>0</v>
      </c>
      <c r="C7349" s="79">
        <v>0</v>
      </c>
    </row>
    <row r="7350" spans="1:3" x14ac:dyDescent="0.25">
      <c r="A7350" s="2">
        <v>0</v>
      </c>
      <c r="B7350" s="38">
        <v>0</v>
      </c>
      <c r="C7350" s="79">
        <v>0</v>
      </c>
    </row>
    <row r="7351" spans="1:3" x14ac:dyDescent="0.25">
      <c r="A7351" s="2">
        <v>0</v>
      </c>
      <c r="B7351" s="38">
        <v>0</v>
      </c>
      <c r="C7351" s="79">
        <v>0</v>
      </c>
    </row>
    <row r="7352" spans="1:3" x14ac:dyDescent="0.25">
      <c r="A7352" s="2">
        <v>0</v>
      </c>
      <c r="B7352" s="38">
        <v>0</v>
      </c>
      <c r="C7352" s="79">
        <v>0</v>
      </c>
    </row>
    <row r="7353" spans="1:3" x14ac:dyDescent="0.25">
      <c r="A7353" s="2">
        <v>0</v>
      </c>
      <c r="B7353" s="38">
        <v>0</v>
      </c>
      <c r="C7353" s="79">
        <v>0</v>
      </c>
    </row>
    <row r="7354" spans="1:3" x14ac:dyDescent="0.25">
      <c r="A7354" s="2">
        <v>0</v>
      </c>
      <c r="B7354" s="38">
        <v>0</v>
      </c>
      <c r="C7354" s="79">
        <v>0</v>
      </c>
    </row>
    <row r="7355" spans="1:3" x14ac:dyDescent="0.25">
      <c r="A7355" s="2">
        <v>0</v>
      </c>
      <c r="B7355" s="38">
        <v>0</v>
      </c>
      <c r="C7355" s="79">
        <v>0</v>
      </c>
    </row>
    <row r="7356" spans="1:3" x14ac:dyDescent="0.25">
      <c r="A7356" s="2">
        <v>0</v>
      </c>
      <c r="B7356" s="38">
        <v>0</v>
      </c>
      <c r="C7356" s="79">
        <v>0</v>
      </c>
    </row>
    <row r="7357" spans="1:3" x14ac:dyDescent="0.25">
      <c r="A7357" s="2">
        <v>0</v>
      </c>
      <c r="B7357" s="38">
        <v>0</v>
      </c>
      <c r="C7357" s="79">
        <v>0</v>
      </c>
    </row>
    <row r="7358" spans="1:3" x14ac:dyDescent="0.25">
      <c r="A7358" s="2">
        <v>0</v>
      </c>
      <c r="B7358" s="38">
        <v>0</v>
      </c>
      <c r="C7358" s="79">
        <v>0</v>
      </c>
    </row>
    <row r="7359" spans="1:3" x14ac:dyDescent="0.25">
      <c r="A7359" s="2">
        <v>0</v>
      </c>
      <c r="B7359" s="38">
        <v>0</v>
      </c>
      <c r="C7359" s="79">
        <v>0</v>
      </c>
    </row>
    <row r="7360" spans="1:3" x14ac:dyDescent="0.25">
      <c r="A7360" s="2">
        <v>0</v>
      </c>
      <c r="B7360" s="38">
        <v>0</v>
      </c>
      <c r="C7360" s="79">
        <v>0</v>
      </c>
    </row>
    <row r="7361" spans="1:3" x14ac:dyDescent="0.25">
      <c r="A7361" s="2">
        <v>0</v>
      </c>
      <c r="B7361" s="38">
        <v>0</v>
      </c>
      <c r="C7361" s="79">
        <v>0</v>
      </c>
    </row>
    <row r="7362" spans="1:3" x14ac:dyDescent="0.25">
      <c r="A7362" s="2">
        <v>0</v>
      </c>
      <c r="B7362" s="38">
        <v>0</v>
      </c>
      <c r="C7362" s="79">
        <v>0</v>
      </c>
    </row>
    <row r="7363" spans="1:3" x14ac:dyDescent="0.25">
      <c r="A7363" s="2">
        <v>0</v>
      </c>
      <c r="B7363" s="38">
        <v>0</v>
      </c>
      <c r="C7363" s="79">
        <v>0</v>
      </c>
    </row>
    <row r="7364" spans="1:3" x14ac:dyDescent="0.25">
      <c r="A7364" s="2">
        <v>0</v>
      </c>
      <c r="B7364" s="38">
        <v>0</v>
      </c>
      <c r="C7364" s="79">
        <v>0</v>
      </c>
    </row>
    <row r="7365" spans="1:3" x14ac:dyDescent="0.25">
      <c r="A7365" s="2">
        <v>0</v>
      </c>
      <c r="B7365" s="38">
        <v>0</v>
      </c>
      <c r="C7365" s="79">
        <v>0</v>
      </c>
    </row>
    <row r="7366" spans="1:3" x14ac:dyDescent="0.25">
      <c r="A7366" s="2">
        <v>0</v>
      </c>
      <c r="B7366" s="38">
        <v>0</v>
      </c>
      <c r="C7366" s="79">
        <v>0</v>
      </c>
    </row>
    <row r="7367" spans="1:3" x14ac:dyDescent="0.25">
      <c r="A7367" s="2">
        <v>0</v>
      </c>
      <c r="B7367" s="38">
        <v>0</v>
      </c>
      <c r="C7367" s="79">
        <v>0</v>
      </c>
    </row>
    <row r="7368" spans="1:3" x14ac:dyDescent="0.25">
      <c r="A7368" s="2">
        <v>0</v>
      </c>
      <c r="B7368" s="38">
        <v>0</v>
      </c>
      <c r="C7368" s="79">
        <v>0</v>
      </c>
    </row>
    <row r="7369" spans="1:3" x14ac:dyDescent="0.25">
      <c r="A7369" s="2">
        <v>0</v>
      </c>
      <c r="B7369" s="38">
        <v>0</v>
      </c>
      <c r="C7369" s="79">
        <v>0</v>
      </c>
    </row>
    <row r="7370" spans="1:3" x14ac:dyDescent="0.25">
      <c r="A7370" s="2">
        <v>0</v>
      </c>
      <c r="B7370" s="38">
        <v>0</v>
      </c>
      <c r="C7370" s="79">
        <v>0</v>
      </c>
    </row>
    <row r="7371" spans="1:3" x14ac:dyDescent="0.25">
      <c r="A7371" s="2">
        <v>0</v>
      </c>
      <c r="B7371" s="38">
        <v>0</v>
      </c>
      <c r="C7371" s="79">
        <v>0</v>
      </c>
    </row>
    <row r="7372" spans="1:3" x14ac:dyDescent="0.25">
      <c r="A7372" s="2">
        <v>0</v>
      </c>
      <c r="B7372" s="38">
        <v>0</v>
      </c>
      <c r="C7372" s="79">
        <v>0</v>
      </c>
    </row>
    <row r="7373" spans="1:3" x14ac:dyDescent="0.25">
      <c r="A7373" s="2">
        <v>0</v>
      </c>
      <c r="B7373" s="38">
        <v>0</v>
      </c>
      <c r="C7373" s="79">
        <v>0</v>
      </c>
    </row>
    <row r="7374" spans="1:3" x14ac:dyDescent="0.25">
      <c r="A7374" s="2">
        <v>0</v>
      </c>
      <c r="B7374" s="38">
        <v>0</v>
      </c>
      <c r="C7374" s="79">
        <v>0</v>
      </c>
    </row>
    <row r="7375" spans="1:3" x14ac:dyDescent="0.25">
      <c r="A7375" s="2">
        <v>0</v>
      </c>
      <c r="B7375" s="38">
        <v>0</v>
      </c>
      <c r="C7375" s="79">
        <v>0</v>
      </c>
    </row>
    <row r="7376" spans="1:3" x14ac:dyDescent="0.25">
      <c r="A7376" s="2">
        <v>0</v>
      </c>
      <c r="B7376" s="38">
        <v>0</v>
      </c>
      <c r="C7376" s="79">
        <v>0</v>
      </c>
    </row>
    <row r="7377" spans="1:3" x14ac:dyDescent="0.25">
      <c r="A7377" s="2">
        <v>0</v>
      </c>
      <c r="B7377" s="38">
        <v>0</v>
      </c>
      <c r="C7377" s="79">
        <v>0</v>
      </c>
    </row>
    <row r="7378" spans="1:3" x14ac:dyDescent="0.25">
      <c r="A7378" s="2">
        <v>0</v>
      </c>
      <c r="B7378" s="38">
        <v>0</v>
      </c>
      <c r="C7378" s="79">
        <v>0</v>
      </c>
    </row>
    <row r="7379" spans="1:3" x14ac:dyDescent="0.25">
      <c r="A7379" s="2">
        <v>0</v>
      </c>
      <c r="B7379" s="38">
        <v>0</v>
      </c>
      <c r="C7379" s="79">
        <v>0</v>
      </c>
    </row>
    <row r="7380" spans="1:3" x14ac:dyDescent="0.25">
      <c r="A7380" s="2">
        <v>0</v>
      </c>
      <c r="B7380" s="38">
        <v>0</v>
      </c>
      <c r="C7380" s="79">
        <v>0</v>
      </c>
    </row>
    <row r="7381" spans="1:3" x14ac:dyDescent="0.25">
      <c r="A7381" s="2">
        <v>0</v>
      </c>
      <c r="B7381" s="38">
        <v>0</v>
      </c>
      <c r="C7381" s="79">
        <v>0</v>
      </c>
    </row>
    <row r="7382" spans="1:3" x14ac:dyDescent="0.25">
      <c r="A7382" s="2">
        <v>0</v>
      </c>
      <c r="B7382" s="38">
        <v>0</v>
      </c>
      <c r="C7382" s="79">
        <v>0</v>
      </c>
    </row>
    <row r="7383" spans="1:3" x14ac:dyDescent="0.25">
      <c r="A7383" s="2">
        <v>0</v>
      </c>
      <c r="B7383" s="38">
        <v>0</v>
      </c>
      <c r="C7383" s="79">
        <v>0</v>
      </c>
    </row>
    <row r="7384" spans="1:3" x14ac:dyDescent="0.25">
      <c r="A7384" s="2">
        <v>0</v>
      </c>
      <c r="B7384" s="38">
        <v>0</v>
      </c>
      <c r="C7384" s="79">
        <v>0</v>
      </c>
    </row>
    <row r="7385" spans="1:3" x14ac:dyDescent="0.25">
      <c r="A7385" s="2">
        <v>0</v>
      </c>
      <c r="B7385" s="38">
        <v>0</v>
      </c>
      <c r="C7385" s="79">
        <v>0</v>
      </c>
    </row>
    <row r="7386" spans="1:3" x14ac:dyDescent="0.25">
      <c r="A7386" s="2">
        <v>0</v>
      </c>
      <c r="B7386" s="38">
        <v>0</v>
      </c>
      <c r="C7386" s="79">
        <v>0</v>
      </c>
    </row>
    <row r="7387" spans="1:3" x14ac:dyDescent="0.25">
      <c r="A7387" s="2">
        <v>0</v>
      </c>
      <c r="B7387" s="38">
        <v>0</v>
      </c>
      <c r="C7387" s="79">
        <v>0</v>
      </c>
    </row>
    <row r="7388" spans="1:3" x14ac:dyDescent="0.25">
      <c r="A7388" s="2">
        <v>0</v>
      </c>
      <c r="B7388" s="38">
        <v>0</v>
      </c>
      <c r="C7388" s="79">
        <v>0</v>
      </c>
    </row>
    <row r="7389" spans="1:3" x14ac:dyDescent="0.25">
      <c r="A7389" s="2">
        <v>0</v>
      </c>
      <c r="B7389" s="38">
        <v>0</v>
      </c>
      <c r="C7389" s="79">
        <v>0</v>
      </c>
    </row>
    <row r="7390" spans="1:3" x14ac:dyDescent="0.25">
      <c r="A7390" s="2">
        <v>0</v>
      </c>
      <c r="B7390" s="38">
        <v>0</v>
      </c>
      <c r="C7390" s="79">
        <v>0</v>
      </c>
    </row>
    <row r="7391" spans="1:3" x14ac:dyDescent="0.25">
      <c r="A7391" s="2">
        <v>0</v>
      </c>
      <c r="B7391" s="38">
        <v>0</v>
      </c>
      <c r="C7391" s="79">
        <v>0</v>
      </c>
    </row>
    <row r="7392" spans="1:3" x14ac:dyDescent="0.25">
      <c r="A7392" s="2">
        <v>0</v>
      </c>
      <c r="B7392" s="38">
        <v>0</v>
      </c>
      <c r="C7392" s="79">
        <v>0</v>
      </c>
    </row>
    <row r="7393" spans="1:3" x14ac:dyDescent="0.25">
      <c r="A7393" s="2">
        <v>0</v>
      </c>
      <c r="B7393" s="38">
        <v>0</v>
      </c>
      <c r="C7393" s="79">
        <v>0</v>
      </c>
    </row>
    <row r="7394" spans="1:3" x14ac:dyDescent="0.25">
      <c r="A7394" s="2">
        <v>0</v>
      </c>
      <c r="B7394" s="38">
        <v>0</v>
      </c>
      <c r="C7394" s="79">
        <v>0</v>
      </c>
    </row>
    <row r="7395" spans="1:3" x14ac:dyDescent="0.25">
      <c r="A7395" s="2">
        <v>0</v>
      </c>
      <c r="B7395" s="38">
        <v>0</v>
      </c>
      <c r="C7395" s="79">
        <v>0</v>
      </c>
    </row>
    <row r="7396" spans="1:3" x14ac:dyDescent="0.25">
      <c r="A7396" s="2">
        <v>0</v>
      </c>
      <c r="B7396" s="38">
        <v>0</v>
      </c>
      <c r="C7396" s="79">
        <v>0</v>
      </c>
    </row>
    <row r="7397" spans="1:3" x14ac:dyDescent="0.25">
      <c r="A7397" s="2">
        <v>0</v>
      </c>
      <c r="B7397" s="38">
        <v>0</v>
      </c>
      <c r="C7397" s="79">
        <v>0</v>
      </c>
    </row>
    <row r="7398" spans="1:3" x14ac:dyDescent="0.25">
      <c r="A7398" s="2">
        <v>0</v>
      </c>
      <c r="B7398" s="38">
        <v>0</v>
      </c>
      <c r="C7398" s="79">
        <v>0</v>
      </c>
    </row>
    <row r="7399" spans="1:3" x14ac:dyDescent="0.25">
      <c r="A7399" s="2">
        <v>0</v>
      </c>
      <c r="B7399" s="38">
        <v>0</v>
      </c>
      <c r="C7399" s="79">
        <v>0</v>
      </c>
    </row>
    <row r="7400" spans="1:3" x14ac:dyDescent="0.25">
      <c r="A7400" s="2">
        <v>0</v>
      </c>
      <c r="B7400" s="38">
        <v>0</v>
      </c>
      <c r="C7400" s="79">
        <v>0</v>
      </c>
    </row>
    <row r="7401" spans="1:3" x14ac:dyDescent="0.25">
      <c r="A7401" s="2">
        <v>0</v>
      </c>
      <c r="B7401" s="38">
        <v>0</v>
      </c>
      <c r="C7401" s="79">
        <v>0</v>
      </c>
    </row>
    <row r="7402" spans="1:3" x14ac:dyDescent="0.25">
      <c r="A7402" s="2">
        <v>0</v>
      </c>
      <c r="B7402" s="38">
        <v>0</v>
      </c>
      <c r="C7402" s="79">
        <v>0</v>
      </c>
    </row>
    <row r="7403" spans="1:3" x14ac:dyDescent="0.25">
      <c r="A7403" s="2">
        <v>0</v>
      </c>
      <c r="B7403" s="38">
        <v>0</v>
      </c>
      <c r="C7403" s="79">
        <v>0</v>
      </c>
    </row>
    <row r="7404" spans="1:3" x14ac:dyDescent="0.25">
      <c r="A7404" s="2">
        <v>0</v>
      </c>
      <c r="B7404" s="38">
        <v>0</v>
      </c>
      <c r="C7404" s="79">
        <v>0</v>
      </c>
    </row>
    <row r="7405" spans="1:3" x14ac:dyDescent="0.25">
      <c r="A7405" s="2">
        <v>0</v>
      </c>
      <c r="B7405" s="38">
        <v>0</v>
      </c>
      <c r="C7405" s="79">
        <v>0</v>
      </c>
    </row>
    <row r="7406" spans="1:3" x14ac:dyDescent="0.25">
      <c r="A7406" s="2">
        <v>0</v>
      </c>
      <c r="B7406" s="38">
        <v>0</v>
      </c>
      <c r="C7406" s="79">
        <v>0</v>
      </c>
    </row>
    <row r="7407" spans="1:3" x14ac:dyDescent="0.25">
      <c r="A7407" s="2">
        <v>0</v>
      </c>
      <c r="B7407" s="38">
        <v>0</v>
      </c>
      <c r="C7407" s="79">
        <v>0</v>
      </c>
    </row>
    <row r="7408" spans="1:3" x14ac:dyDescent="0.25">
      <c r="A7408" s="2">
        <v>0</v>
      </c>
      <c r="B7408" s="38">
        <v>0</v>
      </c>
      <c r="C7408" s="79">
        <v>0</v>
      </c>
    </row>
    <row r="7409" spans="1:3" x14ac:dyDescent="0.25">
      <c r="A7409" s="2">
        <v>0</v>
      </c>
      <c r="B7409" s="38">
        <v>0</v>
      </c>
      <c r="C7409" s="79">
        <v>0</v>
      </c>
    </row>
    <row r="7410" spans="1:3" x14ac:dyDescent="0.25">
      <c r="A7410" s="2">
        <v>0</v>
      </c>
      <c r="B7410" s="38">
        <v>0</v>
      </c>
      <c r="C7410" s="79">
        <v>0</v>
      </c>
    </row>
    <row r="7411" spans="1:3" x14ac:dyDescent="0.25">
      <c r="A7411" s="2">
        <v>0</v>
      </c>
      <c r="B7411" s="38">
        <v>0</v>
      </c>
      <c r="C7411" s="79">
        <v>0</v>
      </c>
    </row>
    <row r="7412" spans="1:3" x14ac:dyDescent="0.25">
      <c r="A7412" s="2">
        <v>0</v>
      </c>
      <c r="B7412" s="38">
        <v>0</v>
      </c>
      <c r="C7412" s="79">
        <v>0</v>
      </c>
    </row>
    <row r="7413" spans="1:3" x14ac:dyDescent="0.25">
      <c r="A7413" s="2">
        <v>0</v>
      </c>
      <c r="B7413" s="38">
        <v>0</v>
      </c>
      <c r="C7413" s="79">
        <v>0</v>
      </c>
    </row>
    <row r="7414" spans="1:3" x14ac:dyDescent="0.25">
      <c r="A7414" s="2">
        <v>0</v>
      </c>
      <c r="B7414" s="38">
        <v>0</v>
      </c>
      <c r="C7414" s="79">
        <v>0</v>
      </c>
    </row>
    <row r="7415" spans="1:3" x14ac:dyDescent="0.25">
      <c r="A7415" s="2">
        <v>0</v>
      </c>
      <c r="B7415" s="38">
        <v>0</v>
      </c>
      <c r="C7415" s="79">
        <v>0</v>
      </c>
    </row>
    <row r="7416" spans="1:3" x14ac:dyDescent="0.25">
      <c r="A7416" s="2">
        <v>0</v>
      </c>
      <c r="B7416" s="38">
        <v>0</v>
      </c>
      <c r="C7416" s="79">
        <v>0</v>
      </c>
    </row>
    <row r="7417" spans="1:3" x14ac:dyDescent="0.25">
      <c r="A7417" s="2">
        <v>0</v>
      </c>
      <c r="B7417" s="38">
        <v>0</v>
      </c>
      <c r="C7417" s="79">
        <v>0</v>
      </c>
    </row>
    <row r="7418" spans="1:3" x14ac:dyDescent="0.25">
      <c r="A7418" s="2">
        <v>0</v>
      </c>
      <c r="B7418" s="38">
        <v>0</v>
      </c>
      <c r="C7418" s="79">
        <v>0</v>
      </c>
    </row>
    <row r="7419" spans="1:3" x14ac:dyDescent="0.25">
      <c r="A7419" s="2">
        <v>0</v>
      </c>
      <c r="B7419" s="38">
        <v>0</v>
      </c>
      <c r="C7419" s="79">
        <v>0</v>
      </c>
    </row>
    <row r="7420" spans="1:3" x14ac:dyDescent="0.25">
      <c r="A7420" s="2">
        <v>0</v>
      </c>
      <c r="B7420" s="38">
        <v>0</v>
      </c>
      <c r="C7420" s="79">
        <v>0</v>
      </c>
    </row>
    <row r="7421" spans="1:3" x14ac:dyDescent="0.25">
      <c r="A7421" s="2">
        <v>0</v>
      </c>
      <c r="B7421" s="38">
        <v>0</v>
      </c>
      <c r="C7421" s="79">
        <v>0</v>
      </c>
    </row>
    <row r="7422" spans="1:3" x14ac:dyDescent="0.25">
      <c r="A7422" s="2">
        <v>0</v>
      </c>
      <c r="B7422" s="38">
        <v>0</v>
      </c>
      <c r="C7422" s="79">
        <v>0</v>
      </c>
    </row>
    <row r="7423" spans="1:3" x14ac:dyDescent="0.25">
      <c r="A7423" s="2">
        <v>0</v>
      </c>
      <c r="B7423" s="38">
        <v>0</v>
      </c>
      <c r="C7423" s="79">
        <v>0</v>
      </c>
    </row>
    <row r="7424" spans="1:3" x14ac:dyDescent="0.25">
      <c r="A7424" s="2">
        <v>0</v>
      </c>
      <c r="B7424" s="38">
        <v>0</v>
      </c>
      <c r="C7424" s="79">
        <v>0</v>
      </c>
    </row>
    <row r="7425" spans="1:3" x14ac:dyDescent="0.25">
      <c r="A7425" s="2">
        <v>0</v>
      </c>
      <c r="B7425" s="38">
        <v>0</v>
      </c>
      <c r="C7425" s="79">
        <v>0</v>
      </c>
    </row>
    <row r="7426" spans="1:3" x14ac:dyDescent="0.25">
      <c r="A7426" s="2">
        <v>0</v>
      </c>
      <c r="B7426" s="38">
        <v>0</v>
      </c>
      <c r="C7426" s="79">
        <v>0</v>
      </c>
    </row>
    <row r="7427" spans="1:3" x14ac:dyDescent="0.25">
      <c r="A7427" s="2">
        <v>0</v>
      </c>
      <c r="B7427" s="38">
        <v>0</v>
      </c>
      <c r="C7427" s="79">
        <v>0</v>
      </c>
    </row>
    <row r="7428" spans="1:3" x14ac:dyDescent="0.25">
      <c r="A7428" s="2">
        <v>0</v>
      </c>
      <c r="B7428" s="38">
        <v>0</v>
      </c>
      <c r="C7428" s="79">
        <v>0</v>
      </c>
    </row>
    <row r="7429" spans="1:3" x14ac:dyDescent="0.25">
      <c r="A7429" s="2">
        <v>0</v>
      </c>
      <c r="B7429" s="38">
        <v>0</v>
      </c>
      <c r="C7429" s="79">
        <v>0</v>
      </c>
    </row>
    <row r="7430" spans="1:3" x14ac:dyDescent="0.25">
      <c r="A7430" s="2">
        <v>0</v>
      </c>
      <c r="B7430" s="38">
        <v>0</v>
      </c>
      <c r="C7430" s="79">
        <v>0</v>
      </c>
    </row>
    <row r="7431" spans="1:3" x14ac:dyDescent="0.25">
      <c r="A7431" s="2">
        <v>0</v>
      </c>
      <c r="B7431" s="38">
        <v>0</v>
      </c>
      <c r="C7431" s="79">
        <v>0</v>
      </c>
    </row>
    <row r="7432" spans="1:3" x14ac:dyDescent="0.25">
      <c r="A7432" s="2">
        <v>0</v>
      </c>
      <c r="B7432" s="38">
        <v>0</v>
      </c>
      <c r="C7432" s="79">
        <v>0</v>
      </c>
    </row>
    <row r="7433" spans="1:3" x14ac:dyDescent="0.25">
      <c r="A7433" s="2">
        <v>0</v>
      </c>
      <c r="B7433" s="38">
        <v>0</v>
      </c>
      <c r="C7433" s="79">
        <v>0</v>
      </c>
    </row>
    <row r="7434" spans="1:3" x14ac:dyDescent="0.25">
      <c r="A7434" s="2">
        <v>0</v>
      </c>
      <c r="B7434" s="38">
        <v>0</v>
      </c>
      <c r="C7434" s="79">
        <v>0</v>
      </c>
    </row>
    <row r="7435" spans="1:3" x14ac:dyDescent="0.25">
      <c r="A7435" s="2">
        <v>0</v>
      </c>
      <c r="B7435" s="38">
        <v>0</v>
      </c>
      <c r="C7435" s="79">
        <v>0</v>
      </c>
    </row>
    <row r="7436" spans="1:3" x14ac:dyDescent="0.25">
      <c r="A7436" s="2">
        <v>0</v>
      </c>
      <c r="B7436" s="38">
        <v>0</v>
      </c>
      <c r="C7436" s="79">
        <v>0</v>
      </c>
    </row>
    <row r="7437" spans="1:3" x14ac:dyDescent="0.25">
      <c r="A7437" s="2">
        <v>0</v>
      </c>
      <c r="B7437" s="38">
        <v>0</v>
      </c>
      <c r="C7437" s="79">
        <v>0</v>
      </c>
    </row>
    <row r="7438" spans="1:3" x14ac:dyDescent="0.25">
      <c r="A7438" s="2">
        <v>0</v>
      </c>
      <c r="B7438" s="38">
        <v>0</v>
      </c>
      <c r="C7438" s="79">
        <v>0</v>
      </c>
    </row>
    <row r="7439" spans="1:3" x14ac:dyDescent="0.25">
      <c r="A7439" s="2">
        <v>0</v>
      </c>
      <c r="B7439" s="38">
        <v>0</v>
      </c>
      <c r="C7439" s="79">
        <v>0</v>
      </c>
    </row>
    <row r="7440" spans="1:3" x14ac:dyDescent="0.25">
      <c r="A7440" s="2">
        <v>0</v>
      </c>
      <c r="B7440" s="38">
        <v>0</v>
      </c>
      <c r="C7440" s="79">
        <v>0</v>
      </c>
    </row>
    <row r="7441" spans="1:3" x14ac:dyDescent="0.25">
      <c r="A7441" s="2">
        <v>0</v>
      </c>
      <c r="B7441" s="38">
        <v>0</v>
      </c>
      <c r="C7441" s="79">
        <v>0</v>
      </c>
    </row>
    <row r="7442" spans="1:3" x14ac:dyDescent="0.25">
      <c r="A7442" s="2">
        <v>0</v>
      </c>
      <c r="B7442" s="38">
        <v>0</v>
      </c>
      <c r="C7442" s="79">
        <v>0</v>
      </c>
    </row>
    <row r="7443" spans="1:3" x14ac:dyDescent="0.25">
      <c r="A7443" s="2">
        <v>0</v>
      </c>
      <c r="B7443" s="38">
        <v>0</v>
      </c>
      <c r="C7443" s="79">
        <v>0</v>
      </c>
    </row>
    <row r="7444" spans="1:3" x14ac:dyDescent="0.25">
      <c r="A7444" s="2">
        <v>0</v>
      </c>
      <c r="B7444" s="38">
        <v>0</v>
      </c>
      <c r="C7444" s="79">
        <v>0</v>
      </c>
    </row>
    <row r="7445" spans="1:3" x14ac:dyDescent="0.25">
      <c r="A7445" s="2">
        <v>0</v>
      </c>
      <c r="B7445" s="38">
        <v>0</v>
      </c>
      <c r="C7445" s="79">
        <v>0</v>
      </c>
    </row>
    <row r="7446" spans="1:3" x14ac:dyDescent="0.25">
      <c r="A7446" s="2">
        <v>0</v>
      </c>
      <c r="B7446" s="38">
        <v>0</v>
      </c>
      <c r="C7446" s="79">
        <v>0</v>
      </c>
    </row>
    <row r="7447" spans="1:3" x14ac:dyDescent="0.25">
      <c r="A7447" s="2">
        <v>0</v>
      </c>
      <c r="B7447" s="38">
        <v>0</v>
      </c>
      <c r="C7447" s="79">
        <v>0</v>
      </c>
    </row>
    <row r="7448" spans="1:3" x14ac:dyDescent="0.25">
      <c r="A7448" s="2">
        <v>0</v>
      </c>
      <c r="B7448" s="38">
        <v>0</v>
      </c>
      <c r="C7448" s="79">
        <v>0</v>
      </c>
    </row>
    <row r="7449" spans="1:3" x14ac:dyDescent="0.25">
      <c r="A7449" s="2">
        <v>0</v>
      </c>
      <c r="B7449" s="38">
        <v>0</v>
      </c>
      <c r="C7449" s="79">
        <v>0</v>
      </c>
    </row>
    <row r="7450" spans="1:3" x14ac:dyDescent="0.25">
      <c r="A7450" s="2">
        <v>0</v>
      </c>
      <c r="B7450" s="38">
        <v>0</v>
      </c>
      <c r="C7450" s="79">
        <v>0</v>
      </c>
    </row>
    <row r="7451" spans="1:3" x14ac:dyDescent="0.25">
      <c r="A7451" s="2">
        <v>0</v>
      </c>
      <c r="B7451" s="38">
        <v>0</v>
      </c>
      <c r="C7451" s="79">
        <v>0</v>
      </c>
    </row>
    <row r="7452" spans="1:3" x14ac:dyDescent="0.25">
      <c r="A7452" s="2">
        <v>0</v>
      </c>
      <c r="B7452" s="38">
        <v>0</v>
      </c>
      <c r="C7452" s="79">
        <v>0</v>
      </c>
    </row>
    <row r="7453" spans="1:3" x14ac:dyDescent="0.25">
      <c r="A7453" s="2">
        <v>0</v>
      </c>
      <c r="B7453" s="38">
        <v>0</v>
      </c>
      <c r="C7453" s="79">
        <v>0</v>
      </c>
    </row>
    <row r="7454" spans="1:3" x14ac:dyDescent="0.25">
      <c r="A7454" s="2">
        <v>0</v>
      </c>
      <c r="B7454" s="38">
        <v>0</v>
      </c>
      <c r="C7454" s="79">
        <v>0</v>
      </c>
    </row>
    <row r="7455" spans="1:3" x14ac:dyDescent="0.25">
      <c r="A7455" s="2">
        <v>0</v>
      </c>
      <c r="B7455" s="38">
        <v>0</v>
      </c>
      <c r="C7455" s="79">
        <v>0</v>
      </c>
    </row>
    <row r="7456" spans="1:3" x14ac:dyDescent="0.25">
      <c r="A7456" s="2">
        <v>0</v>
      </c>
      <c r="B7456" s="38">
        <v>0</v>
      </c>
      <c r="C7456" s="79">
        <v>0</v>
      </c>
    </row>
    <row r="7457" spans="1:3" x14ac:dyDescent="0.25">
      <c r="A7457" s="2">
        <v>0</v>
      </c>
      <c r="B7457" s="38">
        <v>0</v>
      </c>
      <c r="C7457" s="79">
        <v>0</v>
      </c>
    </row>
    <row r="7458" spans="1:3" x14ac:dyDescent="0.25">
      <c r="A7458" s="2">
        <v>0</v>
      </c>
      <c r="B7458" s="38">
        <v>0</v>
      </c>
      <c r="C7458" s="79">
        <v>0</v>
      </c>
    </row>
    <row r="7459" spans="1:3" x14ac:dyDescent="0.25">
      <c r="A7459" s="2">
        <v>0</v>
      </c>
      <c r="B7459" s="38">
        <v>0</v>
      </c>
      <c r="C7459" s="79">
        <v>0</v>
      </c>
    </row>
    <row r="7460" spans="1:3" x14ac:dyDescent="0.25">
      <c r="A7460" s="2">
        <v>0</v>
      </c>
      <c r="B7460" s="38">
        <v>0</v>
      </c>
      <c r="C7460" s="79">
        <v>0</v>
      </c>
    </row>
    <row r="7461" spans="1:3" x14ac:dyDescent="0.25">
      <c r="A7461" s="2">
        <v>0</v>
      </c>
      <c r="B7461" s="38">
        <v>0</v>
      </c>
      <c r="C7461" s="79">
        <v>0</v>
      </c>
    </row>
    <row r="7462" spans="1:3" x14ac:dyDescent="0.25">
      <c r="A7462" s="2">
        <v>0</v>
      </c>
      <c r="B7462" s="38">
        <v>0</v>
      </c>
      <c r="C7462" s="79">
        <v>0</v>
      </c>
    </row>
    <row r="7463" spans="1:3" x14ac:dyDescent="0.25">
      <c r="A7463" s="2">
        <v>0</v>
      </c>
      <c r="B7463" s="38">
        <v>0</v>
      </c>
      <c r="C7463" s="79">
        <v>0</v>
      </c>
    </row>
    <row r="7464" spans="1:3" x14ac:dyDescent="0.25">
      <c r="A7464" s="2">
        <v>0</v>
      </c>
      <c r="B7464" s="38">
        <v>0</v>
      </c>
      <c r="C7464" s="79">
        <v>0</v>
      </c>
    </row>
    <row r="7465" spans="1:3" x14ac:dyDescent="0.25">
      <c r="A7465" s="2">
        <v>0</v>
      </c>
      <c r="B7465" s="38">
        <v>0</v>
      </c>
      <c r="C7465" s="79">
        <v>0</v>
      </c>
    </row>
    <row r="7466" spans="1:3" x14ac:dyDescent="0.25">
      <c r="A7466" s="2">
        <v>0</v>
      </c>
      <c r="B7466" s="38">
        <v>0</v>
      </c>
      <c r="C7466" s="79">
        <v>0</v>
      </c>
    </row>
    <row r="7467" spans="1:3" x14ac:dyDescent="0.25">
      <c r="A7467" s="2">
        <v>0</v>
      </c>
      <c r="B7467" s="38">
        <v>0</v>
      </c>
      <c r="C7467" s="79">
        <v>0</v>
      </c>
    </row>
    <row r="7468" spans="1:3" x14ac:dyDescent="0.25">
      <c r="A7468" s="2">
        <v>0</v>
      </c>
      <c r="B7468" s="38">
        <v>0</v>
      </c>
      <c r="C7468" s="79">
        <v>0</v>
      </c>
    </row>
    <row r="7469" spans="1:3" x14ac:dyDescent="0.25">
      <c r="A7469" s="2">
        <v>0</v>
      </c>
      <c r="B7469" s="38">
        <v>0</v>
      </c>
      <c r="C7469" s="79">
        <v>0</v>
      </c>
    </row>
    <row r="7470" spans="1:3" x14ac:dyDescent="0.25">
      <c r="A7470" s="2">
        <v>0</v>
      </c>
      <c r="B7470" s="38">
        <v>0</v>
      </c>
      <c r="C7470" s="79">
        <v>0</v>
      </c>
    </row>
    <row r="7471" spans="1:3" x14ac:dyDescent="0.25">
      <c r="A7471" s="2">
        <v>0</v>
      </c>
      <c r="B7471" s="38">
        <v>0</v>
      </c>
      <c r="C7471" s="79">
        <v>0</v>
      </c>
    </row>
    <row r="7472" spans="1:3" x14ac:dyDescent="0.25">
      <c r="A7472" s="2">
        <v>0</v>
      </c>
      <c r="B7472" s="38">
        <v>0</v>
      </c>
      <c r="C7472" s="79">
        <v>0</v>
      </c>
    </row>
    <row r="7473" spans="1:3" x14ac:dyDescent="0.25">
      <c r="A7473" s="2">
        <v>0</v>
      </c>
      <c r="B7473" s="38">
        <v>0</v>
      </c>
      <c r="C7473" s="79">
        <v>0</v>
      </c>
    </row>
    <row r="7474" spans="1:3" x14ac:dyDescent="0.25">
      <c r="A7474" s="2">
        <v>0</v>
      </c>
      <c r="B7474" s="38">
        <v>0</v>
      </c>
      <c r="C7474" s="79">
        <v>0</v>
      </c>
    </row>
    <row r="7475" spans="1:3" x14ac:dyDescent="0.25">
      <c r="A7475" s="2">
        <v>0</v>
      </c>
      <c r="B7475" s="38">
        <v>0</v>
      </c>
      <c r="C7475" s="79">
        <v>0</v>
      </c>
    </row>
    <row r="7476" spans="1:3" x14ac:dyDescent="0.25">
      <c r="A7476" s="2">
        <v>0</v>
      </c>
      <c r="B7476" s="38">
        <v>0</v>
      </c>
      <c r="C7476" s="79">
        <v>0</v>
      </c>
    </row>
    <row r="7477" spans="1:3" x14ac:dyDescent="0.25">
      <c r="A7477" s="2">
        <v>0</v>
      </c>
      <c r="B7477" s="38">
        <v>0</v>
      </c>
      <c r="C7477" s="79">
        <v>0</v>
      </c>
    </row>
    <row r="7478" spans="1:3" x14ac:dyDescent="0.25">
      <c r="A7478" s="2">
        <v>0</v>
      </c>
      <c r="B7478" s="38">
        <v>0</v>
      </c>
      <c r="C7478" s="79">
        <v>0</v>
      </c>
    </row>
    <row r="7479" spans="1:3" x14ac:dyDescent="0.25">
      <c r="A7479" s="2">
        <v>0</v>
      </c>
      <c r="B7479" s="38">
        <v>0</v>
      </c>
      <c r="C7479" s="79">
        <v>0</v>
      </c>
    </row>
    <row r="7480" spans="1:3" x14ac:dyDescent="0.25">
      <c r="A7480" s="2">
        <v>0</v>
      </c>
      <c r="B7480" s="38">
        <v>0</v>
      </c>
      <c r="C7480" s="79">
        <v>0</v>
      </c>
    </row>
    <row r="7481" spans="1:3" x14ac:dyDescent="0.25">
      <c r="A7481" s="2">
        <v>0</v>
      </c>
      <c r="B7481" s="38">
        <v>0</v>
      </c>
      <c r="C7481" s="79">
        <v>0</v>
      </c>
    </row>
    <row r="7482" spans="1:3" x14ac:dyDescent="0.25">
      <c r="A7482" s="2">
        <v>0</v>
      </c>
      <c r="B7482" s="38">
        <v>0</v>
      </c>
      <c r="C7482" s="79">
        <v>0</v>
      </c>
    </row>
    <row r="7483" spans="1:3" x14ac:dyDescent="0.25">
      <c r="A7483" s="2">
        <v>0</v>
      </c>
      <c r="B7483" s="38">
        <v>0</v>
      </c>
      <c r="C7483" s="79">
        <v>0</v>
      </c>
    </row>
    <row r="7484" spans="1:3" x14ac:dyDescent="0.25">
      <c r="A7484" s="2">
        <v>0</v>
      </c>
      <c r="B7484" s="38">
        <v>0</v>
      </c>
      <c r="C7484" s="79">
        <v>0</v>
      </c>
    </row>
    <row r="7485" spans="1:3" x14ac:dyDescent="0.25">
      <c r="A7485" s="2">
        <v>0</v>
      </c>
      <c r="B7485" s="38">
        <v>0</v>
      </c>
      <c r="C7485" s="79">
        <v>0</v>
      </c>
    </row>
    <row r="7486" spans="1:3" x14ac:dyDescent="0.25">
      <c r="A7486" s="2">
        <v>0</v>
      </c>
      <c r="B7486" s="38">
        <v>0</v>
      </c>
      <c r="C7486" s="79">
        <v>0</v>
      </c>
    </row>
    <row r="7487" spans="1:3" x14ac:dyDescent="0.25">
      <c r="A7487" s="2">
        <v>0</v>
      </c>
      <c r="B7487" s="38">
        <v>0</v>
      </c>
      <c r="C7487" s="79">
        <v>0</v>
      </c>
    </row>
    <row r="7488" spans="1:3" x14ac:dyDescent="0.25">
      <c r="A7488" s="2">
        <v>0</v>
      </c>
      <c r="B7488" s="38">
        <v>0</v>
      </c>
      <c r="C7488" s="79">
        <v>0</v>
      </c>
    </row>
    <row r="7489" spans="1:3" x14ac:dyDescent="0.25">
      <c r="A7489" s="2">
        <v>0</v>
      </c>
      <c r="B7489" s="38">
        <v>0</v>
      </c>
      <c r="C7489" s="79">
        <v>0</v>
      </c>
    </row>
    <row r="7490" spans="1:3" x14ac:dyDescent="0.25">
      <c r="A7490" s="2">
        <v>0</v>
      </c>
      <c r="B7490" s="38">
        <v>0</v>
      </c>
      <c r="C7490" s="79">
        <v>0</v>
      </c>
    </row>
    <row r="7491" spans="1:3" x14ac:dyDescent="0.25">
      <c r="A7491" s="2">
        <v>0</v>
      </c>
      <c r="B7491" s="38">
        <v>0</v>
      </c>
      <c r="C7491" s="79">
        <v>0</v>
      </c>
    </row>
    <row r="7492" spans="1:3" x14ac:dyDescent="0.25">
      <c r="A7492" s="2">
        <v>0</v>
      </c>
      <c r="B7492" s="38">
        <v>0</v>
      </c>
      <c r="C7492" s="79">
        <v>0</v>
      </c>
    </row>
    <row r="7493" spans="1:3" x14ac:dyDescent="0.25">
      <c r="A7493" s="2">
        <v>0</v>
      </c>
      <c r="B7493" s="38">
        <v>0</v>
      </c>
      <c r="C7493" s="79">
        <v>0</v>
      </c>
    </row>
    <row r="7494" spans="1:3" x14ac:dyDescent="0.25">
      <c r="A7494" s="2">
        <v>0</v>
      </c>
      <c r="B7494" s="38">
        <v>0</v>
      </c>
      <c r="C7494" s="79">
        <v>0</v>
      </c>
    </row>
    <row r="7495" spans="1:3" x14ac:dyDescent="0.25">
      <c r="A7495" s="2">
        <v>0</v>
      </c>
      <c r="B7495" s="38">
        <v>0</v>
      </c>
      <c r="C7495" s="79">
        <v>0</v>
      </c>
    </row>
    <row r="7496" spans="1:3" x14ac:dyDescent="0.25">
      <c r="A7496" s="2">
        <v>0</v>
      </c>
      <c r="B7496" s="38">
        <v>0</v>
      </c>
      <c r="C7496" s="79">
        <v>0</v>
      </c>
    </row>
    <row r="7497" spans="1:3" x14ac:dyDescent="0.25">
      <c r="A7497" s="2">
        <v>0</v>
      </c>
      <c r="B7497" s="38">
        <v>0</v>
      </c>
      <c r="C7497" s="79">
        <v>0</v>
      </c>
    </row>
    <row r="7498" spans="1:3" x14ac:dyDescent="0.25">
      <c r="A7498" s="2">
        <v>0</v>
      </c>
      <c r="B7498" s="38">
        <v>0</v>
      </c>
      <c r="C7498" s="79">
        <v>0</v>
      </c>
    </row>
    <row r="7499" spans="1:3" x14ac:dyDescent="0.25">
      <c r="A7499" s="2">
        <v>0</v>
      </c>
      <c r="B7499" s="38">
        <v>0</v>
      </c>
      <c r="C7499" s="79">
        <v>0</v>
      </c>
    </row>
    <row r="7500" spans="1:3" x14ac:dyDescent="0.25">
      <c r="A7500" s="2">
        <v>0</v>
      </c>
      <c r="B7500" s="38">
        <v>0</v>
      </c>
      <c r="C7500" s="79">
        <v>0</v>
      </c>
    </row>
    <row r="7501" spans="1:3" x14ac:dyDescent="0.25">
      <c r="A7501" s="2">
        <v>0</v>
      </c>
      <c r="B7501" s="38">
        <v>0</v>
      </c>
      <c r="C7501" s="79">
        <v>0</v>
      </c>
    </row>
    <row r="7502" spans="1:3" x14ac:dyDescent="0.25">
      <c r="A7502" s="2">
        <v>0</v>
      </c>
      <c r="B7502" s="38">
        <v>0</v>
      </c>
      <c r="C7502" s="79">
        <v>0</v>
      </c>
    </row>
    <row r="7503" spans="1:3" x14ac:dyDescent="0.25">
      <c r="A7503" s="2">
        <v>0</v>
      </c>
      <c r="B7503" s="38">
        <v>0</v>
      </c>
      <c r="C7503" s="79">
        <v>0</v>
      </c>
    </row>
    <row r="7504" spans="1:3" x14ac:dyDescent="0.25">
      <c r="A7504" s="2">
        <v>0</v>
      </c>
      <c r="B7504" s="38">
        <v>0</v>
      </c>
      <c r="C7504" s="79">
        <v>0</v>
      </c>
    </row>
    <row r="7505" spans="1:3" x14ac:dyDescent="0.25">
      <c r="A7505" s="2">
        <v>0</v>
      </c>
      <c r="B7505" s="38">
        <v>0</v>
      </c>
      <c r="C7505" s="79">
        <v>0</v>
      </c>
    </row>
    <row r="7506" spans="1:3" x14ac:dyDescent="0.25">
      <c r="A7506" s="2">
        <v>0</v>
      </c>
      <c r="B7506" s="38">
        <v>0</v>
      </c>
      <c r="C7506" s="79">
        <v>0</v>
      </c>
    </row>
    <row r="7507" spans="1:3" x14ac:dyDescent="0.25">
      <c r="A7507" s="2">
        <v>0</v>
      </c>
      <c r="B7507" s="38">
        <v>0</v>
      </c>
      <c r="C7507" s="79">
        <v>0</v>
      </c>
    </row>
    <row r="7508" spans="1:3" x14ac:dyDescent="0.25">
      <c r="A7508" s="2">
        <v>0</v>
      </c>
      <c r="B7508" s="38">
        <v>0</v>
      </c>
      <c r="C7508" s="79">
        <v>0</v>
      </c>
    </row>
    <row r="7509" spans="1:3" x14ac:dyDescent="0.25">
      <c r="A7509" s="2">
        <v>0</v>
      </c>
      <c r="B7509" s="38">
        <v>0</v>
      </c>
      <c r="C7509" s="79">
        <v>0</v>
      </c>
    </row>
    <row r="7510" spans="1:3" x14ac:dyDescent="0.25">
      <c r="A7510" s="2">
        <v>0</v>
      </c>
      <c r="B7510" s="38">
        <v>0</v>
      </c>
      <c r="C7510" s="79">
        <v>0</v>
      </c>
    </row>
    <row r="7511" spans="1:3" x14ac:dyDescent="0.25">
      <c r="A7511" s="2">
        <v>0</v>
      </c>
      <c r="B7511" s="38">
        <v>0</v>
      </c>
      <c r="C7511" s="79">
        <v>0</v>
      </c>
    </row>
    <row r="7512" spans="1:3" x14ac:dyDescent="0.25">
      <c r="A7512" s="2">
        <v>0</v>
      </c>
      <c r="B7512" s="38">
        <v>0</v>
      </c>
      <c r="C7512" s="79">
        <v>0</v>
      </c>
    </row>
    <row r="7513" spans="1:3" x14ac:dyDescent="0.25">
      <c r="A7513" s="2">
        <v>0</v>
      </c>
      <c r="B7513" s="38">
        <v>0</v>
      </c>
      <c r="C7513" s="79">
        <v>0</v>
      </c>
    </row>
    <row r="7514" spans="1:3" x14ac:dyDescent="0.25">
      <c r="A7514" s="2">
        <v>0</v>
      </c>
      <c r="B7514" s="38">
        <v>0</v>
      </c>
      <c r="C7514" s="79">
        <v>0</v>
      </c>
    </row>
    <row r="7515" spans="1:3" x14ac:dyDescent="0.25">
      <c r="A7515" s="2">
        <v>0</v>
      </c>
      <c r="B7515" s="38">
        <v>0</v>
      </c>
      <c r="C7515" s="79">
        <v>0</v>
      </c>
    </row>
    <row r="7516" spans="1:3" x14ac:dyDescent="0.25">
      <c r="A7516" s="2">
        <v>0</v>
      </c>
      <c r="B7516" s="38">
        <v>0</v>
      </c>
      <c r="C7516" s="79">
        <v>0</v>
      </c>
    </row>
    <row r="7517" spans="1:3" x14ac:dyDescent="0.25">
      <c r="A7517" s="2">
        <v>0</v>
      </c>
      <c r="B7517" s="38">
        <v>0</v>
      </c>
      <c r="C7517" s="79">
        <v>0</v>
      </c>
    </row>
    <row r="7518" spans="1:3" x14ac:dyDescent="0.25">
      <c r="A7518" s="2">
        <v>0</v>
      </c>
      <c r="B7518" s="38">
        <v>0</v>
      </c>
      <c r="C7518" s="79">
        <v>0</v>
      </c>
    </row>
    <row r="7519" spans="1:3" x14ac:dyDescent="0.25">
      <c r="A7519" s="2">
        <v>0</v>
      </c>
      <c r="B7519" s="38">
        <v>0</v>
      </c>
      <c r="C7519" s="79">
        <v>0</v>
      </c>
    </row>
    <row r="7520" spans="1:3" x14ac:dyDescent="0.25">
      <c r="A7520" s="2">
        <v>0</v>
      </c>
      <c r="B7520" s="38">
        <v>0</v>
      </c>
      <c r="C7520" s="79">
        <v>0</v>
      </c>
    </row>
    <row r="7521" spans="1:3" x14ac:dyDescent="0.25">
      <c r="A7521" s="2">
        <v>0</v>
      </c>
      <c r="B7521" s="38">
        <v>0</v>
      </c>
      <c r="C7521" s="79">
        <v>0</v>
      </c>
    </row>
    <row r="7522" spans="1:3" x14ac:dyDescent="0.25">
      <c r="A7522" s="2">
        <v>0</v>
      </c>
      <c r="B7522" s="38">
        <v>0</v>
      </c>
      <c r="C7522" s="79">
        <v>0</v>
      </c>
    </row>
    <row r="7523" spans="1:3" x14ac:dyDescent="0.25">
      <c r="A7523" s="2">
        <v>0</v>
      </c>
      <c r="B7523" s="38">
        <v>0</v>
      </c>
      <c r="C7523" s="79">
        <v>0</v>
      </c>
    </row>
    <row r="7524" spans="1:3" x14ac:dyDescent="0.25">
      <c r="A7524" s="2">
        <v>0</v>
      </c>
      <c r="B7524" s="38">
        <v>0</v>
      </c>
      <c r="C7524" s="79">
        <v>0</v>
      </c>
    </row>
    <row r="7525" spans="1:3" x14ac:dyDescent="0.25">
      <c r="A7525" s="2">
        <v>0</v>
      </c>
      <c r="B7525" s="38">
        <v>0</v>
      </c>
      <c r="C7525" s="79">
        <v>0</v>
      </c>
    </row>
    <row r="7526" spans="1:3" x14ac:dyDescent="0.25">
      <c r="A7526" s="2">
        <v>0</v>
      </c>
      <c r="B7526" s="38">
        <v>0</v>
      </c>
      <c r="C7526" s="79">
        <v>0</v>
      </c>
    </row>
    <row r="7527" spans="1:3" x14ac:dyDescent="0.25">
      <c r="A7527" s="2">
        <v>0</v>
      </c>
      <c r="B7527" s="38">
        <v>0</v>
      </c>
      <c r="C7527" s="79">
        <v>0</v>
      </c>
    </row>
    <row r="7528" spans="1:3" x14ac:dyDescent="0.25">
      <c r="A7528" s="2">
        <v>0</v>
      </c>
      <c r="B7528" s="38">
        <v>0</v>
      </c>
      <c r="C7528" s="79">
        <v>0</v>
      </c>
    </row>
    <row r="7529" spans="1:3" x14ac:dyDescent="0.25">
      <c r="A7529" s="2">
        <v>0</v>
      </c>
      <c r="B7529" s="38">
        <v>0</v>
      </c>
      <c r="C7529" s="79">
        <v>0</v>
      </c>
    </row>
    <row r="7530" spans="1:3" x14ac:dyDescent="0.25">
      <c r="A7530" s="2">
        <v>0</v>
      </c>
      <c r="B7530" s="38">
        <v>0</v>
      </c>
      <c r="C7530" s="79">
        <v>0</v>
      </c>
    </row>
    <row r="7531" spans="1:3" x14ac:dyDescent="0.25">
      <c r="A7531" s="2">
        <v>0</v>
      </c>
      <c r="B7531" s="38">
        <v>0</v>
      </c>
      <c r="C7531" s="79">
        <v>0</v>
      </c>
    </row>
    <row r="7532" spans="1:3" x14ac:dyDescent="0.25">
      <c r="A7532" s="2">
        <v>0</v>
      </c>
      <c r="B7532" s="38">
        <v>0</v>
      </c>
      <c r="C7532" s="79">
        <v>0</v>
      </c>
    </row>
    <row r="7533" spans="1:3" x14ac:dyDescent="0.25">
      <c r="A7533" s="2">
        <v>0</v>
      </c>
      <c r="B7533" s="38">
        <v>0</v>
      </c>
      <c r="C7533" s="79">
        <v>0</v>
      </c>
    </row>
    <row r="7534" spans="1:3" x14ac:dyDescent="0.25">
      <c r="A7534" s="2">
        <v>0</v>
      </c>
      <c r="B7534" s="38">
        <v>0</v>
      </c>
      <c r="C7534" s="79">
        <v>0</v>
      </c>
    </row>
    <row r="7535" spans="1:3" x14ac:dyDescent="0.25">
      <c r="A7535" s="2">
        <v>0</v>
      </c>
      <c r="B7535" s="38">
        <v>0</v>
      </c>
      <c r="C7535" s="79">
        <v>0</v>
      </c>
    </row>
    <row r="7536" spans="1:3" x14ac:dyDescent="0.25">
      <c r="A7536" s="2">
        <v>0</v>
      </c>
      <c r="B7536" s="38">
        <v>0</v>
      </c>
      <c r="C7536" s="79">
        <v>0</v>
      </c>
    </row>
    <row r="7537" spans="1:3" x14ac:dyDescent="0.25">
      <c r="A7537" s="2">
        <v>0</v>
      </c>
      <c r="B7537" s="38">
        <v>0</v>
      </c>
      <c r="C7537" s="79">
        <v>0</v>
      </c>
    </row>
    <row r="7538" spans="1:3" x14ac:dyDescent="0.25">
      <c r="A7538" s="2">
        <v>0</v>
      </c>
      <c r="B7538" s="38">
        <v>0</v>
      </c>
      <c r="C7538" s="79">
        <v>0</v>
      </c>
    </row>
    <row r="7539" spans="1:3" x14ac:dyDescent="0.25">
      <c r="A7539" s="2">
        <v>0</v>
      </c>
      <c r="B7539" s="38">
        <v>0</v>
      </c>
      <c r="C7539" s="79">
        <v>0</v>
      </c>
    </row>
    <row r="7540" spans="1:3" x14ac:dyDescent="0.25">
      <c r="A7540" s="2">
        <v>0</v>
      </c>
      <c r="B7540" s="38">
        <v>0</v>
      </c>
      <c r="C7540" s="79">
        <v>0</v>
      </c>
    </row>
    <row r="7541" spans="1:3" x14ac:dyDescent="0.25">
      <c r="A7541" s="2">
        <v>0</v>
      </c>
      <c r="B7541" s="38">
        <v>0</v>
      </c>
      <c r="C7541" s="79">
        <v>0</v>
      </c>
    </row>
    <row r="7542" spans="1:3" x14ac:dyDescent="0.25">
      <c r="A7542" s="2">
        <v>0</v>
      </c>
      <c r="B7542" s="38">
        <v>0</v>
      </c>
      <c r="C7542" s="79">
        <v>0</v>
      </c>
    </row>
    <row r="7543" spans="1:3" x14ac:dyDescent="0.25">
      <c r="A7543" s="2">
        <v>0</v>
      </c>
      <c r="B7543" s="38">
        <v>0</v>
      </c>
      <c r="C7543" s="79">
        <v>0</v>
      </c>
    </row>
    <row r="7544" spans="1:3" x14ac:dyDescent="0.25">
      <c r="A7544" s="2">
        <v>0</v>
      </c>
      <c r="B7544" s="38">
        <v>0</v>
      </c>
      <c r="C7544" s="79">
        <v>0</v>
      </c>
    </row>
    <row r="7545" spans="1:3" x14ac:dyDescent="0.25">
      <c r="A7545" s="2">
        <v>0</v>
      </c>
      <c r="B7545" s="38">
        <v>0</v>
      </c>
      <c r="C7545" s="79">
        <v>0</v>
      </c>
    </row>
    <row r="7546" spans="1:3" x14ac:dyDescent="0.25">
      <c r="A7546" s="2">
        <v>0</v>
      </c>
      <c r="B7546" s="38">
        <v>0</v>
      </c>
      <c r="C7546" s="79">
        <v>0</v>
      </c>
    </row>
    <row r="7547" spans="1:3" x14ac:dyDescent="0.25">
      <c r="A7547" s="2">
        <v>0</v>
      </c>
      <c r="B7547" s="38">
        <v>0</v>
      </c>
      <c r="C7547" s="79">
        <v>0</v>
      </c>
    </row>
    <row r="7548" spans="1:3" x14ac:dyDescent="0.25">
      <c r="A7548" s="2">
        <v>0</v>
      </c>
      <c r="B7548" s="38">
        <v>0</v>
      </c>
      <c r="C7548" s="79">
        <v>0</v>
      </c>
    </row>
    <row r="7549" spans="1:3" x14ac:dyDescent="0.25">
      <c r="A7549" s="2">
        <v>0</v>
      </c>
      <c r="B7549" s="38">
        <v>0</v>
      </c>
      <c r="C7549" s="79">
        <v>0</v>
      </c>
    </row>
    <row r="7550" spans="1:3" x14ac:dyDescent="0.25">
      <c r="A7550" s="2">
        <v>0</v>
      </c>
      <c r="B7550" s="38">
        <v>0</v>
      </c>
      <c r="C7550" s="79">
        <v>0</v>
      </c>
    </row>
    <row r="7551" spans="1:3" x14ac:dyDescent="0.25">
      <c r="A7551" s="2">
        <v>0</v>
      </c>
      <c r="B7551" s="38">
        <v>0</v>
      </c>
      <c r="C7551" s="79">
        <v>0</v>
      </c>
    </row>
    <row r="7552" spans="1:3" x14ac:dyDescent="0.25">
      <c r="A7552" s="2">
        <v>0</v>
      </c>
      <c r="B7552" s="38">
        <v>0</v>
      </c>
      <c r="C7552" s="79">
        <v>0</v>
      </c>
    </row>
    <row r="7553" spans="1:3" x14ac:dyDescent="0.25">
      <c r="A7553" s="2">
        <v>0</v>
      </c>
      <c r="B7553" s="38">
        <v>0</v>
      </c>
      <c r="C7553" s="79">
        <v>0</v>
      </c>
    </row>
    <row r="7554" spans="1:3" x14ac:dyDescent="0.25">
      <c r="A7554" s="2">
        <v>0</v>
      </c>
      <c r="B7554" s="38">
        <v>0</v>
      </c>
      <c r="C7554" s="79">
        <v>0</v>
      </c>
    </row>
    <row r="7555" spans="1:3" x14ac:dyDescent="0.25">
      <c r="A7555" s="2">
        <v>0</v>
      </c>
      <c r="B7555" s="38">
        <v>0</v>
      </c>
      <c r="C7555" s="79">
        <v>0</v>
      </c>
    </row>
    <row r="7556" spans="1:3" x14ac:dyDescent="0.25">
      <c r="A7556" s="2">
        <v>0</v>
      </c>
      <c r="B7556" s="38">
        <v>0</v>
      </c>
      <c r="C7556" s="79">
        <v>0</v>
      </c>
    </row>
    <row r="7557" spans="1:3" x14ac:dyDescent="0.25">
      <c r="A7557" s="2">
        <v>0</v>
      </c>
      <c r="B7557" s="38">
        <v>0</v>
      </c>
      <c r="C7557" s="79">
        <v>0</v>
      </c>
    </row>
    <row r="7558" spans="1:3" x14ac:dyDescent="0.25">
      <c r="A7558" s="2">
        <v>0</v>
      </c>
      <c r="B7558" s="38">
        <v>0</v>
      </c>
      <c r="C7558" s="79">
        <v>0</v>
      </c>
    </row>
    <row r="7559" spans="1:3" x14ac:dyDescent="0.25">
      <c r="A7559" s="2">
        <v>0</v>
      </c>
      <c r="B7559" s="38">
        <v>0</v>
      </c>
      <c r="C7559" s="79">
        <v>0</v>
      </c>
    </row>
    <row r="7560" spans="1:3" x14ac:dyDescent="0.25">
      <c r="A7560" s="2">
        <v>0</v>
      </c>
      <c r="B7560" s="38">
        <v>0</v>
      </c>
      <c r="C7560" s="79">
        <v>0</v>
      </c>
    </row>
    <row r="7561" spans="1:3" x14ac:dyDescent="0.25">
      <c r="A7561" s="2">
        <v>0</v>
      </c>
      <c r="B7561" s="38">
        <v>0</v>
      </c>
      <c r="C7561" s="79">
        <v>0</v>
      </c>
    </row>
    <row r="7562" spans="1:3" x14ac:dyDescent="0.25">
      <c r="A7562" s="2">
        <v>0</v>
      </c>
      <c r="B7562" s="38">
        <v>0</v>
      </c>
      <c r="C7562" s="79">
        <v>0</v>
      </c>
    </row>
    <row r="7563" spans="1:3" x14ac:dyDescent="0.25">
      <c r="A7563" s="2">
        <v>0</v>
      </c>
      <c r="B7563" s="38">
        <v>0</v>
      </c>
      <c r="C7563" s="79">
        <v>0</v>
      </c>
    </row>
    <row r="7564" spans="1:3" x14ac:dyDescent="0.25">
      <c r="A7564" s="2">
        <v>0</v>
      </c>
      <c r="B7564" s="38">
        <v>0</v>
      </c>
      <c r="C7564" s="79">
        <v>0</v>
      </c>
    </row>
    <row r="7565" spans="1:3" x14ac:dyDescent="0.25">
      <c r="A7565" s="2">
        <v>0</v>
      </c>
      <c r="B7565" s="38">
        <v>0</v>
      </c>
      <c r="C7565" s="79">
        <v>0</v>
      </c>
    </row>
    <row r="7566" spans="1:3" x14ac:dyDescent="0.25">
      <c r="A7566" s="2">
        <v>0</v>
      </c>
      <c r="B7566" s="38">
        <v>0</v>
      </c>
      <c r="C7566" s="79">
        <v>0</v>
      </c>
    </row>
    <row r="7567" spans="1:3" x14ac:dyDescent="0.25">
      <c r="A7567" s="2">
        <v>0</v>
      </c>
      <c r="B7567" s="38">
        <v>0</v>
      </c>
      <c r="C7567" s="79">
        <v>0</v>
      </c>
    </row>
    <row r="7568" spans="1:3" x14ac:dyDescent="0.25">
      <c r="A7568" s="2">
        <v>0</v>
      </c>
      <c r="B7568" s="38">
        <v>0</v>
      </c>
      <c r="C7568" s="79">
        <v>0</v>
      </c>
    </row>
    <row r="7569" spans="1:3" x14ac:dyDescent="0.25">
      <c r="A7569" s="2">
        <v>0</v>
      </c>
      <c r="B7569" s="38">
        <v>0</v>
      </c>
      <c r="C7569" s="79">
        <v>0</v>
      </c>
    </row>
    <row r="7570" spans="1:3" x14ac:dyDescent="0.25">
      <c r="A7570" s="2">
        <v>0</v>
      </c>
      <c r="B7570" s="38">
        <v>0</v>
      </c>
      <c r="C7570" s="79">
        <v>0</v>
      </c>
    </row>
    <row r="7571" spans="1:3" x14ac:dyDescent="0.25">
      <c r="A7571" s="2">
        <v>0</v>
      </c>
      <c r="B7571" s="38">
        <v>0</v>
      </c>
      <c r="C7571" s="79">
        <v>0</v>
      </c>
    </row>
    <row r="7572" spans="1:3" x14ac:dyDescent="0.25">
      <c r="A7572" s="2">
        <v>0</v>
      </c>
      <c r="B7572" s="38">
        <v>0</v>
      </c>
      <c r="C7572" s="79">
        <v>0</v>
      </c>
    </row>
    <row r="7573" spans="1:3" x14ac:dyDescent="0.25">
      <c r="A7573" s="2">
        <v>0</v>
      </c>
      <c r="B7573" s="38">
        <v>0</v>
      </c>
      <c r="C7573" s="79">
        <v>0</v>
      </c>
    </row>
    <row r="7574" spans="1:3" x14ac:dyDescent="0.25">
      <c r="A7574" s="2">
        <v>0</v>
      </c>
      <c r="B7574" s="38">
        <v>0</v>
      </c>
      <c r="C7574" s="79">
        <v>0</v>
      </c>
    </row>
    <row r="7575" spans="1:3" x14ac:dyDescent="0.25">
      <c r="A7575" s="2">
        <v>0</v>
      </c>
      <c r="B7575" s="38">
        <v>0</v>
      </c>
      <c r="C7575" s="79">
        <v>0</v>
      </c>
    </row>
    <row r="7576" spans="1:3" x14ac:dyDescent="0.25">
      <c r="A7576" s="2">
        <v>0</v>
      </c>
      <c r="B7576" s="38">
        <v>0</v>
      </c>
      <c r="C7576" s="79">
        <v>0</v>
      </c>
    </row>
    <row r="7577" spans="1:3" x14ac:dyDescent="0.25">
      <c r="A7577" s="2">
        <v>0</v>
      </c>
      <c r="B7577" s="38">
        <v>0</v>
      </c>
      <c r="C7577" s="79">
        <v>0</v>
      </c>
    </row>
    <row r="7578" spans="1:3" x14ac:dyDescent="0.25">
      <c r="A7578" s="2">
        <v>0</v>
      </c>
      <c r="B7578" s="38">
        <v>0</v>
      </c>
      <c r="C7578" s="79">
        <v>0</v>
      </c>
    </row>
    <row r="7579" spans="1:3" x14ac:dyDescent="0.25">
      <c r="A7579" s="2">
        <v>0</v>
      </c>
      <c r="B7579" s="38">
        <v>0</v>
      </c>
      <c r="C7579" s="79">
        <v>0</v>
      </c>
    </row>
    <row r="7580" spans="1:3" x14ac:dyDescent="0.25">
      <c r="A7580" s="2">
        <v>0</v>
      </c>
      <c r="B7580" s="38">
        <v>0</v>
      </c>
      <c r="C7580" s="79">
        <v>0</v>
      </c>
    </row>
    <row r="7581" spans="1:3" x14ac:dyDescent="0.25">
      <c r="A7581" s="2">
        <v>0</v>
      </c>
      <c r="B7581" s="38">
        <v>0</v>
      </c>
      <c r="C7581" s="79">
        <v>0</v>
      </c>
    </row>
    <row r="7582" spans="1:3" x14ac:dyDescent="0.25">
      <c r="A7582" s="2">
        <v>0</v>
      </c>
      <c r="B7582" s="38">
        <v>0</v>
      </c>
      <c r="C7582" s="79">
        <v>0</v>
      </c>
    </row>
    <row r="7583" spans="1:3" x14ac:dyDescent="0.25">
      <c r="A7583" s="2">
        <v>0</v>
      </c>
      <c r="B7583" s="38">
        <v>0</v>
      </c>
      <c r="C7583" s="79">
        <v>0</v>
      </c>
    </row>
    <row r="7584" spans="1:3" x14ac:dyDescent="0.25">
      <c r="A7584" s="2">
        <v>0</v>
      </c>
      <c r="B7584" s="38">
        <v>0</v>
      </c>
      <c r="C7584" s="79">
        <v>0</v>
      </c>
    </row>
    <row r="7585" spans="1:3" x14ac:dyDescent="0.25">
      <c r="A7585" s="2">
        <v>0</v>
      </c>
      <c r="B7585" s="38">
        <v>0</v>
      </c>
      <c r="C7585" s="79">
        <v>0</v>
      </c>
    </row>
    <row r="7586" spans="1:3" x14ac:dyDescent="0.25">
      <c r="A7586" s="2">
        <v>0</v>
      </c>
      <c r="B7586" s="38">
        <v>0</v>
      </c>
      <c r="C7586" s="79">
        <v>0</v>
      </c>
    </row>
    <row r="7587" spans="1:3" x14ac:dyDescent="0.25">
      <c r="A7587" s="2">
        <v>0</v>
      </c>
      <c r="B7587" s="38">
        <v>0</v>
      </c>
      <c r="C7587" s="79">
        <v>0</v>
      </c>
    </row>
    <row r="7588" spans="1:3" x14ac:dyDescent="0.25">
      <c r="A7588" s="2">
        <v>0</v>
      </c>
      <c r="B7588" s="38">
        <v>0</v>
      </c>
      <c r="C7588" s="79">
        <v>0</v>
      </c>
    </row>
    <row r="7589" spans="1:3" x14ac:dyDescent="0.25">
      <c r="A7589" s="2">
        <v>0</v>
      </c>
      <c r="B7589" s="38">
        <v>0</v>
      </c>
      <c r="C7589" s="79">
        <v>0</v>
      </c>
    </row>
    <row r="7590" spans="1:3" x14ac:dyDescent="0.25">
      <c r="A7590" s="2">
        <v>0</v>
      </c>
      <c r="B7590" s="38">
        <v>0</v>
      </c>
      <c r="C7590" s="79">
        <v>0</v>
      </c>
    </row>
    <row r="7591" spans="1:3" x14ac:dyDescent="0.25">
      <c r="A7591" s="2">
        <v>0</v>
      </c>
      <c r="B7591" s="38">
        <v>0</v>
      </c>
      <c r="C7591" s="79">
        <v>0</v>
      </c>
    </row>
    <row r="7592" spans="1:3" x14ac:dyDescent="0.25">
      <c r="A7592" s="2">
        <v>0</v>
      </c>
      <c r="B7592" s="38">
        <v>0</v>
      </c>
      <c r="C7592" s="79">
        <v>0</v>
      </c>
    </row>
    <row r="7593" spans="1:3" x14ac:dyDescent="0.25">
      <c r="A7593" s="2">
        <v>0</v>
      </c>
      <c r="B7593" s="38">
        <v>0</v>
      </c>
      <c r="C7593" s="79">
        <v>0</v>
      </c>
    </row>
    <row r="7594" spans="1:3" x14ac:dyDescent="0.25">
      <c r="A7594" s="2">
        <v>0</v>
      </c>
      <c r="B7594" s="38">
        <v>0</v>
      </c>
      <c r="C7594" s="79">
        <v>0</v>
      </c>
    </row>
    <row r="7595" spans="1:3" x14ac:dyDescent="0.25">
      <c r="A7595" s="2">
        <v>0</v>
      </c>
      <c r="B7595" s="38">
        <v>0</v>
      </c>
      <c r="C7595" s="79">
        <v>0</v>
      </c>
    </row>
    <row r="7596" spans="1:3" x14ac:dyDescent="0.25">
      <c r="A7596" s="2">
        <v>0</v>
      </c>
      <c r="B7596" s="38">
        <v>0</v>
      </c>
      <c r="C7596" s="79">
        <v>0</v>
      </c>
    </row>
    <row r="7597" spans="1:3" x14ac:dyDescent="0.25">
      <c r="A7597" s="2">
        <v>0</v>
      </c>
      <c r="B7597" s="38">
        <v>0</v>
      </c>
      <c r="C7597" s="79">
        <v>0</v>
      </c>
    </row>
    <row r="7598" spans="1:3" x14ac:dyDescent="0.25">
      <c r="A7598" s="2">
        <v>0</v>
      </c>
      <c r="B7598" s="38">
        <v>0</v>
      </c>
      <c r="C7598" s="79">
        <v>0</v>
      </c>
    </row>
    <row r="7599" spans="1:3" x14ac:dyDescent="0.25">
      <c r="A7599" s="2">
        <v>0</v>
      </c>
      <c r="B7599" s="38">
        <v>0</v>
      </c>
      <c r="C7599" s="79">
        <v>0</v>
      </c>
    </row>
    <row r="7600" spans="1:3" x14ac:dyDescent="0.25">
      <c r="A7600" s="2">
        <v>0</v>
      </c>
      <c r="B7600" s="38">
        <v>0</v>
      </c>
      <c r="C7600" s="79">
        <v>0</v>
      </c>
    </row>
    <row r="7601" spans="1:3" x14ac:dyDescent="0.25">
      <c r="A7601" s="2">
        <v>0</v>
      </c>
      <c r="B7601" s="38">
        <v>0</v>
      </c>
      <c r="C7601" s="79">
        <v>0</v>
      </c>
    </row>
    <row r="7602" spans="1:3" x14ac:dyDescent="0.25">
      <c r="A7602" s="2">
        <v>0</v>
      </c>
      <c r="B7602" s="38">
        <v>0</v>
      </c>
      <c r="C7602" s="79">
        <v>0</v>
      </c>
    </row>
    <row r="7603" spans="1:3" x14ac:dyDescent="0.25">
      <c r="A7603" s="2">
        <v>0</v>
      </c>
      <c r="B7603" s="38">
        <v>0</v>
      </c>
      <c r="C7603" s="79">
        <v>0</v>
      </c>
    </row>
    <row r="7604" spans="1:3" x14ac:dyDescent="0.25">
      <c r="A7604" s="2">
        <v>0</v>
      </c>
      <c r="B7604" s="38">
        <v>0</v>
      </c>
      <c r="C7604" s="79">
        <v>0</v>
      </c>
    </row>
    <row r="7605" spans="1:3" x14ac:dyDescent="0.25">
      <c r="A7605" s="2">
        <v>0</v>
      </c>
      <c r="B7605" s="38">
        <v>0</v>
      </c>
      <c r="C7605" s="79">
        <v>0</v>
      </c>
    </row>
    <row r="7606" spans="1:3" x14ac:dyDescent="0.25">
      <c r="A7606" s="2">
        <v>0</v>
      </c>
      <c r="B7606" s="38">
        <v>0</v>
      </c>
      <c r="C7606" s="79">
        <v>0</v>
      </c>
    </row>
    <row r="7607" spans="1:3" x14ac:dyDescent="0.25">
      <c r="A7607" s="2">
        <v>0</v>
      </c>
      <c r="B7607" s="38">
        <v>0</v>
      </c>
      <c r="C7607" s="79">
        <v>0</v>
      </c>
    </row>
    <row r="7608" spans="1:3" x14ac:dyDescent="0.25">
      <c r="A7608" s="2">
        <v>0</v>
      </c>
      <c r="B7608" s="38">
        <v>0</v>
      </c>
      <c r="C7608" s="79">
        <v>0</v>
      </c>
    </row>
    <row r="7609" spans="1:3" x14ac:dyDescent="0.25">
      <c r="A7609" s="2">
        <v>0</v>
      </c>
      <c r="B7609" s="38">
        <v>0</v>
      </c>
      <c r="C7609" s="79">
        <v>0</v>
      </c>
    </row>
    <row r="7610" spans="1:3" x14ac:dyDescent="0.25">
      <c r="A7610" s="2">
        <v>0</v>
      </c>
      <c r="B7610" s="38">
        <v>0</v>
      </c>
      <c r="C7610" s="79">
        <v>0</v>
      </c>
    </row>
    <row r="7611" spans="1:3" x14ac:dyDescent="0.25">
      <c r="A7611" s="2">
        <v>0</v>
      </c>
      <c r="B7611" s="38">
        <v>0</v>
      </c>
      <c r="C7611" s="79">
        <v>0</v>
      </c>
    </row>
    <row r="7612" spans="1:3" x14ac:dyDescent="0.25">
      <c r="A7612" s="2">
        <v>0</v>
      </c>
      <c r="B7612" s="38">
        <v>0</v>
      </c>
      <c r="C7612" s="79">
        <v>0</v>
      </c>
    </row>
    <row r="7613" spans="1:3" x14ac:dyDescent="0.25">
      <c r="A7613" s="2">
        <v>0</v>
      </c>
      <c r="B7613" s="38">
        <v>0</v>
      </c>
      <c r="C7613" s="79">
        <v>0</v>
      </c>
    </row>
    <row r="7614" spans="1:3" x14ac:dyDescent="0.25">
      <c r="A7614" s="2">
        <v>0</v>
      </c>
      <c r="B7614" s="38">
        <v>0</v>
      </c>
      <c r="C7614" s="79">
        <v>0</v>
      </c>
    </row>
    <row r="7615" spans="1:3" x14ac:dyDescent="0.25">
      <c r="A7615" s="2">
        <v>0</v>
      </c>
      <c r="B7615" s="38">
        <v>0</v>
      </c>
      <c r="C7615" s="79">
        <v>0</v>
      </c>
    </row>
    <row r="7616" spans="1:3" x14ac:dyDescent="0.25">
      <c r="A7616" s="2">
        <v>0</v>
      </c>
      <c r="B7616" s="38">
        <v>0</v>
      </c>
      <c r="C7616" s="79">
        <v>0</v>
      </c>
    </row>
    <row r="7617" spans="1:3" x14ac:dyDescent="0.25">
      <c r="A7617" s="2">
        <v>0</v>
      </c>
      <c r="B7617" s="38">
        <v>0</v>
      </c>
      <c r="C7617" s="79">
        <v>0</v>
      </c>
    </row>
    <row r="7618" spans="1:3" x14ac:dyDescent="0.25">
      <c r="A7618" s="2">
        <v>0</v>
      </c>
      <c r="B7618" s="38">
        <v>0</v>
      </c>
      <c r="C7618" s="79">
        <v>0</v>
      </c>
    </row>
    <row r="7619" spans="1:3" x14ac:dyDescent="0.25">
      <c r="A7619" s="2">
        <v>0</v>
      </c>
      <c r="B7619" s="38">
        <v>0</v>
      </c>
      <c r="C7619" s="79">
        <v>0</v>
      </c>
    </row>
    <row r="7620" spans="1:3" x14ac:dyDescent="0.25">
      <c r="A7620" s="2">
        <v>0</v>
      </c>
      <c r="B7620" s="38">
        <v>0</v>
      </c>
      <c r="C7620" s="79">
        <v>0</v>
      </c>
    </row>
    <row r="7621" spans="1:3" x14ac:dyDescent="0.25">
      <c r="A7621" s="2">
        <v>0</v>
      </c>
      <c r="B7621" s="38">
        <v>0</v>
      </c>
      <c r="C7621" s="79">
        <v>0</v>
      </c>
    </row>
    <row r="7622" spans="1:3" x14ac:dyDescent="0.25">
      <c r="A7622" s="2">
        <v>0</v>
      </c>
      <c r="B7622" s="38">
        <v>0</v>
      </c>
      <c r="C7622" s="79">
        <v>0</v>
      </c>
    </row>
    <row r="7623" spans="1:3" x14ac:dyDescent="0.25">
      <c r="A7623" s="2">
        <v>0</v>
      </c>
      <c r="B7623" s="38">
        <v>0</v>
      </c>
      <c r="C7623" s="79">
        <v>0</v>
      </c>
    </row>
    <row r="7624" spans="1:3" x14ac:dyDescent="0.25">
      <c r="A7624" s="2">
        <v>0</v>
      </c>
      <c r="B7624" s="38">
        <v>0</v>
      </c>
      <c r="C7624" s="79">
        <v>0</v>
      </c>
    </row>
    <row r="7625" spans="1:3" x14ac:dyDescent="0.25">
      <c r="A7625" s="2">
        <v>0</v>
      </c>
      <c r="B7625" s="38">
        <v>0</v>
      </c>
      <c r="C7625" s="79">
        <v>0</v>
      </c>
    </row>
    <row r="7626" spans="1:3" x14ac:dyDescent="0.25">
      <c r="A7626" s="2">
        <v>0</v>
      </c>
      <c r="B7626" s="38">
        <v>0</v>
      </c>
      <c r="C7626" s="79">
        <v>0</v>
      </c>
    </row>
    <row r="7627" spans="1:3" x14ac:dyDescent="0.25">
      <c r="A7627" s="2">
        <v>0</v>
      </c>
      <c r="B7627" s="38">
        <v>0</v>
      </c>
      <c r="C7627" s="79">
        <v>0</v>
      </c>
    </row>
    <row r="7628" spans="1:3" x14ac:dyDescent="0.25">
      <c r="A7628" s="2">
        <v>0</v>
      </c>
      <c r="B7628" s="38">
        <v>0</v>
      </c>
      <c r="C7628" s="79">
        <v>0</v>
      </c>
    </row>
    <row r="7629" spans="1:3" x14ac:dyDescent="0.25">
      <c r="A7629" s="2">
        <v>0</v>
      </c>
      <c r="B7629" s="38">
        <v>0</v>
      </c>
      <c r="C7629" s="79">
        <v>0</v>
      </c>
    </row>
    <row r="7630" spans="1:3" x14ac:dyDescent="0.25">
      <c r="A7630" s="2">
        <v>0</v>
      </c>
      <c r="B7630" s="38">
        <v>0</v>
      </c>
      <c r="C7630" s="79">
        <v>0</v>
      </c>
    </row>
    <row r="7631" spans="1:3" x14ac:dyDescent="0.25">
      <c r="A7631" s="2">
        <v>0</v>
      </c>
      <c r="B7631" s="38">
        <v>0</v>
      </c>
      <c r="C7631" s="79">
        <v>0</v>
      </c>
    </row>
    <row r="7632" spans="1:3" x14ac:dyDescent="0.25">
      <c r="A7632" s="2">
        <v>0</v>
      </c>
      <c r="B7632" s="38">
        <v>0</v>
      </c>
      <c r="C7632" s="79">
        <v>0</v>
      </c>
    </row>
    <row r="7633" spans="1:3" x14ac:dyDescent="0.25">
      <c r="A7633" s="2">
        <v>0</v>
      </c>
      <c r="B7633" s="38">
        <v>0</v>
      </c>
      <c r="C7633" s="79">
        <v>0</v>
      </c>
    </row>
    <row r="7634" spans="1:3" x14ac:dyDescent="0.25">
      <c r="A7634" s="2">
        <v>0</v>
      </c>
      <c r="B7634" s="38">
        <v>0</v>
      </c>
      <c r="C7634" s="79">
        <v>0</v>
      </c>
    </row>
    <row r="7635" spans="1:3" x14ac:dyDescent="0.25">
      <c r="A7635" s="2">
        <v>0</v>
      </c>
      <c r="B7635" s="38">
        <v>0</v>
      </c>
      <c r="C7635" s="79">
        <v>0</v>
      </c>
    </row>
    <row r="7636" spans="1:3" x14ac:dyDescent="0.25">
      <c r="A7636" s="2">
        <v>0</v>
      </c>
      <c r="B7636" s="38">
        <v>0</v>
      </c>
      <c r="C7636" s="79">
        <v>0</v>
      </c>
    </row>
    <row r="7637" spans="1:3" x14ac:dyDescent="0.25">
      <c r="A7637" s="2">
        <v>0</v>
      </c>
      <c r="B7637" s="38">
        <v>0</v>
      </c>
      <c r="C7637" s="79">
        <v>0</v>
      </c>
    </row>
    <row r="7638" spans="1:3" x14ac:dyDescent="0.25">
      <c r="A7638" s="2">
        <v>0</v>
      </c>
      <c r="B7638" s="38">
        <v>0</v>
      </c>
      <c r="C7638" s="79">
        <v>0</v>
      </c>
    </row>
    <row r="7639" spans="1:3" x14ac:dyDescent="0.25">
      <c r="A7639" s="2">
        <v>0</v>
      </c>
      <c r="B7639" s="38">
        <v>0</v>
      </c>
      <c r="C7639" s="79">
        <v>0</v>
      </c>
    </row>
    <row r="7640" spans="1:3" x14ac:dyDescent="0.25">
      <c r="A7640" s="2">
        <v>0</v>
      </c>
      <c r="B7640" s="38">
        <v>0</v>
      </c>
      <c r="C7640" s="79">
        <v>0</v>
      </c>
    </row>
    <row r="7641" spans="1:3" x14ac:dyDescent="0.25">
      <c r="A7641" s="2">
        <v>0</v>
      </c>
      <c r="B7641" s="38">
        <v>0</v>
      </c>
      <c r="C7641" s="79">
        <v>0</v>
      </c>
    </row>
    <row r="7642" spans="1:3" x14ac:dyDescent="0.25">
      <c r="A7642" s="2">
        <v>0</v>
      </c>
      <c r="B7642" s="38">
        <v>0</v>
      </c>
      <c r="C7642" s="79">
        <v>0</v>
      </c>
    </row>
    <row r="7643" spans="1:3" x14ac:dyDescent="0.25">
      <c r="A7643" s="2">
        <v>0</v>
      </c>
      <c r="B7643" s="38">
        <v>0</v>
      </c>
      <c r="C7643" s="79">
        <v>0</v>
      </c>
    </row>
    <row r="7644" spans="1:3" x14ac:dyDescent="0.25">
      <c r="A7644" s="2">
        <v>0</v>
      </c>
      <c r="B7644" s="38">
        <v>0</v>
      </c>
      <c r="C7644" s="79">
        <v>0</v>
      </c>
    </row>
    <row r="7645" spans="1:3" x14ac:dyDescent="0.25">
      <c r="A7645" s="2">
        <v>0</v>
      </c>
      <c r="B7645" s="38">
        <v>0</v>
      </c>
      <c r="C7645" s="79">
        <v>0</v>
      </c>
    </row>
    <row r="7646" spans="1:3" x14ac:dyDescent="0.25">
      <c r="A7646" s="2">
        <v>0</v>
      </c>
      <c r="B7646" s="38">
        <v>0</v>
      </c>
      <c r="C7646" s="79">
        <v>0</v>
      </c>
    </row>
    <row r="7647" spans="1:3" x14ac:dyDescent="0.25">
      <c r="A7647" s="2">
        <v>0</v>
      </c>
      <c r="B7647" s="38">
        <v>0</v>
      </c>
      <c r="C7647" s="79">
        <v>0</v>
      </c>
    </row>
    <row r="7648" spans="1:3" x14ac:dyDescent="0.25">
      <c r="A7648" s="2">
        <v>0</v>
      </c>
      <c r="B7648" s="38">
        <v>0</v>
      </c>
      <c r="C7648" s="79">
        <v>0</v>
      </c>
    </row>
    <row r="7649" spans="1:3" x14ac:dyDescent="0.25">
      <c r="A7649" s="2">
        <v>0</v>
      </c>
      <c r="B7649" s="38">
        <v>0</v>
      </c>
      <c r="C7649" s="79">
        <v>0</v>
      </c>
    </row>
    <row r="7650" spans="1:3" x14ac:dyDescent="0.25">
      <c r="A7650" s="2">
        <v>0</v>
      </c>
      <c r="B7650" s="38">
        <v>0</v>
      </c>
      <c r="C7650" s="79">
        <v>0</v>
      </c>
    </row>
    <row r="7651" spans="1:3" x14ac:dyDescent="0.25">
      <c r="A7651" s="2">
        <v>0</v>
      </c>
      <c r="B7651" s="38">
        <v>0</v>
      </c>
      <c r="C7651" s="79">
        <v>0</v>
      </c>
    </row>
    <row r="7652" spans="1:3" x14ac:dyDescent="0.25">
      <c r="A7652" s="2">
        <v>0</v>
      </c>
      <c r="B7652" s="38">
        <v>0</v>
      </c>
      <c r="C7652" s="79">
        <v>0</v>
      </c>
    </row>
    <row r="7653" spans="1:3" x14ac:dyDescent="0.25">
      <c r="A7653" s="2">
        <v>0</v>
      </c>
      <c r="B7653" s="38">
        <v>0</v>
      </c>
      <c r="C7653" s="79">
        <v>0</v>
      </c>
    </row>
    <row r="7654" spans="1:3" x14ac:dyDescent="0.25">
      <c r="A7654" s="2">
        <v>0</v>
      </c>
      <c r="B7654" s="38">
        <v>0</v>
      </c>
      <c r="C7654" s="79">
        <v>0</v>
      </c>
    </row>
    <row r="7655" spans="1:3" x14ac:dyDescent="0.25">
      <c r="A7655" s="2">
        <v>0</v>
      </c>
      <c r="B7655" s="38">
        <v>0</v>
      </c>
      <c r="C7655" s="79">
        <v>0</v>
      </c>
    </row>
    <row r="7656" spans="1:3" x14ac:dyDescent="0.25">
      <c r="A7656" s="2">
        <v>0</v>
      </c>
      <c r="B7656" s="38">
        <v>0</v>
      </c>
      <c r="C7656" s="79">
        <v>0</v>
      </c>
    </row>
    <row r="7657" spans="1:3" x14ac:dyDescent="0.25">
      <c r="A7657" s="2">
        <v>0</v>
      </c>
      <c r="B7657" s="38">
        <v>0</v>
      </c>
      <c r="C7657" s="79">
        <v>0</v>
      </c>
    </row>
    <row r="7658" spans="1:3" x14ac:dyDescent="0.25">
      <c r="A7658" s="2">
        <v>0</v>
      </c>
      <c r="B7658" s="38">
        <v>0</v>
      </c>
      <c r="C7658" s="79">
        <v>0</v>
      </c>
    </row>
    <row r="7659" spans="1:3" x14ac:dyDescent="0.25">
      <c r="A7659" s="2">
        <v>0</v>
      </c>
      <c r="B7659" s="38">
        <v>0</v>
      </c>
      <c r="C7659" s="79">
        <v>0</v>
      </c>
    </row>
    <row r="7660" spans="1:3" x14ac:dyDescent="0.25">
      <c r="A7660" s="2">
        <v>0</v>
      </c>
      <c r="B7660" s="38">
        <v>0</v>
      </c>
      <c r="C7660" s="79">
        <v>0</v>
      </c>
    </row>
    <row r="7661" spans="1:3" x14ac:dyDescent="0.25">
      <c r="A7661" s="2">
        <v>0</v>
      </c>
      <c r="B7661" s="38">
        <v>0</v>
      </c>
      <c r="C7661" s="79">
        <v>0</v>
      </c>
    </row>
    <row r="7662" spans="1:3" x14ac:dyDescent="0.25">
      <c r="A7662" s="2">
        <v>0</v>
      </c>
      <c r="B7662" s="38">
        <v>0</v>
      </c>
      <c r="C7662" s="79">
        <v>0</v>
      </c>
    </row>
    <row r="7663" spans="1:3" x14ac:dyDescent="0.25">
      <c r="A7663" s="2">
        <v>0</v>
      </c>
      <c r="B7663" s="38">
        <v>0</v>
      </c>
      <c r="C7663" s="79">
        <v>0</v>
      </c>
    </row>
    <row r="7664" spans="1:3" x14ac:dyDescent="0.25">
      <c r="A7664" s="2">
        <v>0</v>
      </c>
      <c r="B7664" s="38">
        <v>0</v>
      </c>
      <c r="C7664" s="79">
        <v>0</v>
      </c>
    </row>
    <row r="7665" spans="1:3" x14ac:dyDescent="0.25">
      <c r="A7665" s="2">
        <v>0</v>
      </c>
      <c r="B7665" s="38">
        <v>0</v>
      </c>
      <c r="C7665" s="79">
        <v>0</v>
      </c>
    </row>
    <row r="7666" spans="1:3" x14ac:dyDescent="0.25">
      <c r="A7666" s="2">
        <v>0</v>
      </c>
      <c r="B7666" s="38">
        <v>0</v>
      </c>
      <c r="C7666" s="79">
        <v>0</v>
      </c>
    </row>
    <row r="7667" spans="1:3" x14ac:dyDescent="0.25">
      <c r="A7667" s="2">
        <v>0</v>
      </c>
      <c r="B7667" s="38">
        <v>0</v>
      </c>
      <c r="C7667" s="79">
        <v>0</v>
      </c>
    </row>
    <row r="7668" spans="1:3" x14ac:dyDescent="0.25">
      <c r="A7668" s="2">
        <v>0</v>
      </c>
      <c r="B7668" s="38">
        <v>0</v>
      </c>
      <c r="C7668" s="79">
        <v>0</v>
      </c>
    </row>
    <row r="7669" spans="1:3" x14ac:dyDescent="0.25">
      <c r="A7669" s="2">
        <v>0</v>
      </c>
      <c r="B7669" s="38">
        <v>0</v>
      </c>
      <c r="C7669" s="79">
        <v>0</v>
      </c>
    </row>
    <row r="7670" spans="1:3" x14ac:dyDescent="0.25">
      <c r="A7670" s="2">
        <v>0</v>
      </c>
      <c r="B7670" s="38">
        <v>0</v>
      </c>
      <c r="C7670" s="79">
        <v>0</v>
      </c>
    </row>
    <row r="7671" spans="1:3" x14ac:dyDescent="0.25">
      <c r="A7671" s="2">
        <v>0</v>
      </c>
      <c r="B7671" s="38">
        <v>0</v>
      </c>
      <c r="C7671" s="79">
        <v>0</v>
      </c>
    </row>
    <row r="7672" spans="1:3" x14ac:dyDescent="0.25">
      <c r="A7672" s="2">
        <v>0</v>
      </c>
      <c r="B7672" s="38">
        <v>0</v>
      </c>
      <c r="C7672" s="79">
        <v>0</v>
      </c>
    </row>
    <row r="7673" spans="1:3" x14ac:dyDescent="0.25">
      <c r="A7673" s="2">
        <v>0</v>
      </c>
      <c r="B7673" s="38">
        <v>0</v>
      </c>
      <c r="C7673" s="79">
        <v>0</v>
      </c>
    </row>
    <row r="7674" spans="1:3" x14ac:dyDescent="0.25">
      <c r="A7674" s="2">
        <v>0</v>
      </c>
      <c r="B7674" s="38">
        <v>0</v>
      </c>
      <c r="C7674" s="79">
        <v>0</v>
      </c>
    </row>
    <row r="7675" spans="1:3" x14ac:dyDescent="0.25">
      <c r="A7675" s="2">
        <v>0</v>
      </c>
      <c r="B7675" s="38">
        <v>0</v>
      </c>
      <c r="C7675" s="79">
        <v>0</v>
      </c>
    </row>
    <row r="7676" spans="1:3" x14ac:dyDescent="0.25">
      <c r="A7676" s="2">
        <v>0</v>
      </c>
      <c r="B7676" s="38">
        <v>0</v>
      </c>
      <c r="C7676" s="79">
        <v>0</v>
      </c>
    </row>
    <row r="7677" spans="1:3" x14ac:dyDescent="0.25">
      <c r="A7677" s="2">
        <v>0</v>
      </c>
      <c r="B7677" s="38">
        <v>0</v>
      </c>
      <c r="C7677" s="79">
        <v>0</v>
      </c>
    </row>
    <row r="7678" spans="1:3" x14ac:dyDescent="0.25">
      <c r="A7678" s="2">
        <v>0</v>
      </c>
      <c r="B7678" s="38">
        <v>0</v>
      </c>
      <c r="C7678" s="79">
        <v>0</v>
      </c>
    </row>
    <row r="7679" spans="1:3" x14ac:dyDescent="0.25">
      <c r="A7679" s="2">
        <v>0</v>
      </c>
      <c r="B7679" s="38">
        <v>0</v>
      </c>
      <c r="C7679" s="79">
        <v>0</v>
      </c>
    </row>
    <row r="7680" spans="1:3" x14ac:dyDescent="0.25">
      <c r="A7680" s="2">
        <v>0</v>
      </c>
      <c r="B7680" s="38">
        <v>0</v>
      </c>
      <c r="C7680" s="79">
        <v>0</v>
      </c>
    </row>
    <row r="7681" spans="1:3" x14ac:dyDescent="0.25">
      <c r="A7681" s="2">
        <v>0</v>
      </c>
      <c r="B7681" s="38">
        <v>0</v>
      </c>
      <c r="C7681" s="79">
        <v>0</v>
      </c>
    </row>
    <row r="7682" spans="1:3" x14ac:dyDescent="0.25">
      <c r="A7682" s="2">
        <v>0</v>
      </c>
      <c r="B7682" s="38">
        <v>0</v>
      </c>
      <c r="C7682" s="79">
        <v>0</v>
      </c>
    </row>
    <row r="7683" spans="1:3" x14ac:dyDescent="0.25">
      <c r="A7683" s="2">
        <v>0</v>
      </c>
      <c r="B7683" s="38">
        <v>0</v>
      </c>
      <c r="C7683" s="79">
        <v>0</v>
      </c>
    </row>
    <row r="7684" spans="1:3" x14ac:dyDescent="0.25">
      <c r="A7684" s="2">
        <v>0</v>
      </c>
      <c r="B7684" s="38">
        <v>0</v>
      </c>
      <c r="C7684" s="79">
        <v>0</v>
      </c>
    </row>
    <row r="7685" spans="1:3" x14ac:dyDescent="0.25">
      <c r="A7685" s="2">
        <v>0</v>
      </c>
      <c r="B7685" s="38">
        <v>0</v>
      </c>
      <c r="C7685" s="79">
        <v>0</v>
      </c>
    </row>
    <row r="7686" spans="1:3" x14ac:dyDescent="0.25">
      <c r="A7686" s="2">
        <v>0</v>
      </c>
      <c r="B7686" s="38">
        <v>0</v>
      </c>
      <c r="C7686" s="79">
        <v>0</v>
      </c>
    </row>
    <row r="7687" spans="1:3" x14ac:dyDescent="0.25">
      <c r="A7687" s="2">
        <v>0</v>
      </c>
      <c r="B7687" s="38">
        <v>0</v>
      </c>
      <c r="C7687" s="79">
        <v>0</v>
      </c>
    </row>
    <row r="7688" spans="1:3" x14ac:dyDescent="0.25">
      <c r="A7688" s="2">
        <v>0</v>
      </c>
      <c r="B7688" s="38">
        <v>0</v>
      </c>
      <c r="C7688" s="79">
        <v>0</v>
      </c>
    </row>
    <row r="7689" spans="1:3" x14ac:dyDescent="0.25">
      <c r="A7689" s="2">
        <v>0</v>
      </c>
      <c r="B7689" s="38">
        <v>0</v>
      </c>
      <c r="C7689" s="79">
        <v>0</v>
      </c>
    </row>
    <row r="7690" spans="1:3" x14ac:dyDescent="0.25">
      <c r="A7690" s="2">
        <v>0</v>
      </c>
      <c r="B7690" s="38">
        <v>0</v>
      </c>
      <c r="C7690" s="79">
        <v>0</v>
      </c>
    </row>
    <row r="7691" spans="1:3" x14ac:dyDescent="0.25">
      <c r="A7691" s="2">
        <v>0</v>
      </c>
      <c r="B7691" s="38">
        <v>0</v>
      </c>
      <c r="C7691" s="79">
        <v>0</v>
      </c>
    </row>
    <row r="7692" spans="1:3" x14ac:dyDescent="0.25">
      <c r="A7692" s="2">
        <v>0</v>
      </c>
      <c r="B7692" s="38">
        <v>0</v>
      </c>
      <c r="C7692" s="79">
        <v>0</v>
      </c>
    </row>
    <row r="7693" spans="1:3" x14ac:dyDescent="0.25">
      <c r="A7693" s="2">
        <v>0</v>
      </c>
      <c r="B7693" s="38">
        <v>0</v>
      </c>
      <c r="C7693" s="79">
        <v>0</v>
      </c>
    </row>
    <row r="7694" spans="1:3" x14ac:dyDescent="0.25">
      <c r="A7694" s="2">
        <v>0</v>
      </c>
      <c r="B7694" s="38">
        <v>0</v>
      </c>
      <c r="C7694" s="79">
        <v>0</v>
      </c>
    </row>
    <row r="7695" spans="1:3" x14ac:dyDescent="0.25">
      <c r="A7695" s="2">
        <v>0</v>
      </c>
      <c r="B7695" s="38">
        <v>0</v>
      </c>
      <c r="C7695" s="79">
        <v>0</v>
      </c>
    </row>
    <row r="7696" spans="1:3" x14ac:dyDescent="0.25">
      <c r="A7696" s="2">
        <v>0</v>
      </c>
      <c r="B7696" s="38">
        <v>0</v>
      </c>
      <c r="C7696" s="79">
        <v>0</v>
      </c>
    </row>
    <row r="7697" spans="1:3" x14ac:dyDescent="0.25">
      <c r="A7697" s="2">
        <v>0</v>
      </c>
      <c r="B7697" s="38">
        <v>0</v>
      </c>
      <c r="C7697" s="79">
        <v>0</v>
      </c>
    </row>
    <row r="7698" spans="1:3" x14ac:dyDescent="0.25">
      <c r="A7698" s="2">
        <v>0</v>
      </c>
      <c r="B7698" s="38">
        <v>0</v>
      </c>
      <c r="C7698" s="79">
        <v>0</v>
      </c>
    </row>
    <row r="7699" spans="1:3" x14ac:dyDescent="0.25">
      <c r="A7699" s="2">
        <v>0</v>
      </c>
      <c r="B7699" s="38">
        <v>0</v>
      </c>
      <c r="C7699" s="79">
        <v>0</v>
      </c>
    </row>
    <row r="7700" spans="1:3" x14ac:dyDescent="0.25">
      <c r="A7700" s="2">
        <v>0</v>
      </c>
      <c r="B7700" s="38">
        <v>0</v>
      </c>
      <c r="C7700" s="79">
        <v>0</v>
      </c>
    </row>
    <row r="7701" spans="1:3" x14ac:dyDescent="0.25">
      <c r="A7701" s="2">
        <v>0</v>
      </c>
      <c r="B7701" s="38">
        <v>0</v>
      </c>
      <c r="C7701" s="79">
        <v>0</v>
      </c>
    </row>
    <row r="7702" spans="1:3" x14ac:dyDescent="0.25">
      <c r="A7702" s="2">
        <v>0</v>
      </c>
      <c r="B7702" s="38">
        <v>0</v>
      </c>
      <c r="C7702" s="79">
        <v>0</v>
      </c>
    </row>
    <row r="7703" spans="1:3" x14ac:dyDescent="0.25">
      <c r="A7703" s="2">
        <v>0</v>
      </c>
      <c r="B7703" s="38">
        <v>0</v>
      </c>
      <c r="C7703" s="79">
        <v>0</v>
      </c>
    </row>
    <row r="7704" spans="1:3" x14ac:dyDescent="0.25">
      <c r="A7704" s="2">
        <v>0</v>
      </c>
      <c r="B7704" s="38">
        <v>0</v>
      </c>
      <c r="C7704" s="79">
        <v>0</v>
      </c>
    </row>
    <row r="7705" spans="1:3" x14ac:dyDescent="0.25">
      <c r="A7705" s="2">
        <v>0</v>
      </c>
      <c r="B7705" s="38">
        <v>0</v>
      </c>
      <c r="C7705" s="79">
        <v>0</v>
      </c>
    </row>
    <row r="7706" spans="1:3" x14ac:dyDescent="0.25">
      <c r="A7706" s="2">
        <v>0</v>
      </c>
      <c r="B7706" s="38">
        <v>0</v>
      </c>
      <c r="C7706" s="79">
        <v>0</v>
      </c>
    </row>
    <row r="7707" spans="1:3" x14ac:dyDescent="0.25">
      <c r="A7707" s="2">
        <v>0</v>
      </c>
      <c r="B7707" s="38">
        <v>0</v>
      </c>
      <c r="C7707" s="79">
        <v>0</v>
      </c>
    </row>
    <row r="7708" spans="1:3" x14ac:dyDescent="0.25">
      <c r="A7708" s="2">
        <v>0</v>
      </c>
      <c r="B7708" s="38">
        <v>0</v>
      </c>
      <c r="C7708" s="79">
        <v>0</v>
      </c>
    </row>
    <row r="7709" spans="1:3" x14ac:dyDescent="0.25">
      <c r="A7709" s="2">
        <v>0</v>
      </c>
      <c r="B7709" s="38">
        <v>0</v>
      </c>
      <c r="C7709" s="79">
        <v>0</v>
      </c>
    </row>
    <row r="7710" spans="1:3" x14ac:dyDescent="0.25">
      <c r="A7710" s="2">
        <v>0</v>
      </c>
      <c r="B7710" s="38">
        <v>0</v>
      </c>
      <c r="C7710" s="79">
        <v>0</v>
      </c>
    </row>
    <row r="7711" spans="1:3" x14ac:dyDescent="0.25">
      <c r="A7711" s="2">
        <v>0</v>
      </c>
      <c r="B7711" s="38">
        <v>0</v>
      </c>
      <c r="C7711" s="79">
        <v>0</v>
      </c>
    </row>
    <row r="7712" spans="1:3" x14ac:dyDescent="0.25">
      <c r="A7712" s="2">
        <v>0</v>
      </c>
      <c r="B7712" s="38">
        <v>0</v>
      </c>
      <c r="C7712" s="79">
        <v>0</v>
      </c>
    </row>
    <row r="7713" spans="1:3" x14ac:dyDescent="0.25">
      <c r="A7713" s="2">
        <v>0</v>
      </c>
      <c r="B7713" s="38">
        <v>0</v>
      </c>
      <c r="C7713" s="79">
        <v>0</v>
      </c>
    </row>
    <row r="7714" spans="1:3" x14ac:dyDescent="0.25">
      <c r="A7714" s="2">
        <v>0</v>
      </c>
      <c r="B7714" s="38">
        <v>0</v>
      </c>
      <c r="C7714" s="79">
        <v>0</v>
      </c>
    </row>
    <row r="7715" spans="1:3" x14ac:dyDescent="0.25">
      <c r="A7715" s="2">
        <v>0</v>
      </c>
      <c r="B7715" s="38">
        <v>0</v>
      </c>
      <c r="C7715" s="79">
        <v>0</v>
      </c>
    </row>
    <row r="7716" spans="1:3" x14ac:dyDescent="0.25">
      <c r="A7716" s="2">
        <v>0</v>
      </c>
      <c r="B7716" s="38">
        <v>0</v>
      </c>
      <c r="C7716" s="79">
        <v>0</v>
      </c>
    </row>
    <row r="7717" spans="1:3" x14ac:dyDescent="0.25">
      <c r="A7717" s="2">
        <v>0</v>
      </c>
      <c r="B7717" s="38">
        <v>0</v>
      </c>
      <c r="C7717" s="79">
        <v>0</v>
      </c>
    </row>
    <row r="7718" spans="1:3" x14ac:dyDescent="0.25">
      <c r="A7718" s="2">
        <v>0</v>
      </c>
      <c r="B7718" s="38">
        <v>0</v>
      </c>
      <c r="C7718" s="79">
        <v>0</v>
      </c>
    </row>
    <row r="7719" spans="1:3" x14ac:dyDescent="0.25">
      <c r="A7719" s="2">
        <v>0</v>
      </c>
      <c r="B7719" s="38">
        <v>0</v>
      </c>
      <c r="C7719" s="79">
        <v>0</v>
      </c>
    </row>
    <row r="7720" spans="1:3" x14ac:dyDescent="0.25">
      <c r="A7720" s="2">
        <v>0</v>
      </c>
      <c r="B7720" s="38">
        <v>0</v>
      </c>
      <c r="C7720" s="79">
        <v>0</v>
      </c>
    </row>
    <row r="7721" spans="1:3" x14ac:dyDescent="0.25">
      <c r="A7721" s="2">
        <v>0</v>
      </c>
      <c r="B7721" s="38">
        <v>0</v>
      </c>
      <c r="C7721" s="79">
        <v>0</v>
      </c>
    </row>
    <row r="7722" spans="1:3" x14ac:dyDescent="0.25">
      <c r="A7722" s="2">
        <v>0</v>
      </c>
      <c r="B7722" s="38">
        <v>0</v>
      </c>
      <c r="C7722" s="79">
        <v>0</v>
      </c>
    </row>
    <row r="7723" spans="1:3" x14ac:dyDescent="0.25">
      <c r="A7723" s="2">
        <v>0</v>
      </c>
      <c r="B7723" s="38">
        <v>0</v>
      </c>
      <c r="C7723" s="79">
        <v>0</v>
      </c>
    </row>
    <row r="7724" spans="1:3" x14ac:dyDescent="0.25">
      <c r="A7724" s="2">
        <v>0</v>
      </c>
      <c r="B7724" s="38">
        <v>0</v>
      </c>
      <c r="C7724" s="79">
        <v>0</v>
      </c>
    </row>
    <row r="7725" spans="1:3" x14ac:dyDescent="0.25">
      <c r="A7725" s="2">
        <v>0</v>
      </c>
      <c r="B7725" s="38">
        <v>0</v>
      </c>
      <c r="C7725" s="79">
        <v>0</v>
      </c>
    </row>
    <row r="7726" spans="1:3" x14ac:dyDescent="0.25">
      <c r="A7726" s="2">
        <v>0</v>
      </c>
      <c r="B7726" s="38">
        <v>0</v>
      </c>
      <c r="C7726" s="79">
        <v>0</v>
      </c>
    </row>
    <row r="7727" spans="1:3" x14ac:dyDescent="0.25">
      <c r="A7727" s="2">
        <v>0</v>
      </c>
      <c r="B7727" s="38">
        <v>0</v>
      </c>
      <c r="C7727" s="79">
        <v>0</v>
      </c>
    </row>
    <row r="7728" spans="1:3" x14ac:dyDescent="0.25">
      <c r="A7728" s="2">
        <v>0</v>
      </c>
      <c r="B7728" s="38">
        <v>0</v>
      </c>
      <c r="C7728" s="79">
        <v>0</v>
      </c>
    </row>
    <row r="7729" spans="1:3" x14ac:dyDescent="0.25">
      <c r="A7729" s="2">
        <v>0</v>
      </c>
      <c r="B7729" s="38">
        <v>0</v>
      </c>
      <c r="C7729" s="79">
        <v>0</v>
      </c>
    </row>
    <row r="7730" spans="1:3" x14ac:dyDescent="0.25">
      <c r="A7730" s="2">
        <v>0</v>
      </c>
      <c r="B7730" s="38">
        <v>0</v>
      </c>
      <c r="C7730" s="79">
        <v>0</v>
      </c>
    </row>
    <row r="7731" spans="1:3" x14ac:dyDescent="0.25">
      <c r="A7731" s="2">
        <v>0</v>
      </c>
      <c r="B7731" s="38">
        <v>0</v>
      </c>
      <c r="C7731" s="79">
        <v>0</v>
      </c>
    </row>
    <row r="7732" spans="1:3" x14ac:dyDescent="0.25">
      <c r="A7732" s="2">
        <v>0</v>
      </c>
      <c r="B7732" s="38">
        <v>0</v>
      </c>
      <c r="C7732" s="79">
        <v>0</v>
      </c>
    </row>
    <row r="7733" spans="1:3" x14ac:dyDescent="0.25">
      <c r="A7733" s="2">
        <v>0</v>
      </c>
      <c r="B7733" s="38">
        <v>0</v>
      </c>
      <c r="C7733" s="79">
        <v>0</v>
      </c>
    </row>
    <row r="7734" spans="1:3" x14ac:dyDescent="0.25">
      <c r="A7734" s="2">
        <v>0</v>
      </c>
      <c r="B7734" s="38">
        <v>0</v>
      </c>
      <c r="C7734" s="79">
        <v>0</v>
      </c>
    </row>
    <row r="7735" spans="1:3" x14ac:dyDescent="0.25">
      <c r="A7735" s="2">
        <v>0</v>
      </c>
      <c r="B7735" s="38">
        <v>0</v>
      </c>
      <c r="C7735" s="79">
        <v>0</v>
      </c>
    </row>
    <row r="7736" spans="1:3" x14ac:dyDescent="0.25">
      <c r="A7736" s="2">
        <v>0</v>
      </c>
      <c r="B7736" s="38">
        <v>0</v>
      </c>
      <c r="C7736" s="79">
        <v>0</v>
      </c>
    </row>
    <row r="7737" spans="1:3" x14ac:dyDescent="0.25">
      <c r="A7737" s="2">
        <v>0</v>
      </c>
      <c r="B7737" s="38">
        <v>0</v>
      </c>
      <c r="C7737" s="79">
        <v>0</v>
      </c>
    </row>
    <row r="7738" spans="1:3" x14ac:dyDescent="0.25">
      <c r="A7738" s="2">
        <v>0</v>
      </c>
      <c r="B7738" s="38">
        <v>0</v>
      </c>
      <c r="C7738" s="79">
        <v>0</v>
      </c>
    </row>
    <row r="7739" spans="1:3" x14ac:dyDescent="0.25">
      <c r="A7739" s="2">
        <v>0</v>
      </c>
      <c r="B7739" s="38">
        <v>0</v>
      </c>
      <c r="C7739" s="79">
        <v>0</v>
      </c>
    </row>
    <row r="7740" spans="1:3" x14ac:dyDescent="0.25">
      <c r="A7740" s="2">
        <v>0</v>
      </c>
      <c r="B7740" s="38">
        <v>0</v>
      </c>
      <c r="C7740" s="79">
        <v>0</v>
      </c>
    </row>
    <row r="7741" spans="1:3" x14ac:dyDescent="0.25">
      <c r="A7741" s="2">
        <v>0</v>
      </c>
      <c r="B7741" s="38">
        <v>0</v>
      </c>
      <c r="C7741" s="79">
        <v>0</v>
      </c>
    </row>
    <row r="7742" spans="1:3" x14ac:dyDescent="0.25">
      <c r="A7742" s="2">
        <v>0</v>
      </c>
      <c r="B7742" s="38">
        <v>0</v>
      </c>
      <c r="C7742" s="79">
        <v>0</v>
      </c>
    </row>
    <row r="7743" spans="1:3" x14ac:dyDescent="0.25">
      <c r="A7743" s="2">
        <v>0</v>
      </c>
      <c r="B7743" s="38">
        <v>0</v>
      </c>
      <c r="C7743" s="79">
        <v>0</v>
      </c>
    </row>
    <row r="7744" spans="1:3" x14ac:dyDescent="0.25">
      <c r="A7744" s="2">
        <v>0</v>
      </c>
      <c r="B7744" s="38">
        <v>0</v>
      </c>
      <c r="C7744" s="79">
        <v>0</v>
      </c>
    </row>
    <row r="7745" spans="1:3" x14ac:dyDescent="0.25">
      <c r="A7745" s="2">
        <v>0</v>
      </c>
      <c r="B7745" s="38">
        <v>0</v>
      </c>
      <c r="C7745" s="79">
        <v>0</v>
      </c>
    </row>
    <row r="7746" spans="1:3" x14ac:dyDescent="0.25">
      <c r="A7746" s="2">
        <v>0</v>
      </c>
      <c r="B7746" s="38">
        <v>0</v>
      </c>
      <c r="C7746" s="79">
        <v>0</v>
      </c>
    </row>
    <row r="7747" spans="1:3" x14ac:dyDescent="0.25">
      <c r="A7747" s="2">
        <v>0</v>
      </c>
      <c r="B7747" s="38">
        <v>0</v>
      </c>
      <c r="C7747" s="79">
        <v>0</v>
      </c>
    </row>
    <row r="7748" spans="1:3" x14ac:dyDescent="0.25">
      <c r="A7748" s="2">
        <v>0</v>
      </c>
      <c r="B7748" s="38">
        <v>0</v>
      </c>
      <c r="C7748" s="79">
        <v>0</v>
      </c>
    </row>
    <row r="7749" spans="1:3" x14ac:dyDescent="0.25">
      <c r="A7749" s="2">
        <v>0</v>
      </c>
      <c r="B7749" s="38">
        <v>0</v>
      </c>
      <c r="C7749" s="79">
        <v>0</v>
      </c>
    </row>
    <row r="7750" spans="1:3" x14ac:dyDescent="0.25">
      <c r="A7750" s="2">
        <v>0</v>
      </c>
      <c r="B7750" s="38">
        <v>0</v>
      </c>
      <c r="C7750" s="79">
        <v>0</v>
      </c>
    </row>
    <row r="7751" spans="1:3" x14ac:dyDescent="0.25">
      <c r="A7751" s="2">
        <v>0</v>
      </c>
      <c r="B7751" s="38">
        <v>0</v>
      </c>
      <c r="C7751" s="79">
        <v>0</v>
      </c>
    </row>
    <row r="7752" spans="1:3" x14ac:dyDescent="0.25">
      <c r="A7752" s="2">
        <v>0</v>
      </c>
      <c r="B7752" s="38">
        <v>0</v>
      </c>
      <c r="C7752" s="79">
        <v>0</v>
      </c>
    </row>
    <row r="7753" spans="1:3" x14ac:dyDescent="0.25">
      <c r="A7753" s="2">
        <v>0</v>
      </c>
      <c r="B7753" s="38">
        <v>0</v>
      </c>
      <c r="C7753" s="79">
        <v>0</v>
      </c>
    </row>
    <row r="7754" spans="1:3" x14ac:dyDescent="0.25">
      <c r="A7754" s="2">
        <v>0</v>
      </c>
      <c r="B7754" s="38">
        <v>0</v>
      </c>
      <c r="C7754" s="79">
        <v>0</v>
      </c>
    </row>
    <row r="7755" spans="1:3" x14ac:dyDescent="0.25">
      <c r="A7755" s="2">
        <v>0</v>
      </c>
      <c r="B7755" s="38">
        <v>0</v>
      </c>
      <c r="C7755" s="79">
        <v>0</v>
      </c>
    </row>
    <row r="7756" spans="1:3" x14ac:dyDescent="0.25">
      <c r="A7756" s="2">
        <v>0</v>
      </c>
      <c r="B7756" s="38">
        <v>0</v>
      </c>
      <c r="C7756" s="79">
        <v>0</v>
      </c>
    </row>
    <row r="7757" spans="1:3" x14ac:dyDescent="0.25">
      <c r="A7757" s="2">
        <v>0</v>
      </c>
      <c r="B7757" s="38">
        <v>0</v>
      </c>
      <c r="C7757" s="79">
        <v>0</v>
      </c>
    </row>
    <row r="7758" spans="1:3" x14ac:dyDescent="0.25">
      <c r="A7758" s="2">
        <v>0</v>
      </c>
      <c r="B7758" s="38">
        <v>0</v>
      </c>
      <c r="C7758" s="79">
        <v>0</v>
      </c>
    </row>
    <row r="7759" spans="1:3" x14ac:dyDescent="0.25">
      <c r="A7759" s="2">
        <v>0</v>
      </c>
      <c r="B7759" s="38">
        <v>0</v>
      </c>
      <c r="C7759" s="79">
        <v>0</v>
      </c>
    </row>
    <row r="7760" spans="1:3" x14ac:dyDescent="0.25">
      <c r="A7760" s="2">
        <v>0</v>
      </c>
      <c r="B7760" s="38">
        <v>0</v>
      </c>
      <c r="C7760" s="79">
        <v>0</v>
      </c>
    </row>
    <row r="7761" spans="1:3" x14ac:dyDescent="0.25">
      <c r="A7761" s="2">
        <v>0</v>
      </c>
      <c r="B7761" s="38">
        <v>0</v>
      </c>
      <c r="C7761" s="79">
        <v>0</v>
      </c>
    </row>
    <row r="7762" spans="1:3" x14ac:dyDescent="0.25">
      <c r="A7762" s="2">
        <v>0</v>
      </c>
      <c r="B7762" s="38">
        <v>0</v>
      </c>
      <c r="C7762" s="79">
        <v>0</v>
      </c>
    </row>
    <row r="7763" spans="1:3" x14ac:dyDescent="0.25">
      <c r="A7763" s="2">
        <v>0</v>
      </c>
      <c r="B7763" s="38">
        <v>0</v>
      </c>
      <c r="C7763" s="79">
        <v>0</v>
      </c>
    </row>
    <row r="7764" spans="1:3" x14ac:dyDescent="0.25">
      <c r="A7764" s="2">
        <v>0</v>
      </c>
      <c r="B7764" s="38">
        <v>0</v>
      </c>
      <c r="C7764" s="79">
        <v>0</v>
      </c>
    </row>
    <row r="7765" spans="1:3" x14ac:dyDescent="0.25">
      <c r="A7765" s="2">
        <v>0</v>
      </c>
      <c r="B7765" s="38">
        <v>0</v>
      </c>
      <c r="C7765" s="79">
        <v>0</v>
      </c>
    </row>
    <row r="7766" spans="1:3" x14ac:dyDescent="0.25">
      <c r="A7766" s="2">
        <v>0</v>
      </c>
      <c r="B7766" s="38">
        <v>0</v>
      </c>
      <c r="C7766" s="79">
        <v>0</v>
      </c>
    </row>
    <row r="7767" spans="1:3" x14ac:dyDescent="0.25">
      <c r="A7767" s="2">
        <v>0</v>
      </c>
      <c r="B7767" s="38">
        <v>0</v>
      </c>
      <c r="C7767" s="79">
        <v>0</v>
      </c>
    </row>
    <row r="7768" spans="1:3" x14ac:dyDescent="0.25">
      <c r="A7768" s="2">
        <v>0</v>
      </c>
      <c r="B7768" s="38">
        <v>0</v>
      </c>
      <c r="C7768" s="79">
        <v>0</v>
      </c>
    </row>
    <row r="7769" spans="1:3" x14ac:dyDescent="0.25">
      <c r="A7769" s="2">
        <v>0</v>
      </c>
      <c r="B7769" s="38">
        <v>0</v>
      </c>
      <c r="C7769" s="79">
        <v>0</v>
      </c>
    </row>
    <row r="7770" spans="1:3" x14ac:dyDescent="0.25">
      <c r="A7770" s="2">
        <v>0</v>
      </c>
      <c r="B7770" s="38">
        <v>0</v>
      </c>
      <c r="C7770" s="79">
        <v>0</v>
      </c>
    </row>
    <row r="7771" spans="1:3" x14ac:dyDescent="0.25">
      <c r="A7771" s="2">
        <v>0</v>
      </c>
      <c r="B7771" s="38">
        <v>0</v>
      </c>
      <c r="C7771" s="79">
        <v>0</v>
      </c>
    </row>
    <row r="7772" spans="1:3" x14ac:dyDescent="0.25">
      <c r="A7772" s="2">
        <v>0</v>
      </c>
      <c r="B7772" s="38">
        <v>0</v>
      </c>
      <c r="C7772" s="79">
        <v>0</v>
      </c>
    </row>
    <row r="7773" spans="1:3" x14ac:dyDescent="0.25">
      <c r="A7773" s="2">
        <v>0</v>
      </c>
      <c r="B7773" s="38">
        <v>0</v>
      </c>
      <c r="C7773" s="79">
        <v>0</v>
      </c>
    </row>
    <row r="7774" spans="1:3" x14ac:dyDescent="0.25">
      <c r="A7774" s="2">
        <v>0</v>
      </c>
      <c r="B7774" s="38">
        <v>0</v>
      </c>
      <c r="C7774" s="79">
        <v>0</v>
      </c>
    </row>
    <row r="7775" spans="1:3" x14ac:dyDescent="0.25">
      <c r="A7775" s="2">
        <v>0</v>
      </c>
      <c r="B7775" s="38">
        <v>0</v>
      </c>
      <c r="C7775" s="79">
        <v>0</v>
      </c>
    </row>
    <row r="7776" spans="1:3" x14ac:dyDescent="0.25">
      <c r="A7776" s="2">
        <v>0</v>
      </c>
      <c r="B7776" s="38">
        <v>0</v>
      </c>
      <c r="C7776" s="79">
        <v>0</v>
      </c>
    </row>
    <row r="7777" spans="1:3" x14ac:dyDescent="0.25">
      <c r="A7777" s="2">
        <v>0</v>
      </c>
      <c r="B7777" s="38">
        <v>0</v>
      </c>
      <c r="C7777" s="79">
        <v>0</v>
      </c>
    </row>
    <row r="7778" spans="1:3" x14ac:dyDescent="0.25">
      <c r="A7778" s="2">
        <v>0</v>
      </c>
      <c r="B7778" s="38">
        <v>0</v>
      </c>
      <c r="C7778" s="79">
        <v>0</v>
      </c>
    </row>
    <row r="7779" spans="1:3" x14ac:dyDescent="0.25">
      <c r="A7779" s="2">
        <v>0</v>
      </c>
      <c r="B7779" s="38">
        <v>0</v>
      </c>
      <c r="C7779" s="79">
        <v>0</v>
      </c>
    </row>
    <row r="7780" spans="1:3" x14ac:dyDescent="0.25">
      <c r="A7780" s="2">
        <v>0</v>
      </c>
      <c r="B7780" s="38">
        <v>0</v>
      </c>
      <c r="C7780" s="79">
        <v>0</v>
      </c>
    </row>
    <row r="7781" spans="1:3" x14ac:dyDescent="0.25">
      <c r="A7781" s="2">
        <v>0</v>
      </c>
      <c r="B7781" s="38">
        <v>0</v>
      </c>
      <c r="C7781" s="79">
        <v>0</v>
      </c>
    </row>
    <row r="7782" spans="1:3" x14ac:dyDescent="0.25">
      <c r="A7782" s="2">
        <v>0</v>
      </c>
      <c r="B7782" s="38">
        <v>0</v>
      </c>
      <c r="C7782" s="79">
        <v>0</v>
      </c>
    </row>
    <row r="7783" spans="1:3" x14ac:dyDescent="0.25">
      <c r="A7783" s="2">
        <v>0</v>
      </c>
      <c r="B7783" s="38">
        <v>0</v>
      </c>
      <c r="C7783" s="79">
        <v>0</v>
      </c>
    </row>
    <row r="7784" spans="1:3" x14ac:dyDescent="0.25">
      <c r="A7784" s="2">
        <v>0</v>
      </c>
      <c r="B7784" s="38">
        <v>0</v>
      </c>
      <c r="C7784" s="79">
        <v>0</v>
      </c>
    </row>
    <row r="7785" spans="1:3" x14ac:dyDescent="0.25">
      <c r="A7785" s="2">
        <v>0</v>
      </c>
      <c r="B7785" s="38">
        <v>0</v>
      </c>
      <c r="C7785" s="79">
        <v>0</v>
      </c>
    </row>
    <row r="7786" spans="1:3" x14ac:dyDescent="0.25">
      <c r="A7786" s="2">
        <v>0</v>
      </c>
      <c r="B7786" s="38">
        <v>0</v>
      </c>
      <c r="C7786" s="79">
        <v>0</v>
      </c>
    </row>
    <row r="7787" spans="1:3" x14ac:dyDescent="0.25">
      <c r="A7787" s="2">
        <v>0</v>
      </c>
      <c r="B7787" s="38">
        <v>0</v>
      </c>
      <c r="C7787" s="79">
        <v>0</v>
      </c>
    </row>
    <row r="7788" spans="1:3" x14ac:dyDescent="0.25">
      <c r="A7788" s="2">
        <v>0</v>
      </c>
      <c r="B7788" s="38">
        <v>0</v>
      </c>
      <c r="C7788" s="79">
        <v>0</v>
      </c>
    </row>
    <row r="7789" spans="1:3" x14ac:dyDescent="0.25">
      <c r="A7789" s="2">
        <v>0</v>
      </c>
      <c r="B7789" s="38">
        <v>0</v>
      </c>
      <c r="C7789" s="79">
        <v>0</v>
      </c>
    </row>
    <row r="7790" spans="1:3" x14ac:dyDescent="0.25">
      <c r="A7790" s="2">
        <v>0</v>
      </c>
      <c r="B7790" s="38">
        <v>0</v>
      </c>
      <c r="C7790" s="79">
        <v>0</v>
      </c>
    </row>
    <row r="7791" spans="1:3" x14ac:dyDescent="0.25">
      <c r="A7791" s="2">
        <v>0</v>
      </c>
      <c r="B7791" s="38">
        <v>0</v>
      </c>
      <c r="C7791" s="79">
        <v>0</v>
      </c>
    </row>
    <row r="7792" spans="1:3" x14ac:dyDescent="0.25">
      <c r="A7792" s="2">
        <v>0</v>
      </c>
      <c r="B7792" s="38">
        <v>0</v>
      </c>
      <c r="C7792" s="79">
        <v>0</v>
      </c>
    </row>
    <row r="7793" spans="1:3" x14ac:dyDescent="0.25">
      <c r="A7793" s="2">
        <v>0</v>
      </c>
      <c r="B7793" s="38">
        <v>0</v>
      </c>
      <c r="C7793" s="79">
        <v>0</v>
      </c>
    </row>
    <row r="7794" spans="1:3" x14ac:dyDescent="0.25">
      <c r="A7794" s="2">
        <v>0</v>
      </c>
      <c r="B7794" s="38">
        <v>0</v>
      </c>
      <c r="C7794" s="79">
        <v>0</v>
      </c>
    </row>
    <row r="7795" spans="1:3" x14ac:dyDescent="0.25">
      <c r="A7795" s="2">
        <v>0</v>
      </c>
      <c r="B7795" s="38">
        <v>0</v>
      </c>
      <c r="C7795" s="79">
        <v>0</v>
      </c>
    </row>
    <row r="7796" spans="1:3" x14ac:dyDescent="0.25">
      <c r="A7796" s="2">
        <v>0</v>
      </c>
      <c r="B7796" s="38">
        <v>0</v>
      </c>
      <c r="C7796" s="79">
        <v>0</v>
      </c>
    </row>
    <row r="7797" spans="1:3" x14ac:dyDescent="0.25">
      <c r="A7797" s="2">
        <v>0</v>
      </c>
      <c r="B7797" s="38">
        <v>0</v>
      </c>
      <c r="C7797" s="79">
        <v>0</v>
      </c>
    </row>
    <row r="7798" spans="1:3" x14ac:dyDescent="0.25">
      <c r="A7798" s="2">
        <v>0</v>
      </c>
      <c r="B7798" s="38">
        <v>0</v>
      </c>
      <c r="C7798" s="79">
        <v>0</v>
      </c>
    </row>
    <row r="7799" spans="1:3" x14ac:dyDescent="0.25">
      <c r="A7799" s="2">
        <v>0</v>
      </c>
      <c r="B7799" s="38">
        <v>0</v>
      </c>
      <c r="C7799" s="79">
        <v>0</v>
      </c>
    </row>
    <row r="7800" spans="1:3" x14ac:dyDescent="0.25">
      <c r="A7800" s="2">
        <v>0</v>
      </c>
      <c r="B7800" s="38">
        <v>0</v>
      </c>
      <c r="C7800" s="79">
        <v>0</v>
      </c>
    </row>
    <row r="7801" spans="1:3" x14ac:dyDescent="0.25">
      <c r="A7801" s="2">
        <v>0</v>
      </c>
      <c r="B7801" s="38">
        <v>0</v>
      </c>
      <c r="C7801" s="79">
        <v>0</v>
      </c>
    </row>
    <row r="7802" spans="1:3" x14ac:dyDescent="0.25">
      <c r="A7802" s="2">
        <v>0</v>
      </c>
      <c r="B7802" s="38">
        <v>0</v>
      </c>
      <c r="C7802" s="79">
        <v>0</v>
      </c>
    </row>
    <row r="7803" spans="1:3" x14ac:dyDescent="0.25">
      <c r="A7803" s="2">
        <v>0</v>
      </c>
      <c r="B7803" s="38">
        <v>0</v>
      </c>
      <c r="C7803" s="79">
        <v>0</v>
      </c>
    </row>
    <row r="7804" spans="1:3" x14ac:dyDescent="0.25">
      <c r="A7804" s="2">
        <v>0</v>
      </c>
      <c r="B7804" s="38">
        <v>0</v>
      </c>
      <c r="C7804" s="79">
        <v>0</v>
      </c>
    </row>
    <row r="7805" spans="1:3" x14ac:dyDescent="0.25">
      <c r="A7805" s="2">
        <v>0</v>
      </c>
      <c r="B7805" s="38">
        <v>0</v>
      </c>
      <c r="C7805" s="79">
        <v>0</v>
      </c>
    </row>
    <row r="7806" spans="1:3" x14ac:dyDescent="0.25">
      <c r="A7806" s="2">
        <v>0</v>
      </c>
      <c r="B7806" s="38">
        <v>0</v>
      </c>
      <c r="C7806" s="79">
        <v>0</v>
      </c>
    </row>
    <row r="7807" spans="1:3" x14ac:dyDescent="0.25">
      <c r="A7807" s="2">
        <v>0</v>
      </c>
      <c r="B7807" s="38">
        <v>0</v>
      </c>
      <c r="C7807" s="79">
        <v>0</v>
      </c>
    </row>
    <row r="7808" spans="1:3" x14ac:dyDescent="0.25">
      <c r="A7808" s="2">
        <v>0</v>
      </c>
      <c r="B7808" s="38">
        <v>0</v>
      </c>
      <c r="C7808" s="79">
        <v>0</v>
      </c>
    </row>
    <row r="7809" spans="1:3" x14ac:dyDescent="0.25">
      <c r="A7809" s="2">
        <v>0</v>
      </c>
      <c r="B7809" s="38">
        <v>0</v>
      </c>
      <c r="C7809" s="79">
        <v>0</v>
      </c>
    </row>
    <row r="7810" spans="1:3" x14ac:dyDescent="0.25">
      <c r="A7810" s="2">
        <v>0</v>
      </c>
      <c r="B7810" s="38">
        <v>0</v>
      </c>
      <c r="C7810" s="79">
        <v>0</v>
      </c>
    </row>
    <row r="7811" spans="1:3" x14ac:dyDescent="0.25">
      <c r="A7811" s="2">
        <v>0</v>
      </c>
      <c r="B7811" s="38">
        <v>0</v>
      </c>
      <c r="C7811" s="79">
        <v>0</v>
      </c>
    </row>
    <row r="7812" spans="1:3" x14ac:dyDescent="0.25">
      <c r="A7812" s="2">
        <v>0</v>
      </c>
      <c r="B7812" s="38">
        <v>0</v>
      </c>
      <c r="C7812" s="79">
        <v>0</v>
      </c>
    </row>
    <row r="7813" spans="1:3" x14ac:dyDescent="0.25">
      <c r="A7813" s="2">
        <v>0</v>
      </c>
      <c r="B7813" s="38">
        <v>0</v>
      </c>
      <c r="C7813" s="79">
        <v>0</v>
      </c>
    </row>
    <row r="7814" spans="1:3" x14ac:dyDescent="0.25">
      <c r="A7814" s="2">
        <v>0</v>
      </c>
      <c r="B7814" s="38">
        <v>0</v>
      </c>
      <c r="C7814" s="79">
        <v>0</v>
      </c>
    </row>
    <row r="7815" spans="1:3" x14ac:dyDescent="0.25">
      <c r="A7815" s="2">
        <v>0</v>
      </c>
      <c r="B7815" s="38">
        <v>0</v>
      </c>
      <c r="C7815" s="79">
        <v>0</v>
      </c>
    </row>
    <row r="7816" spans="1:3" x14ac:dyDescent="0.25">
      <c r="A7816" s="2">
        <v>0</v>
      </c>
      <c r="B7816" s="38">
        <v>0</v>
      </c>
      <c r="C7816" s="79">
        <v>0</v>
      </c>
    </row>
    <row r="7817" spans="1:3" x14ac:dyDescent="0.25">
      <c r="A7817" s="2">
        <v>0</v>
      </c>
      <c r="B7817" s="38">
        <v>0</v>
      </c>
      <c r="C7817" s="79">
        <v>0</v>
      </c>
    </row>
    <row r="7818" spans="1:3" x14ac:dyDescent="0.25">
      <c r="A7818" s="2">
        <v>0</v>
      </c>
      <c r="B7818" s="38">
        <v>0</v>
      </c>
      <c r="C7818" s="79">
        <v>0</v>
      </c>
    </row>
    <row r="7819" spans="1:3" x14ac:dyDescent="0.25">
      <c r="A7819" s="2">
        <v>0</v>
      </c>
      <c r="B7819" s="38">
        <v>0</v>
      </c>
      <c r="C7819" s="79">
        <v>0</v>
      </c>
    </row>
    <row r="7820" spans="1:3" x14ac:dyDescent="0.25">
      <c r="A7820" s="2">
        <v>0</v>
      </c>
      <c r="B7820" s="38">
        <v>0</v>
      </c>
      <c r="C7820" s="79">
        <v>0</v>
      </c>
    </row>
    <row r="7821" spans="1:3" x14ac:dyDescent="0.25">
      <c r="A7821" s="2">
        <v>0</v>
      </c>
      <c r="B7821" s="38">
        <v>0</v>
      </c>
      <c r="C7821" s="79">
        <v>0</v>
      </c>
    </row>
    <row r="7822" spans="1:3" x14ac:dyDescent="0.25">
      <c r="A7822" s="2">
        <v>0</v>
      </c>
      <c r="B7822" s="38">
        <v>0</v>
      </c>
      <c r="C7822" s="79">
        <v>0</v>
      </c>
    </row>
    <row r="7823" spans="1:3" x14ac:dyDescent="0.25">
      <c r="A7823" s="2">
        <v>0</v>
      </c>
      <c r="B7823" s="38">
        <v>0</v>
      </c>
      <c r="C7823" s="79">
        <v>0</v>
      </c>
    </row>
    <row r="7824" spans="1:3" x14ac:dyDescent="0.25">
      <c r="A7824" s="2">
        <v>0</v>
      </c>
      <c r="B7824" s="38">
        <v>0</v>
      </c>
      <c r="C7824" s="79">
        <v>0</v>
      </c>
    </row>
    <row r="7825" spans="1:3" x14ac:dyDescent="0.25">
      <c r="A7825" s="2">
        <v>0</v>
      </c>
      <c r="B7825" s="38">
        <v>0</v>
      </c>
      <c r="C7825" s="79">
        <v>0</v>
      </c>
    </row>
    <row r="7826" spans="1:3" x14ac:dyDescent="0.25">
      <c r="A7826" s="2">
        <v>0</v>
      </c>
      <c r="B7826" s="38">
        <v>0</v>
      </c>
      <c r="C7826" s="79">
        <v>0</v>
      </c>
    </row>
    <row r="7827" spans="1:3" x14ac:dyDescent="0.25">
      <c r="A7827" s="2">
        <v>0</v>
      </c>
      <c r="B7827" s="38">
        <v>0</v>
      </c>
      <c r="C7827" s="79">
        <v>0</v>
      </c>
    </row>
    <row r="7828" spans="1:3" x14ac:dyDescent="0.25">
      <c r="A7828" s="2">
        <v>0</v>
      </c>
      <c r="B7828" s="38">
        <v>0</v>
      </c>
      <c r="C7828" s="79">
        <v>0</v>
      </c>
    </row>
    <row r="7829" spans="1:3" x14ac:dyDescent="0.25">
      <c r="A7829" s="2">
        <v>0</v>
      </c>
      <c r="B7829" s="38">
        <v>0</v>
      </c>
      <c r="C7829" s="79">
        <v>0</v>
      </c>
    </row>
    <row r="7830" spans="1:3" x14ac:dyDescent="0.25">
      <c r="A7830" s="2">
        <v>0</v>
      </c>
      <c r="B7830" s="38">
        <v>0</v>
      </c>
      <c r="C7830" s="79">
        <v>0</v>
      </c>
    </row>
    <row r="7831" spans="1:3" x14ac:dyDescent="0.25">
      <c r="A7831" s="2">
        <v>0</v>
      </c>
      <c r="B7831" s="38">
        <v>0</v>
      </c>
      <c r="C7831" s="79">
        <v>0</v>
      </c>
    </row>
    <row r="7832" spans="1:3" x14ac:dyDescent="0.25">
      <c r="A7832" s="2">
        <v>0</v>
      </c>
      <c r="B7832" s="38">
        <v>0</v>
      </c>
      <c r="C7832" s="79">
        <v>0</v>
      </c>
    </row>
    <row r="7833" spans="1:3" x14ac:dyDescent="0.25">
      <c r="A7833" s="2">
        <v>0</v>
      </c>
      <c r="B7833" s="38">
        <v>0</v>
      </c>
      <c r="C7833" s="79">
        <v>0</v>
      </c>
    </row>
    <row r="7834" spans="1:3" x14ac:dyDescent="0.25">
      <c r="A7834" s="2">
        <v>0</v>
      </c>
      <c r="B7834" s="38">
        <v>0</v>
      </c>
      <c r="C7834" s="79">
        <v>0</v>
      </c>
    </row>
    <row r="7835" spans="1:3" x14ac:dyDescent="0.25">
      <c r="A7835" s="2">
        <v>0</v>
      </c>
      <c r="B7835" s="38">
        <v>0</v>
      </c>
      <c r="C7835" s="79">
        <v>0</v>
      </c>
    </row>
    <row r="7836" spans="1:3" x14ac:dyDescent="0.25">
      <c r="A7836" s="2">
        <v>0</v>
      </c>
      <c r="B7836" s="38">
        <v>0</v>
      </c>
      <c r="C7836" s="79">
        <v>0</v>
      </c>
    </row>
    <row r="7837" spans="1:3" x14ac:dyDescent="0.25">
      <c r="A7837" s="2">
        <v>0</v>
      </c>
      <c r="B7837" s="38">
        <v>0</v>
      </c>
      <c r="C7837" s="79">
        <v>0</v>
      </c>
    </row>
    <row r="7838" spans="1:3" x14ac:dyDescent="0.25">
      <c r="A7838" s="2">
        <v>0</v>
      </c>
      <c r="B7838" s="38">
        <v>0</v>
      </c>
      <c r="C7838" s="79">
        <v>0</v>
      </c>
    </row>
    <row r="7839" spans="1:3" x14ac:dyDescent="0.25">
      <c r="A7839" s="2">
        <v>0</v>
      </c>
      <c r="B7839" s="38">
        <v>0</v>
      </c>
      <c r="C7839" s="79">
        <v>0</v>
      </c>
    </row>
    <row r="7840" spans="1:3" x14ac:dyDescent="0.25">
      <c r="A7840" s="2">
        <v>0</v>
      </c>
      <c r="B7840" s="38">
        <v>0</v>
      </c>
      <c r="C7840" s="79">
        <v>0</v>
      </c>
    </row>
    <row r="7841" spans="1:3" x14ac:dyDescent="0.25">
      <c r="A7841" s="2">
        <v>0</v>
      </c>
      <c r="B7841" s="38">
        <v>0</v>
      </c>
      <c r="C7841" s="79">
        <v>0</v>
      </c>
    </row>
    <row r="7842" spans="1:3" x14ac:dyDescent="0.25">
      <c r="A7842" s="2">
        <v>0</v>
      </c>
      <c r="B7842" s="38">
        <v>0</v>
      </c>
      <c r="C7842" s="79">
        <v>0</v>
      </c>
    </row>
    <row r="7843" spans="1:3" x14ac:dyDescent="0.25">
      <c r="A7843" s="2">
        <v>0</v>
      </c>
      <c r="B7843" s="38">
        <v>0</v>
      </c>
      <c r="C7843" s="79">
        <v>0</v>
      </c>
    </row>
    <row r="7844" spans="1:3" x14ac:dyDescent="0.25">
      <c r="A7844" s="2">
        <v>0</v>
      </c>
      <c r="B7844" s="38">
        <v>0</v>
      </c>
      <c r="C7844" s="79">
        <v>0</v>
      </c>
    </row>
    <row r="7845" spans="1:3" x14ac:dyDescent="0.25">
      <c r="A7845" s="2">
        <v>0</v>
      </c>
      <c r="B7845" s="38">
        <v>0</v>
      </c>
      <c r="C7845" s="79">
        <v>0</v>
      </c>
    </row>
    <row r="7846" spans="1:3" x14ac:dyDescent="0.25">
      <c r="A7846" s="2">
        <v>0</v>
      </c>
      <c r="B7846" s="38">
        <v>0</v>
      </c>
      <c r="C7846" s="79">
        <v>0</v>
      </c>
    </row>
    <row r="7847" spans="1:3" x14ac:dyDescent="0.25">
      <c r="A7847" s="2">
        <v>0</v>
      </c>
      <c r="B7847" s="38">
        <v>0</v>
      </c>
      <c r="C7847" s="79">
        <v>0</v>
      </c>
    </row>
    <row r="7848" spans="1:3" x14ac:dyDescent="0.25">
      <c r="A7848" s="2">
        <v>0</v>
      </c>
      <c r="B7848" s="38">
        <v>0</v>
      </c>
      <c r="C7848" s="79">
        <v>0</v>
      </c>
    </row>
    <row r="7849" spans="1:3" x14ac:dyDescent="0.25">
      <c r="A7849" s="2">
        <v>0</v>
      </c>
      <c r="B7849" s="38">
        <v>0</v>
      </c>
      <c r="C7849" s="79">
        <v>0</v>
      </c>
    </row>
    <row r="7850" spans="1:3" x14ac:dyDescent="0.25">
      <c r="A7850" s="2">
        <v>0</v>
      </c>
      <c r="B7850" s="38">
        <v>0</v>
      </c>
      <c r="C7850" s="79">
        <v>0</v>
      </c>
    </row>
    <row r="7851" spans="1:3" x14ac:dyDescent="0.25">
      <c r="A7851" s="2">
        <v>0</v>
      </c>
      <c r="B7851" s="38">
        <v>0</v>
      </c>
      <c r="C7851" s="79">
        <v>0</v>
      </c>
    </row>
    <row r="7852" spans="1:3" x14ac:dyDescent="0.25">
      <c r="A7852" s="2">
        <v>0</v>
      </c>
      <c r="B7852" s="38">
        <v>0</v>
      </c>
      <c r="C7852" s="79">
        <v>0</v>
      </c>
    </row>
    <row r="7853" spans="1:3" x14ac:dyDescent="0.25">
      <c r="A7853" s="2">
        <v>0</v>
      </c>
      <c r="B7853" s="38">
        <v>0</v>
      </c>
      <c r="C7853" s="79">
        <v>0</v>
      </c>
    </row>
    <row r="7854" spans="1:3" x14ac:dyDescent="0.25">
      <c r="A7854" s="2">
        <v>0</v>
      </c>
      <c r="B7854" s="38">
        <v>0</v>
      </c>
      <c r="C7854" s="79">
        <v>0</v>
      </c>
    </row>
    <row r="7855" spans="1:3" x14ac:dyDescent="0.25">
      <c r="A7855" s="2">
        <v>0</v>
      </c>
      <c r="B7855" s="38">
        <v>0</v>
      </c>
      <c r="C7855" s="79">
        <v>0</v>
      </c>
    </row>
    <row r="7856" spans="1:3" x14ac:dyDescent="0.25">
      <c r="A7856" s="2">
        <v>0</v>
      </c>
      <c r="B7856" s="38">
        <v>0</v>
      </c>
      <c r="C7856" s="79">
        <v>0</v>
      </c>
    </row>
    <row r="7857" spans="1:3" x14ac:dyDescent="0.25">
      <c r="A7857" s="2">
        <v>0</v>
      </c>
      <c r="B7857" s="38">
        <v>0</v>
      </c>
      <c r="C7857" s="79">
        <v>0</v>
      </c>
    </row>
    <row r="7858" spans="1:3" x14ac:dyDescent="0.25">
      <c r="A7858" s="2">
        <v>0</v>
      </c>
      <c r="B7858" s="38">
        <v>0</v>
      </c>
      <c r="C7858" s="79">
        <v>0</v>
      </c>
    </row>
    <row r="7859" spans="1:3" x14ac:dyDescent="0.25">
      <c r="A7859" s="2">
        <v>0</v>
      </c>
      <c r="B7859" s="38">
        <v>0</v>
      </c>
      <c r="C7859" s="79">
        <v>0</v>
      </c>
    </row>
    <row r="7860" spans="1:3" x14ac:dyDescent="0.25">
      <c r="A7860" s="2">
        <v>0</v>
      </c>
      <c r="B7860" s="38">
        <v>0</v>
      </c>
      <c r="C7860" s="79">
        <v>0</v>
      </c>
    </row>
    <row r="7861" spans="1:3" x14ac:dyDescent="0.25">
      <c r="A7861" s="2">
        <v>0</v>
      </c>
      <c r="B7861" s="38">
        <v>0</v>
      </c>
      <c r="C7861" s="79">
        <v>0</v>
      </c>
    </row>
    <row r="7862" spans="1:3" x14ac:dyDescent="0.25">
      <c r="A7862" s="2">
        <v>0</v>
      </c>
      <c r="B7862" s="38">
        <v>0</v>
      </c>
      <c r="C7862" s="79">
        <v>0</v>
      </c>
    </row>
    <row r="7863" spans="1:3" x14ac:dyDescent="0.25">
      <c r="A7863" s="2">
        <v>0</v>
      </c>
      <c r="B7863" s="38">
        <v>0</v>
      </c>
      <c r="C7863" s="79">
        <v>0</v>
      </c>
    </row>
    <row r="7864" spans="1:3" x14ac:dyDescent="0.25">
      <c r="A7864" s="2">
        <v>0</v>
      </c>
      <c r="B7864" s="38">
        <v>0</v>
      </c>
      <c r="C7864" s="79">
        <v>0</v>
      </c>
    </row>
    <row r="7865" spans="1:3" x14ac:dyDescent="0.25">
      <c r="A7865" s="2">
        <v>0</v>
      </c>
      <c r="B7865" s="38">
        <v>0</v>
      </c>
      <c r="C7865" s="79">
        <v>0</v>
      </c>
    </row>
    <row r="7866" spans="1:3" x14ac:dyDescent="0.25">
      <c r="A7866" s="2">
        <v>0</v>
      </c>
      <c r="B7866" s="38">
        <v>0</v>
      </c>
      <c r="C7866" s="79">
        <v>0</v>
      </c>
    </row>
    <row r="7867" spans="1:3" x14ac:dyDescent="0.25">
      <c r="A7867" s="2">
        <v>0</v>
      </c>
      <c r="B7867" s="38">
        <v>0</v>
      </c>
      <c r="C7867" s="79">
        <v>0</v>
      </c>
    </row>
    <row r="7868" spans="1:3" x14ac:dyDescent="0.25">
      <c r="A7868" s="2">
        <v>0</v>
      </c>
      <c r="B7868" s="38">
        <v>0</v>
      </c>
      <c r="C7868" s="79">
        <v>0</v>
      </c>
    </row>
    <row r="7869" spans="1:3" x14ac:dyDescent="0.25">
      <c r="A7869" s="2">
        <v>0</v>
      </c>
      <c r="B7869" s="38">
        <v>0</v>
      </c>
      <c r="C7869" s="79">
        <v>0</v>
      </c>
    </row>
    <row r="7870" spans="1:3" x14ac:dyDescent="0.25">
      <c r="A7870" s="2">
        <v>0</v>
      </c>
      <c r="B7870" s="38">
        <v>0</v>
      </c>
      <c r="C7870" s="79">
        <v>0</v>
      </c>
    </row>
    <row r="7871" spans="1:3" x14ac:dyDescent="0.25">
      <c r="A7871" s="2">
        <v>0</v>
      </c>
      <c r="B7871" s="38">
        <v>0</v>
      </c>
      <c r="C7871" s="79">
        <v>0</v>
      </c>
    </row>
    <row r="7872" spans="1:3" x14ac:dyDescent="0.25">
      <c r="A7872" s="2">
        <v>0</v>
      </c>
      <c r="B7872" s="38">
        <v>0</v>
      </c>
      <c r="C7872" s="79">
        <v>0</v>
      </c>
    </row>
    <row r="7873" spans="1:3" x14ac:dyDescent="0.25">
      <c r="A7873" s="2">
        <v>0</v>
      </c>
      <c r="B7873" s="38">
        <v>0</v>
      </c>
      <c r="C7873" s="79">
        <v>0</v>
      </c>
    </row>
    <row r="7874" spans="1:3" x14ac:dyDescent="0.25">
      <c r="A7874" s="2">
        <v>0</v>
      </c>
      <c r="B7874" s="38">
        <v>0</v>
      </c>
      <c r="C7874" s="79">
        <v>0</v>
      </c>
    </row>
    <row r="7875" spans="1:3" x14ac:dyDescent="0.25">
      <c r="A7875" s="2">
        <v>0</v>
      </c>
      <c r="B7875" s="38">
        <v>0</v>
      </c>
      <c r="C7875" s="79">
        <v>0</v>
      </c>
    </row>
    <row r="7876" spans="1:3" x14ac:dyDescent="0.25">
      <c r="A7876" s="2">
        <v>0</v>
      </c>
      <c r="B7876" s="38">
        <v>0</v>
      </c>
      <c r="C7876" s="79">
        <v>0</v>
      </c>
    </row>
    <row r="7877" spans="1:3" x14ac:dyDescent="0.25">
      <c r="A7877" s="2">
        <v>0</v>
      </c>
      <c r="B7877" s="38">
        <v>0</v>
      </c>
      <c r="C7877" s="79">
        <v>0</v>
      </c>
    </row>
    <row r="7878" spans="1:3" x14ac:dyDescent="0.25">
      <c r="A7878" s="2">
        <v>0</v>
      </c>
      <c r="B7878" s="38">
        <v>0</v>
      </c>
      <c r="C7878" s="79">
        <v>0</v>
      </c>
    </row>
    <row r="7879" spans="1:3" x14ac:dyDescent="0.25">
      <c r="A7879" s="2">
        <v>0</v>
      </c>
      <c r="B7879" s="38">
        <v>0</v>
      </c>
      <c r="C7879" s="79">
        <v>0</v>
      </c>
    </row>
    <row r="7880" spans="1:3" x14ac:dyDescent="0.25">
      <c r="A7880" s="2">
        <v>0</v>
      </c>
      <c r="B7880" s="38">
        <v>0</v>
      </c>
      <c r="C7880" s="79">
        <v>0</v>
      </c>
    </row>
    <row r="7881" spans="1:3" x14ac:dyDescent="0.25">
      <c r="A7881" s="2">
        <v>0</v>
      </c>
      <c r="B7881" s="38">
        <v>0</v>
      </c>
      <c r="C7881" s="79">
        <v>0</v>
      </c>
    </row>
    <row r="7882" spans="1:3" x14ac:dyDescent="0.25">
      <c r="A7882" s="2">
        <v>0</v>
      </c>
      <c r="B7882" s="38">
        <v>0</v>
      </c>
      <c r="C7882" s="79">
        <v>0</v>
      </c>
    </row>
    <row r="7883" spans="1:3" x14ac:dyDescent="0.25">
      <c r="A7883" s="2">
        <v>0</v>
      </c>
      <c r="B7883" s="38">
        <v>0</v>
      </c>
      <c r="C7883" s="79">
        <v>0</v>
      </c>
    </row>
    <row r="7884" spans="1:3" x14ac:dyDescent="0.25">
      <c r="A7884" s="2">
        <v>0</v>
      </c>
      <c r="B7884" s="38">
        <v>0</v>
      </c>
      <c r="C7884" s="79">
        <v>0</v>
      </c>
    </row>
    <row r="7885" spans="1:3" x14ac:dyDescent="0.25">
      <c r="A7885" s="2">
        <v>0</v>
      </c>
      <c r="B7885" s="38">
        <v>0</v>
      </c>
      <c r="C7885" s="79">
        <v>0</v>
      </c>
    </row>
    <row r="7886" spans="1:3" x14ac:dyDescent="0.25">
      <c r="A7886" s="2">
        <v>0</v>
      </c>
      <c r="B7886" s="38">
        <v>0</v>
      </c>
      <c r="C7886" s="79">
        <v>0</v>
      </c>
    </row>
    <row r="7887" spans="1:3" x14ac:dyDescent="0.25">
      <c r="A7887" s="2">
        <v>0</v>
      </c>
      <c r="B7887" s="38">
        <v>0</v>
      </c>
      <c r="C7887" s="79">
        <v>0</v>
      </c>
    </row>
    <row r="7888" spans="1:3" x14ac:dyDescent="0.25">
      <c r="A7888" s="2">
        <v>0</v>
      </c>
      <c r="B7888" s="38">
        <v>0</v>
      </c>
      <c r="C7888" s="79">
        <v>0</v>
      </c>
    </row>
    <row r="7889" spans="1:3" x14ac:dyDescent="0.25">
      <c r="A7889" s="2">
        <v>0</v>
      </c>
      <c r="B7889" s="38">
        <v>0</v>
      </c>
      <c r="C7889" s="79">
        <v>0</v>
      </c>
    </row>
    <row r="7890" spans="1:3" x14ac:dyDescent="0.25">
      <c r="A7890" s="2">
        <v>0</v>
      </c>
      <c r="B7890" s="38">
        <v>0</v>
      </c>
      <c r="C7890" s="79">
        <v>0</v>
      </c>
    </row>
    <row r="7891" spans="1:3" x14ac:dyDescent="0.25">
      <c r="A7891" s="2">
        <v>0</v>
      </c>
      <c r="B7891" s="38">
        <v>0</v>
      </c>
      <c r="C7891" s="79">
        <v>0</v>
      </c>
    </row>
    <row r="7892" spans="1:3" x14ac:dyDescent="0.25">
      <c r="A7892" s="2">
        <v>0</v>
      </c>
      <c r="B7892" s="38">
        <v>0</v>
      </c>
      <c r="C7892" s="79">
        <v>0</v>
      </c>
    </row>
    <row r="7893" spans="1:3" x14ac:dyDescent="0.25">
      <c r="A7893" s="2">
        <v>0</v>
      </c>
      <c r="B7893" s="38">
        <v>0</v>
      </c>
      <c r="C7893" s="79">
        <v>0</v>
      </c>
    </row>
    <row r="7894" spans="1:3" x14ac:dyDescent="0.25">
      <c r="A7894" s="2">
        <v>0</v>
      </c>
      <c r="B7894" s="38">
        <v>0</v>
      </c>
      <c r="C7894" s="79">
        <v>0</v>
      </c>
    </row>
    <row r="7895" spans="1:3" x14ac:dyDescent="0.25">
      <c r="A7895" s="2">
        <v>0</v>
      </c>
      <c r="B7895" s="38">
        <v>0</v>
      </c>
      <c r="C7895" s="79">
        <v>0</v>
      </c>
    </row>
    <row r="7896" spans="1:3" x14ac:dyDescent="0.25">
      <c r="A7896" s="2">
        <v>0</v>
      </c>
      <c r="B7896" s="38">
        <v>0</v>
      </c>
      <c r="C7896" s="79">
        <v>0</v>
      </c>
    </row>
    <row r="7897" spans="1:3" x14ac:dyDescent="0.25">
      <c r="A7897" s="2">
        <v>0</v>
      </c>
      <c r="B7897" s="38">
        <v>0</v>
      </c>
      <c r="C7897" s="79">
        <v>0</v>
      </c>
    </row>
    <row r="7898" spans="1:3" x14ac:dyDescent="0.25">
      <c r="A7898" s="2">
        <v>0</v>
      </c>
      <c r="B7898" s="38">
        <v>0</v>
      </c>
      <c r="C7898" s="79">
        <v>0</v>
      </c>
    </row>
    <row r="7899" spans="1:3" x14ac:dyDescent="0.25">
      <c r="A7899" s="2">
        <v>0</v>
      </c>
      <c r="B7899" s="38">
        <v>0</v>
      </c>
      <c r="C7899" s="79">
        <v>0</v>
      </c>
    </row>
    <row r="7900" spans="1:3" x14ac:dyDescent="0.25">
      <c r="A7900" s="2">
        <v>0</v>
      </c>
      <c r="B7900" s="38">
        <v>0</v>
      </c>
      <c r="C7900" s="79">
        <v>0</v>
      </c>
    </row>
    <row r="7901" spans="1:3" x14ac:dyDescent="0.25">
      <c r="A7901" s="2">
        <v>0</v>
      </c>
      <c r="B7901" s="38">
        <v>0</v>
      </c>
      <c r="C7901" s="79">
        <v>0</v>
      </c>
    </row>
    <row r="7902" spans="1:3" x14ac:dyDescent="0.25">
      <c r="A7902" s="2">
        <v>0</v>
      </c>
      <c r="B7902" s="38">
        <v>0</v>
      </c>
      <c r="C7902" s="79">
        <v>0</v>
      </c>
    </row>
    <row r="7903" spans="1:3" x14ac:dyDescent="0.25">
      <c r="A7903" s="2">
        <v>0</v>
      </c>
      <c r="B7903" s="38">
        <v>0</v>
      </c>
      <c r="C7903" s="79">
        <v>0</v>
      </c>
    </row>
    <row r="7904" spans="1:3" x14ac:dyDescent="0.25">
      <c r="A7904" s="2">
        <v>0</v>
      </c>
      <c r="B7904" s="38">
        <v>0</v>
      </c>
      <c r="C7904" s="79">
        <v>0</v>
      </c>
    </row>
    <row r="7905" spans="1:3" x14ac:dyDescent="0.25">
      <c r="A7905" s="2">
        <v>0</v>
      </c>
      <c r="B7905" s="38">
        <v>0</v>
      </c>
      <c r="C7905" s="79">
        <v>0</v>
      </c>
    </row>
    <row r="7906" spans="1:3" x14ac:dyDescent="0.25">
      <c r="A7906" s="2">
        <v>0</v>
      </c>
      <c r="B7906" s="38">
        <v>0</v>
      </c>
      <c r="C7906" s="79">
        <v>0</v>
      </c>
    </row>
    <row r="7907" spans="1:3" x14ac:dyDescent="0.25">
      <c r="A7907" s="2">
        <v>0</v>
      </c>
      <c r="B7907" s="38">
        <v>0</v>
      </c>
      <c r="C7907" s="79">
        <v>0</v>
      </c>
    </row>
    <row r="7908" spans="1:3" x14ac:dyDescent="0.25">
      <c r="A7908" s="2">
        <v>0</v>
      </c>
      <c r="B7908" s="38">
        <v>0</v>
      </c>
      <c r="C7908" s="79">
        <v>0</v>
      </c>
    </row>
    <row r="7909" spans="1:3" x14ac:dyDescent="0.25">
      <c r="A7909" s="2">
        <v>0</v>
      </c>
      <c r="B7909" s="38">
        <v>0</v>
      </c>
      <c r="C7909" s="79">
        <v>0</v>
      </c>
    </row>
    <row r="7910" spans="1:3" x14ac:dyDescent="0.25">
      <c r="A7910" s="2">
        <v>0</v>
      </c>
      <c r="B7910" s="38">
        <v>0</v>
      </c>
      <c r="C7910" s="79">
        <v>0</v>
      </c>
    </row>
    <row r="7911" spans="1:3" x14ac:dyDescent="0.25">
      <c r="A7911" s="2">
        <v>0</v>
      </c>
      <c r="B7911" s="38">
        <v>0</v>
      </c>
      <c r="C7911" s="79">
        <v>0</v>
      </c>
    </row>
    <row r="7912" spans="1:3" x14ac:dyDescent="0.25">
      <c r="A7912" s="2">
        <v>0</v>
      </c>
      <c r="B7912" s="38">
        <v>0</v>
      </c>
      <c r="C7912" s="79">
        <v>0</v>
      </c>
    </row>
    <row r="7913" spans="1:3" x14ac:dyDescent="0.25">
      <c r="A7913" s="2">
        <v>0</v>
      </c>
      <c r="B7913" s="38">
        <v>0</v>
      </c>
      <c r="C7913" s="79">
        <v>0</v>
      </c>
    </row>
    <row r="7914" spans="1:3" x14ac:dyDescent="0.25">
      <c r="A7914" s="2">
        <v>0</v>
      </c>
      <c r="B7914" s="38">
        <v>0</v>
      </c>
      <c r="C7914" s="79">
        <v>0</v>
      </c>
    </row>
    <row r="7915" spans="1:3" x14ac:dyDescent="0.25">
      <c r="A7915" s="2">
        <v>0</v>
      </c>
      <c r="B7915" s="38">
        <v>0</v>
      </c>
      <c r="C7915" s="79">
        <v>0</v>
      </c>
    </row>
    <row r="7916" spans="1:3" x14ac:dyDescent="0.25">
      <c r="A7916" s="2">
        <v>0</v>
      </c>
      <c r="B7916" s="38">
        <v>0</v>
      </c>
      <c r="C7916" s="79">
        <v>0</v>
      </c>
    </row>
    <row r="7917" spans="1:3" x14ac:dyDescent="0.25">
      <c r="A7917" s="2">
        <v>0</v>
      </c>
      <c r="B7917" s="38">
        <v>0</v>
      </c>
      <c r="C7917" s="79">
        <v>0</v>
      </c>
    </row>
    <row r="7918" spans="1:3" x14ac:dyDescent="0.25">
      <c r="A7918" s="2">
        <v>0</v>
      </c>
      <c r="B7918" s="38">
        <v>0</v>
      </c>
      <c r="C7918" s="79">
        <v>0</v>
      </c>
    </row>
    <row r="7919" spans="1:3" x14ac:dyDescent="0.25">
      <c r="A7919" s="2">
        <v>0</v>
      </c>
      <c r="B7919" s="38">
        <v>0</v>
      </c>
      <c r="C7919" s="79">
        <v>0</v>
      </c>
    </row>
    <row r="7920" spans="1:3" x14ac:dyDescent="0.25">
      <c r="A7920" s="2">
        <v>0</v>
      </c>
      <c r="B7920" s="38">
        <v>0</v>
      </c>
      <c r="C7920" s="79">
        <v>0</v>
      </c>
    </row>
    <row r="7921" spans="1:3" x14ac:dyDescent="0.25">
      <c r="A7921" s="2">
        <v>0</v>
      </c>
      <c r="B7921" s="38">
        <v>0</v>
      </c>
      <c r="C7921" s="79">
        <v>0</v>
      </c>
    </row>
    <row r="7922" spans="1:3" x14ac:dyDescent="0.25">
      <c r="A7922" s="2">
        <v>0</v>
      </c>
      <c r="B7922" s="38">
        <v>0</v>
      </c>
      <c r="C7922" s="79">
        <v>0</v>
      </c>
    </row>
    <row r="7923" spans="1:3" x14ac:dyDescent="0.25">
      <c r="A7923" s="2">
        <v>0</v>
      </c>
      <c r="B7923" s="38">
        <v>0</v>
      </c>
      <c r="C7923" s="79">
        <v>0</v>
      </c>
    </row>
    <row r="7924" spans="1:3" x14ac:dyDescent="0.25">
      <c r="A7924" s="2">
        <v>0</v>
      </c>
      <c r="B7924" s="38">
        <v>0</v>
      </c>
      <c r="C7924" s="79">
        <v>0</v>
      </c>
    </row>
    <row r="7925" spans="1:3" x14ac:dyDescent="0.25">
      <c r="A7925" s="2">
        <v>0</v>
      </c>
      <c r="B7925" s="38">
        <v>0</v>
      </c>
      <c r="C7925" s="79">
        <v>0</v>
      </c>
    </row>
    <row r="7926" spans="1:3" x14ac:dyDescent="0.25">
      <c r="A7926" s="2">
        <v>0</v>
      </c>
      <c r="B7926" s="38">
        <v>0</v>
      </c>
      <c r="C7926" s="79">
        <v>0</v>
      </c>
    </row>
    <row r="7927" spans="1:3" x14ac:dyDescent="0.25">
      <c r="A7927" s="2">
        <v>0</v>
      </c>
      <c r="B7927" s="38">
        <v>0</v>
      </c>
      <c r="C7927" s="79">
        <v>0</v>
      </c>
    </row>
    <row r="7928" spans="1:3" x14ac:dyDescent="0.25">
      <c r="A7928" s="2">
        <v>0</v>
      </c>
      <c r="B7928" s="38">
        <v>0</v>
      </c>
      <c r="C7928" s="79">
        <v>0</v>
      </c>
    </row>
    <row r="7929" spans="1:3" x14ac:dyDescent="0.25">
      <c r="A7929" s="2">
        <v>0</v>
      </c>
      <c r="B7929" s="38">
        <v>0</v>
      </c>
      <c r="C7929" s="79">
        <v>0</v>
      </c>
    </row>
    <row r="7930" spans="1:3" x14ac:dyDescent="0.25">
      <c r="A7930" s="2">
        <v>0</v>
      </c>
      <c r="B7930" s="38">
        <v>0</v>
      </c>
      <c r="C7930" s="79">
        <v>0</v>
      </c>
    </row>
    <row r="7931" spans="1:3" x14ac:dyDescent="0.25">
      <c r="A7931" s="2">
        <v>0</v>
      </c>
      <c r="B7931" s="38">
        <v>0</v>
      </c>
      <c r="C7931" s="79">
        <v>0</v>
      </c>
    </row>
    <row r="7932" spans="1:3" x14ac:dyDescent="0.25">
      <c r="A7932" s="2">
        <v>0</v>
      </c>
      <c r="B7932" s="38">
        <v>0</v>
      </c>
      <c r="C7932" s="79">
        <v>0</v>
      </c>
    </row>
    <row r="7933" spans="1:3" x14ac:dyDescent="0.25">
      <c r="A7933" s="2">
        <v>0</v>
      </c>
      <c r="B7933" s="38">
        <v>0</v>
      </c>
      <c r="C7933" s="79">
        <v>0</v>
      </c>
    </row>
    <row r="7934" spans="1:3" x14ac:dyDescent="0.25">
      <c r="A7934" s="2">
        <v>0</v>
      </c>
      <c r="B7934" s="38">
        <v>0</v>
      </c>
      <c r="C7934" s="79">
        <v>0</v>
      </c>
    </row>
    <row r="7935" spans="1:3" x14ac:dyDescent="0.25">
      <c r="A7935" s="2">
        <v>0</v>
      </c>
      <c r="B7935" s="38">
        <v>0</v>
      </c>
      <c r="C7935" s="79">
        <v>0</v>
      </c>
    </row>
    <row r="7936" spans="1:3" x14ac:dyDescent="0.25">
      <c r="A7936" s="2">
        <v>0</v>
      </c>
      <c r="B7936" s="38">
        <v>0</v>
      </c>
      <c r="C7936" s="79">
        <v>0</v>
      </c>
    </row>
    <row r="7937" spans="1:3" x14ac:dyDescent="0.25">
      <c r="A7937" s="2">
        <v>0</v>
      </c>
      <c r="B7937" s="38">
        <v>0</v>
      </c>
      <c r="C7937" s="79">
        <v>0</v>
      </c>
    </row>
    <row r="7938" spans="1:3" x14ac:dyDescent="0.25">
      <c r="A7938" s="2">
        <v>0</v>
      </c>
      <c r="B7938" s="38">
        <v>0</v>
      </c>
      <c r="C7938" s="79">
        <v>0</v>
      </c>
    </row>
    <row r="7939" spans="1:3" x14ac:dyDescent="0.25">
      <c r="A7939" s="2">
        <v>0</v>
      </c>
      <c r="B7939" s="38">
        <v>0</v>
      </c>
      <c r="C7939" s="79">
        <v>0</v>
      </c>
    </row>
    <row r="7940" spans="1:3" x14ac:dyDescent="0.25">
      <c r="A7940" s="2">
        <v>0</v>
      </c>
      <c r="B7940" s="38">
        <v>0</v>
      </c>
      <c r="C7940" s="79">
        <v>0</v>
      </c>
    </row>
    <row r="7941" spans="1:3" x14ac:dyDescent="0.25">
      <c r="A7941" s="2">
        <v>0</v>
      </c>
      <c r="B7941" s="38">
        <v>0</v>
      </c>
      <c r="C7941" s="79">
        <v>0</v>
      </c>
    </row>
    <row r="7942" spans="1:3" x14ac:dyDescent="0.25">
      <c r="A7942" s="2">
        <v>0</v>
      </c>
      <c r="B7942" s="38">
        <v>0</v>
      </c>
      <c r="C7942" s="79">
        <v>0</v>
      </c>
    </row>
    <row r="7943" spans="1:3" x14ac:dyDescent="0.25">
      <c r="A7943" s="2">
        <v>0</v>
      </c>
      <c r="B7943" s="38">
        <v>0</v>
      </c>
      <c r="C7943" s="79">
        <v>0</v>
      </c>
    </row>
    <row r="7944" spans="1:3" x14ac:dyDescent="0.25">
      <c r="A7944" s="2">
        <v>0</v>
      </c>
      <c r="B7944" s="38">
        <v>0</v>
      </c>
      <c r="C7944" s="79">
        <v>0</v>
      </c>
    </row>
    <row r="7945" spans="1:3" x14ac:dyDescent="0.25">
      <c r="A7945" s="2">
        <v>0</v>
      </c>
      <c r="B7945" s="38">
        <v>0</v>
      </c>
      <c r="C7945" s="79">
        <v>0</v>
      </c>
    </row>
    <row r="7946" spans="1:3" x14ac:dyDescent="0.25">
      <c r="A7946" s="2">
        <v>0</v>
      </c>
      <c r="B7946" s="38">
        <v>0</v>
      </c>
      <c r="C7946" s="79">
        <v>0</v>
      </c>
    </row>
    <row r="7947" spans="1:3" x14ac:dyDescent="0.25">
      <c r="A7947" s="2">
        <v>0</v>
      </c>
      <c r="B7947" s="38">
        <v>0</v>
      </c>
      <c r="C7947" s="79">
        <v>0</v>
      </c>
    </row>
    <row r="7948" spans="1:3" x14ac:dyDescent="0.25">
      <c r="A7948" s="2">
        <v>0</v>
      </c>
      <c r="B7948" s="38">
        <v>0</v>
      </c>
      <c r="C7948" s="79">
        <v>0</v>
      </c>
    </row>
    <row r="7949" spans="1:3" x14ac:dyDescent="0.25">
      <c r="A7949" s="2">
        <v>0</v>
      </c>
      <c r="B7949" s="38">
        <v>0</v>
      </c>
      <c r="C7949" s="79">
        <v>0</v>
      </c>
    </row>
    <row r="7950" spans="1:3" x14ac:dyDescent="0.25">
      <c r="A7950" s="2">
        <v>0</v>
      </c>
      <c r="B7950" s="38">
        <v>0</v>
      </c>
      <c r="C7950" s="79">
        <v>0</v>
      </c>
    </row>
    <row r="7951" spans="1:3" x14ac:dyDescent="0.25">
      <c r="A7951" s="2">
        <v>0</v>
      </c>
      <c r="B7951" s="38">
        <v>0</v>
      </c>
      <c r="C7951" s="79">
        <v>0</v>
      </c>
    </row>
    <row r="7952" spans="1:3" x14ac:dyDescent="0.25">
      <c r="A7952" s="2">
        <v>0</v>
      </c>
      <c r="B7952" s="38">
        <v>0</v>
      </c>
      <c r="C7952" s="79">
        <v>0</v>
      </c>
    </row>
    <row r="7953" spans="1:3" x14ac:dyDescent="0.25">
      <c r="A7953" s="2">
        <v>0</v>
      </c>
      <c r="B7953" s="38">
        <v>0</v>
      </c>
      <c r="C7953" s="79">
        <v>0</v>
      </c>
    </row>
    <row r="7954" spans="1:3" x14ac:dyDescent="0.25">
      <c r="A7954" s="2">
        <v>0</v>
      </c>
      <c r="B7954" s="38">
        <v>0</v>
      </c>
      <c r="C7954" s="79">
        <v>0</v>
      </c>
    </row>
    <row r="7955" spans="1:3" x14ac:dyDescent="0.25">
      <c r="A7955" s="2">
        <v>0</v>
      </c>
      <c r="B7955" s="38">
        <v>0</v>
      </c>
      <c r="C7955" s="79">
        <v>0</v>
      </c>
    </row>
    <row r="7956" spans="1:3" x14ac:dyDescent="0.25">
      <c r="A7956" s="2">
        <v>0</v>
      </c>
      <c r="B7956" s="38">
        <v>0</v>
      </c>
      <c r="C7956" s="79">
        <v>0</v>
      </c>
    </row>
    <row r="7957" spans="1:3" x14ac:dyDescent="0.25">
      <c r="A7957" s="2">
        <v>0</v>
      </c>
      <c r="B7957" s="38">
        <v>0</v>
      </c>
      <c r="C7957" s="79">
        <v>0</v>
      </c>
    </row>
    <row r="7958" spans="1:3" x14ac:dyDescent="0.25">
      <c r="A7958" s="2">
        <v>0</v>
      </c>
      <c r="B7958" s="38">
        <v>0</v>
      </c>
      <c r="C7958" s="79">
        <v>0</v>
      </c>
    </row>
    <row r="7959" spans="1:3" x14ac:dyDescent="0.25">
      <c r="A7959" s="2">
        <v>0</v>
      </c>
      <c r="B7959" s="38">
        <v>0</v>
      </c>
      <c r="C7959" s="79">
        <v>0</v>
      </c>
    </row>
    <row r="7960" spans="1:3" x14ac:dyDescent="0.25">
      <c r="A7960" s="2">
        <v>0</v>
      </c>
      <c r="B7960" s="38">
        <v>0</v>
      </c>
      <c r="C7960" s="79">
        <v>0</v>
      </c>
    </row>
    <row r="7961" spans="1:3" x14ac:dyDescent="0.25">
      <c r="A7961" s="2">
        <v>0</v>
      </c>
      <c r="B7961" s="38">
        <v>0</v>
      </c>
      <c r="C7961" s="79">
        <v>0</v>
      </c>
    </row>
    <row r="7962" spans="1:3" x14ac:dyDescent="0.25">
      <c r="A7962" s="2">
        <v>0</v>
      </c>
      <c r="B7962" s="38">
        <v>0</v>
      </c>
      <c r="C7962" s="79">
        <v>0</v>
      </c>
    </row>
    <row r="7963" spans="1:3" x14ac:dyDescent="0.25">
      <c r="A7963" s="2">
        <v>0</v>
      </c>
      <c r="B7963" s="38">
        <v>0</v>
      </c>
      <c r="C7963" s="79">
        <v>0</v>
      </c>
    </row>
    <row r="7964" spans="1:3" x14ac:dyDescent="0.25">
      <c r="A7964" s="2">
        <v>0</v>
      </c>
      <c r="B7964" s="38">
        <v>0</v>
      </c>
      <c r="C7964" s="79">
        <v>0</v>
      </c>
    </row>
    <row r="7965" spans="1:3" x14ac:dyDescent="0.25">
      <c r="A7965" s="2">
        <v>0</v>
      </c>
      <c r="B7965" s="38">
        <v>0</v>
      </c>
      <c r="C7965" s="79">
        <v>0</v>
      </c>
    </row>
    <row r="7966" spans="1:3" x14ac:dyDescent="0.25">
      <c r="A7966" s="2">
        <v>0</v>
      </c>
      <c r="B7966" s="38">
        <v>0</v>
      </c>
      <c r="C7966" s="79">
        <v>0</v>
      </c>
    </row>
    <row r="7967" spans="1:3" x14ac:dyDescent="0.25">
      <c r="A7967" s="2">
        <v>0</v>
      </c>
      <c r="B7967" s="38">
        <v>0</v>
      </c>
      <c r="C7967" s="79">
        <v>0</v>
      </c>
    </row>
    <row r="7968" spans="1:3" x14ac:dyDescent="0.25">
      <c r="A7968" s="2">
        <v>0</v>
      </c>
      <c r="B7968" s="38">
        <v>0</v>
      </c>
      <c r="C7968" s="79">
        <v>0</v>
      </c>
    </row>
    <row r="7969" spans="1:3" x14ac:dyDescent="0.25">
      <c r="A7969" s="2">
        <v>0</v>
      </c>
      <c r="B7969" s="38">
        <v>0</v>
      </c>
      <c r="C7969" s="79">
        <v>0</v>
      </c>
    </row>
    <row r="7970" spans="1:3" x14ac:dyDescent="0.25">
      <c r="A7970" s="2">
        <v>0</v>
      </c>
      <c r="B7970" s="38">
        <v>0</v>
      </c>
      <c r="C7970" s="79">
        <v>0</v>
      </c>
    </row>
    <row r="7971" spans="1:3" x14ac:dyDescent="0.25">
      <c r="A7971" s="2">
        <v>0</v>
      </c>
      <c r="B7971" s="38">
        <v>0</v>
      </c>
      <c r="C7971" s="79">
        <v>0</v>
      </c>
    </row>
    <row r="7972" spans="1:3" x14ac:dyDescent="0.25">
      <c r="A7972" s="2">
        <v>0</v>
      </c>
      <c r="B7972" s="38">
        <v>0</v>
      </c>
      <c r="C7972" s="79">
        <v>0</v>
      </c>
    </row>
    <row r="7973" spans="1:3" x14ac:dyDescent="0.25">
      <c r="A7973" s="2">
        <v>0</v>
      </c>
      <c r="B7973" s="38">
        <v>0</v>
      </c>
      <c r="C7973" s="79">
        <v>0</v>
      </c>
    </row>
    <row r="7974" spans="1:3" x14ac:dyDescent="0.25">
      <c r="A7974" s="2">
        <v>0</v>
      </c>
      <c r="B7974" s="38">
        <v>0</v>
      </c>
      <c r="C7974" s="79">
        <v>0</v>
      </c>
    </row>
    <row r="7975" spans="1:3" x14ac:dyDescent="0.25">
      <c r="A7975" s="2">
        <v>0</v>
      </c>
      <c r="B7975" s="38">
        <v>0</v>
      </c>
      <c r="C7975" s="79">
        <v>0</v>
      </c>
    </row>
    <row r="7976" spans="1:3" x14ac:dyDescent="0.25">
      <c r="A7976" s="2">
        <v>0</v>
      </c>
      <c r="B7976" s="38">
        <v>0</v>
      </c>
      <c r="C7976" s="79">
        <v>0</v>
      </c>
    </row>
    <row r="7977" spans="1:3" x14ac:dyDescent="0.25">
      <c r="A7977" s="2">
        <v>0</v>
      </c>
      <c r="B7977" s="38">
        <v>0</v>
      </c>
      <c r="C7977" s="79">
        <v>0</v>
      </c>
    </row>
    <row r="7978" spans="1:3" x14ac:dyDescent="0.25">
      <c r="A7978" s="2">
        <v>0</v>
      </c>
      <c r="B7978" s="38">
        <v>0</v>
      </c>
      <c r="C7978" s="79">
        <v>0</v>
      </c>
    </row>
    <row r="7979" spans="1:3" x14ac:dyDescent="0.25">
      <c r="A7979" s="2">
        <v>0</v>
      </c>
      <c r="B7979" s="38">
        <v>0</v>
      </c>
      <c r="C7979" s="79">
        <v>0</v>
      </c>
    </row>
    <row r="7980" spans="1:3" x14ac:dyDescent="0.25">
      <c r="A7980" s="2">
        <v>0</v>
      </c>
      <c r="B7980" s="38">
        <v>0</v>
      </c>
      <c r="C7980" s="79">
        <v>0</v>
      </c>
    </row>
    <row r="7981" spans="1:3" x14ac:dyDescent="0.25">
      <c r="A7981" s="2">
        <v>0</v>
      </c>
      <c r="B7981" s="38">
        <v>0</v>
      </c>
      <c r="C7981" s="79">
        <v>0</v>
      </c>
    </row>
    <row r="7982" spans="1:3" x14ac:dyDescent="0.25">
      <c r="A7982" s="2">
        <v>0</v>
      </c>
      <c r="B7982" s="38">
        <v>0</v>
      </c>
      <c r="C7982" s="79">
        <v>0</v>
      </c>
    </row>
    <row r="7983" spans="1:3" x14ac:dyDescent="0.25">
      <c r="A7983" s="2">
        <v>0</v>
      </c>
      <c r="B7983" s="38">
        <v>0</v>
      </c>
      <c r="C7983" s="79">
        <v>0</v>
      </c>
    </row>
    <row r="7984" spans="1:3" x14ac:dyDescent="0.25">
      <c r="A7984" s="2">
        <v>0</v>
      </c>
      <c r="B7984" s="38">
        <v>0</v>
      </c>
      <c r="C7984" s="79">
        <v>0</v>
      </c>
    </row>
    <row r="7985" spans="1:3" x14ac:dyDescent="0.25">
      <c r="A7985" s="2">
        <v>0</v>
      </c>
      <c r="B7985" s="38">
        <v>0</v>
      </c>
      <c r="C7985" s="79">
        <v>0</v>
      </c>
    </row>
    <row r="7986" spans="1:3" x14ac:dyDescent="0.25">
      <c r="A7986" s="2">
        <v>0</v>
      </c>
      <c r="B7986" s="38">
        <v>0</v>
      </c>
      <c r="C7986" s="79">
        <v>0</v>
      </c>
    </row>
    <row r="7987" spans="1:3" x14ac:dyDescent="0.25">
      <c r="A7987" s="2">
        <v>0</v>
      </c>
      <c r="B7987" s="38">
        <v>0</v>
      </c>
      <c r="C7987" s="79">
        <v>0</v>
      </c>
    </row>
    <row r="7988" spans="1:3" x14ac:dyDescent="0.25">
      <c r="A7988" s="2">
        <v>0</v>
      </c>
      <c r="B7988" s="38">
        <v>0</v>
      </c>
      <c r="C7988" s="79">
        <v>0</v>
      </c>
    </row>
    <row r="7989" spans="1:3" x14ac:dyDescent="0.25">
      <c r="A7989" s="2">
        <v>0</v>
      </c>
      <c r="B7989" s="38">
        <v>0</v>
      </c>
      <c r="C7989" s="79">
        <v>0</v>
      </c>
    </row>
    <row r="7990" spans="1:3" x14ac:dyDescent="0.25">
      <c r="A7990" s="2">
        <v>0</v>
      </c>
      <c r="B7990" s="38">
        <v>0</v>
      </c>
      <c r="C7990" s="79">
        <v>0</v>
      </c>
    </row>
    <row r="7991" spans="1:3" x14ac:dyDescent="0.25">
      <c r="A7991" s="2">
        <v>0</v>
      </c>
      <c r="B7991" s="38">
        <v>0</v>
      </c>
      <c r="C7991" s="79">
        <v>0</v>
      </c>
    </row>
    <row r="7992" spans="1:3" x14ac:dyDescent="0.25">
      <c r="A7992" s="2">
        <v>0</v>
      </c>
      <c r="B7992" s="38">
        <v>0</v>
      </c>
      <c r="C7992" s="79">
        <v>0</v>
      </c>
    </row>
    <row r="7993" spans="1:3" x14ac:dyDescent="0.25">
      <c r="A7993" s="2">
        <v>0</v>
      </c>
      <c r="B7993" s="38">
        <v>0</v>
      </c>
      <c r="C7993" s="79">
        <v>0</v>
      </c>
    </row>
    <row r="7994" spans="1:3" x14ac:dyDescent="0.25">
      <c r="A7994" s="2">
        <v>0</v>
      </c>
      <c r="B7994" s="38">
        <v>0</v>
      </c>
      <c r="C7994" s="79">
        <v>0</v>
      </c>
    </row>
    <row r="7995" spans="1:3" x14ac:dyDescent="0.25">
      <c r="A7995" s="2">
        <v>0</v>
      </c>
      <c r="B7995" s="38">
        <v>0</v>
      </c>
      <c r="C7995" s="79">
        <v>0</v>
      </c>
    </row>
    <row r="7996" spans="1:3" x14ac:dyDescent="0.25">
      <c r="A7996" s="2">
        <v>0</v>
      </c>
      <c r="B7996" s="38">
        <v>0</v>
      </c>
      <c r="C7996" s="79">
        <v>0</v>
      </c>
    </row>
    <row r="7997" spans="1:3" x14ac:dyDescent="0.25">
      <c r="A7997" s="2">
        <v>0</v>
      </c>
      <c r="B7997" s="38">
        <v>0</v>
      </c>
      <c r="C7997" s="79">
        <v>0</v>
      </c>
    </row>
    <row r="7998" spans="1:3" x14ac:dyDescent="0.25">
      <c r="A7998" s="2">
        <v>0</v>
      </c>
      <c r="B7998" s="38">
        <v>0</v>
      </c>
      <c r="C7998" s="79">
        <v>0</v>
      </c>
    </row>
    <row r="7999" spans="1:3" x14ac:dyDescent="0.25">
      <c r="A7999" s="2">
        <v>0</v>
      </c>
      <c r="B7999" s="38">
        <v>0</v>
      </c>
      <c r="C7999" s="79">
        <v>0</v>
      </c>
    </row>
    <row r="8000" spans="1:3" x14ac:dyDescent="0.25">
      <c r="A8000" s="2">
        <v>0</v>
      </c>
      <c r="B8000" s="38">
        <v>0</v>
      </c>
      <c r="C8000" s="79">
        <v>0</v>
      </c>
    </row>
    <row r="8001" spans="1:3" x14ac:dyDescent="0.25">
      <c r="A8001" s="2">
        <v>0</v>
      </c>
      <c r="B8001" s="38">
        <v>0</v>
      </c>
      <c r="C8001" s="79">
        <v>0</v>
      </c>
    </row>
    <row r="8002" spans="1:3" x14ac:dyDescent="0.25">
      <c r="A8002" s="2">
        <v>0</v>
      </c>
      <c r="B8002" s="38">
        <v>0</v>
      </c>
      <c r="C8002" s="79">
        <v>0</v>
      </c>
    </row>
    <row r="8003" spans="1:3" x14ac:dyDescent="0.25">
      <c r="A8003" s="2">
        <v>0</v>
      </c>
      <c r="B8003" s="38">
        <v>0</v>
      </c>
      <c r="C8003" s="79">
        <v>0</v>
      </c>
    </row>
    <row r="8004" spans="1:3" x14ac:dyDescent="0.25">
      <c r="A8004" s="2">
        <v>0</v>
      </c>
      <c r="B8004" s="38">
        <v>0</v>
      </c>
      <c r="C8004" s="79">
        <v>0</v>
      </c>
    </row>
    <row r="8005" spans="1:3" x14ac:dyDescent="0.25">
      <c r="A8005" s="2">
        <v>0</v>
      </c>
      <c r="B8005" s="38">
        <v>0</v>
      </c>
      <c r="C8005" s="79">
        <v>0</v>
      </c>
    </row>
    <row r="8006" spans="1:3" x14ac:dyDescent="0.25">
      <c r="A8006" s="2">
        <v>0</v>
      </c>
      <c r="B8006" s="38">
        <v>0</v>
      </c>
      <c r="C8006" s="79">
        <v>0</v>
      </c>
    </row>
    <row r="8007" spans="1:3" x14ac:dyDescent="0.25">
      <c r="A8007" s="2">
        <v>0</v>
      </c>
      <c r="B8007" s="38">
        <v>0</v>
      </c>
      <c r="C8007" s="79">
        <v>0</v>
      </c>
    </row>
    <row r="8008" spans="1:3" x14ac:dyDescent="0.25">
      <c r="A8008" s="2">
        <v>0</v>
      </c>
      <c r="B8008" s="38">
        <v>0</v>
      </c>
      <c r="C8008" s="79">
        <v>0</v>
      </c>
    </row>
    <row r="8009" spans="1:3" x14ac:dyDescent="0.25">
      <c r="A8009" s="2">
        <v>0</v>
      </c>
      <c r="B8009" s="38">
        <v>0</v>
      </c>
      <c r="C8009" s="79">
        <v>0</v>
      </c>
    </row>
    <row r="8010" spans="1:3" x14ac:dyDescent="0.25">
      <c r="A8010" s="2">
        <v>0</v>
      </c>
      <c r="B8010" s="38">
        <v>0</v>
      </c>
      <c r="C8010" s="79">
        <v>0</v>
      </c>
    </row>
    <row r="8011" spans="1:3" x14ac:dyDescent="0.25">
      <c r="A8011" s="2">
        <v>0</v>
      </c>
      <c r="B8011" s="38">
        <v>0</v>
      </c>
      <c r="C8011" s="79">
        <v>0</v>
      </c>
    </row>
    <row r="8012" spans="1:3" x14ac:dyDescent="0.25">
      <c r="A8012" s="2">
        <v>0</v>
      </c>
      <c r="B8012" s="38">
        <v>0</v>
      </c>
      <c r="C8012" s="79">
        <v>0</v>
      </c>
    </row>
    <row r="8013" spans="1:3" x14ac:dyDescent="0.25">
      <c r="A8013" s="2">
        <v>0</v>
      </c>
      <c r="B8013" s="38">
        <v>0</v>
      </c>
      <c r="C8013" s="79">
        <v>0</v>
      </c>
    </row>
    <row r="8014" spans="1:3" x14ac:dyDescent="0.25">
      <c r="A8014" s="2">
        <v>0</v>
      </c>
      <c r="B8014" s="38">
        <v>0</v>
      </c>
      <c r="C8014" s="79">
        <v>0</v>
      </c>
    </row>
    <row r="8015" spans="1:3" x14ac:dyDescent="0.25">
      <c r="A8015" s="2">
        <v>0</v>
      </c>
      <c r="B8015" s="38">
        <v>0</v>
      </c>
      <c r="C8015" s="79">
        <v>0</v>
      </c>
    </row>
    <row r="8016" spans="1:3" x14ac:dyDescent="0.25">
      <c r="A8016" s="2">
        <v>0</v>
      </c>
      <c r="B8016" s="38">
        <v>0</v>
      </c>
      <c r="C8016" s="79">
        <v>0</v>
      </c>
    </row>
    <row r="8017" spans="1:3" x14ac:dyDescent="0.25">
      <c r="A8017" s="2">
        <v>0</v>
      </c>
      <c r="B8017" s="38">
        <v>0</v>
      </c>
      <c r="C8017" s="79">
        <v>0</v>
      </c>
    </row>
    <row r="8018" spans="1:3" x14ac:dyDescent="0.25">
      <c r="A8018" s="2">
        <v>0</v>
      </c>
      <c r="B8018" s="38">
        <v>0</v>
      </c>
      <c r="C8018" s="79">
        <v>0</v>
      </c>
    </row>
    <row r="8019" spans="1:3" x14ac:dyDescent="0.25">
      <c r="A8019" s="2">
        <v>0</v>
      </c>
      <c r="B8019" s="38">
        <v>0</v>
      </c>
      <c r="C8019" s="79">
        <v>0</v>
      </c>
    </row>
    <row r="8020" spans="1:3" x14ac:dyDescent="0.25">
      <c r="A8020" s="2">
        <v>0</v>
      </c>
      <c r="B8020" s="38">
        <v>0</v>
      </c>
      <c r="C8020" s="79">
        <v>0</v>
      </c>
    </row>
    <row r="8021" spans="1:3" x14ac:dyDescent="0.25">
      <c r="A8021" s="2">
        <v>0</v>
      </c>
      <c r="B8021" s="38">
        <v>0</v>
      </c>
      <c r="C8021" s="79">
        <v>0</v>
      </c>
    </row>
    <row r="8022" spans="1:3" x14ac:dyDescent="0.25">
      <c r="A8022" s="2">
        <v>0</v>
      </c>
      <c r="B8022" s="38">
        <v>0</v>
      </c>
      <c r="C8022" s="79">
        <v>0</v>
      </c>
    </row>
    <row r="8023" spans="1:3" x14ac:dyDescent="0.25">
      <c r="A8023" s="2">
        <v>0</v>
      </c>
      <c r="B8023" s="38">
        <v>0</v>
      </c>
      <c r="C8023" s="79">
        <v>0</v>
      </c>
    </row>
    <row r="8024" spans="1:3" x14ac:dyDescent="0.25">
      <c r="A8024" s="2">
        <v>0</v>
      </c>
      <c r="B8024" s="38">
        <v>0</v>
      </c>
      <c r="C8024" s="79">
        <v>0</v>
      </c>
    </row>
    <row r="8025" spans="1:3" x14ac:dyDescent="0.25">
      <c r="A8025" s="2">
        <v>0</v>
      </c>
      <c r="B8025" s="38">
        <v>0</v>
      </c>
      <c r="C8025" s="79">
        <v>0</v>
      </c>
    </row>
    <row r="8026" spans="1:3" x14ac:dyDescent="0.25">
      <c r="A8026" s="2">
        <v>0</v>
      </c>
      <c r="B8026" s="38">
        <v>0</v>
      </c>
      <c r="C8026" s="79">
        <v>0</v>
      </c>
    </row>
    <row r="8027" spans="1:3" x14ac:dyDescent="0.25">
      <c r="A8027" s="2">
        <v>0</v>
      </c>
      <c r="B8027" s="38">
        <v>0</v>
      </c>
      <c r="C8027" s="79">
        <v>0</v>
      </c>
    </row>
    <row r="8028" spans="1:3" x14ac:dyDescent="0.25">
      <c r="A8028" s="2">
        <v>0</v>
      </c>
      <c r="B8028" s="38">
        <v>0</v>
      </c>
      <c r="C8028" s="79">
        <v>0</v>
      </c>
    </row>
    <row r="8029" spans="1:3" x14ac:dyDescent="0.25">
      <c r="A8029" s="2">
        <v>0</v>
      </c>
      <c r="B8029" s="38">
        <v>0</v>
      </c>
      <c r="C8029" s="79">
        <v>0</v>
      </c>
    </row>
    <row r="8030" spans="1:3" x14ac:dyDescent="0.25">
      <c r="A8030" s="2">
        <v>0</v>
      </c>
      <c r="B8030" s="38">
        <v>0</v>
      </c>
      <c r="C8030" s="79">
        <v>0</v>
      </c>
    </row>
    <row r="8031" spans="1:3" x14ac:dyDescent="0.25">
      <c r="A8031" s="2">
        <v>0</v>
      </c>
      <c r="B8031" s="38">
        <v>0</v>
      </c>
      <c r="C8031" s="79">
        <v>0</v>
      </c>
    </row>
    <row r="8032" spans="1:3" x14ac:dyDescent="0.25">
      <c r="A8032" s="2">
        <v>0</v>
      </c>
      <c r="B8032" s="38">
        <v>0</v>
      </c>
      <c r="C8032" s="79">
        <v>0</v>
      </c>
    </row>
    <row r="8033" spans="1:3" x14ac:dyDescent="0.25">
      <c r="A8033" s="2">
        <v>0</v>
      </c>
      <c r="B8033" s="38">
        <v>0</v>
      </c>
      <c r="C8033" s="79">
        <v>0</v>
      </c>
    </row>
    <row r="8034" spans="1:3" x14ac:dyDescent="0.25">
      <c r="A8034" s="2">
        <v>0</v>
      </c>
      <c r="B8034" s="38">
        <v>0</v>
      </c>
      <c r="C8034" s="79">
        <v>0</v>
      </c>
    </row>
    <row r="8035" spans="1:3" x14ac:dyDescent="0.25">
      <c r="A8035" s="2">
        <v>0</v>
      </c>
      <c r="B8035" s="38">
        <v>0</v>
      </c>
      <c r="C8035" s="79">
        <v>0</v>
      </c>
    </row>
    <row r="8036" spans="1:3" x14ac:dyDescent="0.25">
      <c r="A8036" s="2">
        <v>0</v>
      </c>
      <c r="B8036" s="38">
        <v>0</v>
      </c>
      <c r="C8036" s="79">
        <v>0</v>
      </c>
    </row>
    <row r="8037" spans="1:3" x14ac:dyDescent="0.25">
      <c r="A8037" s="2">
        <v>0</v>
      </c>
      <c r="B8037" s="38">
        <v>0</v>
      </c>
      <c r="C8037" s="79">
        <v>0</v>
      </c>
    </row>
    <row r="8038" spans="1:3" x14ac:dyDescent="0.25">
      <c r="A8038" s="2">
        <v>0</v>
      </c>
      <c r="B8038" s="38">
        <v>0</v>
      </c>
      <c r="C8038" s="79">
        <v>0</v>
      </c>
    </row>
    <row r="8039" spans="1:3" x14ac:dyDescent="0.25">
      <c r="A8039" s="2">
        <v>0</v>
      </c>
      <c r="B8039" s="38">
        <v>0</v>
      </c>
      <c r="C8039" s="79">
        <v>0</v>
      </c>
    </row>
    <row r="8040" spans="1:3" x14ac:dyDescent="0.25">
      <c r="A8040" s="2">
        <v>0</v>
      </c>
      <c r="B8040" s="38">
        <v>0</v>
      </c>
      <c r="C8040" s="79">
        <v>0</v>
      </c>
    </row>
    <row r="8041" spans="1:3" x14ac:dyDescent="0.25">
      <c r="A8041" s="2">
        <v>0</v>
      </c>
      <c r="B8041" s="38">
        <v>0</v>
      </c>
      <c r="C8041" s="79">
        <v>0</v>
      </c>
    </row>
    <row r="8042" spans="1:3" x14ac:dyDescent="0.25">
      <c r="A8042" s="2">
        <v>0</v>
      </c>
      <c r="B8042" s="38">
        <v>0</v>
      </c>
      <c r="C8042" s="79">
        <v>0</v>
      </c>
    </row>
    <row r="8043" spans="1:3" x14ac:dyDescent="0.25">
      <c r="A8043" s="2">
        <v>0</v>
      </c>
      <c r="B8043" s="38">
        <v>0</v>
      </c>
      <c r="C8043" s="79">
        <v>0</v>
      </c>
    </row>
    <row r="8044" spans="1:3" x14ac:dyDescent="0.25">
      <c r="A8044" s="2">
        <v>0</v>
      </c>
      <c r="B8044" s="38">
        <v>0</v>
      </c>
      <c r="C8044" s="79">
        <v>0</v>
      </c>
    </row>
    <row r="8045" spans="1:3" x14ac:dyDescent="0.25">
      <c r="A8045" s="2">
        <v>0</v>
      </c>
      <c r="B8045" s="38">
        <v>0</v>
      </c>
      <c r="C8045" s="79">
        <v>0</v>
      </c>
    </row>
    <row r="8046" spans="1:3" x14ac:dyDescent="0.25">
      <c r="A8046" s="2">
        <v>0</v>
      </c>
      <c r="B8046" s="38">
        <v>0</v>
      </c>
      <c r="C8046" s="79">
        <v>0</v>
      </c>
    </row>
    <row r="8047" spans="1:3" x14ac:dyDescent="0.25">
      <c r="A8047" s="2">
        <v>0</v>
      </c>
      <c r="B8047" s="38">
        <v>0</v>
      </c>
      <c r="C8047" s="79">
        <v>0</v>
      </c>
    </row>
    <row r="8048" spans="1:3" x14ac:dyDescent="0.25">
      <c r="A8048" s="2">
        <v>0</v>
      </c>
      <c r="B8048" s="38">
        <v>0</v>
      </c>
      <c r="C8048" s="79">
        <v>0</v>
      </c>
    </row>
    <row r="8049" spans="1:3" x14ac:dyDescent="0.25">
      <c r="A8049" s="2">
        <v>0</v>
      </c>
      <c r="B8049" s="38">
        <v>0</v>
      </c>
      <c r="C8049" s="79">
        <v>0</v>
      </c>
    </row>
    <row r="8050" spans="1:3" x14ac:dyDescent="0.25">
      <c r="A8050" s="2">
        <v>0</v>
      </c>
      <c r="B8050" s="38">
        <v>0</v>
      </c>
      <c r="C8050" s="79">
        <v>0</v>
      </c>
    </row>
    <row r="8051" spans="1:3" x14ac:dyDescent="0.25">
      <c r="A8051" s="2">
        <v>0</v>
      </c>
      <c r="B8051" s="38">
        <v>0</v>
      </c>
      <c r="C8051" s="79">
        <v>0</v>
      </c>
    </row>
    <row r="8052" spans="1:3" x14ac:dyDescent="0.25">
      <c r="A8052" s="2">
        <v>0</v>
      </c>
      <c r="B8052" s="38">
        <v>0</v>
      </c>
      <c r="C8052" s="79">
        <v>0</v>
      </c>
    </row>
    <row r="8053" spans="1:3" x14ac:dyDescent="0.25">
      <c r="A8053" s="2">
        <v>0</v>
      </c>
      <c r="B8053" s="38">
        <v>0</v>
      </c>
      <c r="C8053" s="79">
        <v>0</v>
      </c>
    </row>
    <row r="8054" spans="1:3" x14ac:dyDescent="0.25">
      <c r="A8054" s="2">
        <v>0</v>
      </c>
      <c r="B8054" s="38">
        <v>0</v>
      </c>
      <c r="C8054" s="79">
        <v>0</v>
      </c>
    </row>
    <row r="8055" spans="1:3" x14ac:dyDescent="0.25">
      <c r="A8055" s="2">
        <v>0</v>
      </c>
      <c r="B8055" s="38">
        <v>0</v>
      </c>
      <c r="C8055" s="79">
        <v>0</v>
      </c>
    </row>
    <row r="8056" spans="1:3" x14ac:dyDescent="0.25">
      <c r="A8056" s="2">
        <v>0</v>
      </c>
      <c r="B8056" s="38">
        <v>0</v>
      </c>
      <c r="C8056" s="79">
        <v>0</v>
      </c>
    </row>
    <row r="8057" spans="1:3" x14ac:dyDescent="0.25">
      <c r="A8057" s="2">
        <v>0</v>
      </c>
      <c r="B8057" s="38">
        <v>0</v>
      </c>
      <c r="C8057" s="79">
        <v>0</v>
      </c>
    </row>
    <row r="8058" spans="1:3" x14ac:dyDescent="0.25">
      <c r="A8058" s="2">
        <v>0</v>
      </c>
      <c r="B8058" s="38">
        <v>0</v>
      </c>
      <c r="C8058" s="79">
        <v>0</v>
      </c>
    </row>
    <row r="8059" spans="1:3" x14ac:dyDescent="0.25">
      <c r="A8059" s="2">
        <v>0</v>
      </c>
      <c r="B8059" s="38">
        <v>0</v>
      </c>
      <c r="C8059" s="79">
        <v>0</v>
      </c>
    </row>
    <row r="8060" spans="1:3" x14ac:dyDescent="0.25">
      <c r="A8060" s="2">
        <v>0</v>
      </c>
      <c r="B8060" s="38">
        <v>0</v>
      </c>
      <c r="C8060" s="79">
        <v>0</v>
      </c>
    </row>
    <row r="8061" spans="1:3" x14ac:dyDescent="0.25">
      <c r="A8061" s="2">
        <v>0</v>
      </c>
      <c r="B8061" s="38">
        <v>0</v>
      </c>
      <c r="C8061" s="79">
        <v>0</v>
      </c>
    </row>
    <row r="8062" spans="1:3" x14ac:dyDescent="0.25">
      <c r="A8062" s="2">
        <v>0</v>
      </c>
      <c r="B8062" s="38">
        <v>0</v>
      </c>
      <c r="C8062" s="79">
        <v>0</v>
      </c>
    </row>
    <row r="8063" spans="1:3" x14ac:dyDescent="0.25">
      <c r="A8063" s="2">
        <v>0</v>
      </c>
      <c r="B8063" s="38">
        <v>0</v>
      </c>
      <c r="C8063" s="79">
        <v>0</v>
      </c>
    </row>
    <row r="8064" spans="1:3" x14ac:dyDescent="0.25">
      <c r="A8064" s="2">
        <v>0</v>
      </c>
      <c r="B8064" s="38">
        <v>0</v>
      </c>
      <c r="C8064" s="79">
        <v>0</v>
      </c>
    </row>
    <row r="8065" spans="1:3" x14ac:dyDescent="0.25">
      <c r="A8065" s="2">
        <v>0</v>
      </c>
      <c r="B8065" s="38">
        <v>0</v>
      </c>
      <c r="C8065" s="79">
        <v>0</v>
      </c>
    </row>
    <row r="8066" spans="1:3" x14ac:dyDescent="0.25">
      <c r="A8066" s="2">
        <v>0</v>
      </c>
      <c r="B8066" s="38">
        <v>0</v>
      </c>
      <c r="C8066" s="79">
        <v>0</v>
      </c>
    </row>
    <row r="8067" spans="1:3" x14ac:dyDescent="0.25">
      <c r="A8067" s="2">
        <v>0</v>
      </c>
      <c r="B8067" s="38">
        <v>0</v>
      </c>
      <c r="C8067" s="79">
        <v>0</v>
      </c>
    </row>
    <row r="8068" spans="1:3" x14ac:dyDescent="0.25">
      <c r="A8068" s="2">
        <v>0</v>
      </c>
      <c r="B8068" s="38">
        <v>0</v>
      </c>
      <c r="C8068" s="79">
        <v>0</v>
      </c>
    </row>
    <row r="8069" spans="1:3" x14ac:dyDescent="0.25">
      <c r="A8069" s="2">
        <v>0</v>
      </c>
      <c r="B8069" s="38">
        <v>0</v>
      </c>
      <c r="C8069" s="79">
        <v>0</v>
      </c>
    </row>
    <row r="8070" spans="1:3" x14ac:dyDescent="0.25">
      <c r="A8070" s="2">
        <v>0</v>
      </c>
      <c r="B8070" s="38">
        <v>0</v>
      </c>
      <c r="C8070" s="79">
        <v>0</v>
      </c>
    </row>
    <row r="8071" spans="1:3" x14ac:dyDescent="0.25">
      <c r="A8071" s="2">
        <v>0</v>
      </c>
      <c r="B8071" s="38">
        <v>0</v>
      </c>
      <c r="C8071" s="79">
        <v>0</v>
      </c>
    </row>
    <row r="8072" spans="1:3" x14ac:dyDescent="0.25">
      <c r="A8072" s="2">
        <v>0</v>
      </c>
      <c r="B8072" s="38">
        <v>0</v>
      </c>
      <c r="C8072" s="79">
        <v>0</v>
      </c>
    </row>
    <row r="8073" spans="1:3" x14ac:dyDescent="0.25">
      <c r="A8073" s="2">
        <v>0</v>
      </c>
      <c r="B8073" s="38">
        <v>0</v>
      </c>
      <c r="C8073" s="79">
        <v>0</v>
      </c>
    </row>
    <row r="8074" spans="1:3" x14ac:dyDescent="0.25">
      <c r="A8074" s="2">
        <v>0</v>
      </c>
      <c r="B8074" s="38">
        <v>0</v>
      </c>
      <c r="C8074" s="79">
        <v>0</v>
      </c>
    </row>
    <row r="8075" spans="1:3" x14ac:dyDescent="0.25">
      <c r="A8075" s="2">
        <v>0</v>
      </c>
      <c r="B8075" s="38">
        <v>0</v>
      </c>
      <c r="C8075" s="79">
        <v>0</v>
      </c>
    </row>
    <row r="8076" spans="1:3" x14ac:dyDescent="0.25">
      <c r="A8076" s="2">
        <v>0</v>
      </c>
      <c r="B8076" s="38">
        <v>0</v>
      </c>
      <c r="C8076" s="79">
        <v>0</v>
      </c>
    </row>
    <row r="8077" spans="1:3" x14ac:dyDescent="0.25">
      <c r="A8077" s="2">
        <v>0</v>
      </c>
      <c r="B8077" s="38">
        <v>0</v>
      </c>
      <c r="C8077" s="79">
        <v>0</v>
      </c>
    </row>
    <row r="8078" spans="1:3" x14ac:dyDescent="0.25">
      <c r="A8078" s="2">
        <v>0</v>
      </c>
      <c r="B8078" s="38">
        <v>0</v>
      </c>
      <c r="C8078" s="79">
        <v>0</v>
      </c>
    </row>
    <row r="8079" spans="1:3" x14ac:dyDescent="0.25">
      <c r="A8079" s="2">
        <v>0</v>
      </c>
      <c r="B8079" s="38">
        <v>0</v>
      </c>
      <c r="C8079" s="79">
        <v>0</v>
      </c>
    </row>
    <row r="8080" spans="1:3" x14ac:dyDescent="0.25">
      <c r="A8080" s="2">
        <v>0</v>
      </c>
      <c r="B8080" s="38">
        <v>0</v>
      </c>
      <c r="C8080" s="79">
        <v>0</v>
      </c>
    </row>
    <row r="8081" spans="1:3" x14ac:dyDescent="0.25">
      <c r="A8081" s="2">
        <v>0</v>
      </c>
      <c r="B8081" s="38">
        <v>0</v>
      </c>
      <c r="C8081" s="79">
        <v>0</v>
      </c>
    </row>
    <row r="8082" spans="1:3" x14ac:dyDescent="0.25">
      <c r="A8082" s="2">
        <v>0</v>
      </c>
      <c r="B8082" s="38">
        <v>0</v>
      </c>
      <c r="C8082" s="79">
        <v>0</v>
      </c>
    </row>
    <row r="8083" spans="1:3" x14ac:dyDescent="0.25">
      <c r="A8083" s="2">
        <v>0</v>
      </c>
      <c r="B8083" s="38">
        <v>0</v>
      </c>
      <c r="C8083" s="79">
        <v>0</v>
      </c>
    </row>
    <row r="8084" spans="1:3" x14ac:dyDescent="0.25">
      <c r="A8084" s="2">
        <v>0</v>
      </c>
      <c r="B8084" s="38">
        <v>0</v>
      </c>
      <c r="C8084" s="79">
        <v>0</v>
      </c>
    </row>
    <row r="8085" spans="1:3" x14ac:dyDescent="0.25">
      <c r="A8085" s="2">
        <v>0</v>
      </c>
      <c r="B8085" s="38">
        <v>0</v>
      </c>
      <c r="C8085" s="79">
        <v>0</v>
      </c>
    </row>
    <row r="8086" spans="1:3" x14ac:dyDescent="0.25">
      <c r="A8086" s="2">
        <v>0</v>
      </c>
      <c r="B8086" s="38">
        <v>0</v>
      </c>
      <c r="C8086" s="79">
        <v>0</v>
      </c>
    </row>
    <row r="8087" spans="1:3" x14ac:dyDescent="0.25">
      <c r="A8087" s="2">
        <v>0</v>
      </c>
      <c r="B8087" s="38">
        <v>0</v>
      </c>
      <c r="C8087" s="79">
        <v>0</v>
      </c>
    </row>
    <row r="8088" spans="1:3" x14ac:dyDescent="0.25">
      <c r="A8088" s="2">
        <v>0</v>
      </c>
      <c r="B8088" s="38">
        <v>0</v>
      </c>
      <c r="C8088" s="79">
        <v>0</v>
      </c>
    </row>
    <row r="8089" spans="1:3" x14ac:dyDescent="0.25">
      <c r="A8089" s="2">
        <v>0</v>
      </c>
      <c r="B8089" s="38">
        <v>0</v>
      </c>
      <c r="C8089" s="79">
        <v>0</v>
      </c>
    </row>
    <row r="8090" spans="1:3" x14ac:dyDescent="0.25">
      <c r="A8090" s="2">
        <v>0</v>
      </c>
      <c r="B8090" s="38">
        <v>0</v>
      </c>
      <c r="C8090" s="79">
        <v>0</v>
      </c>
    </row>
    <row r="8091" spans="1:3" x14ac:dyDescent="0.25">
      <c r="A8091" s="2">
        <v>0</v>
      </c>
      <c r="B8091" s="38">
        <v>0</v>
      </c>
      <c r="C8091" s="79">
        <v>0</v>
      </c>
    </row>
    <row r="8092" spans="1:3" x14ac:dyDescent="0.25">
      <c r="A8092" s="2">
        <v>0</v>
      </c>
      <c r="B8092" s="38">
        <v>0</v>
      </c>
      <c r="C8092" s="79">
        <v>0</v>
      </c>
    </row>
    <row r="8093" spans="1:3" x14ac:dyDescent="0.25">
      <c r="A8093" s="2">
        <v>0</v>
      </c>
      <c r="B8093" s="38">
        <v>0</v>
      </c>
      <c r="C8093" s="79">
        <v>0</v>
      </c>
    </row>
    <row r="8094" spans="1:3" x14ac:dyDescent="0.25">
      <c r="A8094" s="2">
        <v>0</v>
      </c>
      <c r="B8094" s="38">
        <v>0</v>
      </c>
      <c r="C8094" s="79">
        <v>0</v>
      </c>
    </row>
    <row r="8095" spans="1:3" x14ac:dyDescent="0.25">
      <c r="A8095" s="2">
        <v>0</v>
      </c>
      <c r="B8095" s="38">
        <v>0</v>
      </c>
      <c r="C8095" s="79">
        <v>0</v>
      </c>
    </row>
    <row r="8096" spans="1:3" x14ac:dyDescent="0.25">
      <c r="A8096" s="2">
        <v>0</v>
      </c>
      <c r="B8096" s="38">
        <v>0</v>
      </c>
      <c r="C8096" s="79">
        <v>0</v>
      </c>
    </row>
    <row r="8097" spans="1:3" x14ac:dyDescent="0.25">
      <c r="A8097" s="2">
        <v>0</v>
      </c>
      <c r="B8097" s="38">
        <v>0</v>
      </c>
      <c r="C8097" s="79">
        <v>0</v>
      </c>
    </row>
    <row r="8098" spans="1:3" x14ac:dyDescent="0.25">
      <c r="A8098" s="2">
        <v>0</v>
      </c>
      <c r="B8098" s="38">
        <v>0</v>
      </c>
      <c r="C8098" s="79">
        <v>0</v>
      </c>
    </row>
    <row r="8099" spans="1:3" x14ac:dyDescent="0.25">
      <c r="A8099" s="2">
        <v>0</v>
      </c>
      <c r="B8099" s="38">
        <v>0</v>
      </c>
      <c r="C8099" s="79">
        <v>0</v>
      </c>
    </row>
    <row r="8100" spans="1:3" x14ac:dyDescent="0.25">
      <c r="A8100" s="2">
        <v>0</v>
      </c>
      <c r="B8100" s="38">
        <v>0</v>
      </c>
      <c r="C8100" s="79">
        <v>0</v>
      </c>
    </row>
    <row r="8101" spans="1:3" x14ac:dyDescent="0.25">
      <c r="A8101" s="2">
        <v>0</v>
      </c>
      <c r="B8101" s="38">
        <v>0</v>
      </c>
      <c r="C8101" s="79">
        <v>0</v>
      </c>
    </row>
    <row r="8102" spans="1:3" x14ac:dyDescent="0.25">
      <c r="A8102" s="2">
        <v>0</v>
      </c>
      <c r="B8102" s="38">
        <v>0</v>
      </c>
      <c r="C8102" s="79">
        <v>0</v>
      </c>
    </row>
    <row r="8103" spans="1:3" x14ac:dyDescent="0.25">
      <c r="A8103" s="2">
        <v>0</v>
      </c>
      <c r="B8103" s="38">
        <v>0</v>
      </c>
      <c r="C8103" s="79">
        <v>0</v>
      </c>
    </row>
    <row r="8104" spans="1:3" x14ac:dyDescent="0.25">
      <c r="A8104" s="2">
        <v>0</v>
      </c>
      <c r="B8104" s="38">
        <v>0</v>
      </c>
      <c r="C8104" s="79">
        <v>0</v>
      </c>
    </row>
    <row r="8105" spans="1:3" x14ac:dyDescent="0.25">
      <c r="A8105" s="2">
        <v>0</v>
      </c>
      <c r="B8105" s="38">
        <v>0</v>
      </c>
      <c r="C8105" s="79">
        <v>0</v>
      </c>
    </row>
    <row r="8106" spans="1:3" x14ac:dyDescent="0.25">
      <c r="A8106" s="2">
        <v>0</v>
      </c>
      <c r="B8106" s="38">
        <v>0</v>
      </c>
      <c r="C8106" s="79">
        <v>0</v>
      </c>
    </row>
    <row r="8107" spans="1:3" x14ac:dyDescent="0.25">
      <c r="A8107" s="2">
        <v>0</v>
      </c>
      <c r="B8107" s="38">
        <v>0</v>
      </c>
      <c r="C8107" s="79">
        <v>0</v>
      </c>
    </row>
    <row r="8108" spans="1:3" x14ac:dyDescent="0.25">
      <c r="A8108" s="2">
        <v>0</v>
      </c>
      <c r="B8108" s="38">
        <v>0</v>
      </c>
      <c r="C8108" s="79">
        <v>0</v>
      </c>
    </row>
    <row r="8109" spans="1:3" x14ac:dyDescent="0.25">
      <c r="A8109" s="2">
        <v>0</v>
      </c>
      <c r="B8109" s="38">
        <v>0</v>
      </c>
      <c r="C8109" s="79">
        <v>0</v>
      </c>
    </row>
    <row r="8110" spans="1:3" x14ac:dyDescent="0.25">
      <c r="A8110" s="2">
        <v>0</v>
      </c>
      <c r="B8110" s="38">
        <v>0</v>
      </c>
      <c r="C8110" s="79">
        <v>0</v>
      </c>
    </row>
    <row r="8111" spans="1:3" x14ac:dyDescent="0.25">
      <c r="A8111" s="2">
        <v>0</v>
      </c>
      <c r="B8111" s="38">
        <v>0</v>
      </c>
      <c r="C8111" s="79">
        <v>0</v>
      </c>
    </row>
    <row r="8112" spans="1:3" x14ac:dyDescent="0.25">
      <c r="A8112" s="2">
        <v>0</v>
      </c>
      <c r="B8112" s="38">
        <v>0</v>
      </c>
      <c r="C8112" s="79">
        <v>0</v>
      </c>
    </row>
    <row r="8113" spans="1:3" x14ac:dyDescent="0.25">
      <c r="A8113" s="2">
        <v>0</v>
      </c>
      <c r="B8113" s="38">
        <v>0</v>
      </c>
      <c r="C8113" s="79">
        <v>0</v>
      </c>
    </row>
    <row r="8114" spans="1:3" x14ac:dyDescent="0.25">
      <c r="A8114" s="2">
        <v>0</v>
      </c>
      <c r="B8114" s="38">
        <v>0</v>
      </c>
      <c r="C8114" s="79">
        <v>0</v>
      </c>
    </row>
    <row r="8115" spans="1:3" x14ac:dyDescent="0.25">
      <c r="A8115" s="2">
        <v>0</v>
      </c>
      <c r="B8115" s="38">
        <v>0</v>
      </c>
      <c r="C8115" s="79">
        <v>0</v>
      </c>
    </row>
    <row r="8116" spans="1:3" x14ac:dyDescent="0.25">
      <c r="A8116" s="2">
        <v>0</v>
      </c>
      <c r="B8116" s="38">
        <v>0</v>
      </c>
      <c r="C8116" s="79">
        <v>0</v>
      </c>
    </row>
    <row r="8117" spans="1:3" x14ac:dyDescent="0.25">
      <c r="A8117" s="2">
        <v>0</v>
      </c>
      <c r="B8117" s="38">
        <v>0</v>
      </c>
      <c r="C8117" s="79">
        <v>0</v>
      </c>
    </row>
    <row r="8118" spans="1:3" x14ac:dyDescent="0.25">
      <c r="A8118" s="2">
        <v>0</v>
      </c>
      <c r="B8118" s="38">
        <v>0</v>
      </c>
      <c r="C8118" s="79">
        <v>0</v>
      </c>
    </row>
    <row r="8119" spans="1:3" x14ac:dyDescent="0.25">
      <c r="A8119" s="2">
        <v>0</v>
      </c>
      <c r="B8119" s="38">
        <v>0</v>
      </c>
      <c r="C8119" s="79">
        <v>0</v>
      </c>
    </row>
    <row r="8120" spans="1:3" x14ac:dyDescent="0.25">
      <c r="A8120" s="2">
        <v>0</v>
      </c>
      <c r="B8120" s="38">
        <v>0</v>
      </c>
      <c r="C8120" s="79">
        <v>0</v>
      </c>
    </row>
    <row r="8121" spans="1:3" x14ac:dyDescent="0.25">
      <c r="A8121" s="2">
        <v>0</v>
      </c>
      <c r="B8121" s="38">
        <v>0</v>
      </c>
      <c r="C8121" s="79">
        <v>0</v>
      </c>
    </row>
    <row r="8122" spans="1:3" x14ac:dyDescent="0.25">
      <c r="A8122" s="2">
        <v>0</v>
      </c>
      <c r="B8122" s="38">
        <v>0</v>
      </c>
      <c r="C8122" s="79">
        <v>0</v>
      </c>
    </row>
    <row r="8123" spans="1:3" x14ac:dyDescent="0.25">
      <c r="A8123" s="2">
        <v>0</v>
      </c>
      <c r="B8123" s="38">
        <v>0</v>
      </c>
      <c r="C8123" s="79">
        <v>0</v>
      </c>
    </row>
    <row r="8124" spans="1:3" x14ac:dyDescent="0.25">
      <c r="A8124" s="2">
        <v>0</v>
      </c>
      <c r="B8124" s="38">
        <v>0</v>
      </c>
      <c r="C8124" s="79">
        <v>0</v>
      </c>
    </row>
    <row r="8125" spans="1:3" x14ac:dyDescent="0.25">
      <c r="A8125" s="2">
        <v>0</v>
      </c>
      <c r="B8125" s="38">
        <v>0</v>
      </c>
      <c r="C8125" s="79">
        <v>0</v>
      </c>
    </row>
    <row r="8126" spans="1:3" x14ac:dyDescent="0.25">
      <c r="A8126" s="2">
        <v>0</v>
      </c>
      <c r="B8126" s="38">
        <v>0</v>
      </c>
      <c r="C8126" s="79">
        <v>0</v>
      </c>
    </row>
    <row r="8127" spans="1:3" x14ac:dyDescent="0.25">
      <c r="A8127" s="2">
        <v>0</v>
      </c>
      <c r="B8127" s="38">
        <v>0</v>
      </c>
      <c r="C8127" s="79">
        <v>0</v>
      </c>
    </row>
    <row r="8128" spans="1:3" x14ac:dyDescent="0.25">
      <c r="A8128" s="2">
        <v>0</v>
      </c>
      <c r="B8128" s="38">
        <v>0</v>
      </c>
      <c r="C8128" s="79">
        <v>0</v>
      </c>
    </row>
    <row r="8129" spans="1:3" x14ac:dyDescent="0.25">
      <c r="A8129" s="2">
        <v>0</v>
      </c>
      <c r="B8129" s="38">
        <v>0</v>
      </c>
      <c r="C8129" s="79">
        <v>0</v>
      </c>
    </row>
    <row r="8130" spans="1:3" x14ac:dyDescent="0.25">
      <c r="A8130" s="2">
        <v>0</v>
      </c>
      <c r="B8130" s="38">
        <v>0</v>
      </c>
      <c r="C8130" s="79">
        <v>0</v>
      </c>
    </row>
    <row r="8131" spans="1:3" x14ac:dyDescent="0.25">
      <c r="A8131" s="2">
        <v>0</v>
      </c>
      <c r="B8131" s="38">
        <v>0</v>
      </c>
      <c r="C8131" s="79">
        <v>0</v>
      </c>
    </row>
    <row r="8132" spans="1:3" x14ac:dyDescent="0.25">
      <c r="A8132" s="2">
        <v>0</v>
      </c>
      <c r="B8132" s="38">
        <v>0</v>
      </c>
      <c r="C8132" s="79">
        <v>0</v>
      </c>
    </row>
    <row r="8133" spans="1:3" x14ac:dyDescent="0.25">
      <c r="A8133" s="2">
        <v>0</v>
      </c>
      <c r="B8133" s="38">
        <v>0</v>
      </c>
      <c r="C8133" s="79">
        <v>0</v>
      </c>
    </row>
    <row r="8134" spans="1:3" x14ac:dyDescent="0.25">
      <c r="A8134" s="2">
        <v>0</v>
      </c>
      <c r="B8134" s="38">
        <v>0</v>
      </c>
      <c r="C8134" s="79">
        <v>0</v>
      </c>
    </row>
    <row r="8135" spans="1:3" x14ac:dyDescent="0.25">
      <c r="A8135" s="2">
        <v>0</v>
      </c>
      <c r="B8135" s="38">
        <v>0</v>
      </c>
      <c r="C8135" s="79">
        <v>0</v>
      </c>
    </row>
    <row r="8136" spans="1:3" x14ac:dyDescent="0.25">
      <c r="A8136" s="2">
        <v>0</v>
      </c>
      <c r="B8136" s="38">
        <v>0</v>
      </c>
      <c r="C8136" s="79">
        <v>0</v>
      </c>
    </row>
    <row r="8137" spans="1:3" x14ac:dyDescent="0.25">
      <c r="A8137" s="2">
        <v>0</v>
      </c>
      <c r="B8137" s="38">
        <v>0</v>
      </c>
      <c r="C8137" s="79">
        <v>0</v>
      </c>
    </row>
    <row r="8138" spans="1:3" x14ac:dyDescent="0.25">
      <c r="A8138" s="2">
        <v>0</v>
      </c>
      <c r="B8138" s="38">
        <v>0</v>
      </c>
      <c r="C8138" s="79">
        <v>0</v>
      </c>
    </row>
    <row r="8139" spans="1:3" x14ac:dyDescent="0.25">
      <c r="A8139" s="2">
        <v>0</v>
      </c>
      <c r="B8139" s="38">
        <v>0</v>
      </c>
      <c r="C8139" s="79">
        <v>0</v>
      </c>
    </row>
    <row r="8140" spans="1:3" x14ac:dyDescent="0.25">
      <c r="A8140" s="2">
        <v>0</v>
      </c>
      <c r="B8140" s="38">
        <v>0</v>
      </c>
      <c r="C8140" s="79">
        <v>0</v>
      </c>
    </row>
    <row r="8141" spans="1:3" x14ac:dyDescent="0.25">
      <c r="A8141" s="2">
        <v>0</v>
      </c>
      <c r="B8141" s="38">
        <v>0</v>
      </c>
      <c r="C8141" s="79">
        <v>0</v>
      </c>
    </row>
    <row r="8142" spans="1:3" x14ac:dyDescent="0.25">
      <c r="A8142" s="2">
        <v>0</v>
      </c>
      <c r="B8142" s="38">
        <v>0</v>
      </c>
      <c r="C8142" s="79">
        <v>0</v>
      </c>
    </row>
    <row r="8143" spans="1:3" x14ac:dyDescent="0.25">
      <c r="A8143" s="2">
        <v>0</v>
      </c>
      <c r="B8143" s="38">
        <v>0</v>
      </c>
      <c r="C8143" s="79">
        <v>0</v>
      </c>
    </row>
    <row r="8144" spans="1:3" x14ac:dyDescent="0.25">
      <c r="A8144" s="2">
        <v>0</v>
      </c>
      <c r="B8144" s="38">
        <v>0</v>
      </c>
      <c r="C8144" s="79">
        <v>0</v>
      </c>
    </row>
    <row r="8145" spans="1:3" x14ac:dyDescent="0.25">
      <c r="A8145" s="2">
        <v>0</v>
      </c>
      <c r="B8145" s="38">
        <v>0</v>
      </c>
      <c r="C8145" s="79">
        <v>0</v>
      </c>
    </row>
    <row r="8146" spans="1:3" x14ac:dyDescent="0.25">
      <c r="A8146" s="2">
        <v>0</v>
      </c>
      <c r="B8146" s="38">
        <v>0</v>
      </c>
      <c r="C8146" s="79">
        <v>0</v>
      </c>
    </row>
    <row r="8147" spans="1:3" x14ac:dyDescent="0.25">
      <c r="A8147" s="2">
        <v>0</v>
      </c>
      <c r="B8147" s="38">
        <v>0</v>
      </c>
      <c r="C8147" s="79">
        <v>0</v>
      </c>
    </row>
    <row r="8148" spans="1:3" x14ac:dyDescent="0.25">
      <c r="A8148" s="2">
        <v>0</v>
      </c>
      <c r="B8148" s="38">
        <v>0</v>
      </c>
      <c r="C8148" s="79">
        <v>0</v>
      </c>
    </row>
    <row r="8149" spans="1:3" x14ac:dyDescent="0.25">
      <c r="A8149" s="2">
        <v>0</v>
      </c>
      <c r="B8149" s="38">
        <v>0</v>
      </c>
      <c r="C8149" s="79">
        <v>0</v>
      </c>
    </row>
    <row r="8150" spans="1:3" x14ac:dyDescent="0.25">
      <c r="A8150" s="2">
        <v>0</v>
      </c>
      <c r="B8150" s="38">
        <v>0</v>
      </c>
      <c r="C8150" s="79">
        <v>0</v>
      </c>
    </row>
    <row r="8151" spans="1:3" x14ac:dyDescent="0.25">
      <c r="A8151" s="2">
        <v>0</v>
      </c>
      <c r="B8151" s="38">
        <v>0</v>
      </c>
      <c r="C8151" s="79">
        <v>0</v>
      </c>
    </row>
    <row r="8152" spans="1:3" x14ac:dyDescent="0.25">
      <c r="A8152" s="2">
        <v>0</v>
      </c>
      <c r="B8152" s="38">
        <v>0</v>
      </c>
      <c r="C8152" s="79">
        <v>0</v>
      </c>
    </row>
    <row r="8153" spans="1:3" x14ac:dyDescent="0.25">
      <c r="A8153" s="2">
        <v>0</v>
      </c>
      <c r="B8153" s="38">
        <v>0</v>
      </c>
      <c r="C8153" s="79">
        <v>0</v>
      </c>
    </row>
    <row r="8154" spans="1:3" x14ac:dyDescent="0.25">
      <c r="A8154" s="2">
        <v>0</v>
      </c>
      <c r="B8154" s="38">
        <v>0</v>
      </c>
      <c r="C8154" s="79">
        <v>0</v>
      </c>
    </row>
    <row r="8155" spans="1:3" x14ac:dyDescent="0.25">
      <c r="A8155" s="2">
        <v>0</v>
      </c>
      <c r="B8155" s="38">
        <v>0</v>
      </c>
      <c r="C8155" s="79">
        <v>0</v>
      </c>
    </row>
    <row r="8156" spans="1:3" x14ac:dyDescent="0.25">
      <c r="A8156" s="2">
        <v>0</v>
      </c>
      <c r="B8156" s="38">
        <v>0</v>
      </c>
      <c r="C8156" s="79">
        <v>0</v>
      </c>
    </row>
    <row r="8157" spans="1:3" x14ac:dyDescent="0.25">
      <c r="A8157" s="2">
        <v>0</v>
      </c>
      <c r="B8157" s="38">
        <v>0</v>
      </c>
      <c r="C8157" s="79">
        <v>0</v>
      </c>
    </row>
    <row r="8158" spans="1:3" x14ac:dyDescent="0.25">
      <c r="A8158" s="2">
        <v>0</v>
      </c>
      <c r="B8158" s="38">
        <v>0</v>
      </c>
      <c r="C8158" s="79">
        <v>0</v>
      </c>
    </row>
    <row r="8159" spans="1:3" x14ac:dyDescent="0.25">
      <c r="A8159" s="2">
        <v>0</v>
      </c>
      <c r="B8159" s="38">
        <v>0</v>
      </c>
      <c r="C8159" s="79">
        <v>0</v>
      </c>
    </row>
    <row r="8160" spans="1:3" x14ac:dyDescent="0.25">
      <c r="A8160" s="2">
        <v>0</v>
      </c>
      <c r="B8160" s="38">
        <v>0</v>
      </c>
      <c r="C8160" s="79">
        <v>0</v>
      </c>
    </row>
    <row r="8161" spans="1:3" x14ac:dyDescent="0.25">
      <c r="A8161" s="2">
        <v>0</v>
      </c>
      <c r="B8161" s="38">
        <v>0</v>
      </c>
      <c r="C8161" s="79">
        <v>0</v>
      </c>
    </row>
    <row r="8162" spans="1:3" x14ac:dyDescent="0.25">
      <c r="A8162" s="2">
        <v>0</v>
      </c>
      <c r="B8162" s="38">
        <v>0</v>
      </c>
      <c r="C8162" s="79">
        <v>0</v>
      </c>
    </row>
    <row r="8163" spans="1:3" x14ac:dyDescent="0.25">
      <c r="A8163" s="2">
        <v>0</v>
      </c>
      <c r="B8163" s="38">
        <v>0</v>
      </c>
      <c r="C8163" s="79">
        <v>0</v>
      </c>
    </row>
    <row r="8164" spans="1:3" x14ac:dyDescent="0.25">
      <c r="A8164" s="2">
        <v>0</v>
      </c>
      <c r="B8164" s="38">
        <v>0</v>
      </c>
      <c r="C8164" s="79">
        <v>0</v>
      </c>
    </row>
    <row r="8165" spans="1:3" x14ac:dyDescent="0.25">
      <c r="A8165" s="2">
        <v>0</v>
      </c>
      <c r="B8165" s="38">
        <v>0</v>
      </c>
      <c r="C8165" s="79">
        <v>0</v>
      </c>
    </row>
    <row r="8166" spans="1:3" x14ac:dyDescent="0.25">
      <c r="A8166" s="2">
        <v>0</v>
      </c>
      <c r="B8166" s="38">
        <v>0</v>
      </c>
      <c r="C8166" s="79">
        <v>0</v>
      </c>
    </row>
    <row r="8167" spans="1:3" x14ac:dyDescent="0.25">
      <c r="A8167" s="2">
        <v>0</v>
      </c>
      <c r="B8167" s="38">
        <v>0</v>
      </c>
      <c r="C8167" s="79">
        <v>0</v>
      </c>
    </row>
    <row r="8168" spans="1:3" x14ac:dyDescent="0.25">
      <c r="A8168" s="2">
        <v>0</v>
      </c>
      <c r="B8168" s="38">
        <v>0</v>
      </c>
      <c r="C8168" s="79">
        <v>0</v>
      </c>
    </row>
    <row r="8169" spans="1:3" x14ac:dyDescent="0.25">
      <c r="A8169" s="2">
        <v>0</v>
      </c>
      <c r="B8169" s="38">
        <v>0</v>
      </c>
      <c r="C8169" s="79">
        <v>0</v>
      </c>
    </row>
    <row r="8170" spans="1:3" x14ac:dyDescent="0.25">
      <c r="A8170" s="2">
        <v>0</v>
      </c>
      <c r="B8170" s="38">
        <v>0</v>
      </c>
      <c r="C8170" s="79">
        <v>0</v>
      </c>
    </row>
    <row r="8171" spans="1:3" x14ac:dyDescent="0.25">
      <c r="A8171" s="2">
        <v>0</v>
      </c>
      <c r="B8171" s="38">
        <v>0</v>
      </c>
      <c r="C8171" s="79">
        <v>0</v>
      </c>
    </row>
    <row r="8172" spans="1:3" x14ac:dyDescent="0.25">
      <c r="A8172" s="2">
        <v>0</v>
      </c>
      <c r="B8172" s="38">
        <v>0</v>
      </c>
      <c r="C8172" s="79">
        <v>0</v>
      </c>
    </row>
    <row r="8173" spans="1:3" x14ac:dyDescent="0.25">
      <c r="A8173" s="2">
        <v>0</v>
      </c>
      <c r="B8173" s="38">
        <v>0</v>
      </c>
      <c r="C8173" s="79">
        <v>0</v>
      </c>
    </row>
    <row r="8174" spans="1:3" x14ac:dyDescent="0.25">
      <c r="A8174" s="2">
        <v>0</v>
      </c>
      <c r="B8174" s="38">
        <v>0</v>
      </c>
      <c r="C8174" s="79">
        <v>0</v>
      </c>
    </row>
    <row r="8175" spans="1:3" x14ac:dyDescent="0.25">
      <c r="A8175" s="2">
        <v>0</v>
      </c>
      <c r="B8175" s="38">
        <v>0</v>
      </c>
      <c r="C8175" s="79">
        <v>0</v>
      </c>
    </row>
    <row r="8176" spans="1:3" x14ac:dyDescent="0.25">
      <c r="A8176" s="2">
        <v>0</v>
      </c>
      <c r="B8176" s="38">
        <v>0</v>
      </c>
      <c r="C8176" s="79">
        <v>0</v>
      </c>
    </row>
    <row r="8177" spans="1:3" x14ac:dyDescent="0.25">
      <c r="A8177" s="2">
        <v>0</v>
      </c>
      <c r="B8177" s="38">
        <v>0</v>
      </c>
      <c r="C8177" s="79">
        <v>0</v>
      </c>
    </row>
    <row r="8178" spans="1:3" x14ac:dyDescent="0.25">
      <c r="A8178" s="2">
        <v>0</v>
      </c>
      <c r="B8178" s="38">
        <v>0</v>
      </c>
      <c r="C8178" s="79">
        <v>0</v>
      </c>
    </row>
    <row r="8179" spans="1:3" x14ac:dyDescent="0.25">
      <c r="A8179" s="2">
        <v>0</v>
      </c>
      <c r="B8179" s="38">
        <v>0</v>
      </c>
      <c r="C8179" s="79">
        <v>0</v>
      </c>
    </row>
    <row r="8180" spans="1:3" x14ac:dyDescent="0.25">
      <c r="A8180" s="2">
        <v>0</v>
      </c>
      <c r="B8180" s="38">
        <v>0</v>
      </c>
      <c r="C8180" s="79">
        <v>0</v>
      </c>
    </row>
    <row r="8181" spans="1:3" x14ac:dyDescent="0.25">
      <c r="A8181" s="2">
        <v>0</v>
      </c>
      <c r="B8181" s="38">
        <v>0</v>
      </c>
      <c r="C8181" s="79">
        <v>0</v>
      </c>
    </row>
    <row r="8182" spans="1:3" x14ac:dyDescent="0.25">
      <c r="A8182" s="2">
        <v>0</v>
      </c>
      <c r="B8182" s="38">
        <v>0</v>
      </c>
      <c r="C8182" s="79">
        <v>0</v>
      </c>
    </row>
    <row r="8183" spans="1:3" x14ac:dyDescent="0.25">
      <c r="A8183" s="2">
        <v>0</v>
      </c>
      <c r="B8183" s="38">
        <v>0</v>
      </c>
      <c r="C8183" s="79">
        <v>0</v>
      </c>
    </row>
    <row r="8184" spans="1:3" x14ac:dyDescent="0.25">
      <c r="A8184" s="2">
        <v>0</v>
      </c>
      <c r="B8184" s="38">
        <v>0</v>
      </c>
      <c r="C8184" s="79">
        <v>0</v>
      </c>
    </row>
    <row r="8185" spans="1:3" x14ac:dyDescent="0.25">
      <c r="A8185" s="2">
        <v>0</v>
      </c>
      <c r="B8185" s="38">
        <v>0</v>
      </c>
      <c r="C8185" s="79">
        <v>0</v>
      </c>
    </row>
    <row r="8186" spans="1:3" x14ac:dyDescent="0.25">
      <c r="A8186" s="2">
        <v>0</v>
      </c>
      <c r="B8186" s="38">
        <v>0</v>
      </c>
      <c r="C8186" s="79">
        <v>0</v>
      </c>
    </row>
    <row r="8187" spans="1:3" x14ac:dyDescent="0.25">
      <c r="A8187" s="2">
        <v>0</v>
      </c>
      <c r="B8187" s="38">
        <v>0</v>
      </c>
      <c r="C8187" s="79">
        <v>0</v>
      </c>
    </row>
    <row r="8188" spans="1:3" x14ac:dyDescent="0.25">
      <c r="A8188" s="2">
        <v>0</v>
      </c>
      <c r="B8188" s="38">
        <v>0</v>
      </c>
      <c r="C8188" s="79">
        <v>0</v>
      </c>
    </row>
    <row r="8189" spans="1:3" x14ac:dyDescent="0.25">
      <c r="A8189" s="2">
        <v>0</v>
      </c>
      <c r="B8189" s="38">
        <v>0</v>
      </c>
      <c r="C8189" s="79">
        <v>0</v>
      </c>
    </row>
    <row r="8190" spans="1:3" x14ac:dyDescent="0.25">
      <c r="A8190" s="2">
        <v>0</v>
      </c>
      <c r="B8190" s="38">
        <v>0</v>
      </c>
      <c r="C8190" s="79">
        <v>0</v>
      </c>
    </row>
    <row r="8191" spans="1:3" x14ac:dyDescent="0.25">
      <c r="A8191" s="2">
        <v>0</v>
      </c>
      <c r="B8191" s="38">
        <v>0</v>
      </c>
      <c r="C8191" s="79">
        <v>0</v>
      </c>
    </row>
    <row r="8192" spans="1:3" x14ac:dyDescent="0.25">
      <c r="A8192" s="2">
        <v>0</v>
      </c>
      <c r="B8192" s="38">
        <v>0</v>
      </c>
      <c r="C8192" s="79">
        <v>0</v>
      </c>
    </row>
    <row r="8193" spans="1:3" x14ac:dyDescent="0.25">
      <c r="A8193" s="2">
        <v>0</v>
      </c>
      <c r="B8193" s="38">
        <v>0</v>
      </c>
      <c r="C8193" s="79">
        <v>0</v>
      </c>
    </row>
    <row r="8194" spans="1:3" x14ac:dyDescent="0.25">
      <c r="A8194" s="2">
        <v>0</v>
      </c>
      <c r="B8194" s="38">
        <v>0</v>
      </c>
      <c r="C8194" s="79">
        <v>0</v>
      </c>
    </row>
    <row r="8195" spans="1:3" x14ac:dyDescent="0.25">
      <c r="A8195" s="2">
        <v>0</v>
      </c>
      <c r="B8195" s="38">
        <v>0</v>
      </c>
      <c r="C8195" s="79">
        <v>0</v>
      </c>
    </row>
    <row r="8196" spans="1:3" x14ac:dyDescent="0.25">
      <c r="A8196" s="2">
        <v>0</v>
      </c>
      <c r="B8196" s="38">
        <v>0</v>
      </c>
      <c r="C8196" s="79">
        <v>0</v>
      </c>
    </row>
    <row r="8197" spans="1:3" x14ac:dyDescent="0.25">
      <c r="A8197" s="2">
        <v>0</v>
      </c>
      <c r="B8197" s="38">
        <v>0</v>
      </c>
      <c r="C8197" s="79">
        <v>0</v>
      </c>
    </row>
    <row r="8198" spans="1:3" x14ac:dyDescent="0.25">
      <c r="A8198" s="2">
        <v>0</v>
      </c>
      <c r="B8198" s="38">
        <v>0</v>
      </c>
      <c r="C8198" s="79">
        <v>0</v>
      </c>
    </row>
    <row r="8199" spans="1:3" x14ac:dyDescent="0.25">
      <c r="A8199" s="2">
        <v>0</v>
      </c>
      <c r="B8199" s="38">
        <v>0</v>
      </c>
      <c r="C8199" s="79">
        <v>0</v>
      </c>
    </row>
    <row r="8200" spans="1:3" x14ac:dyDescent="0.25">
      <c r="A8200" s="2">
        <v>0</v>
      </c>
      <c r="B8200" s="38">
        <v>0</v>
      </c>
      <c r="C8200" s="79">
        <v>0</v>
      </c>
    </row>
    <row r="8201" spans="1:3" x14ac:dyDescent="0.25">
      <c r="A8201" s="2">
        <v>0</v>
      </c>
      <c r="B8201" s="38">
        <v>0</v>
      </c>
      <c r="C8201" s="79">
        <v>0</v>
      </c>
    </row>
    <row r="8202" spans="1:3" x14ac:dyDescent="0.25">
      <c r="A8202" s="2">
        <v>0</v>
      </c>
      <c r="B8202" s="38">
        <v>0</v>
      </c>
      <c r="C8202" s="79">
        <v>0</v>
      </c>
    </row>
    <row r="8203" spans="1:3" x14ac:dyDescent="0.25">
      <c r="A8203" s="2">
        <v>0</v>
      </c>
      <c r="B8203" s="38">
        <v>0</v>
      </c>
      <c r="C8203" s="79">
        <v>0</v>
      </c>
    </row>
    <row r="8204" spans="1:3" x14ac:dyDescent="0.25">
      <c r="A8204" s="2">
        <v>0</v>
      </c>
      <c r="B8204" s="38">
        <v>0</v>
      </c>
      <c r="C8204" s="79">
        <v>0</v>
      </c>
    </row>
    <row r="8205" spans="1:3" x14ac:dyDescent="0.25">
      <c r="A8205" s="2">
        <v>0</v>
      </c>
      <c r="B8205" s="38">
        <v>0</v>
      </c>
      <c r="C8205" s="79">
        <v>0</v>
      </c>
    </row>
    <row r="8206" spans="1:3" x14ac:dyDescent="0.25">
      <c r="A8206" s="2">
        <v>0</v>
      </c>
      <c r="B8206" s="38">
        <v>0</v>
      </c>
      <c r="C8206" s="79">
        <v>0</v>
      </c>
    </row>
    <row r="8207" spans="1:3" x14ac:dyDescent="0.25">
      <c r="A8207" s="2">
        <v>0</v>
      </c>
      <c r="B8207" s="38">
        <v>0</v>
      </c>
      <c r="C8207" s="79">
        <v>0</v>
      </c>
    </row>
    <row r="8208" spans="1:3" x14ac:dyDescent="0.25">
      <c r="A8208" s="2">
        <v>0</v>
      </c>
      <c r="B8208" s="38">
        <v>0</v>
      </c>
      <c r="C8208" s="79">
        <v>0</v>
      </c>
    </row>
    <row r="8209" spans="1:3" x14ac:dyDescent="0.25">
      <c r="A8209" s="2">
        <v>0</v>
      </c>
      <c r="B8209" s="38">
        <v>0</v>
      </c>
      <c r="C8209" s="79">
        <v>0</v>
      </c>
    </row>
    <row r="8210" spans="1:3" x14ac:dyDescent="0.25">
      <c r="A8210" s="2">
        <v>0</v>
      </c>
      <c r="B8210" s="38">
        <v>0</v>
      </c>
      <c r="C8210" s="79">
        <v>0</v>
      </c>
    </row>
    <row r="8211" spans="1:3" x14ac:dyDescent="0.25">
      <c r="A8211" s="2">
        <v>0</v>
      </c>
      <c r="B8211" s="38">
        <v>0</v>
      </c>
      <c r="C8211" s="79">
        <v>0</v>
      </c>
    </row>
    <row r="8212" spans="1:3" x14ac:dyDescent="0.25">
      <c r="A8212" s="2">
        <v>0</v>
      </c>
      <c r="B8212" s="38">
        <v>0</v>
      </c>
      <c r="C8212" s="79">
        <v>0</v>
      </c>
    </row>
    <row r="8213" spans="1:3" x14ac:dyDescent="0.25">
      <c r="A8213" s="2">
        <v>0</v>
      </c>
      <c r="B8213" s="38">
        <v>0</v>
      </c>
      <c r="C8213" s="79">
        <v>0</v>
      </c>
    </row>
    <row r="8214" spans="1:3" x14ac:dyDescent="0.25">
      <c r="A8214" s="2">
        <v>0</v>
      </c>
      <c r="B8214" s="38">
        <v>0</v>
      </c>
      <c r="C8214" s="79">
        <v>0</v>
      </c>
    </row>
    <row r="8215" spans="1:3" x14ac:dyDescent="0.25">
      <c r="A8215" s="2">
        <v>0</v>
      </c>
      <c r="B8215" s="38">
        <v>0</v>
      </c>
      <c r="C8215" s="79">
        <v>0</v>
      </c>
    </row>
    <row r="8216" spans="1:3" x14ac:dyDescent="0.25">
      <c r="A8216" s="2">
        <v>0</v>
      </c>
      <c r="B8216" s="38">
        <v>0</v>
      </c>
      <c r="C8216" s="79">
        <v>0</v>
      </c>
    </row>
    <row r="8217" spans="1:3" x14ac:dyDescent="0.25">
      <c r="A8217" s="2">
        <v>0</v>
      </c>
      <c r="B8217" s="38">
        <v>0</v>
      </c>
      <c r="C8217" s="79">
        <v>0</v>
      </c>
    </row>
    <row r="8218" spans="1:3" x14ac:dyDescent="0.25">
      <c r="A8218" s="2">
        <v>0</v>
      </c>
      <c r="B8218" s="38">
        <v>0</v>
      </c>
      <c r="C8218" s="79">
        <v>0</v>
      </c>
    </row>
    <row r="8219" spans="1:3" x14ac:dyDescent="0.25">
      <c r="A8219" s="2">
        <v>0</v>
      </c>
      <c r="B8219" s="38">
        <v>0</v>
      </c>
      <c r="C8219" s="79">
        <v>0</v>
      </c>
    </row>
    <row r="8220" spans="1:3" x14ac:dyDescent="0.25">
      <c r="A8220" s="2">
        <v>0</v>
      </c>
      <c r="B8220" s="38">
        <v>0</v>
      </c>
      <c r="C8220" s="79">
        <v>0</v>
      </c>
    </row>
    <row r="8221" spans="1:3" x14ac:dyDescent="0.25">
      <c r="A8221" s="2">
        <v>0</v>
      </c>
      <c r="B8221" s="38">
        <v>0</v>
      </c>
      <c r="C8221" s="79">
        <v>0</v>
      </c>
    </row>
    <row r="8222" spans="1:3" x14ac:dyDescent="0.25">
      <c r="A8222" s="2">
        <v>0</v>
      </c>
      <c r="B8222" s="38">
        <v>0</v>
      </c>
      <c r="C8222" s="79">
        <v>0</v>
      </c>
    </row>
    <row r="8223" spans="1:3" x14ac:dyDescent="0.25">
      <c r="A8223" s="2">
        <v>0</v>
      </c>
      <c r="B8223" s="38">
        <v>0</v>
      </c>
      <c r="C8223" s="79">
        <v>0</v>
      </c>
    </row>
    <row r="8224" spans="1:3" x14ac:dyDescent="0.25">
      <c r="A8224" s="2">
        <v>0</v>
      </c>
      <c r="B8224" s="38">
        <v>0</v>
      </c>
      <c r="C8224" s="79">
        <v>0</v>
      </c>
    </row>
    <row r="8225" spans="1:3" x14ac:dyDescent="0.25">
      <c r="A8225" s="2">
        <v>0</v>
      </c>
      <c r="B8225" s="38">
        <v>0</v>
      </c>
      <c r="C8225" s="79">
        <v>0</v>
      </c>
    </row>
    <row r="8226" spans="1:3" x14ac:dyDescent="0.25">
      <c r="A8226" s="2">
        <v>0</v>
      </c>
      <c r="B8226" s="38">
        <v>0</v>
      </c>
      <c r="C8226" s="79">
        <v>0</v>
      </c>
    </row>
    <row r="8227" spans="1:3" x14ac:dyDescent="0.25">
      <c r="A8227" s="2">
        <v>0</v>
      </c>
      <c r="B8227" s="38">
        <v>0</v>
      </c>
      <c r="C8227" s="79">
        <v>0</v>
      </c>
    </row>
    <row r="8228" spans="1:3" x14ac:dyDescent="0.25">
      <c r="A8228" s="2">
        <v>0</v>
      </c>
      <c r="B8228" s="38">
        <v>0</v>
      </c>
      <c r="C8228" s="79">
        <v>0</v>
      </c>
    </row>
    <row r="8229" spans="1:3" x14ac:dyDescent="0.25">
      <c r="A8229" s="2">
        <v>0</v>
      </c>
      <c r="B8229" s="38">
        <v>0</v>
      </c>
      <c r="C8229" s="79">
        <v>0</v>
      </c>
    </row>
    <row r="8230" spans="1:3" x14ac:dyDescent="0.25">
      <c r="A8230" s="2">
        <v>0</v>
      </c>
      <c r="B8230" s="38">
        <v>0</v>
      </c>
      <c r="C8230" s="79">
        <v>0</v>
      </c>
    </row>
    <row r="8231" spans="1:3" x14ac:dyDescent="0.25">
      <c r="A8231" s="2">
        <v>0</v>
      </c>
      <c r="B8231" s="38">
        <v>0</v>
      </c>
      <c r="C8231" s="79">
        <v>0</v>
      </c>
    </row>
    <row r="8232" spans="1:3" x14ac:dyDescent="0.25">
      <c r="A8232" s="2">
        <v>0</v>
      </c>
      <c r="B8232" s="38">
        <v>0</v>
      </c>
      <c r="C8232" s="79">
        <v>0</v>
      </c>
    </row>
    <row r="8233" spans="1:3" x14ac:dyDescent="0.25">
      <c r="A8233" s="2">
        <v>0</v>
      </c>
      <c r="B8233" s="38">
        <v>0</v>
      </c>
      <c r="C8233" s="79">
        <v>0</v>
      </c>
    </row>
    <row r="8234" spans="1:3" x14ac:dyDescent="0.25">
      <c r="A8234" s="2">
        <v>0</v>
      </c>
      <c r="B8234" s="38">
        <v>0</v>
      </c>
      <c r="C8234" s="79">
        <v>0</v>
      </c>
    </row>
    <row r="8235" spans="1:3" x14ac:dyDescent="0.25">
      <c r="A8235" s="2">
        <v>0</v>
      </c>
      <c r="B8235" s="38">
        <v>0</v>
      </c>
      <c r="C8235" s="79">
        <v>0</v>
      </c>
    </row>
    <row r="8236" spans="1:3" x14ac:dyDescent="0.25">
      <c r="A8236" s="2">
        <v>0</v>
      </c>
      <c r="B8236" s="38">
        <v>0</v>
      </c>
      <c r="C8236" s="79">
        <v>0</v>
      </c>
    </row>
    <row r="8237" spans="1:3" x14ac:dyDescent="0.25">
      <c r="A8237" s="2">
        <v>0</v>
      </c>
      <c r="B8237" s="38">
        <v>0</v>
      </c>
      <c r="C8237" s="79">
        <v>0</v>
      </c>
    </row>
    <row r="8238" spans="1:3" x14ac:dyDescent="0.25">
      <c r="A8238" s="2">
        <v>0</v>
      </c>
      <c r="B8238" s="38">
        <v>0</v>
      </c>
      <c r="C8238" s="79">
        <v>0</v>
      </c>
    </row>
    <row r="8239" spans="1:3" x14ac:dyDescent="0.25">
      <c r="A8239" s="2">
        <v>0</v>
      </c>
      <c r="B8239" s="38">
        <v>0</v>
      </c>
      <c r="C8239" s="79">
        <v>0</v>
      </c>
    </row>
    <row r="8240" spans="1:3" x14ac:dyDescent="0.25">
      <c r="A8240" s="2">
        <v>0</v>
      </c>
      <c r="B8240" s="38">
        <v>0</v>
      </c>
      <c r="C8240" s="79">
        <v>0</v>
      </c>
    </row>
    <row r="8241" spans="1:3" x14ac:dyDescent="0.25">
      <c r="A8241" s="2">
        <v>0</v>
      </c>
      <c r="B8241" s="38">
        <v>0</v>
      </c>
      <c r="C8241" s="79">
        <v>0</v>
      </c>
    </row>
    <row r="8242" spans="1:3" x14ac:dyDescent="0.25">
      <c r="A8242" s="2">
        <v>0</v>
      </c>
      <c r="B8242" s="38">
        <v>0</v>
      </c>
      <c r="C8242" s="79">
        <v>0</v>
      </c>
    </row>
    <row r="8243" spans="1:3" x14ac:dyDescent="0.25">
      <c r="A8243" s="2">
        <v>0</v>
      </c>
      <c r="B8243" s="38">
        <v>0</v>
      </c>
      <c r="C8243" s="79">
        <v>0</v>
      </c>
    </row>
    <row r="8244" spans="1:3" x14ac:dyDescent="0.25">
      <c r="A8244" s="2">
        <v>0</v>
      </c>
      <c r="B8244" s="38">
        <v>0</v>
      </c>
      <c r="C8244" s="79">
        <v>0</v>
      </c>
    </row>
    <row r="8245" spans="1:3" x14ac:dyDescent="0.25">
      <c r="A8245" s="2">
        <v>0</v>
      </c>
      <c r="B8245" s="38">
        <v>0</v>
      </c>
      <c r="C8245" s="79">
        <v>0</v>
      </c>
    </row>
    <row r="8246" spans="1:3" x14ac:dyDescent="0.25">
      <c r="A8246" s="2">
        <v>0</v>
      </c>
      <c r="B8246" s="38">
        <v>0</v>
      </c>
      <c r="C8246" s="79">
        <v>0</v>
      </c>
    </row>
    <row r="8247" spans="1:3" x14ac:dyDescent="0.25">
      <c r="A8247" s="2">
        <v>0</v>
      </c>
      <c r="B8247" s="38">
        <v>0</v>
      </c>
      <c r="C8247" s="79">
        <v>0</v>
      </c>
    </row>
    <row r="8248" spans="1:3" x14ac:dyDescent="0.25">
      <c r="A8248" s="2">
        <v>0</v>
      </c>
      <c r="B8248" s="38">
        <v>0</v>
      </c>
      <c r="C8248" s="79">
        <v>0</v>
      </c>
    </row>
    <row r="8249" spans="1:3" x14ac:dyDescent="0.25">
      <c r="A8249" s="2">
        <v>0</v>
      </c>
      <c r="B8249" s="38">
        <v>0</v>
      </c>
      <c r="C8249" s="79">
        <v>0</v>
      </c>
    </row>
    <row r="8250" spans="1:3" x14ac:dyDescent="0.25">
      <c r="A8250" s="2">
        <v>0</v>
      </c>
      <c r="B8250" s="38">
        <v>0</v>
      </c>
      <c r="C8250" s="79">
        <v>0</v>
      </c>
    </row>
    <row r="8251" spans="1:3" x14ac:dyDescent="0.25">
      <c r="A8251" s="2">
        <v>0</v>
      </c>
      <c r="B8251" s="38">
        <v>0</v>
      </c>
      <c r="C8251" s="79">
        <v>0</v>
      </c>
    </row>
    <row r="8252" spans="1:3" x14ac:dyDescent="0.25">
      <c r="A8252" s="2">
        <v>0</v>
      </c>
      <c r="B8252" s="38">
        <v>0</v>
      </c>
      <c r="C8252" s="79">
        <v>0</v>
      </c>
    </row>
    <row r="8253" spans="1:3" x14ac:dyDescent="0.25">
      <c r="A8253" s="2">
        <v>0</v>
      </c>
      <c r="B8253" s="38">
        <v>0</v>
      </c>
      <c r="C8253" s="79">
        <v>0</v>
      </c>
    </row>
    <row r="8254" spans="1:3" x14ac:dyDescent="0.25">
      <c r="A8254" s="2">
        <v>0</v>
      </c>
      <c r="B8254" s="38">
        <v>0</v>
      </c>
      <c r="C8254" s="79">
        <v>0</v>
      </c>
    </row>
    <row r="8255" spans="1:3" x14ac:dyDescent="0.25">
      <c r="A8255" s="2">
        <v>0</v>
      </c>
      <c r="B8255" s="38">
        <v>0</v>
      </c>
      <c r="C8255" s="79">
        <v>0</v>
      </c>
    </row>
    <row r="8256" spans="1:3" x14ac:dyDescent="0.25">
      <c r="A8256" s="2">
        <v>0</v>
      </c>
      <c r="B8256" s="38">
        <v>0</v>
      </c>
      <c r="C8256" s="79">
        <v>0</v>
      </c>
    </row>
    <row r="8257" spans="1:3" x14ac:dyDescent="0.25">
      <c r="A8257" s="2">
        <v>0</v>
      </c>
      <c r="B8257" s="38">
        <v>0</v>
      </c>
      <c r="C8257" s="79">
        <v>0</v>
      </c>
    </row>
    <row r="8258" spans="1:3" x14ac:dyDescent="0.25">
      <c r="A8258" s="2">
        <v>0</v>
      </c>
      <c r="B8258" s="38">
        <v>0</v>
      </c>
      <c r="C8258" s="79">
        <v>0</v>
      </c>
    </row>
    <row r="8259" spans="1:3" x14ac:dyDescent="0.25">
      <c r="A8259" s="2">
        <v>0</v>
      </c>
      <c r="B8259" s="38">
        <v>0</v>
      </c>
      <c r="C8259" s="79">
        <v>0</v>
      </c>
    </row>
    <row r="8260" spans="1:3" x14ac:dyDescent="0.25">
      <c r="A8260" s="2">
        <v>0</v>
      </c>
      <c r="B8260" s="38">
        <v>0</v>
      </c>
      <c r="C8260" s="79">
        <v>0</v>
      </c>
    </row>
    <row r="8261" spans="1:3" x14ac:dyDescent="0.25">
      <c r="A8261" s="2">
        <v>0</v>
      </c>
      <c r="B8261" s="38">
        <v>0</v>
      </c>
      <c r="C8261" s="79">
        <v>0</v>
      </c>
    </row>
    <row r="8262" spans="1:3" x14ac:dyDescent="0.25">
      <c r="A8262" s="2">
        <v>0</v>
      </c>
      <c r="B8262" s="38">
        <v>0</v>
      </c>
      <c r="C8262" s="79">
        <v>0</v>
      </c>
    </row>
    <row r="8263" spans="1:3" x14ac:dyDescent="0.25">
      <c r="A8263" s="2">
        <v>0</v>
      </c>
      <c r="B8263" s="38">
        <v>0</v>
      </c>
      <c r="C8263" s="79">
        <v>0</v>
      </c>
    </row>
    <row r="8264" spans="1:3" x14ac:dyDescent="0.25">
      <c r="A8264" s="2">
        <v>0</v>
      </c>
      <c r="B8264" s="38">
        <v>0</v>
      </c>
      <c r="C8264" s="79">
        <v>0</v>
      </c>
    </row>
    <row r="8265" spans="1:3" x14ac:dyDescent="0.25">
      <c r="A8265" s="2">
        <v>0</v>
      </c>
      <c r="B8265" s="38">
        <v>0</v>
      </c>
      <c r="C8265" s="79">
        <v>0</v>
      </c>
    </row>
    <row r="8266" spans="1:3" x14ac:dyDescent="0.25">
      <c r="A8266" s="2">
        <v>0</v>
      </c>
      <c r="B8266" s="38">
        <v>0</v>
      </c>
      <c r="C8266" s="79">
        <v>0</v>
      </c>
    </row>
    <row r="8267" spans="1:3" x14ac:dyDescent="0.25">
      <c r="A8267" s="2">
        <v>0</v>
      </c>
      <c r="B8267" s="38">
        <v>0</v>
      </c>
      <c r="C8267" s="79">
        <v>0</v>
      </c>
    </row>
    <row r="8268" spans="1:3" x14ac:dyDescent="0.25">
      <c r="A8268" s="2">
        <v>0</v>
      </c>
      <c r="B8268" s="38">
        <v>0</v>
      </c>
      <c r="C8268" s="79">
        <v>0</v>
      </c>
    </row>
    <row r="8269" spans="1:3" x14ac:dyDescent="0.25">
      <c r="A8269" s="2">
        <v>0</v>
      </c>
      <c r="B8269" s="38">
        <v>0</v>
      </c>
      <c r="C8269" s="79">
        <v>0</v>
      </c>
    </row>
    <row r="8270" spans="1:3" x14ac:dyDescent="0.25">
      <c r="A8270" s="2">
        <v>0</v>
      </c>
      <c r="B8270" s="38">
        <v>0</v>
      </c>
      <c r="C8270" s="79">
        <v>0</v>
      </c>
    </row>
    <row r="8271" spans="1:3" x14ac:dyDescent="0.25">
      <c r="A8271" s="2">
        <v>0</v>
      </c>
      <c r="B8271" s="38">
        <v>0</v>
      </c>
      <c r="C8271" s="79">
        <v>0</v>
      </c>
    </row>
    <row r="8272" spans="1:3" x14ac:dyDescent="0.25">
      <c r="A8272" s="2">
        <v>0</v>
      </c>
      <c r="B8272" s="38">
        <v>0</v>
      </c>
      <c r="C8272" s="79">
        <v>0</v>
      </c>
    </row>
    <row r="8273" spans="1:3" x14ac:dyDescent="0.25">
      <c r="A8273" s="2">
        <v>0</v>
      </c>
      <c r="B8273" s="38">
        <v>0</v>
      </c>
      <c r="C8273" s="79">
        <v>0</v>
      </c>
    </row>
    <row r="8274" spans="1:3" x14ac:dyDescent="0.25">
      <c r="A8274" s="2">
        <v>0</v>
      </c>
      <c r="B8274" s="38">
        <v>0</v>
      </c>
      <c r="C8274" s="79">
        <v>0</v>
      </c>
    </row>
    <row r="8275" spans="1:3" x14ac:dyDescent="0.25">
      <c r="A8275" s="2">
        <v>0</v>
      </c>
      <c r="B8275" s="38">
        <v>0</v>
      </c>
      <c r="C8275" s="79">
        <v>0</v>
      </c>
    </row>
    <row r="8276" spans="1:3" x14ac:dyDescent="0.25">
      <c r="A8276" s="2">
        <v>0</v>
      </c>
      <c r="B8276" s="38">
        <v>0</v>
      </c>
      <c r="C8276" s="79">
        <v>0</v>
      </c>
    </row>
    <row r="8277" spans="1:3" x14ac:dyDescent="0.25">
      <c r="A8277" s="2">
        <v>0</v>
      </c>
      <c r="B8277" s="38">
        <v>0</v>
      </c>
      <c r="C8277" s="79">
        <v>0</v>
      </c>
    </row>
    <row r="8278" spans="1:3" x14ac:dyDescent="0.25">
      <c r="A8278" s="2">
        <v>0</v>
      </c>
      <c r="B8278" s="38">
        <v>0</v>
      </c>
      <c r="C8278" s="79">
        <v>0</v>
      </c>
    </row>
    <row r="8279" spans="1:3" x14ac:dyDescent="0.25">
      <c r="A8279" s="2">
        <v>0</v>
      </c>
      <c r="B8279" s="38">
        <v>0</v>
      </c>
      <c r="C8279" s="79">
        <v>0</v>
      </c>
    </row>
    <row r="8280" spans="1:3" x14ac:dyDescent="0.25">
      <c r="A8280" s="2">
        <v>0</v>
      </c>
      <c r="B8280" s="38">
        <v>0</v>
      </c>
      <c r="C8280" s="79">
        <v>0</v>
      </c>
    </row>
    <row r="8281" spans="1:3" x14ac:dyDescent="0.25">
      <c r="A8281" s="2">
        <v>0</v>
      </c>
      <c r="B8281" s="38">
        <v>0</v>
      </c>
      <c r="C8281" s="79">
        <v>0</v>
      </c>
    </row>
    <row r="8282" spans="1:3" x14ac:dyDescent="0.25">
      <c r="A8282" s="2">
        <v>0</v>
      </c>
      <c r="B8282" s="38">
        <v>0</v>
      </c>
      <c r="C8282" s="79">
        <v>0</v>
      </c>
    </row>
    <row r="8283" spans="1:3" x14ac:dyDescent="0.25">
      <c r="A8283" s="2">
        <v>0</v>
      </c>
      <c r="B8283" s="38">
        <v>0</v>
      </c>
      <c r="C8283" s="79">
        <v>0</v>
      </c>
    </row>
    <row r="8284" spans="1:3" x14ac:dyDescent="0.25">
      <c r="A8284" s="2">
        <v>0</v>
      </c>
      <c r="B8284" s="38">
        <v>0</v>
      </c>
      <c r="C8284" s="79">
        <v>0</v>
      </c>
    </row>
    <row r="8285" spans="1:3" x14ac:dyDescent="0.25">
      <c r="A8285" s="2">
        <v>0</v>
      </c>
      <c r="B8285" s="38">
        <v>0</v>
      </c>
      <c r="C8285" s="79">
        <v>0</v>
      </c>
    </row>
    <row r="8286" spans="1:3" x14ac:dyDescent="0.25">
      <c r="A8286" s="2">
        <v>0</v>
      </c>
      <c r="B8286" s="38">
        <v>0</v>
      </c>
      <c r="C8286" s="79">
        <v>0</v>
      </c>
    </row>
    <row r="8287" spans="1:3" x14ac:dyDescent="0.25">
      <c r="A8287" s="2">
        <v>0</v>
      </c>
      <c r="B8287" s="38">
        <v>0</v>
      </c>
      <c r="C8287" s="79">
        <v>0</v>
      </c>
    </row>
    <row r="8288" spans="1:3" x14ac:dyDescent="0.25">
      <c r="A8288" s="2">
        <v>0</v>
      </c>
      <c r="B8288" s="38">
        <v>0</v>
      </c>
      <c r="C8288" s="79">
        <v>0</v>
      </c>
    </row>
    <row r="8289" spans="1:3" x14ac:dyDescent="0.25">
      <c r="A8289" s="2">
        <v>0</v>
      </c>
      <c r="B8289" s="38">
        <v>0</v>
      </c>
      <c r="C8289" s="79">
        <v>0</v>
      </c>
    </row>
    <row r="8290" spans="1:3" x14ac:dyDescent="0.25">
      <c r="A8290" s="2">
        <v>0</v>
      </c>
      <c r="B8290" s="38">
        <v>0</v>
      </c>
      <c r="C8290" s="79">
        <v>0</v>
      </c>
    </row>
    <row r="8291" spans="1:3" x14ac:dyDescent="0.25">
      <c r="A8291" s="2">
        <v>0</v>
      </c>
      <c r="B8291" s="38">
        <v>0</v>
      </c>
      <c r="C8291" s="79">
        <v>0</v>
      </c>
    </row>
    <row r="8292" spans="1:3" x14ac:dyDescent="0.25">
      <c r="A8292" s="2">
        <v>0</v>
      </c>
      <c r="B8292" s="38">
        <v>0</v>
      </c>
      <c r="C8292" s="79">
        <v>0</v>
      </c>
    </row>
    <row r="8293" spans="1:3" x14ac:dyDescent="0.25">
      <c r="A8293" s="2">
        <v>0</v>
      </c>
      <c r="B8293" s="38">
        <v>0</v>
      </c>
      <c r="C8293" s="79">
        <v>0</v>
      </c>
    </row>
    <row r="8294" spans="1:3" x14ac:dyDescent="0.25">
      <c r="A8294" s="2">
        <v>0</v>
      </c>
      <c r="B8294" s="38">
        <v>0</v>
      </c>
      <c r="C8294" s="79">
        <v>0</v>
      </c>
    </row>
    <row r="8295" spans="1:3" x14ac:dyDescent="0.25">
      <c r="A8295" s="2">
        <v>0</v>
      </c>
      <c r="B8295" s="38">
        <v>0</v>
      </c>
      <c r="C8295" s="79">
        <v>0</v>
      </c>
    </row>
    <row r="8296" spans="1:3" x14ac:dyDescent="0.25">
      <c r="A8296" s="2">
        <v>0</v>
      </c>
      <c r="B8296" s="38">
        <v>0</v>
      </c>
      <c r="C8296" s="79">
        <v>0</v>
      </c>
    </row>
    <row r="8297" spans="1:3" x14ac:dyDescent="0.25">
      <c r="A8297" s="2">
        <v>0</v>
      </c>
      <c r="B8297" s="38">
        <v>0</v>
      </c>
      <c r="C8297" s="79">
        <v>0</v>
      </c>
    </row>
    <row r="8298" spans="1:3" x14ac:dyDescent="0.25">
      <c r="A8298" s="2">
        <v>0</v>
      </c>
      <c r="B8298" s="38">
        <v>0</v>
      </c>
      <c r="C8298" s="79">
        <v>0</v>
      </c>
    </row>
    <row r="8299" spans="1:3" x14ac:dyDescent="0.25">
      <c r="A8299" s="2">
        <v>0</v>
      </c>
      <c r="B8299" s="38">
        <v>0</v>
      </c>
      <c r="C8299" s="79">
        <v>0</v>
      </c>
    </row>
    <row r="8300" spans="1:3" x14ac:dyDescent="0.25">
      <c r="A8300" s="2">
        <v>0</v>
      </c>
      <c r="B8300" s="38">
        <v>0</v>
      </c>
      <c r="C8300" s="79">
        <v>0</v>
      </c>
    </row>
    <row r="8301" spans="1:3" x14ac:dyDescent="0.25">
      <c r="A8301" s="2">
        <v>0</v>
      </c>
      <c r="B8301" s="38">
        <v>0</v>
      </c>
      <c r="C8301" s="79">
        <v>0</v>
      </c>
    </row>
    <row r="8302" spans="1:3" x14ac:dyDescent="0.25">
      <c r="A8302" s="2">
        <v>0</v>
      </c>
      <c r="B8302" s="38">
        <v>0</v>
      </c>
      <c r="C8302" s="79">
        <v>0</v>
      </c>
    </row>
    <row r="8303" spans="1:3" x14ac:dyDescent="0.25">
      <c r="A8303" s="2">
        <v>0</v>
      </c>
      <c r="B8303" s="38">
        <v>0</v>
      </c>
      <c r="C8303" s="79">
        <v>0</v>
      </c>
    </row>
    <row r="8304" spans="1:3" x14ac:dyDescent="0.25">
      <c r="A8304" s="2">
        <v>0</v>
      </c>
      <c r="B8304" s="38">
        <v>0</v>
      </c>
      <c r="C8304" s="79">
        <v>0</v>
      </c>
    </row>
    <row r="8305" spans="1:3" x14ac:dyDescent="0.25">
      <c r="A8305" s="2">
        <v>0</v>
      </c>
      <c r="B8305" s="38">
        <v>0</v>
      </c>
      <c r="C8305" s="79">
        <v>0</v>
      </c>
    </row>
    <row r="8306" spans="1:3" x14ac:dyDescent="0.25">
      <c r="A8306" s="2">
        <v>0</v>
      </c>
      <c r="B8306" s="38">
        <v>0</v>
      </c>
      <c r="C8306" s="79">
        <v>0</v>
      </c>
    </row>
    <row r="8307" spans="1:3" x14ac:dyDescent="0.25">
      <c r="A8307" s="2">
        <v>0</v>
      </c>
      <c r="B8307" s="38">
        <v>0</v>
      </c>
      <c r="C8307" s="79">
        <v>0</v>
      </c>
    </row>
    <row r="8308" spans="1:3" x14ac:dyDescent="0.25">
      <c r="A8308" s="2">
        <v>0</v>
      </c>
      <c r="B8308" s="38">
        <v>0</v>
      </c>
      <c r="C8308" s="79">
        <v>0</v>
      </c>
    </row>
    <row r="8309" spans="1:3" x14ac:dyDescent="0.25">
      <c r="A8309" s="2">
        <v>0</v>
      </c>
      <c r="B8309" s="38">
        <v>0</v>
      </c>
      <c r="C8309" s="79">
        <v>0</v>
      </c>
    </row>
    <row r="8310" spans="1:3" x14ac:dyDescent="0.25">
      <c r="A8310" s="2">
        <v>0</v>
      </c>
      <c r="B8310" s="38">
        <v>0</v>
      </c>
      <c r="C8310" s="79">
        <v>0</v>
      </c>
    </row>
    <row r="8311" spans="1:3" x14ac:dyDescent="0.25">
      <c r="A8311" s="2">
        <v>0</v>
      </c>
      <c r="B8311" s="38">
        <v>0</v>
      </c>
      <c r="C8311" s="79">
        <v>0</v>
      </c>
    </row>
    <row r="8312" spans="1:3" x14ac:dyDescent="0.25">
      <c r="A8312" s="2">
        <v>0</v>
      </c>
      <c r="B8312" s="38">
        <v>0</v>
      </c>
      <c r="C8312" s="79">
        <v>0</v>
      </c>
    </row>
    <row r="8313" spans="1:3" x14ac:dyDescent="0.25">
      <c r="A8313" s="2">
        <v>0</v>
      </c>
      <c r="B8313" s="38">
        <v>0</v>
      </c>
      <c r="C8313" s="79">
        <v>0</v>
      </c>
    </row>
    <row r="8314" spans="1:3" x14ac:dyDescent="0.25">
      <c r="A8314" s="2">
        <v>0</v>
      </c>
      <c r="B8314" s="38">
        <v>0</v>
      </c>
      <c r="C8314" s="79">
        <v>0</v>
      </c>
    </row>
    <row r="8315" spans="1:3" x14ac:dyDescent="0.25">
      <c r="A8315" s="2">
        <v>0</v>
      </c>
      <c r="B8315" s="38">
        <v>0</v>
      </c>
      <c r="C8315" s="79">
        <v>0</v>
      </c>
    </row>
    <row r="8316" spans="1:3" x14ac:dyDescent="0.25">
      <c r="A8316" s="2">
        <v>0</v>
      </c>
      <c r="B8316" s="38">
        <v>0</v>
      </c>
      <c r="C8316" s="79">
        <v>0</v>
      </c>
    </row>
    <row r="8317" spans="1:3" x14ac:dyDescent="0.25">
      <c r="A8317" s="2">
        <v>0</v>
      </c>
      <c r="B8317" s="38">
        <v>0</v>
      </c>
      <c r="C8317" s="79">
        <v>0</v>
      </c>
    </row>
    <row r="8318" spans="1:3" x14ac:dyDescent="0.25">
      <c r="A8318" s="2">
        <v>0</v>
      </c>
      <c r="B8318" s="38">
        <v>0</v>
      </c>
      <c r="C8318" s="79">
        <v>0</v>
      </c>
    </row>
    <row r="8319" spans="1:3" x14ac:dyDescent="0.25">
      <c r="A8319" s="2">
        <v>0</v>
      </c>
      <c r="B8319" s="38">
        <v>0</v>
      </c>
      <c r="C8319" s="79">
        <v>0</v>
      </c>
    </row>
    <row r="8320" spans="1:3" x14ac:dyDescent="0.25">
      <c r="A8320" s="2">
        <v>0</v>
      </c>
      <c r="B8320" s="38">
        <v>0</v>
      </c>
      <c r="C8320" s="79">
        <v>0</v>
      </c>
    </row>
    <row r="8321" spans="1:3" x14ac:dyDescent="0.25">
      <c r="A8321" s="2">
        <v>0</v>
      </c>
      <c r="B8321" s="38">
        <v>0</v>
      </c>
      <c r="C8321" s="79">
        <v>0</v>
      </c>
    </row>
    <row r="8322" spans="1:3" x14ac:dyDescent="0.25">
      <c r="A8322" s="2">
        <v>0</v>
      </c>
      <c r="B8322" s="38">
        <v>0</v>
      </c>
      <c r="C8322" s="79">
        <v>0</v>
      </c>
    </row>
    <row r="8323" spans="1:3" x14ac:dyDescent="0.25">
      <c r="A8323" s="2">
        <v>0</v>
      </c>
      <c r="B8323" s="38">
        <v>0</v>
      </c>
      <c r="C8323" s="79">
        <v>0</v>
      </c>
    </row>
    <row r="8324" spans="1:3" x14ac:dyDescent="0.25">
      <c r="A8324" s="2">
        <v>0</v>
      </c>
      <c r="B8324" s="38">
        <v>0</v>
      </c>
      <c r="C8324" s="79">
        <v>0</v>
      </c>
    </row>
    <row r="8325" spans="1:3" x14ac:dyDescent="0.25">
      <c r="A8325" s="2">
        <v>0</v>
      </c>
      <c r="B8325" s="38">
        <v>0</v>
      </c>
      <c r="C8325" s="79">
        <v>0</v>
      </c>
    </row>
    <row r="8326" spans="1:3" x14ac:dyDescent="0.25">
      <c r="A8326" s="2">
        <v>0</v>
      </c>
      <c r="B8326" s="38">
        <v>0</v>
      </c>
      <c r="C8326" s="79">
        <v>0</v>
      </c>
    </row>
    <row r="8327" spans="1:3" x14ac:dyDescent="0.25">
      <c r="A8327" s="2">
        <v>0</v>
      </c>
      <c r="B8327" s="38">
        <v>0</v>
      </c>
      <c r="C8327" s="79">
        <v>0</v>
      </c>
    </row>
    <row r="8328" spans="1:3" x14ac:dyDescent="0.25">
      <c r="A8328" s="2">
        <v>0</v>
      </c>
      <c r="B8328" s="38">
        <v>0</v>
      </c>
      <c r="C8328" s="79">
        <v>0</v>
      </c>
    </row>
    <row r="8329" spans="1:3" x14ac:dyDescent="0.25">
      <c r="A8329" s="2">
        <v>0</v>
      </c>
      <c r="B8329" s="38">
        <v>0</v>
      </c>
      <c r="C8329" s="79">
        <v>0</v>
      </c>
    </row>
    <row r="8330" spans="1:3" x14ac:dyDescent="0.25">
      <c r="A8330" s="2">
        <v>0</v>
      </c>
      <c r="B8330" s="38">
        <v>0</v>
      </c>
      <c r="C8330" s="79">
        <v>0</v>
      </c>
    </row>
    <row r="8331" spans="1:3" x14ac:dyDescent="0.25">
      <c r="A8331" s="2">
        <v>0</v>
      </c>
      <c r="B8331" s="38">
        <v>0</v>
      </c>
      <c r="C8331" s="79">
        <v>0</v>
      </c>
    </row>
    <row r="8332" spans="1:3" x14ac:dyDescent="0.25">
      <c r="A8332" s="2">
        <v>0</v>
      </c>
      <c r="B8332" s="38">
        <v>0</v>
      </c>
      <c r="C8332" s="79">
        <v>0</v>
      </c>
    </row>
    <row r="8333" spans="1:3" x14ac:dyDescent="0.25">
      <c r="A8333" s="2">
        <v>0</v>
      </c>
      <c r="B8333" s="38">
        <v>0</v>
      </c>
      <c r="C8333" s="79">
        <v>0</v>
      </c>
    </row>
    <row r="8334" spans="1:3" x14ac:dyDescent="0.25">
      <c r="A8334" s="2">
        <v>0</v>
      </c>
      <c r="B8334" s="38">
        <v>0</v>
      </c>
      <c r="C8334" s="79">
        <v>0</v>
      </c>
    </row>
    <row r="8335" spans="1:3" x14ac:dyDescent="0.25">
      <c r="A8335" s="2">
        <v>0</v>
      </c>
      <c r="B8335" s="38">
        <v>0</v>
      </c>
      <c r="C8335" s="79">
        <v>0</v>
      </c>
    </row>
    <row r="8336" spans="1:3" x14ac:dyDescent="0.25">
      <c r="A8336" s="2">
        <v>0</v>
      </c>
      <c r="B8336" s="38">
        <v>0</v>
      </c>
      <c r="C8336" s="79">
        <v>0</v>
      </c>
    </row>
    <row r="8337" spans="1:3" x14ac:dyDescent="0.25">
      <c r="A8337" s="2">
        <v>0</v>
      </c>
      <c r="B8337" s="38">
        <v>0</v>
      </c>
      <c r="C8337" s="79">
        <v>0</v>
      </c>
    </row>
    <row r="8338" spans="1:3" x14ac:dyDescent="0.25">
      <c r="A8338" s="2">
        <v>0</v>
      </c>
      <c r="B8338" s="38">
        <v>0</v>
      </c>
      <c r="C8338" s="79">
        <v>0</v>
      </c>
    </row>
    <row r="8339" spans="1:3" x14ac:dyDescent="0.25">
      <c r="A8339" s="2">
        <v>0</v>
      </c>
      <c r="B8339" s="38">
        <v>0</v>
      </c>
      <c r="C8339" s="79">
        <v>0</v>
      </c>
    </row>
    <row r="8340" spans="1:3" x14ac:dyDescent="0.25">
      <c r="A8340" s="2">
        <v>0</v>
      </c>
      <c r="B8340" s="38">
        <v>0</v>
      </c>
      <c r="C8340" s="79">
        <v>0</v>
      </c>
    </row>
    <row r="8341" spans="1:3" x14ac:dyDescent="0.25">
      <c r="A8341" s="2">
        <v>0</v>
      </c>
      <c r="B8341" s="38">
        <v>0</v>
      </c>
      <c r="C8341" s="79">
        <v>0</v>
      </c>
    </row>
    <row r="8342" spans="1:3" x14ac:dyDescent="0.25">
      <c r="A8342" s="2">
        <v>0</v>
      </c>
      <c r="B8342" s="38">
        <v>0</v>
      </c>
      <c r="C8342" s="79">
        <v>0</v>
      </c>
    </row>
    <row r="8343" spans="1:3" x14ac:dyDescent="0.25">
      <c r="A8343" s="2">
        <v>0</v>
      </c>
      <c r="B8343" s="38">
        <v>0</v>
      </c>
      <c r="C8343" s="79">
        <v>0</v>
      </c>
    </row>
    <row r="8344" spans="1:3" x14ac:dyDescent="0.25">
      <c r="A8344" s="2">
        <v>0</v>
      </c>
      <c r="B8344" s="38">
        <v>0</v>
      </c>
      <c r="C8344" s="79">
        <v>0</v>
      </c>
    </row>
    <row r="8345" spans="1:3" x14ac:dyDescent="0.25">
      <c r="A8345" s="2">
        <v>0</v>
      </c>
      <c r="B8345" s="38">
        <v>0</v>
      </c>
      <c r="C8345" s="79">
        <v>0</v>
      </c>
    </row>
    <row r="8346" spans="1:3" x14ac:dyDescent="0.25">
      <c r="A8346" s="2">
        <v>0</v>
      </c>
      <c r="B8346" s="38">
        <v>0</v>
      </c>
      <c r="C8346" s="79">
        <v>0</v>
      </c>
    </row>
    <row r="8347" spans="1:3" x14ac:dyDescent="0.25">
      <c r="A8347" s="2">
        <v>0</v>
      </c>
      <c r="B8347" s="38">
        <v>0</v>
      </c>
      <c r="C8347" s="79">
        <v>0</v>
      </c>
    </row>
    <row r="8348" spans="1:3" x14ac:dyDescent="0.25">
      <c r="A8348" s="2">
        <v>0</v>
      </c>
      <c r="B8348" s="38">
        <v>0</v>
      </c>
      <c r="C8348" s="79">
        <v>0</v>
      </c>
    </row>
    <row r="8349" spans="1:3" x14ac:dyDescent="0.25">
      <c r="A8349" s="2">
        <v>0</v>
      </c>
      <c r="B8349" s="38">
        <v>0</v>
      </c>
      <c r="C8349" s="79">
        <v>0</v>
      </c>
    </row>
    <row r="8350" spans="1:3" x14ac:dyDescent="0.25">
      <c r="A8350" s="2">
        <v>0</v>
      </c>
      <c r="B8350" s="38">
        <v>0</v>
      </c>
      <c r="C8350" s="79">
        <v>0</v>
      </c>
    </row>
    <row r="8351" spans="1:3" x14ac:dyDescent="0.25">
      <c r="A8351" s="2">
        <v>0</v>
      </c>
      <c r="B8351" s="38">
        <v>0</v>
      </c>
      <c r="C8351" s="79">
        <v>0</v>
      </c>
    </row>
    <row r="8352" spans="1:3" x14ac:dyDescent="0.25">
      <c r="A8352" s="2">
        <v>0</v>
      </c>
      <c r="B8352" s="38">
        <v>0</v>
      </c>
      <c r="C8352" s="79">
        <v>0</v>
      </c>
    </row>
    <row r="8353" spans="1:3" x14ac:dyDescent="0.25">
      <c r="A8353" s="2">
        <v>0</v>
      </c>
      <c r="B8353" s="38">
        <v>0</v>
      </c>
      <c r="C8353" s="79">
        <v>0</v>
      </c>
    </row>
    <row r="8354" spans="1:3" x14ac:dyDescent="0.25">
      <c r="A8354" s="2">
        <v>0</v>
      </c>
      <c r="B8354" s="38">
        <v>0</v>
      </c>
      <c r="C8354" s="79">
        <v>0</v>
      </c>
    </row>
    <row r="8355" spans="1:3" x14ac:dyDescent="0.25">
      <c r="A8355" s="2">
        <v>0</v>
      </c>
      <c r="B8355" s="38">
        <v>0</v>
      </c>
      <c r="C8355" s="79">
        <v>0</v>
      </c>
    </row>
    <row r="8356" spans="1:3" x14ac:dyDescent="0.25">
      <c r="A8356" s="2">
        <v>0</v>
      </c>
      <c r="B8356" s="38">
        <v>0</v>
      </c>
      <c r="C8356" s="79">
        <v>0</v>
      </c>
    </row>
    <row r="8357" spans="1:3" x14ac:dyDescent="0.25">
      <c r="A8357" s="2">
        <v>0</v>
      </c>
      <c r="B8357" s="38">
        <v>0</v>
      </c>
      <c r="C8357" s="79">
        <v>0</v>
      </c>
    </row>
    <row r="8358" spans="1:3" x14ac:dyDescent="0.25">
      <c r="A8358" s="2">
        <v>0</v>
      </c>
      <c r="B8358" s="38">
        <v>0</v>
      </c>
      <c r="C8358" s="79">
        <v>0</v>
      </c>
    </row>
    <row r="8359" spans="1:3" x14ac:dyDescent="0.25">
      <c r="A8359" s="2">
        <v>0</v>
      </c>
      <c r="B8359" s="38">
        <v>0</v>
      </c>
      <c r="C8359" s="79">
        <v>0</v>
      </c>
    </row>
    <row r="8360" spans="1:3" x14ac:dyDescent="0.25">
      <c r="A8360" s="2">
        <v>0</v>
      </c>
      <c r="B8360" s="38">
        <v>0</v>
      </c>
      <c r="C8360" s="79">
        <v>0</v>
      </c>
    </row>
    <row r="8361" spans="1:3" x14ac:dyDescent="0.25">
      <c r="A8361" s="2">
        <v>0</v>
      </c>
      <c r="B8361" s="38">
        <v>0</v>
      </c>
      <c r="C8361" s="79">
        <v>0</v>
      </c>
    </row>
    <row r="8362" spans="1:3" x14ac:dyDescent="0.25">
      <c r="A8362" s="2">
        <v>0</v>
      </c>
      <c r="B8362" s="38">
        <v>0</v>
      </c>
      <c r="C8362" s="79">
        <v>0</v>
      </c>
    </row>
    <row r="8363" spans="1:3" x14ac:dyDescent="0.25">
      <c r="A8363" s="2">
        <v>0</v>
      </c>
      <c r="B8363" s="38">
        <v>0</v>
      </c>
      <c r="C8363" s="79">
        <v>0</v>
      </c>
    </row>
    <row r="8364" spans="1:3" x14ac:dyDescent="0.25">
      <c r="A8364" s="2">
        <v>0</v>
      </c>
      <c r="B8364" s="38">
        <v>0</v>
      </c>
      <c r="C8364" s="79">
        <v>0</v>
      </c>
    </row>
    <row r="8365" spans="1:3" x14ac:dyDescent="0.25">
      <c r="A8365" s="2">
        <v>0</v>
      </c>
      <c r="B8365" s="38">
        <v>0</v>
      </c>
      <c r="C8365" s="79">
        <v>0</v>
      </c>
    </row>
    <row r="8366" spans="1:3" x14ac:dyDescent="0.25">
      <c r="A8366" s="2">
        <v>0</v>
      </c>
      <c r="B8366" s="38">
        <v>0</v>
      </c>
      <c r="C8366" s="79">
        <v>0</v>
      </c>
    </row>
    <row r="8367" spans="1:3" x14ac:dyDescent="0.25">
      <c r="A8367" s="2">
        <v>0</v>
      </c>
      <c r="B8367" s="38">
        <v>0</v>
      </c>
      <c r="C8367" s="79">
        <v>0</v>
      </c>
    </row>
    <row r="8368" spans="1:3" x14ac:dyDescent="0.25">
      <c r="A8368" s="2">
        <v>0</v>
      </c>
      <c r="B8368" s="38">
        <v>0</v>
      </c>
      <c r="C8368" s="79">
        <v>0</v>
      </c>
    </row>
    <row r="8369" spans="1:3" x14ac:dyDescent="0.25">
      <c r="A8369" s="2">
        <v>0</v>
      </c>
      <c r="B8369" s="38">
        <v>0</v>
      </c>
      <c r="C8369" s="79">
        <v>0</v>
      </c>
    </row>
    <row r="8370" spans="1:3" x14ac:dyDescent="0.25">
      <c r="A8370" s="2">
        <v>0</v>
      </c>
      <c r="B8370" s="38">
        <v>0</v>
      </c>
      <c r="C8370" s="79">
        <v>0</v>
      </c>
    </row>
    <row r="8371" spans="1:3" x14ac:dyDescent="0.25">
      <c r="A8371" s="2">
        <v>0</v>
      </c>
      <c r="B8371" s="38">
        <v>0</v>
      </c>
      <c r="C8371" s="79">
        <v>0</v>
      </c>
    </row>
    <row r="8372" spans="1:3" x14ac:dyDescent="0.25">
      <c r="A8372" s="2">
        <v>0</v>
      </c>
      <c r="B8372" s="38">
        <v>0</v>
      </c>
      <c r="C8372" s="79">
        <v>0</v>
      </c>
    </row>
    <row r="8373" spans="1:3" x14ac:dyDescent="0.25">
      <c r="A8373" s="2">
        <v>0</v>
      </c>
      <c r="B8373" s="38">
        <v>0</v>
      </c>
      <c r="C8373" s="79">
        <v>0</v>
      </c>
    </row>
    <row r="8374" spans="1:3" x14ac:dyDescent="0.25">
      <c r="A8374" s="2">
        <v>0</v>
      </c>
      <c r="B8374" s="38">
        <v>0</v>
      </c>
      <c r="C8374" s="79">
        <v>0</v>
      </c>
    </row>
    <row r="8375" spans="1:3" x14ac:dyDescent="0.25">
      <c r="A8375" s="2">
        <v>0</v>
      </c>
      <c r="B8375" s="38">
        <v>0</v>
      </c>
      <c r="C8375" s="79">
        <v>0</v>
      </c>
    </row>
    <row r="8376" spans="1:3" x14ac:dyDescent="0.25">
      <c r="A8376" s="2">
        <v>0</v>
      </c>
      <c r="B8376" s="38">
        <v>0</v>
      </c>
      <c r="C8376" s="79">
        <v>0</v>
      </c>
    </row>
    <row r="8377" spans="1:3" x14ac:dyDescent="0.25">
      <c r="A8377" s="2">
        <v>0</v>
      </c>
      <c r="B8377" s="38">
        <v>0</v>
      </c>
      <c r="C8377" s="79">
        <v>0</v>
      </c>
    </row>
    <row r="8378" spans="1:3" x14ac:dyDescent="0.25">
      <c r="A8378" s="2">
        <v>0</v>
      </c>
      <c r="B8378" s="38">
        <v>0</v>
      </c>
      <c r="C8378" s="79">
        <v>0</v>
      </c>
    </row>
    <row r="8379" spans="1:3" x14ac:dyDescent="0.25">
      <c r="A8379" s="2">
        <v>0</v>
      </c>
      <c r="B8379" s="38">
        <v>0</v>
      </c>
      <c r="C8379" s="79">
        <v>0</v>
      </c>
    </row>
    <row r="8380" spans="1:3" x14ac:dyDescent="0.25">
      <c r="A8380" s="2">
        <v>0</v>
      </c>
      <c r="B8380" s="38">
        <v>0</v>
      </c>
      <c r="C8380" s="79">
        <v>0</v>
      </c>
    </row>
    <row r="8381" spans="1:3" x14ac:dyDescent="0.25">
      <c r="A8381" s="2">
        <v>0</v>
      </c>
      <c r="B8381" s="38">
        <v>0</v>
      </c>
      <c r="C8381" s="79">
        <v>0</v>
      </c>
    </row>
    <row r="8382" spans="1:3" x14ac:dyDescent="0.25">
      <c r="A8382" s="2">
        <v>0</v>
      </c>
      <c r="B8382" s="38">
        <v>0</v>
      </c>
      <c r="C8382" s="79">
        <v>0</v>
      </c>
    </row>
    <row r="8383" spans="1:3" x14ac:dyDescent="0.25">
      <c r="A8383" s="2">
        <v>0</v>
      </c>
      <c r="B8383" s="38">
        <v>0</v>
      </c>
      <c r="C8383" s="79">
        <v>0</v>
      </c>
    </row>
    <row r="8384" spans="1:3" x14ac:dyDescent="0.25">
      <c r="A8384" s="2">
        <v>0</v>
      </c>
      <c r="B8384" s="38">
        <v>0</v>
      </c>
      <c r="C8384" s="79">
        <v>0</v>
      </c>
    </row>
    <row r="8385" spans="1:3" x14ac:dyDescent="0.25">
      <c r="A8385" s="2">
        <v>0</v>
      </c>
      <c r="B8385" s="38">
        <v>0</v>
      </c>
      <c r="C8385" s="79">
        <v>0</v>
      </c>
    </row>
    <row r="8386" spans="1:3" x14ac:dyDescent="0.25">
      <c r="A8386" s="2">
        <v>0</v>
      </c>
      <c r="B8386" s="38">
        <v>0</v>
      </c>
      <c r="C8386" s="79">
        <v>0</v>
      </c>
    </row>
    <row r="8387" spans="1:3" x14ac:dyDescent="0.25">
      <c r="A8387" s="2">
        <v>0</v>
      </c>
      <c r="B8387" s="38">
        <v>0</v>
      </c>
      <c r="C8387" s="79">
        <v>0</v>
      </c>
    </row>
    <row r="8388" spans="1:3" x14ac:dyDescent="0.25">
      <c r="A8388" s="2">
        <v>0</v>
      </c>
      <c r="B8388" s="38">
        <v>0</v>
      </c>
      <c r="C8388" s="79">
        <v>0</v>
      </c>
    </row>
    <row r="8389" spans="1:3" x14ac:dyDescent="0.25">
      <c r="A8389" s="2">
        <v>0</v>
      </c>
      <c r="B8389" s="38">
        <v>0</v>
      </c>
      <c r="C8389" s="79">
        <v>0</v>
      </c>
    </row>
    <row r="8390" spans="1:3" x14ac:dyDescent="0.25">
      <c r="A8390" s="2">
        <v>0</v>
      </c>
      <c r="B8390" s="38">
        <v>0</v>
      </c>
      <c r="C8390" s="79">
        <v>0</v>
      </c>
    </row>
    <row r="8391" spans="1:3" x14ac:dyDescent="0.25">
      <c r="A8391" s="2">
        <v>0</v>
      </c>
      <c r="B8391" s="38">
        <v>0</v>
      </c>
      <c r="C8391" s="79">
        <v>0</v>
      </c>
    </row>
    <row r="8392" spans="1:3" x14ac:dyDescent="0.25">
      <c r="A8392" s="2">
        <v>0</v>
      </c>
      <c r="B8392" s="38">
        <v>0</v>
      </c>
      <c r="C8392" s="79">
        <v>0</v>
      </c>
    </row>
    <row r="8393" spans="1:3" x14ac:dyDescent="0.25">
      <c r="A8393" s="2">
        <v>0</v>
      </c>
      <c r="B8393" s="38">
        <v>0</v>
      </c>
      <c r="C8393" s="79">
        <v>0</v>
      </c>
    </row>
    <row r="8394" spans="1:3" x14ac:dyDescent="0.25">
      <c r="A8394" s="2">
        <v>0</v>
      </c>
      <c r="B8394" s="38">
        <v>0</v>
      </c>
      <c r="C8394" s="79">
        <v>0</v>
      </c>
    </row>
    <row r="8395" spans="1:3" x14ac:dyDescent="0.25">
      <c r="A8395" s="2">
        <v>0</v>
      </c>
      <c r="B8395" s="38">
        <v>0</v>
      </c>
      <c r="C8395" s="79">
        <v>0</v>
      </c>
    </row>
    <row r="8396" spans="1:3" x14ac:dyDescent="0.25">
      <c r="A8396" s="2">
        <v>0</v>
      </c>
      <c r="B8396" s="38">
        <v>0</v>
      </c>
      <c r="C8396" s="79">
        <v>0</v>
      </c>
    </row>
    <row r="8397" spans="1:3" x14ac:dyDescent="0.25">
      <c r="A8397" s="2">
        <v>0</v>
      </c>
      <c r="B8397" s="38">
        <v>0</v>
      </c>
      <c r="C8397" s="79">
        <v>0</v>
      </c>
    </row>
    <row r="8398" spans="1:3" x14ac:dyDescent="0.25">
      <c r="A8398" s="2">
        <v>0</v>
      </c>
      <c r="B8398" s="38">
        <v>0</v>
      </c>
      <c r="C8398" s="79">
        <v>0</v>
      </c>
    </row>
    <row r="8399" spans="1:3" x14ac:dyDescent="0.25">
      <c r="A8399" s="2">
        <v>0</v>
      </c>
      <c r="B8399" s="38">
        <v>0</v>
      </c>
      <c r="C8399" s="79">
        <v>0</v>
      </c>
    </row>
    <row r="8400" spans="1:3" x14ac:dyDescent="0.25">
      <c r="A8400" s="2">
        <v>0</v>
      </c>
      <c r="B8400" s="38">
        <v>0</v>
      </c>
      <c r="C8400" s="79">
        <v>0</v>
      </c>
    </row>
    <row r="8401" spans="1:3" x14ac:dyDescent="0.25">
      <c r="A8401" s="2">
        <v>0</v>
      </c>
      <c r="B8401" s="38">
        <v>0</v>
      </c>
      <c r="C8401" s="79">
        <v>0</v>
      </c>
    </row>
    <row r="8402" spans="1:3" x14ac:dyDescent="0.25">
      <c r="A8402" s="2">
        <v>0</v>
      </c>
      <c r="B8402" s="38">
        <v>0</v>
      </c>
      <c r="C8402" s="79">
        <v>0</v>
      </c>
    </row>
    <row r="8403" spans="1:3" x14ac:dyDescent="0.25">
      <c r="A8403" s="2">
        <v>0</v>
      </c>
      <c r="B8403" s="38">
        <v>0</v>
      </c>
      <c r="C8403" s="79">
        <v>0</v>
      </c>
    </row>
    <row r="8404" spans="1:3" x14ac:dyDescent="0.25">
      <c r="A8404" s="2">
        <v>0</v>
      </c>
      <c r="B8404" s="38">
        <v>0</v>
      </c>
      <c r="C8404" s="79">
        <v>0</v>
      </c>
    </row>
    <row r="8405" spans="1:3" x14ac:dyDescent="0.25">
      <c r="A8405" s="2">
        <v>0</v>
      </c>
      <c r="B8405" s="38">
        <v>0</v>
      </c>
      <c r="C8405" s="79">
        <v>0</v>
      </c>
    </row>
    <row r="8406" spans="1:3" x14ac:dyDescent="0.25">
      <c r="A8406" s="2">
        <v>0</v>
      </c>
      <c r="B8406" s="38">
        <v>0</v>
      </c>
      <c r="C8406" s="79">
        <v>0</v>
      </c>
    </row>
    <row r="8407" spans="1:3" x14ac:dyDescent="0.25">
      <c r="A8407" s="2">
        <v>0</v>
      </c>
      <c r="B8407" s="38">
        <v>0</v>
      </c>
      <c r="C8407" s="79">
        <v>0</v>
      </c>
    </row>
    <row r="8408" spans="1:3" x14ac:dyDescent="0.25">
      <c r="A8408" s="2">
        <v>0</v>
      </c>
      <c r="B8408" s="38">
        <v>0</v>
      </c>
      <c r="C8408" s="79">
        <v>0</v>
      </c>
    </row>
    <row r="8409" spans="1:3" x14ac:dyDescent="0.25">
      <c r="A8409" s="2">
        <v>0</v>
      </c>
      <c r="B8409" s="38">
        <v>0</v>
      </c>
      <c r="C8409" s="79">
        <v>0</v>
      </c>
    </row>
    <row r="8410" spans="1:3" x14ac:dyDescent="0.25">
      <c r="A8410" s="2">
        <v>0</v>
      </c>
      <c r="B8410" s="38">
        <v>0</v>
      </c>
      <c r="C8410" s="79">
        <v>0</v>
      </c>
    </row>
    <row r="8411" spans="1:3" x14ac:dyDescent="0.25">
      <c r="A8411" s="2">
        <v>0</v>
      </c>
      <c r="B8411" s="38">
        <v>0</v>
      </c>
      <c r="C8411" s="79">
        <v>0</v>
      </c>
    </row>
    <row r="8412" spans="1:3" x14ac:dyDescent="0.25">
      <c r="A8412" s="2">
        <v>0</v>
      </c>
      <c r="B8412" s="38">
        <v>0</v>
      </c>
      <c r="C8412" s="79">
        <v>0</v>
      </c>
    </row>
    <row r="8413" spans="1:3" x14ac:dyDescent="0.25">
      <c r="A8413" s="2">
        <v>0</v>
      </c>
      <c r="B8413" s="38">
        <v>0</v>
      </c>
      <c r="C8413" s="79">
        <v>0</v>
      </c>
    </row>
    <row r="8414" spans="1:3" x14ac:dyDescent="0.25">
      <c r="A8414" s="2">
        <v>0</v>
      </c>
      <c r="B8414" s="38">
        <v>0</v>
      </c>
      <c r="C8414" s="79">
        <v>0</v>
      </c>
    </row>
    <row r="8415" spans="1:3" x14ac:dyDescent="0.25">
      <c r="A8415" s="2">
        <v>0</v>
      </c>
      <c r="B8415" s="38">
        <v>0</v>
      </c>
      <c r="C8415" s="79">
        <v>0</v>
      </c>
    </row>
    <row r="8416" spans="1:3" x14ac:dyDescent="0.25">
      <c r="A8416" s="2">
        <v>0</v>
      </c>
      <c r="B8416" s="38">
        <v>0</v>
      </c>
      <c r="C8416" s="79">
        <v>0</v>
      </c>
    </row>
    <row r="8417" spans="1:3" x14ac:dyDescent="0.25">
      <c r="A8417" s="2">
        <v>0</v>
      </c>
      <c r="B8417" s="38">
        <v>0</v>
      </c>
      <c r="C8417" s="79">
        <v>0</v>
      </c>
    </row>
    <row r="8418" spans="1:3" x14ac:dyDescent="0.25">
      <c r="A8418" s="2">
        <v>0</v>
      </c>
      <c r="B8418" s="38">
        <v>0</v>
      </c>
      <c r="C8418" s="79">
        <v>0</v>
      </c>
    </row>
    <row r="8419" spans="1:3" x14ac:dyDescent="0.25">
      <c r="A8419" s="2">
        <v>0</v>
      </c>
      <c r="B8419" s="38">
        <v>0</v>
      </c>
      <c r="C8419" s="79">
        <v>0</v>
      </c>
    </row>
    <row r="8420" spans="1:3" x14ac:dyDescent="0.25">
      <c r="A8420" s="2">
        <v>0</v>
      </c>
      <c r="B8420" s="38">
        <v>0</v>
      </c>
      <c r="C8420" s="79">
        <v>0</v>
      </c>
    </row>
    <row r="8421" spans="1:3" x14ac:dyDescent="0.25">
      <c r="A8421" s="2">
        <v>0</v>
      </c>
      <c r="B8421" s="38">
        <v>0</v>
      </c>
      <c r="C8421" s="79">
        <v>0</v>
      </c>
    </row>
    <row r="8422" spans="1:3" x14ac:dyDescent="0.25">
      <c r="A8422" s="2">
        <v>0</v>
      </c>
      <c r="B8422" s="38">
        <v>0</v>
      </c>
      <c r="C8422" s="79">
        <v>0</v>
      </c>
    </row>
    <row r="8423" spans="1:3" x14ac:dyDescent="0.25">
      <c r="A8423" s="2">
        <v>0</v>
      </c>
      <c r="B8423" s="38">
        <v>0</v>
      </c>
      <c r="C8423" s="79">
        <v>0</v>
      </c>
    </row>
    <row r="8424" spans="1:3" x14ac:dyDescent="0.25">
      <c r="A8424" s="2">
        <v>0</v>
      </c>
      <c r="B8424" s="38">
        <v>0</v>
      </c>
      <c r="C8424" s="79">
        <v>0</v>
      </c>
    </row>
    <row r="8425" spans="1:3" x14ac:dyDescent="0.25">
      <c r="A8425" s="2">
        <v>0</v>
      </c>
      <c r="B8425" s="38">
        <v>0</v>
      </c>
      <c r="C8425" s="79">
        <v>0</v>
      </c>
    </row>
    <row r="8426" spans="1:3" x14ac:dyDescent="0.25">
      <c r="A8426" s="2">
        <v>0</v>
      </c>
      <c r="B8426" s="38">
        <v>0</v>
      </c>
      <c r="C8426" s="79">
        <v>0</v>
      </c>
    </row>
    <row r="8427" spans="1:3" x14ac:dyDescent="0.25">
      <c r="A8427" s="2">
        <v>0</v>
      </c>
      <c r="B8427" s="38">
        <v>0</v>
      </c>
      <c r="C8427" s="79">
        <v>0</v>
      </c>
    </row>
    <row r="8428" spans="1:3" x14ac:dyDescent="0.25">
      <c r="A8428" s="2">
        <v>0</v>
      </c>
      <c r="B8428" s="38">
        <v>0</v>
      </c>
      <c r="C8428" s="79">
        <v>0</v>
      </c>
    </row>
    <row r="8429" spans="1:3" x14ac:dyDescent="0.25">
      <c r="A8429" s="2">
        <v>0</v>
      </c>
      <c r="B8429" s="38">
        <v>0</v>
      </c>
      <c r="C8429" s="79">
        <v>0</v>
      </c>
    </row>
    <row r="8430" spans="1:3" x14ac:dyDescent="0.25">
      <c r="A8430" s="2">
        <v>0</v>
      </c>
      <c r="B8430" s="38">
        <v>0</v>
      </c>
      <c r="C8430" s="79">
        <v>0</v>
      </c>
    </row>
    <row r="8431" spans="1:3" x14ac:dyDescent="0.25">
      <c r="A8431" s="2">
        <v>0</v>
      </c>
      <c r="B8431" s="38">
        <v>0</v>
      </c>
      <c r="C8431" s="79">
        <v>0</v>
      </c>
    </row>
    <row r="8432" spans="1:3" x14ac:dyDescent="0.25">
      <c r="A8432" s="2">
        <v>0</v>
      </c>
      <c r="B8432" s="38">
        <v>0</v>
      </c>
      <c r="C8432" s="79">
        <v>0</v>
      </c>
    </row>
    <row r="8433" spans="1:3" x14ac:dyDescent="0.25">
      <c r="A8433" s="2">
        <v>0</v>
      </c>
      <c r="B8433" s="38">
        <v>0</v>
      </c>
      <c r="C8433" s="79">
        <v>0</v>
      </c>
    </row>
    <row r="8434" spans="1:3" x14ac:dyDescent="0.25">
      <c r="A8434" s="2">
        <v>0</v>
      </c>
      <c r="B8434" s="38">
        <v>0</v>
      </c>
      <c r="C8434" s="79">
        <v>0</v>
      </c>
    </row>
    <row r="8435" spans="1:3" x14ac:dyDescent="0.25">
      <c r="A8435" s="2">
        <v>0</v>
      </c>
      <c r="B8435" s="38">
        <v>0</v>
      </c>
      <c r="C8435" s="79">
        <v>0</v>
      </c>
    </row>
    <row r="8436" spans="1:3" x14ac:dyDescent="0.25">
      <c r="A8436" s="2">
        <v>0</v>
      </c>
      <c r="B8436" s="38">
        <v>0</v>
      </c>
      <c r="C8436" s="79">
        <v>0</v>
      </c>
    </row>
    <row r="8437" spans="1:3" x14ac:dyDescent="0.25">
      <c r="A8437" s="2">
        <v>0</v>
      </c>
      <c r="B8437" s="38">
        <v>0</v>
      </c>
      <c r="C8437" s="79">
        <v>0</v>
      </c>
    </row>
    <row r="8438" spans="1:3" x14ac:dyDescent="0.25">
      <c r="A8438" s="2">
        <v>0</v>
      </c>
      <c r="B8438" s="38">
        <v>0</v>
      </c>
      <c r="C8438" s="79">
        <v>0</v>
      </c>
    </row>
    <row r="8439" spans="1:3" x14ac:dyDescent="0.25">
      <c r="A8439" s="2">
        <v>0</v>
      </c>
      <c r="B8439" s="38">
        <v>0</v>
      </c>
      <c r="C8439" s="79">
        <v>0</v>
      </c>
    </row>
    <row r="8440" spans="1:3" x14ac:dyDescent="0.25">
      <c r="A8440" s="2">
        <v>0</v>
      </c>
      <c r="B8440" s="38">
        <v>0</v>
      </c>
      <c r="C8440" s="79">
        <v>0</v>
      </c>
    </row>
    <row r="8441" spans="1:3" x14ac:dyDescent="0.25">
      <c r="A8441" s="2">
        <v>0</v>
      </c>
      <c r="B8441" s="38">
        <v>0</v>
      </c>
      <c r="C8441" s="79">
        <v>0</v>
      </c>
    </row>
    <row r="8442" spans="1:3" x14ac:dyDescent="0.25">
      <c r="A8442" s="2">
        <v>0</v>
      </c>
      <c r="B8442" s="38">
        <v>0</v>
      </c>
      <c r="C8442" s="79">
        <v>0</v>
      </c>
    </row>
    <row r="8443" spans="1:3" x14ac:dyDescent="0.25">
      <c r="A8443" s="2">
        <v>0</v>
      </c>
      <c r="B8443" s="38">
        <v>0</v>
      </c>
      <c r="C8443" s="79">
        <v>0</v>
      </c>
    </row>
    <row r="8444" spans="1:3" x14ac:dyDescent="0.25">
      <c r="A8444" s="2">
        <v>0</v>
      </c>
      <c r="B8444" s="38">
        <v>0</v>
      </c>
      <c r="C8444" s="79">
        <v>0</v>
      </c>
    </row>
    <row r="8445" spans="1:3" x14ac:dyDescent="0.25">
      <c r="A8445" s="2">
        <v>0</v>
      </c>
      <c r="B8445" s="38">
        <v>0</v>
      </c>
      <c r="C8445" s="79">
        <v>0</v>
      </c>
    </row>
    <row r="8446" spans="1:3" x14ac:dyDescent="0.25">
      <c r="A8446" s="2">
        <v>0</v>
      </c>
      <c r="B8446" s="38">
        <v>0</v>
      </c>
      <c r="C8446" s="79">
        <v>0</v>
      </c>
    </row>
    <row r="8447" spans="1:3" x14ac:dyDescent="0.25">
      <c r="A8447" s="2">
        <v>0</v>
      </c>
      <c r="B8447" s="38">
        <v>0</v>
      </c>
      <c r="C8447" s="79">
        <v>0</v>
      </c>
    </row>
    <row r="8448" spans="1:3" x14ac:dyDescent="0.25">
      <c r="A8448" s="2">
        <v>0</v>
      </c>
      <c r="B8448" s="38">
        <v>0</v>
      </c>
      <c r="C8448" s="79">
        <v>0</v>
      </c>
    </row>
    <row r="8449" spans="1:3" x14ac:dyDescent="0.25">
      <c r="A8449" s="2">
        <v>0</v>
      </c>
      <c r="B8449" s="38">
        <v>0</v>
      </c>
      <c r="C8449" s="79">
        <v>0</v>
      </c>
    </row>
    <row r="8450" spans="1:3" x14ac:dyDescent="0.25">
      <c r="A8450" s="2">
        <v>0</v>
      </c>
      <c r="B8450" s="38">
        <v>0</v>
      </c>
      <c r="C8450" s="79">
        <v>0</v>
      </c>
    </row>
    <row r="8451" spans="1:3" x14ac:dyDescent="0.25">
      <c r="A8451" s="2">
        <v>0</v>
      </c>
      <c r="B8451" s="38">
        <v>0</v>
      </c>
      <c r="C8451" s="79">
        <v>0</v>
      </c>
    </row>
    <row r="8452" spans="1:3" x14ac:dyDescent="0.25">
      <c r="A8452" s="2">
        <v>0</v>
      </c>
      <c r="B8452" s="38">
        <v>0</v>
      </c>
      <c r="C8452" s="79">
        <v>0</v>
      </c>
    </row>
    <row r="8453" spans="1:3" x14ac:dyDescent="0.25">
      <c r="A8453" s="2">
        <v>0</v>
      </c>
      <c r="B8453" s="38">
        <v>0</v>
      </c>
      <c r="C8453" s="79">
        <v>0</v>
      </c>
    </row>
    <row r="8454" spans="1:3" x14ac:dyDescent="0.25">
      <c r="A8454" s="2">
        <v>0</v>
      </c>
      <c r="B8454" s="38">
        <v>0</v>
      </c>
      <c r="C8454" s="79">
        <v>0</v>
      </c>
    </row>
    <row r="8455" spans="1:3" x14ac:dyDescent="0.25">
      <c r="A8455" s="2">
        <v>0</v>
      </c>
      <c r="B8455" s="38">
        <v>0</v>
      </c>
      <c r="C8455" s="79">
        <v>0</v>
      </c>
    </row>
    <row r="8456" spans="1:3" x14ac:dyDescent="0.25">
      <c r="A8456" s="2">
        <v>0</v>
      </c>
      <c r="B8456" s="38">
        <v>0</v>
      </c>
      <c r="C8456" s="79">
        <v>0</v>
      </c>
    </row>
    <row r="8457" spans="1:3" x14ac:dyDescent="0.25">
      <c r="A8457" s="2">
        <v>0</v>
      </c>
      <c r="B8457" s="38">
        <v>0</v>
      </c>
      <c r="C8457" s="79">
        <v>0</v>
      </c>
    </row>
    <row r="8458" spans="1:3" x14ac:dyDescent="0.25">
      <c r="A8458" s="2">
        <v>0</v>
      </c>
      <c r="B8458" s="38">
        <v>0</v>
      </c>
      <c r="C8458" s="79">
        <v>0</v>
      </c>
    </row>
    <row r="8459" spans="1:3" x14ac:dyDescent="0.25">
      <c r="A8459" s="2">
        <v>0</v>
      </c>
      <c r="B8459" s="38">
        <v>0</v>
      </c>
      <c r="C8459" s="79">
        <v>0</v>
      </c>
    </row>
    <row r="8460" spans="1:3" x14ac:dyDescent="0.25">
      <c r="A8460" s="2">
        <v>0</v>
      </c>
      <c r="B8460" s="38">
        <v>0</v>
      </c>
      <c r="C8460" s="79">
        <v>0</v>
      </c>
    </row>
    <row r="8461" spans="1:3" x14ac:dyDescent="0.25">
      <c r="A8461" s="2">
        <v>0</v>
      </c>
      <c r="B8461" s="38">
        <v>0</v>
      </c>
      <c r="C8461" s="79">
        <v>0</v>
      </c>
    </row>
    <row r="8462" spans="1:3" x14ac:dyDescent="0.25">
      <c r="A8462" s="2">
        <v>0</v>
      </c>
      <c r="B8462" s="38">
        <v>0</v>
      </c>
      <c r="C8462" s="79">
        <v>0</v>
      </c>
    </row>
    <row r="8463" spans="1:3" x14ac:dyDescent="0.25">
      <c r="A8463" s="2">
        <v>0</v>
      </c>
      <c r="B8463" s="38">
        <v>0</v>
      </c>
      <c r="C8463" s="79">
        <v>0</v>
      </c>
    </row>
    <row r="8464" spans="1:3" x14ac:dyDescent="0.25">
      <c r="A8464" s="2">
        <v>0</v>
      </c>
      <c r="B8464" s="38">
        <v>0</v>
      </c>
      <c r="C8464" s="79">
        <v>0</v>
      </c>
    </row>
    <row r="8465" spans="1:3" x14ac:dyDescent="0.25">
      <c r="A8465" s="2">
        <v>0</v>
      </c>
      <c r="B8465" s="38">
        <v>0</v>
      </c>
      <c r="C8465" s="79">
        <v>0</v>
      </c>
    </row>
    <row r="8466" spans="1:3" x14ac:dyDescent="0.25">
      <c r="A8466" s="2">
        <v>0</v>
      </c>
      <c r="B8466" s="38">
        <v>0</v>
      </c>
      <c r="C8466" s="79">
        <v>0</v>
      </c>
    </row>
    <row r="8467" spans="1:3" x14ac:dyDescent="0.25">
      <c r="A8467" s="2">
        <v>0</v>
      </c>
      <c r="B8467" s="38">
        <v>0</v>
      </c>
      <c r="C8467" s="79">
        <v>0</v>
      </c>
    </row>
    <row r="8468" spans="1:3" x14ac:dyDescent="0.25">
      <c r="A8468" s="2">
        <v>0</v>
      </c>
      <c r="B8468" s="38">
        <v>0</v>
      </c>
      <c r="C8468" s="79">
        <v>0</v>
      </c>
    </row>
    <row r="8469" spans="1:3" x14ac:dyDescent="0.25">
      <c r="A8469" s="2">
        <v>0</v>
      </c>
      <c r="B8469" s="38">
        <v>0</v>
      </c>
      <c r="C8469" s="79">
        <v>0</v>
      </c>
    </row>
    <row r="8470" spans="1:3" x14ac:dyDescent="0.25">
      <c r="A8470" s="2">
        <v>0</v>
      </c>
      <c r="B8470" s="38">
        <v>0</v>
      </c>
      <c r="C8470" s="79">
        <v>0</v>
      </c>
    </row>
    <row r="8471" spans="1:3" x14ac:dyDescent="0.25">
      <c r="A8471" s="2">
        <v>0</v>
      </c>
      <c r="B8471" s="38">
        <v>0</v>
      </c>
      <c r="C8471" s="79">
        <v>0</v>
      </c>
    </row>
    <row r="8472" spans="1:3" x14ac:dyDescent="0.25">
      <c r="A8472" s="2">
        <v>0</v>
      </c>
      <c r="B8472" s="38">
        <v>0</v>
      </c>
      <c r="C8472" s="79">
        <v>0</v>
      </c>
    </row>
    <row r="8473" spans="1:3" x14ac:dyDescent="0.25">
      <c r="A8473" s="2">
        <v>0</v>
      </c>
      <c r="B8473" s="38">
        <v>0</v>
      </c>
      <c r="C8473" s="79">
        <v>0</v>
      </c>
    </row>
    <row r="8474" spans="1:3" x14ac:dyDescent="0.25">
      <c r="A8474" s="2">
        <v>0</v>
      </c>
      <c r="B8474" s="38">
        <v>0</v>
      </c>
      <c r="C8474" s="79">
        <v>0</v>
      </c>
    </row>
    <row r="8475" spans="1:3" x14ac:dyDescent="0.25">
      <c r="A8475" s="2">
        <v>0</v>
      </c>
      <c r="B8475" s="38">
        <v>0</v>
      </c>
      <c r="C8475" s="79">
        <v>0</v>
      </c>
    </row>
    <row r="8476" spans="1:3" x14ac:dyDescent="0.25">
      <c r="A8476" s="2">
        <v>0</v>
      </c>
      <c r="B8476" s="38">
        <v>0</v>
      </c>
      <c r="C8476" s="79">
        <v>0</v>
      </c>
    </row>
    <row r="8477" spans="1:3" x14ac:dyDescent="0.25">
      <c r="A8477" s="2">
        <v>0</v>
      </c>
      <c r="B8477" s="38">
        <v>0</v>
      </c>
      <c r="C8477" s="79">
        <v>0</v>
      </c>
    </row>
    <row r="8478" spans="1:3" x14ac:dyDescent="0.25">
      <c r="A8478" s="2">
        <v>0</v>
      </c>
      <c r="B8478" s="38">
        <v>0</v>
      </c>
      <c r="C8478" s="79">
        <v>0</v>
      </c>
    </row>
    <row r="8479" spans="1:3" x14ac:dyDescent="0.25">
      <c r="A8479" s="2">
        <v>0</v>
      </c>
      <c r="B8479" s="38">
        <v>0</v>
      </c>
      <c r="C8479" s="79">
        <v>0</v>
      </c>
    </row>
    <row r="8480" spans="1:3" x14ac:dyDescent="0.25">
      <c r="A8480" s="2">
        <v>0</v>
      </c>
      <c r="B8480" s="38">
        <v>0</v>
      </c>
      <c r="C8480" s="79">
        <v>0</v>
      </c>
    </row>
    <row r="8481" spans="1:3" x14ac:dyDescent="0.25">
      <c r="A8481" s="2">
        <v>0</v>
      </c>
      <c r="B8481" s="38">
        <v>0</v>
      </c>
      <c r="C8481" s="79">
        <v>0</v>
      </c>
    </row>
    <row r="8482" spans="1:3" x14ac:dyDescent="0.25">
      <c r="A8482" s="2">
        <v>0</v>
      </c>
      <c r="B8482" s="38">
        <v>0</v>
      </c>
      <c r="C8482" s="79">
        <v>0</v>
      </c>
    </row>
    <row r="8483" spans="1:3" x14ac:dyDescent="0.25">
      <c r="A8483" s="2">
        <v>0</v>
      </c>
      <c r="B8483" s="38">
        <v>0</v>
      </c>
      <c r="C8483" s="79">
        <v>0</v>
      </c>
    </row>
    <row r="8484" spans="1:3" x14ac:dyDescent="0.25">
      <c r="A8484" s="2">
        <v>0</v>
      </c>
      <c r="B8484" s="38">
        <v>0</v>
      </c>
      <c r="C8484" s="79">
        <v>0</v>
      </c>
    </row>
    <row r="8485" spans="1:3" x14ac:dyDescent="0.25">
      <c r="A8485" s="2">
        <v>0</v>
      </c>
      <c r="B8485" s="38">
        <v>0</v>
      </c>
      <c r="C8485" s="79">
        <v>0</v>
      </c>
    </row>
    <row r="8486" spans="1:3" x14ac:dyDescent="0.25">
      <c r="A8486" s="2">
        <v>0</v>
      </c>
      <c r="B8486" s="38">
        <v>0</v>
      </c>
      <c r="C8486" s="79">
        <v>0</v>
      </c>
    </row>
    <row r="8487" spans="1:3" x14ac:dyDescent="0.25">
      <c r="A8487" s="2">
        <v>0</v>
      </c>
      <c r="B8487" s="38">
        <v>0</v>
      </c>
      <c r="C8487" s="79">
        <v>0</v>
      </c>
    </row>
    <row r="8488" spans="1:3" x14ac:dyDescent="0.25">
      <c r="A8488" s="2">
        <v>0</v>
      </c>
      <c r="B8488" s="38">
        <v>0</v>
      </c>
      <c r="C8488" s="79">
        <v>0</v>
      </c>
    </row>
    <row r="8489" spans="1:3" x14ac:dyDescent="0.25">
      <c r="A8489" s="2">
        <v>0</v>
      </c>
      <c r="B8489" s="38">
        <v>0</v>
      </c>
      <c r="C8489" s="79">
        <v>0</v>
      </c>
    </row>
    <row r="8490" spans="1:3" x14ac:dyDescent="0.25">
      <c r="A8490" s="2">
        <v>0</v>
      </c>
      <c r="B8490" s="38">
        <v>0</v>
      </c>
      <c r="C8490" s="79">
        <v>0</v>
      </c>
    </row>
    <row r="8491" spans="1:3" x14ac:dyDescent="0.25">
      <c r="A8491" s="2">
        <v>0</v>
      </c>
      <c r="B8491" s="38">
        <v>0</v>
      </c>
      <c r="C8491" s="79">
        <v>0</v>
      </c>
    </row>
    <row r="8492" spans="1:3" x14ac:dyDescent="0.25">
      <c r="A8492" s="2">
        <v>0</v>
      </c>
      <c r="B8492" s="38">
        <v>0</v>
      </c>
      <c r="C8492" s="79">
        <v>0</v>
      </c>
    </row>
    <row r="8493" spans="1:3" x14ac:dyDescent="0.25">
      <c r="A8493" s="2">
        <v>0</v>
      </c>
      <c r="B8493" s="38">
        <v>0</v>
      </c>
      <c r="C8493" s="79">
        <v>0</v>
      </c>
    </row>
    <row r="8494" spans="1:3" x14ac:dyDescent="0.25">
      <c r="A8494" s="2">
        <v>0</v>
      </c>
      <c r="B8494" s="38">
        <v>0</v>
      </c>
      <c r="C8494" s="79">
        <v>0</v>
      </c>
    </row>
    <row r="8495" spans="1:3" x14ac:dyDescent="0.25">
      <c r="A8495" s="2">
        <v>0</v>
      </c>
      <c r="B8495" s="38">
        <v>0</v>
      </c>
      <c r="C8495" s="79">
        <v>0</v>
      </c>
    </row>
    <row r="8496" spans="1:3" x14ac:dyDescent="0.25">
      <c r="A8496" s="2">
        <v>0</v>
      </c>
      <c r="B8496" s="38">
        <v>0</v>
      </c>
      <c r="C8496" s="79">
        <v>0</v>
      </c>
    </row>
    <row r="8497" spans="1:3" x14ac:dyDescent="0.25">
      <c r="A8497" s="2">
        <v>0</v>
      </c>
      <c r="B8497" s="38">
        <v>0</v>
      </c>
      <c r="C8497" s="79">
        <v>0</v>
      </c>
    </row>
    <row r="8498" spans="1:3" x14ac:dyDescent="0.25">
      <c r="A8498" s="2">
        <v>0</v>
      </c>
      <c r="B8498" s="38">
        <v>0</v>
      </c>
      <c r="C8498" s="79">
        <v>0</v>
      </c>
    </row>
    <row r="8499" spans="1:3" x14ac:dyDescent="0.25">
      <c r="A8499" s="2">
        <v>0</v>
      </c>
      <c r="B8499" s="38">
        <v>0</v>
      </c>
      <c r="C8499" s="79">
        <v>0</v>
      </c>
    </row>
    <row r="8500" spans="1:3" x14ac:dyDescent="0.25">
      <c r="A8500" s="2">
        <v>0</v>
      </c>
      <c r="B8500" s="38">
        <v>0</v>
      </c>
      <c r="C8500" s="79">
        <v>0</v>
      </c>
    </row>
    <row r="8501" spans="1:3" x14ac:dyDescent="0.25">
      <c r="A8501" s="2">
        <v>0</v>
      </c>
      <c r="B8501" s="38">
        <v>0</v>
      </c>
      <c r="C8501" s="79">
        <v>0</v>
      </c>
    </row>
    <row r="8502" spans="1:3" x14ac:dyDescent="0.25">
      <c r="A8502" s="2">
        <v>0</v>
      </c>
      <c r="B8502" s="38">
        <v>0</v>
      </c>
      <c r="C8502" s="79">
        <v>0</v>
      </c>
    </row>
    <row r="8503" spans="1:3" x14ac:dyDescent="0.25">
      <c r="A8503" s="2">
        <v>0</v>
      </c>
      <c r="B8503" s="38">
        <v>0</v>
      </c>
      <c r="C8503" s="79">
        <v>0</v>
      </c>
    </row>
    <row r="8504" spans="1:3" x14ac:dyDescent="0.25">
      <c r="A8504" s="2">
        <v>0</v>
      </c>
      <c r="B8504" s="38">
        <v>0</v>
      </c>
      <c r="C8504" s="79">
        <v>0</v>
      </c>
    </row>
    <row r="8505" spans="1:3" x14ac:dyDescent="0.25">
      <c r="A8505" s="2">
        <v>0</v>
      </c>
      <c r="B8505" s="38">
        <v>0</v>
      </c>
      <c r="C8505" s="79">
        <v>0</v>
      </c>
    </row>
    <row r="8506" spans="1:3" x14ac:dyDescent="0.25">
      <c r="A8506" s="2">
        <v>0</v>
      </c>
      <c r="B8506" s="38">
        <v>0</v>
      </c>
      <c r="C8506" s="79">
        <v>0</v>
      </c>
    </row>
    <row r="8507" spans="1:3" x14ac:dyDescent="0.25">
      <c r="A8507" s="2">
        <v>0</v>
      </c>
      <c r="B8507" s="38">
        <v>0</v>
      </c>
      <c r="C8507" s="79">
        <v>0</v>
      </c>
    </row>
    <row r="8508" spans="1:3" x14ac:dyDescent="0.25">
      <c r="A8508" s="2">
        <v>0</v>
      </c>
      <c r="B8508" s="38">
        <v>0</v>
      </c>
      <c r="C8508" s="79">
        <v>0</v>
      </c>
    </row>
    <row r="8509" spans="1:3" x14ac:dyDescent="0.25">
      <c r="A8509" s="2">
        <v>0</v>
      </c>
      <c r="B8509" s="38">
        <v>0</v>
      </c>
      <c r="C8509" s="79">
        <v>0</v>
      </c>
    </row>
    <row r="8510" spans="1:3" x14ac:dyDescent="0.25">
      <c r="A8510" s="2">
        <v>0</v>
      </c>
      <c r="B8510" s="38">
        <v>0</v>
      </c>
      <c r="C8510" s="79">
        <v>0</v>
      </c>
    </row>
    <row r="8511" spans="1:3" x14ac:dyDescent="0.25">
      <c r="A8511" s="2">
        <v>0</v>
      </c>
      <c r="B8511" s="38">
        <v>0</v>
      </c>
      <c r="C8511" s="79">
        <v>0</v>
      </c>
    </row>
    <row r="8512" spans="1:3" x14ac:dyDescent="0.25">
      <c r="A8512" s="2">
        <v>0</v>
      </c>
      <c r="B8512" s="38">
        <v>0</v>
      </c>
      <c r="C8512" s="79">
        <v>0</v>
      </c>
    </row>
    <row r="8513" spans="1:3" x14ac:dyDescent="0.25">
      <c r="A8513" s="2">
        <v>0</v>
      </c>
      <c r="B8513" s="38">
        <v>0</v>
      </c>
      <c r="C8513" s="79">
        <v>0</v>
      </c>
    </row>
    <row r="8514" spans="1:3" x14ac:dyDescent="0.25">
      <c r="A8514" s="2">
        <v>0</v>
      </c>
      <c r="B8514" s="38">
        <v>0</v>
      </c>
      <c r="C8514" s="79">
        <v>0</v>
      </c>
    </row>
    <row r="8515" spans="1:3" x14ac:dyDescent="0.25">
      <c r="A8515" s="2">
        <v>0</v>
      </c>
      <c r="B8515" s="38">
        <v>0</v>
      </c>
      <c r="C8515" s="79">
        <v>0</v>
      </c>
    </row>
    <row r="8516" spans="1:3" x14ac:dyDescent="0.25">
      <c r="A8516" s="2">
        <v>0</v>
      </c>
      <c r="B8516" s="38">
        <v>0</v>
      </c>
      <c r="C8516" s="79">
        <v>0</v>
      </c>
    </row>
    <row r="8517" spans="1:3" x14ac:dyDescent="0.25">
      <c r="A8517" s="2">
        <v>0</v>
      </c>
      <c r="B8517" s="38">
        <v>0</v>
      </c>
      <c r="C8517" s="79">
        <v>0</v>
      </c>
    </row>
    <row r="8518" spans="1:3" x14ac:dyDescent="0.25">
      <c r="A8518" s="2">
        <v>0</v>
      </c>
      <c r="B8518" s="38">
        <v>0</v>
      </c>
      <c r="C8518" s="79">
        <v>0</v>
      </c>
    </row>
    <row r="8519" spans="1:3" x14ac:dyDescent="0.25">
      <c r="A8519" s="2">
        <v>0</v>
      </c>
      <c r="B8519" s="38">
        <v>0</v>
      </c>
      <c r="C8519" s="79">
        <v>0</v>
      </c>
    </row>
    <row r="8520" spans="1:3" x14ac:dyDescent="0.25">
      <c r="A8520" s="2">
        <v>0</v>
      </c>
      <c r="B8520" s="38">
        <v>0</v>
      </c>
      <c r="C8520" s="79">
        <v>0</v>
      </c>
    </row>
    <row r="8521" spans="1:3" x14ac:dyDescent="0.25">
      <c r="A8521" s="2">
        <v>0</v>
      </c>
      <c r="B8521" s="38">
        <v>0</v>
      </c>
      <c r="C8521" s="79">
        <v>0</v>
      </c>
    </row>
    <row r="8522" spans="1:3" x14ac:dyDescent="0.25">
      <c r="A8522" s="2">
        <v>0</v>
      </c>
      <c r="B8522" s="38">
        <v>0</v>
      </c>
      <c r="C8522" s="79">
        <v>0</v>
      </c>
    </row>
    <row r="8523" spans="1:3" x14ac:dyDescent="0.25">
      <c r="A8523" s="2">
        <v>0</v>
      </c>
      <c r="B8523" s="38">
        <v>0</v>
      </c>
      <c r="C8523" s="79">
        <v>0</v>
      </c>
    </row>
    <row r="8524" spans="1:3" x14ac:dyDescent="0.25">
      <c r="A8524" s="2">
        <v>0</v>
      </c>
      <c r="B8524" s="38">
        <v>0</v>
      </c>
      <c r="C8524" s="79">
        <v>0</v>
      </c>
    </row>
    <row r="8525" spans="1:3" x14ac:dyDescent="0.25">
      <c r="A8525" s="2">
        <v>0</v>
      </c>
      <c r="B8525" s="38">
        <v>0</v>
      </c>
      <c r="C8525" s="79">
        <v>0</v>
      </c>
    </row>
    <row r="8526" spans="1:3" x14ac:dyDescent="0.25">
      <c r="A8526" s="2">
        <v>0</v>
      </c>
      <c r="B8526" s="38">
        <v>0</v>
      </c>
      <c r="C8526" s="79">
        <v>0</v>
      </c>
    </row>
    <row r="8527" spans="1:3" x14ac:dyDescent="0.25">
      <c r="A8527" s="2">
        <v>0</v>
      </c>
      <c r="B8527" s="38">
        <v>0</v>
      </c>
      <c r="C8527" s="79">
        <v>0</v>
      </c>
    </row>
    <row r="8528" spans="1:3" x14ac:dyDescent="0.25">
      <c r="A8528" s="2">
        <v>0</v>
      </c>
      <c r="B8528" s="38">
        <v>0</v>
      </c>
      <c r="C8528" s="79">
        <v>0</v>
      </c>
    </row>
    <row r="8529" spans="1:3" x14ac:dyDescent="0.25">
      <c r="A8529" s="2">
        <v>0</v>
      </c>
      <c r="B8529" s="38">
        <v>0</v>
      </c>
      <c r="C8529" s="79">
        <v>0</v>
      </c>
    </row>
    <row r="8530" spans="1:3" x14ac:dyDescent="0.25">
      <c r="A8530" s="2">
        <v>0</v>
      </c>
      <c r="B8530" s="38">
        <v>0</v>
      </c>
      <c r="C8530" s="79">
        <v>0</v>
      </c>
    </row>
    <row r="8531" spans="1:3" x14ac:dyDescent="0.25">
      <c r="A8531" s="2">
        <v>0</v>
      </c>
      <c r="B8531" s="38">
        <v>0</v>
      </c>
      <c r="C8531" s="79">
        <v>0</v>
      </c>
    </row>
    <row r="8532" spans="1:3" x14ac:dyDescent="0.25">
      <c r="A8532" s="2">
        <v>0</v>
      </c>
      <c r="B8532" s="38">
        <v>0</v>
      </c>
      <c r="C8532" s="79">
        <v>0</v>
      </c>
    </row>
    <row r="8533" spans="1:3" x14ac:dyDescent="0.25">
      <c r="A8533" s="2">
        <v>0</v>
      </c>
      <c r="B8533" s="38">
        <v>0</v>
      </c>
      <c r="C8533" s="79">
        <v>0</v>
      </c>
    </row>
    <row r="8534" spans="1:3" x14ac:dyDescent="0.25">
      <c r="A8534" s="2">
        <v>0</v>
      </c>
      <c r="B8534" s="38">
        <v>0</v>
      </c>
      <c r="C8534" s="79">
        <v>0</v>
      </c>
    </row>
    <row r="8535" spans="1:3" x14ac:dyDescent="0.25">
      <c r="A8535" s="2">
        <v>0</v>
      </c>
      <c r="B8535" s="38">
        <v>0</v>
      </c>
      <c r="C8535" s="79">
        <v>0</v>
      </c>
    </row>
    <row r="8536" spans="1:3" x14ac:dyDescent="0.25">
      <c r="A8536" s="2">
        <v>0</v>
      </c>
      <c r="B8536" s="38">
        <v>0</v>
      </c>
      <c r="C8536" s="79">
        <v>0</v>
      </c>
    </row>
    <row r="8537" spans="1:3" x14ac:dyDescent="0.25">
      <c r="A8537" s="2">
        <v>0</v>
      </c>
      <c r="B8537" s="38">
        <v>0</v>
      </c>
      <c r="C8537" s="79">
        <v>0</v>
      </c>
    </row>
    <row r="8538" spans="1:3" x14ac:dyDescent="0.25">
      <c r="A8538" s="2">
        <v>0</v>
      </c>
      <c r="B8538" s="38">
        <v>0</v>
      </c>
      <c r="C8538" s="79">
        <v>0</v>
      </c>
    </row>
    <row r="8539" spans="1:3" x14ac:dyDescent="0.25">
      <c r="A8539" s="2">
        <v>0</v>
      </c>
      <c r="B8539" s="38">
        <v>0</v>
      </c>
      <c r="C8539" s="79">
        <v>0</v>
      </c>
    </row>
    <row r="8540" spans="1:3" x14ac:dyDescent="0.25">
      <c r="A8540" s="2">
        <v>0</v>
      </c>
      <c r="B8540" s="38">
        <v>0</v>
      </c>
      <c r="C8540" s="79">
        <v>0</v>
      </c>
    </row>
    <row r="8541" spans="1:3" x14ac:dyDescent="0.25">
      <c r="A8541" s="2">
        <v>0</v>
      </c>
      <c r="B8541" s="38">
        <v>0</v>
      </c>
      <c r="C8541" s="79">
        <v>0</v>
      </c>
    </row>
    <row r="8542" spans="1:3" x14ac:dyDescent="0.25">
      <c r="A8542" s="2">
        <v>0</v>
      </c>
      <c r="B8542" s="38">
        <v>0</v>
      </c>
      <c r="C8542" s="79">
        <v>0</v>
      </c>
    </row>
    <row r="8543" spans="1:3" x14ac:dyDescent="0.25">
      <c r="A8543" s="2">
        <v>0</v>
      </c>
      <c r="B8543" s="38">
        <v>0</v>
      </c>
      <c r="C8543" s="79">
        <v>0</v>
      </c>
    </row>
    <row r="8544" spans="1:3" x14ac:dyDescent="0.25">
      <c r="A8544" s="2">
        <v>0</v>
      </c>
      <c r="B8544" s="38">
        <v>0</v>
      </c>
      <c r="C8544" s="79">
        <v>0</v>
      </c>
    </row>
    <row r="8545" spans="1:3" x14ac:dyDescent="0.25">
      <c r="A8545" s="2">
        <v>0</v>
      </c>
      <c r="B8545" s="38">
        <v>0</v>
      </c>
      <c r="C8545" s="79">
        <v>0</v>
      </c>
    </row>
    <row r="8546" spans="1:3" x14ac:dyDescent="0.25">
      <c r="A8546" s="2">
        <v>0</v>
      </c>
      <c r="B8546" s="38">
        <v>0</v>
      </c>
      <c r="C8546" s="79">
        <v>0</v>
      </c>
    </row>
    <row r="8547" spans="1:3" x14ac:dyDescent="0.25">
      <c r="A8547" s="2">
        <v>0</v>
      </c>
      <c r="B8547" s="38">
        <v>0</v>
      </c>
      <c r="C8547" s="79">
        <v>0</v>
      </c>
    </row>
    <row r="8548" spans="1:3" x14ac:dyDescent="0.25">
      <c r="A8548" s="2">
        <v>0</v>
      </c>
      <c r="B8548" s="38">
        <v>0</v>
      </c>
      <c r="C8548" s="79">
        <v>0</v>
      </c>
    </row>
    <row r="8549" spans="1:3" x14ac:dyDescent="0.25">
      <c r="A8549" s="2">
        <v>0</v>
      </c>
      <c r="B8549" s="38">
        <v>0</v>
      </c>
      <c r="C8549" s="79">
        <v>0</v>
      </c>
    </row>
    <row r="8550" spans="1:3" x14ac:dyDescent="0.25">
      <c r="A8550" s="2">
        <v>0</v>
      </c>
      <c r="B8550" s="38">
        <v>0</v>
      </c>
      <c r="C8550" s="79">
        <v>0</v>
      </c>
    </row>
    <row r="8551" spans="1:3" x14ac:dyDescent="0.25">
      <c r="A8551" s="2">
        <v>0</v>
      </c>
      <c r="B8551" s="38">
        <v>0</v>
      </c>
      <c r="C8551" s="79">
        <v>0</v>
      </c>
    </row>
    <row r="8552" spans="1:3" x14ac:dyDescent="0.25">
      <c r="A8552" s="2">
        <v>0</v>
      </c>
      <c r="B8552" s="38">
        <v>0</v>
      </c>
      <c r="C8552" s="79">
        <v>0</v>
      </c>
    </row>
    <row r="8553" spans="1:3" x14ac:dyDescent="0.25">
      <c r="A8553" s="2">
        <v>0</v>
      </c>
      <c r="B8553" s="38">
        <v>0</v>
      </c>
      <c r="C8553" s="79">
        <v>0</v>
      </c>
    </row>
    <row r="8554" spans="1:3" x14ac:dyDescent="0.25">
      <c r="A8554" s="2">
        <v>0</v>
      </c>
      <c r="B8554" s="38">
        <v>0</v>
      </c>
      <c r="C8554" s="79">
        <v>0</v>
      </c>
    </row>
    <row r="8555" spans="1:3" x14ac:dyDescent="0.25">
      <c r="A8555" s="2">
        <v>0</v>
      </c>
      <c r="B8555" s="38">
        <v>0</v>
      </c>
      <c r="C8555" s="79">
        <v>0</v>
      </c>
    </row>
    <row r="8556" spans="1:3" x14ac:dyDescent="0.25">
      <c r="A8556" s="2">
        <v>0</v>
      </c>
      <c r="B8556" s="38">
        <v>0</v>
      </c>
      <c r="C8556" s="79">
        <v>0</v>
      </c>
    </row>
    <row r="8557" spans="1:3" x14ac:dyDescent="0.25">
      <c r="A8557" s="2">
        <v>0</v>
      </c>
      <c r="B8557" s="38">
        <v>0</v>
      </c>
      <c r="C8557" s="79">
        <v>0</v>
      </c>
    </row>
    <row r="8558" spans="1:3" x14ac:dyDescent="0.25">
      <c r="A8558" s="2">
        <v>0</v>
      </c>
      <c r="B8558" s="38">
        <v>0</v>
      </c>
      <c r="C8558" s="79">
        <v>0</v>
      </c>
    </row>
    <row r="8559" spans="1:3" x14ac:dyDescent="0.25">
      <c r="A8559" s="2">
        <v>0</v>
      </c>
      <c r="B8559" s="38">
        <v>0</v>
      </c>
      <c r="C8559" s="79">
        <v>0</v>
      </c>
    </row>
    <row r="8560" spans="1:3" x14ac:dyDescent="0.25">
      <c r="A8560" s="2">
        <v>0</v>
      </c>
      <c r="B8560" s="38">
        <v>0</v>
      </c>
      <c r="C8560" s="79">
        <v>0</v>
      </c>
    </row>
    <row r="8561" spans="1:3" x14ac:dyDescent="0.25">
      <c r="A8561" s="2">
        <v>0</v>
      </c>
      <c r="B8561" s="38">
        <v>0</v>
      </c>
      <c r="C8561" s="79">
        <v>0</v>
      </c>
    </row>
    <row r="8562" spans="1:3" x14ac:dyDescent="0.25">
      <c r="A8562" s="2">
        <v>0</v>
      </c>
      <c r="B8562" s="38">
        <v>0</v>
      </c>
      <c r="C8562" s="79">
        <v>0</v>
      </c>
    </row>
    <row r="8563" spans="1:3" x14ac:dyDescent="0.25">
      <c r="A8563" s="2">
        <v>0</v>
      </c>
      <c r="B8563" s="38">
        <v>0</v>
      </c>
      <c r="C8563" s="79">
        <v>0</v>
      </c>
    </row>
    <row r="8564" spans="1:3" x14ac:dyDescent="0.25">
      <c r="A8564" s="2">
        <v>0</v>
      </c>
      <c r="B8564" s="38">
        <v>0</v>
      </c>
      <c r="C8564" s="79">
        <v>0</v>
      </c>
    </row>
    <row r="8565" spans="1:3" x14ac:dyDescent="0.25">
      <c r="A8565" s="2">
        <v>0</v>
      </c>
      <c r="B8565" s="38">
        <v>0</v>
      </c>
      <c r="C8565" s="79">
        <v>0</v>
      </c>
    </row>
    <row r="8566" spans="1:3" x14ac:dyDescent="0.25">
      <c r="A8566" s="2">
        <v>0</v>
      </c>
      <c r="B8566" s="38">
        <v>0</v>
      </c>
      <c r="C8566" s="79">
        <v>0</v>
      </c>
    </row>
    <row r="8567" spans="1:3" x14ac:dyDescent="0.25">
      <c r="A8567" s="2">
        <v>0</v>
      </c>
      <c r="B8567" s="38">
        <v>0</v>
      </c>
      <c r="C8567" s="79">
        <v>0</v>
      </c>
    </row>
    <row r="8568" spans="1:3" x14ac:dyDescent="0.25">
      <c r="A8568" s="2">
        <v>0</v>
      </c>
      <c r="B8568" s="38">
        <v>0</v>
      </c>
      <c r="C8568" s="79">
        <v>0</v>
      </c>
    </row>
    <row r="8569" spans="1:3" x14ac:dyDescent="0.25">
      <c r="A8569" s="2">
        <v>0</v>
      </c>
      <c r="B8569" s="38">
        <v>0</v>
      </c>
      <c r="C8569" s="79">
        <v>0</v>
      </c>
    </row>
    <row r="8570" spans="1:3" x14ac:dyDescent="0.25">
      <c r="A8570" s="2">
        <v>0</v>
      </c>
      <c r="B8570" s="38">
        <v>0</v>
      </c>
      <c r="C8570" s="79">
        <v>0</v>
      </c>
    </row>
    <row r="8571" spans="1:3" x14ac:dyDescent="0.25">
      <c r="A8571" s="2">
        <v>0</v>
      </c>
      <c r="B8571" s="38">
        <v>0</v>
      </c>
      <c r="C8571" s="79">
        <v>0</v>
      </c>
    </row>
    <row r="8572" spans="1:3" x14ac:dyDescent="0.25">
      <c r="A8572" s="2">
        <v>0</v>
      </c>
      <c r="B8572" s="38">
        <v>0</v>
      </c>
      <c r="C8572" s="79">
        <v>0</v>
      </c>
    </row>
    <row r="8573" spans="1:3" x14ac:dyDescent="0.25">
      <c r="A8573" s="2">
        <v>0</v>
      </c>
      <c r="B8573" s="38">
        <v>0</v>
      </c>
      <c r="C8573" s="79">
        <v>0</v>
      </c>
    </row>
    <row r="8574" spans="1:3" x14ac:dyDescent="0.25">
      <c r="A8574" s="2">
        <v>0</v>
      </c>
      <c r="B8574" s="38">
        <v>0</v>
      </c>
      <c r="C8574" s="79">
        <v>0</v>
      </c>
    </row>
    <row r="8575" spans="1:3" x14ac:dyDescent="0.25">
      <c r="A8575" s="2">
        <v>0</v>
      </c>
      <c r="B8575" s="38">
        <v>0</v>
      </c>
      <c r="C8575" s="79">
        <v>0</v>
      </c>
    </row>
    <row r="8576" spans="1:3" x14ac:dyDescent="0.25">
      <c r="A8576" s="2">
        <v>0</v>
      </c>
      <c r="B8576" s="38">
        <v>0</v>
      </c>
      <c r="C8576" s="79">
        <v>0</v>
      </c>
    </row>
    <row r="8577" spans="1:3" x14ac:dyDescent="0.25">
      <c r="A8577" s="2">
        <v>0</v>
      </c>
      <c r="B8577" s="38">
        <v>0</v>
      </c>
      <c r="C8577" s="79">
        <v>0</v>
      </c>
    </row>
    <row r="8578" spans="1:3" x14ac:dyDescent="0.25">
      <c r="A8578" s="2">
        <v>0</v>
      </c>
      <c r="B8578" s="38">
        <v>0</v>
      </c>
      <c r="C8578" s="79">
        <v>0</v>
      </c>
    </row>
    <row r="8579" spans="1:3" x14ac:dyDescent="0.25">
      <c r="A8579" s="2">
        <v>0</v>
      </c>
      <c r="B8579" s="38">
        <v>0</v>
      </c>
      <c r="C8579" s="79">
        <v>0</v>
      </c>
    </row>
    <row r="8580" spans="1:3" x14ac:dyDescent="0.25">
      <c r="A8580" s="2">
        <v>0</v>
      </c>
      <c r="B8580" s="38">
        <v>0</v>
      </c>
      <c r="C8580" s="79">
        <v>0</v>
      </c>
    </row>
    <row r="8581" spans="1:3" x14ac:dyDescent="0.25">
      <c r="A8581" s="2">
        <v>0</v>
      </c>
      <c r="B8581" s="38">
        <v>0</v>
      </c>
      <c r="C8581" s="79">
        <v>0</v>
      </c>
    </row>
    <row r="8582" spans="1:3" x14ac:dyDescent="0.25">
      <c r="A8582" s="2">
        <v>0</v>
      </c>
      <c r="B8582" s="38">
        <v>0</v>
      </c>
      <c r="C8582" s="79">
        <v>0</v>
      </c>
    </row>
    <row r="8583" spans="1:3" x14ac:dyDescent="0.25">
      <c r="A8583" s="2">
        <v>0</v>
      </c>
      <c r="B8583" s="38">
        <v>0</v>
      </c>
      <c r="C8583" s="79">
        <v>0</v>
      </c>
    </row>
    <row r="8584" spans="1:3" x14ac:dyDescent="0.25">
      <c r="A8584" s="2">
        <v>0</v>
      </c>
      <c r="B8584" s="38">
        <v>0</v>
      </c>
      <c r="C8584" s="79">
        <v>0</v>
      </c>
    </row>
    <row r="8585" spans="1:3" x14ac:dyDescent="0.25">
      <c r="A8585" s="2">
        <v>0</v>
      </c>
      <c r="B8585" s="38">
        <v>0</v>
      </c>
      <c r="C8585" s="79">
        <v>0</v>
      </c>
    </row>
    <row r="8586" spans="1:3" x14ac:dyDescent="0.25">
      <c r="A8586" s="2">
        <v>0</v>
      </c>
      <c r="B8586" s="38">
        <v>0</v>
      </c>
      <c r="C8586" s="79">
        <v>0</v>
      </c>
    </row>
    <row r="8587" spans="1:3" x14ac:dyDescent="0.25">
      <c r="A8587" s="2">
        <v>0</v>
      </c>
      <c r="B8587" s="38">
        <v>0</v>
      </c>
      <c r="C8587" s="79">
        <v>0</v>
      </c>
    </row>
    <row r="8588" spans="1:3" x14ac:dyDescent="0.25">
      <c r="A8588" s="2">
        <v>0</v>
      </c>
      <c r="B8588" s="38">
        <v>0</v>
      </c>
      <c r="C8588" s="79">
        <v>0</v>
      </c>
    </row>
    <row r="8589" spans="1:3" x14ac:dyDescent="0.25">
      <c r="A8589" s="2">
        <v>0</v>
      </c>
      <c r="B8589" s="38">
        <v>0</v>
      </c>
      <c r="C8589" s="79">
        <v>0</v>
      </c>
    </row>
    <row r="8590" spans="1:3" x14ac:dyDescent="0.25">
      <c r="A8590" s="2">
        <v>0</v>
      </c>
      <c r="B8590" s="38">
        <v>0</v>
      </c>
      <c r="C8590" s="79">
        <v>0</v>
      </c>
    </row>
    <row r="8591" spans="1:3" x14ac:dyDescent="0.25">
      <c r="A8591" s="2">
        <v>0</v>
      </c>
      <c r="B8591" s="38">
        <v>0</v>
      </c>
      <c r="C8591" s="79">
        <v>0</v>
      </c>
    </row>
    <row r="8592" spans="1:3" x14ac:dyDescent="0.25">
      <c r="A8592" s="2">
        <v>0</v>
      </c>
      <c r="B8592" s="38">
        <v>0</v>
      </c>
      <c r="C8592" s="79">
        <v>0</v>
      </c>
    </row>
    <row r="8593" spans="1:3" x14ac:dyDescent="0.25">
      <c r="A8593" s="2">
        <v>0</v>
      </c>
      <c r="B8593" s="38">
        <v>0</v>
      </c>
      <c r="C8593" s="79">
        <v>0</v>
      </c>
    </row>
    <row r="8594" spans="1:3" x14ac:dyDescent="0.25">
      <c r="A8594" s="2">
        <v>0</v>
      </c>
      <c r="B8594" s="38">
        <v>0</v>
      </c>
      <c r="C8594" s="79">
        <v>0</v>
      </c>
    </row>
    <row r="8595" spans="1:3" x14ac:dyDescent="0.25">
      <c r="A8595" s="2">
        <v>0</v>
      </c>
      <c r="B8595" s="38">
        <v>0</v>
      </c>
      <c r="C8595" s="79">
        <v>0</v>
      </c>
    </row>
    <row r="8596" spans="1:3" x14ac:dyDescent="0.25">
      <c r="A8596" s="2">
        <v>0</v>
      </c>
      <c r="B8596" s="38">
        <v>0</v>
      </c>
      <c r="C8596" s="79">
        <v>0</v>
      </c>
    </row>
    <row r="8597" spans="1:3" x14ac:dyDescent="0.25">
      <c r="A8597" s="2">
        <v>0</v>
      </c>
      <c r="B8597" s="38">
        <v>0</v>
      </c>
      <c r="C8597" s="79">
        <v>0</v>
      </c>
    </row>
    <row r="8598" spans="1:3" x14ac:dyDescent="0.25">
      <c r="A8598" s="2">
        <v>0</v>
      </c>
      <c r="B8598" s="38">
        <v>0</v>
      </c>
      <c r="C8598" s="79">
        <v>0</v>
      </c>
    </row>
    <row r="8599" spans="1:3" x14ac:dyDescent="0.25">
      <c r="A8599" s="2">
        <v>0</v>
      </c>
      <c r="B8599" s="38">
        <v>0</v>
      </c>
      <c r="C8599" s="79">
        <v>0</v>
      </c>
    </row>
    <row r="8600" spans="1:3" x14ac:dyDescent="0.25">
      <c r="A8600" s="2">
        <v>0</v>
      </c>
      <c r="B8600" s="38">
        <v>0</v>
      </c>
      <c r="C8600" s="79">
        <v>0</v>
      </c>
    </row>
    <row r="8601" spans="1:3" x14ac:dyDescent="0.25">
      <c r="A8601" s="2">
        <v>0</v>
      </c>
      <c r="B8601" s="38">
        <v>0</v>
      </c>
      <c r="C8601" s="79">
        <v>0</v>
      </c>
    </row>
    <row r="8602" spans="1:3" x14ac:dyDescent="0.25">
      <c r="A8602" s="2">
        <v>0</v>
      </c>
      <c r="B8602" s="38">
        <v>0</v>
      </c>
      <c r="C8602" s="79">
        <v>0</v>
      </c>
    </row>
    <row r="8603" spans="1:3" x14ac:dyDescent="0.25">
      <c r="A8603" s="2">
        <v>0</v>
      </c>
      <c r="B8603" s="38">
        <v>0</v>
      </c>
      <c r="C8603" s="79">
        <v>0</v>
      </c>
    </row>
    <row r="8604" spans="1:3" x14ac:dyDescent="0.25">
      <c r="A8604" s="2">
        <v>0</v>
      </c>
      <c r="B8604" s="38">
        <v>0</v>
      </c>
      <c r="C8604" s="79">
        <v>0</v>
      </c>
    </row>
    <row r="8605" spans="1:3" x14ac:dyDescent="0.25">
      <c r="A8605" s="2">
        <v>0</v>
      </c>
      <c r="B8605" s="38">
        <v>0</v>
      </c>
      <c r="C8605" s="79">
        <v>0</v>
      </c>
    </row>
    <row r="8606" spans="1:3" x14ac:dyDescent="0.25">
      <c r="A8606" s="2">
        <v>0</v>
      </c>
      <c r="B8606" s="38">
        <v>0</v>
      </c>
      <c r="C8606" s="79">
        <v>0</v>
      </c>
    </row>
    <row r="8607" spans="1:3" x14ac:dyDescent="0.25">
      <c r="A8607" s="2">
        <v>0</v>
      </c>
      <c r="B8607" s="38">
        <v>0</v>
      </c>
      <c r="C8607" s="79">
        <v>0</v>
      </c>
    </row>
    <row r="8608" spans="1:3" x14ac:dyDescent="0.25">
      <c r="A8608" s="2">
        <v>0</v>
      </c>
      <c r="B8608" s="38">
        <v>0</v>
      </c>
      <c r="C8608" s="79">
        <v>0</v>
      </c>
    </row>
    <row r="8609" spans="1:3" x14ac:dyDescent="0.25">
      <c r="A8609" s="2">
        <v>0</v>
      </c>
      <c r="B8609" s="38">
        <v>0</v>
      </c>
      <c r="C8609" s="79">
        <v>0</v>
      </c>
    </row>
    <row r="8610" spans="1:3" x14ac:dyDescent="0.25">
      <c r="A8610" s="2">
        <v>0</v>
      </c>
      <c r="B8610" s="38">
        <v>0</v>
      </c>
      <c r="C8610" s="79">
        <v>0</v>
      </c>
    </row>
    <row r="8611" spans="1:3" x14ac:dyDescent="0.25">
      <c r="A8611" s="2">
        <v>0</v>
      </c>
      <c r="B8611" s="38">
        <v>0</v>
      </c>
      <c r="C8611" s="79">
        <v>0</v>
      </c>
    </row>
    <row r="8612" spans="1:3" x14ac:dyDescent="0.25">
      <c r="A8612" s="2">
        <v>0</v>
      </c>
      <c r="B8612" s="38">
        <v>0</v>
      </c>
      <c r="C8612" s="79">
        <v>0</v>
      </c>
    </row>
    <row r="8613" spans="1:3" x14ac:dyDescent="0.25">
      <c r="A8613" s="2">
        <v>0</v>
      </c>
      <c r="B8613" s="38">
        <v>0</v>
      </c>
      <c r="C8613" s="79">
        <v>0</v>
      </c>
    </row>
    <row r="8614" spans="1:3" x14ac:dyDescent="0.25">
      <c r="A8614" s="2">
        <v>0</v>
      </c>
      <c r="B8614" s="38">
        <v>0</v>
      </c>
      <c r="C8614" s="79">
        <v>0</v>
      </c>
    </row>
    <row r="8615" spans="1:3" x14ac:dyDescent="0.25">
      <c r="A8615" s="2">
        <v>0</v>
      </c>
      <c r="B8615" s="38">
        <v>0</v>
      </c>
      <c r="C8615" s="79">
        <v>0</v>
      </c>
    </row>
    <row r="8616" spans="1:3" x14ac:dyDescent="0.25">
      <c r="A8616" s="2">
        <v>0</v>
      </c>
      <c r="B8616" s="38">
        <v>0</v>
      </c>
      <c r="C8616" s="79">
        <v>0</v>
      </c>
    </row>
    <row r="8617" spans="1:3" x14ac:dyDescent="0.25">
      <c r="A8617" s="2">
        <v>0</v>
      </c>
      <c r="B8617" s="38">
        <v>0</v>
      </c>
      <c r="C8617" s="79">
        <v>0</v>
      </c>
    </row>
    <row r="8618" spans="1:3" x14ac:dyDescent="0.25">
      <c r="A8618" s="2">
        <v>0</v>
      </c>
      <c r="B8618" s="38">
        <v>0</v>
      </c>
      <c r="C8618" s="79">
        <v>0</v>
      </c>
    </row>
    <row r="8619" spans="1:3" x14ac:dyDescent="0.25">
      <c r="A8619" s="2">
        <v>0</v>
      </c>
      <c r="B8619" s="38">
        <v>0</v>
      </c>
      <c r="C8619" s="79">
        <v>0</v>
      </c>
    </row>
    <row r="8620" spans="1:3" x14ac:dyDescent="0.25">
      <c r="A8620" s="2">
        <v>0</v>
      </c>
      <c r="B8620" s="38">
        <v>0</v>
      </c>
      <c r="C8620" s="79">
        <v>0</v>
      </c>
    </row>
    <row r="8621" spans="1:3" x14ac:dyDescent="0.25">
      <c r="A8621" s="2">
        <v>0</v>
      </c>
      <c r="B8621" s="38">
        <v>0</v>
      </c>
      <c r="C8621" s="79">
        <v>0</v>
      </c>
    </row>
    <row r="8622" spans="1:3" x14ac:dyDescent="0.25">
      <c r="A8622" s="2">
        <v>0</v>
      </c>
      <c r="B8622" s="38">
        <v>0</v>
      </c>
      <c r="C8622" s="79">
        <v>0</v>
      </c>
    </row>
    <row r="8623" spans="1:3" x14ac:dyDescent="0.25">
      <c r="A8623" s="2">
        <v>0</v>
      </c>
      <c r="B8623" s="38">
        <v>0</v>
      </c>
      <c r="C8623" s="79">
        <v>0</v>
      </c>
    </row>
    <row r="8624" spans="1:3" x14ac:dyDescent="0.25">
      <c r="A8624" s="2">
        <v>0</v>
      </c>
      <c r="B8624" s="38">
        <v>0</v>
      </c>
      <c r="C8624" s="79">
        <v>0</v>
      </c>
    </row>
    <row r="8625" spans="1:3" x14ac:dyDescent="0.25">
      <c r="A8625" s="2">
        <v>0</v>
      </c>
      <c r="B8625" s="38">
        <v>0</v>
      </c>
      <c r="C8625" s="79">
        <v>0</v>
      </c>
    </row>
    <row r="8626" spans="1:3" x14ac:dyDescent="0.25">
      <c r="A8626" s="2">
        <v>0</v>
      </c>
      <c r="B8626" s="38">
        <v>0</v>
      </c>
      <c r="C8626" s="79">
        <v>0</v>
      </c>
    </row>
    <row r="8627" spans="1:3" x14ac:dyDescent="0.25">
      <c r="A8627" s="2">
        <v>0</v>
      </c>
      <c r="B8627" s="38">
        <v>0</v>
      </c>
      <c r="C8627" s="79">
        <v>0</v>
      </c>
    </row>
    <row r="8628" spans="1:3" x14ac:dyDescent="0.25">
      <c r="A8628" s="2">
        <v>0</v>
      </c>
      <c r="B8628" s="38">
        <v>0</v>
      </c>
      <c r="C8628" s="79">
        <v>0</v>
      </c>
    </row>
    <row r="8629" spans="1:3" x14ac:dyDescent="0.25">
      <c r="A8629" s="2">
        <v>0</v>
      </c>
      <c r="B8629" s="38">
        <v>0</v>
      </c>
      <c r="C8629" s="79">
        <v>0</v>
      </c>
    </row>
    <row r="8630" spans="1:3" x14ac:dyDescent="0.25">
      <c r="A8630" s="2">
        <v>0</v>
      </c>
      <c r="B8630" s="38">
        <v>0</v>
      </c>
      <c r="C8630" s="79">
        <v>0</v>
      </c>
    </row>
    <row r="8631" spans="1:3" x14ac:dyDescent="0.25">
      <c r="A8631" s="2">
        <v>0</v>
      </c>
      <c r="B8631" s="38">
        <v>0</v>
      </c>
      <c r="C8631" s="79">
        <v>0</v>
      </c>
    </row>
    <row r="8632" spans="1:3" x14ac:dyDescent="0.25">
      <c r="A8632" s="2">
        <v>0</v>
      </c>
      <c r="B8632" s="38">
        <v>0</v>
      </c>
      <c r="C8632" s="79">
        <v>0</v>
      </c>
    </row>
    <row r="8633" spans="1:3" x14ac:dyDescent="0.25">
      <c r="A8633" s="2">
        <v>0</v>
      </c>
      <c r="B8633" s="38">
        <v>0</v>
      </c>
      <c r="C8633" s="79">
        <v>0</v>
      </c>
    </row>
    <row r="8634" spans="1:3" x14ac:dyDescent="0.25">
      <c r="A8634" s="2">
        <v>0</v>
      </c>
      <c r="B8634" s="38">
        <v>0</v>
      </c>
      <c r="C8634" s="79">
        <v>0</v>
      </c>
    </row>
    <row r="8635" spans="1:3" x14ac:dyDescent="0.25">
      <c r="A8635" s="2">
        <v>0</v>
      </c>
      <c r="B8635" s="38">
        <v>0</v>
      </c>
      <c r="C8635" s="79">
        <v>0</v>
      </c>
    </row>
    <row r="8636" spans="1:3" x14ac:dyDescent="0.25">
      <c r="A8636" s="2">
        <v>0</v>
      </c>
      <c r="B8636" s="38">
        <v>0</v>
      </c>
      <c r="C8636" s="79">
        <v>0</v>
      </c>
    </row>
    <row r="8637" spans="1:3" x14ac:dyDescent="0.25">
      <c r="A8637" s="2">
        <v>0</v>
      </c>
      <c r="B8637" s="38">
        <v>0</v>
      </c>
      <c r="C8637" s="79">
        <v>0</v>
      </c>
    </row>
    <row r="8638" spans="1:3" x14ac:dyDescent="0.25">
      <c r="A8638" s="2">
        <v>0</v>
      </c>
      <c r="B8638" s="38">
        <v>0</v>
      </c>
      <c r="C8638" s="79">
        <v>0</v>
      </c>
    </row>
    <row r="8639" spans="1:3" x14ac:dyDescent="0.25">
      <c r="A8639" s="2">
        <v>0</v>
      </c>
      <c r="B8639" s="38">
        <v>0</v>
      </c>
      <c r="C8639" s="79">
        <v>0</v>
      </c>
    </row>
    <row r="8640" spans="1:3" x14ac:dyDescent="0.25">
      <c r="A8640" s="2">
        <v>0</v>
      </c>
      <c r="B8640" s="38">
        <v>0</v>
      </c>
      <c r="C8640" s="79">
        <v>0</v>
      </c>
    </row>
    <row r="8641" spans="1:3" x14ac:dyDescent="0.25">
      <c r="A8641" s="2">
        <v>0</v>
      </c>
      <c r="B8641" s="38">
        <v>0</v>
      </c>
      <c r="C8641" s="79">
        <v>0</v>
      </c>
    </row>
    <row r="8642" spans="1:3" x14ac:dyDescent="0.25">
      <c r="A8642" s="2">
        <v>0</v>
      </c>
      <c r="B8642" s="38">
        <v>0</v>
      </c>
      <c r="C8642" s="79">
        <v>0</v>
      </c>
    </row>
    <row r="8643" spans="1:3" x14ac:dyDescent="0.25">
      <c r="A8643" s="2">
        <v>0</v>
      </c>
      <c r="B8643" s="38">
        <v>0</v>
      </c>
      <c r="C8643" s="79">
        <v>0</v>
      </c>
    </row>
    <row r="8644" spans="1:3" x14ac:dyDescent="0.25">
      <c r="A8644" s="2">
        <v>0</v>
      </c>
      <c r="B8644" s="38">
        <v>0</v>
      </c>
      <c r="C8644" s="79">
        <v>0</v>
      </c>
    </row>
    <row r="8645" spans="1:3" x14ac:dyDescent="0.25">
      <c r="A8645" s="2">
        <v>0</v>
      </c>
      <c r="B8645" s="38">
        <v>0</v>
      </c>
      <c r="C8645" s="79">
        <v>0</v>
      </c>
    </row>
    <row r="8646" spans="1:3" x14ac:dyDescent="0.25">
      <c r="A8646" s="2">
        <v>0</v>
      </c>
      <c r="B8646" s="38">
        <v>0</v>
      </c>
      <c r="C8646" s="79">
        <v>0</v>
      </c>
    </row>
    <row r="8647" spans="1:3" x14ac:dyDescent="0.25">
      <c r="A8647" s="2">
        <v>0</v>
      </c>
      <c r="B8647" s="38">
        <v>0</v>
      </c>
      <c r="C8647" s="79">
        <v>0</v>
      </c>
    </row>
    <row r="8648" spans="1:3" x14ac:dyDescent="0.25">
      <c r="A8648" s="2">
        <v>0</v>
      </c>
      <c r="B8648" s="38">
        <v>0</v>
      </c>
      <c r="C8648" s="79">
        <v>0</v>
      </c>
    </row>
    <row r="8649" spans="1:3" x14ac:dyDescent="0.25">
      <c r="A8649" s="2">
        <v>0</v>
      </c>
      <c r="B8649" s="38">
        <v>0</v>
      </c>
      <c r="C8649" s="79">
        <v>0</v>
      </c>
    </row>
    <row r="8650" spans="1:3" x14ac:dyDescent="0.25">
      <c r="A8650" s="2">
        <v>0</v>
      </c>
      <c r="B8650" s="38">
        <v>0</v>
      </c>
      <c r="C8650" s="79">
        <v>0</v>
      </c>
    </row>
    <row r="8651" spans="1:3" x14ac:dyDescent="0.25">
      <c r="A8651" s="2">
        <v>0</v>
      </c>
      <c r="B8651" s="38">
        <v>0</v>
      </c>
      <c r="C8651" s="79">
        <v>0</v>
      </c>
    </row>
    <row r="8652" spans="1:3" x14ac:dyDescent="0.25">
      <c r="A8652" s="2">
        <v>0</v>
      </c>
      <c r="B8652" s="38">
        <v>0</v>
      </c>
      <c r="C8652" s="79">
        <v>0</v>
      </c>
    </row>
    <row r="8653" spans="1:3" x14ac:dyDescent="0.25">
      <c r="A8653" s="2">
        <v>0</v>
      </c>
      <c r="B8653" s="38">
        <v>0</v>
      </c>
      <c r="C8653" s="79">
        <v>0</v>
      </c>
    </row>
    <row r="8654" spans="1:3" x14ac:dyDescent="0.25">
      <c r="A8654" s="2">
        <v>0</v>
      </c>
      <c r="B8654" s="38">
        <v>0</v>
      </c>
      <c r="C8654" s="79">
        <v>0</v>
      </c>
    </row>
    <row r="8655" spans="1:3" x14ac:dyDescent="0.25">
      <c r="A8655" s="2">
        <v>0</v>
      </c>
      <c r="B8655" s="38">
        <v>0</v>
      </c>
      <c r="C8655" s="79">
        <v>0</v>
      </c>
    </row>
    <row r="8656" spans="1:3" x14ac:dyDescent="0.25">
      <c r="A8656" s="2">
        <v>0</v>
      </c>
      <c r="B8656" s="38">
        <v>0</v>
      </c>
      <c r="C8656" s="79">
        <v>0</v>
      </c>
    </row>
    <row r="8657" spans="1:3" x14ac:dyDescent="0.25">
      <c r="A8657" s="2">
        <v>0</v>
      </c>
      <c r="B8657" s="38">
        <v>0</v>
      </c>
      <c r="C8657" s="79">
        <v>0</v>
      </c>
    </row>
    <row r="8658" spans="1:3" x14ac:dyDescent="0.25">
      <c r="A8658" s="2">
        <v>0</v>
      </c>
      <c r="B8658" s="38">
        <v>0</v>
      </c>
      <c r="C8658" s="79">
        <v>0</v>
      </c>
    </row>
    <row r="8659" spans="1:3" x14ac:dyDescent="0.25">
      <c r="A8659" s="2">
        <v>0</v>
      </c>
      <c r="B8659" s="38">
        <v>0</v>
      </c>
      <c r="C8659" s="79">
        <v>0</v>
      </c>
    </row>
    <row r="8660" spans="1:3" x14ac:dyDescent="0.25">
      <c r="A8660" s="2">
        <v>0</v>
      </c>
      <c r="B8660" s="38">
        <v>0</v>
      </c>
      <c r="C8660" s="79">
        <v>0</v>
      </c>
    </row>
    <row r="8661" spans="1:3" x14ac:dyDescent="0.25">
      <c r="A8661" s="2">
        <v>0</v>
      </c>
      <c r="B8661" s="38">
        <v>0</v>
      </c>
      <c r="C8661" s="79">
        <v>0</v>
      </c>
    </row>
    <row r="8662" spans="1:3" x14ac:dyDescent="0.25">
      <c r="A8662" s="2">
        <v>0</v>
      </c>
      <c r="B8662" s="38">
        <v>0</v>
      </c>
      <c r="C8662" s="79">
        <v>0</v>
      </c>
    </row>
    <row r="8663" spans="1:3" x14ac:dyDescent="0.25">
      <c r="A8663" s="2">
        <v>0</v>
      </c>
      <c r="B8663" s="38">
        <v>0</v>
      </c>
      <c r="C8663" s="79">
        <v>0</v>
      </c>
    </row>
    <row r="8664" spans="1:3" x14ac:dyDescent="0.25">
      <c r="A8664" s="2">
        <v>0</v>
      </c>
      <c r="B8664" s="38">
        <v>0</v>
      </c>
      <c r="C8664" s="79">
        <v>0</v>
      </c>
    </row>
    <row r="8665" spans="1:3" x14ac:dyDescent="0.25">
      <c r="A8665" s="2">
        <v>0</v>
      </c>
      <c r="B8665" s="38">
        <v>0</v>
      </c>
      <c r="C8665" s="79">
        <v>0</v>
      </c>
    </row>
    <row r="8666" spans="1:3" x14ac:dyDescent="0.25">
      <c r="A8666" s="2">
        <v>0</v>
      </c>
      <c r="B8666" s="38">
        <v>0</v>
      </c>
      <c r="C8666" s="79">
        <v>0</v>
      </c>
    </row>
    <row r="8667" spans="1:3" x14ac:dyDescent="0.25">
      <c r="A8667" s="2">
        <v>0</v>
      </c>
      <c r="B8667" s="38">
        <v>0</v>
      </c>
      <c r="C8667" s="79">
        <v>0</v>
      </c>
    </row>
    <row r="8668" spans="1:3" x14ac:dyDescent="0.25">
      <c r="A8668" s="2">
        <v>0</v>
      </c>
      <c r="B8668" s="38">
        <v>0</v>
      </c>
      <c r="C8668" s="79">
        <v>0</v>
      </c>
    </row>
    <row r="8669" spans="1:3" x14ac:dyDescent="0.25">
      <c r="A8669" s="2">
        <v>0</v>
      </c>
      <c r="B8669" s="38">
        <v>0</v>
      </c>
      <c r="C8669" s="79">
        <v>0</v>
      </c>
    </row>
    <row r="8670" spans="1:3" x14ac:dyDescent="0.25">
      <c r="A8670" s="2">
        <v>0</v>
      </c>
      <c r="B8670" s="38">
        <v>0</v>
      </c>
      <c r="C8670" s="79">
        <v>0</v>
      </c>
    </row>
    <row r="8671" spans="1:3" x14ac:dyDescent="0.25">
      <c r="A8671" s="2">
        <v>0</v>
      </c>
      <c r="B8671" s="38">
        <v>0</v>
      </c>
      <c r="C8671" s="79">
        <v>0</v>
      </c>
    </row>
    <row r="8672" spans="1:3" x14ac:dyDescent="0.25">
      <c r="A8672" s="2">
        <v>0</v>
      </c>
      <c r="B8672" s="38">
        <v>0</v>
      </c>
      <c r="C8672" s="79">
        <v>0</v>
      </c>
    </row>
    <row r="8673" spans="1:3" x14ac:dyDescent="0.25">
      <c r="A8673" s="2">
        <v>0</v>
      </c>
      <c r="B8673" s="38">
        <v>0</v>
      </c>
      <c r="C8673" s="79">
        <v>0</v>
      </c>
    </row>
    <row r="8674" spans="1:3" x14ac:dyDescent="0.25">
      <c r="A8674" s="2">
        <v>0</v>
      </c>
      <c r="B8674" s="38">
        <v>0</v>
      </c>
      <c r="C8674" s="79">
        <v>0</v>
      </c>
    </row>
    <row r="8675" spans="1:3" x14ac:dyDescent="0.25">
      <c r="A8675" s="2">
        <v>0</v>
      </c>
      <c r="B8675" s="38">
        <v>0</v>
      </c>
      <c r="C8675" s="79">
        <v>0</v>
      </c>
    </row>
    <row r="8676" spans="1:3" x14ac:dyDescent="0.25">
      <c r="A8676" s="2">
        <v>0</v>
      </c>
      <c r="B8676" s="38">
        <v>0</v>
      </c>
      <c r="C8676" s="79">
        <v>0</v>
      </c>
    </row>
    <row r="8677" spans="1:3" x14ac:dyDescent="0.25">
      <c r="A8677" s="2">
        <v>0</v>
      </c>
      <c r="B8677" s="38">
        <v>0</v>
      </c>
      <c r="C8677" s="79">
        <v>0</v>
      </c>
    </row>
    <row r="8678" spans="1:3" x14ac:dyDescent="0.25">
      <c r="A8678" s="2">
        <v>0</v>
      </c>
      <c r="B8678" s="38">
        <v>0</v>
      </c>
      <c r="C8678" s="79">
        <v>0</v>
      </c>
    </row>
    <row r="8679" spans="1:3" x14ac:dyDescent="0.25">
      <c r="A8679" s="2">
        <v>0</v>
      </c>
      <c r="B8679" s="38">
        <v>0</v>
      </c>
      <c r="C8679" s="79">
        <v>0</v>
      </c>
    </row>
    <row r="8680" spans="1:3" x14ac:dyDescent="0.25">
      <c r="A8680" s="2">
        <v>0</v>
      </c>
      <c r="B8680" s="38">
        <v>0</v>
      </c>
      <c r="C8680" s="79">
        <v>0</v>
      </c>
    </row>
    <row r="8681" spans="1:3" x14ac:dyDescent="0.25">
      <c r="A8681" s="2">
        <v>0</v>
      </c>
      <c r="B8681" s="38">
        <v>0</v>
      </c>
      <c r="C8681" s="79">
        <v>0</v>
      </c>
    </row>
    <row r="8682" spans="1:3" x14ac:dyDescent="0.25">
      <c r="A8682" s="2">
        <v>0</v>
      </c>
      <c r="B8682" s="38">
        <v>0</v>
      </c>
      <c r="C8682" s="79">
        <v>0</v>
      </c>
    </row>
    <row r="8683" spans="1:3" x14ac:dyDescent="0.25">
      <c r="A8683" s="2">
        <v>0</v>
      </c>
      <c r="B8683" s="38">
        <v>0</v>
      </c>
      <c r="C8683" s="79">
        <v>0</v>
      </c>
    </row>
    <row r="8684" spans="1:3" x14ac:dyDescent="0.25">
      <c r="A8684" s="2">
        <v>0</v>
      </c>
      <c r="B8684" s="38">
        <v>0</v>
      </c>
      <c r="C8684" s="79">
        <v>0</v>
      </c>
    </row>
    <row r="8685" spans="1:3" x14ac:dyDescent="0.25">
      <c r="A8685" s="2">
        <v>0</v>
      </c>
      <c r="B8685" s="38">
        <v>0</v>
      </c>
      <c r="C8685" s="79">
        <v>0</v>
      </c>
    </row>
    <row r="8686" spans="1:3" x14ac:dyDescent="0.25">
      <c r="A8686" s="2">
        <v>0</v>
      </c>
      <c r="B8686" s="38">
        <v>0</v>
      </c>
      <c r="C8686" s="79">
        <v>0</v>
      </c>
    </row>
    <row r="8687" spans="1:3" x14ac:dyDescent="0.25">
      <c r="A8687" s="2">
        <v>0</v>
      </c>
      <c r="B8687" s="38">
        <v>0</v>
      </c>
      <c r="C8687" s="79">
        <v>0</v>
      </c>
    </row>
    <row r="8688" spans="1:3" x14ac:dyDescent="0.25">
      <c r="A8688" s="2">
        <v>0</v>
      </c>
      <c r="B8688" s="38">
        <v>0</v>
      </c>
      <c r="C8688" s="79">
        <v>0</v>
      </c>
    </row>
    <row r="8689" spans="1:3" x14ac:dyDescent="0.25">
      <c r="A8689" s="2">
        <v>0</v>
      </c>
      <c r="B8689" s="38">
        <v>0</v>
      </c>
      <c r="C8689" s="79">
        <v>0</v>
      </c>
    </row>
    <row r="8690" spans="1:3" x14ac:dyDescent="0.25">
      <c r="A8690" s="2">
        <v>0</v>
      </c>
      <c r="B8690" s="38">
        <v>0</v>
      </c>
      <c r="C8690" s="79">
        <v>0</v>
      </c>
    </row>
    <row r="8691" spans="1:3" x14ac:dyDescent="0.25">
      <c r="A8691" s="2">
        <v>0</v>
      </c>
      <c r="B8691" s="38">
        <v>0</v>
      </c>
      <c r="C8691" s="79">
        <v>0</v>
      </c>
    </row>
    <row r="8692" spans="1:3" x14ac:dyDescent="0.25">
      <c r="A8692" s="2">
        <v>0</v>
      </c>
      <c r="B8692" s="38">
        <v>0</v>
      </c>
      <c r="C8692" s="79">
        <v>0</v>
      </c>
    </row>
    <row r="8693" spans="1:3" x14ac:dyDescent="0.25">
      <c r="A8693" s="2">
        <v>0</v>
      </c>
      <c r="B8693" s="38">
        <v>0</v>
      </c>
      <c r="C8693" s="79">
        <v>0</v>
      </c>
    </row>
    <row r="8694" spans="1:3" x14ac:dyDescent="0.25">
      <c r="A8694" s="2">
        <v>0</v>
      </c>
      <c r="B8694" s="38">
        <v>0</v>
      </c>
      <c r="C8694" s="79">
        <v>0</v>
      </c>
    </row>
    <row r="8695" spans="1:3" x14ac:dyDescent="0.25">
      <c r="A8695" s="2">
        <v>0</v>
      </c>
      <c r="B8695" s="38">
        <v>0</v>
      </c>
      <c r="C8695" s="79">
        <v>0</v>
      </c>
    </row>
    <row r="8696" spans="1:3" x14ac:dyDescent="0.25">
      <c r="A8696" s="2">
        <v>0</v>
      </c>
      <c r="B8696" s="38">
        <v>0</v>
      </c>
      <c r="C8696" s="79">
        <v>0</v>
      </c>
    </row>
    <row r="8697" spans="1:3" x14ac:dyDescent="0.25">
      <c r="A8697" s="2">
        <v>0</v>
      </c>
      <c r="B8697" s="38">
        <v>0</v>
      </c>
      <c r="C8697" s="79">
        <v>0</v>
      </c>
    </row>
    <row r="8698" spans="1:3" x14ac:dyDescent="0.25">
      <c r="A8698" s="2">
        <v>0</v>
      </c>
      <c r="B8698" s="38">
        <v>0</v>
      </c>
      <c r="C8698" s="79">
        <v>0</v>
      </c>
    </row>
    <row r="8699" spans="1:3" x14ac:dyDescent="0.25">
      <c r="A8699" s="2">
        <v>0</v>
      </c>
      <c r="B8699" s="38">
        <v>0</v>
      </c>
      <c r="C8699" s="79">
        <v>0</v>
      </c>
    </row>
    <row r="8700" spans="1:3" x14ac:dyDescent="0.25">
      <c r="A8700" s="2">
        <v>0</v>
      </c>
      <c r="B8700" s="38">
        <v>0</v>
      </c>
      <c r="C8700" s="79">
        <v>0</v>
      </c>
    </row>
    <row r="8701" spans="1:3" x14ac:dyDescent="0.25">
      <c r="A8701" s="2">
        <v>0</v>
      </c>
      <c r="B8701" s="38">
        <v>0</v>
      </c>
      <c r="C8701" s="79">
        <v>0</v>
      </c>
    </row>
    <row r="8702" spans="1:3" x14ac:dyDescent="0.25">
      <c r="A8702" s="2">
        <v>0</v>
      </c>
      <c r="B8702" s="38">
        <v>0</v>
      </c>
      <c r="C8702" s="79">
        <v>0</v>
      </c>
    </row>
    <row r="8703" spans="1:3" x14ac:dyDescent="0.25">
      <c r="A8703" s="2">
        <v>0</v>
      </c>
      <c r="B8703" s="38">
        <v>0</v>
      </c>
      <c r="C8703" s="79">
        <v>0</v>
      </c>
    </row>
    <row r="8704" spans="1:3" x14ac:dyDescent="0.25">
      <c r="A8704" s="2">
        <v>0</v>
      </c>
      <c r="B8704" s="38">
        <v>0</v>
      </c>
      <c r="C8704" s="79">
        <v>0</v>
      </c>
    </row>
    <row r="8705" spans="1:3" x14ac:dyDescent="0.25">
      <c r="A8705" s="2">
        <v>0</v>
      </c>
      <c r="B8705" s="38">
        <v>0</v>
      </c>
      <c r="C8705" s="79">
        <v>0</v>
      </c>
    </row>
    <row r="8706" spans="1:3" x14ac:dyDescent="0.25">
      <c r="A8706" s="2">
        <v>0</v>
      </c>
      <c r="B8706" s="38">
        <v>0</v>
      </c>
      <c r="C8706" s="79">
        <v>0</v>
      </c>
    </row>
    <row r="8707" spans="1:3" x14ac:dyDescent="0.25">
      <c r="A8707" s="2">
        <v>0</v>
      </c>
      <c r="B8707" s="38">
        <v>0</v>
      </c>
      <c r="C8707" s="79">
        <v>0</v>
      </c>
    </row>
    <row r="8708" spans="1:3" x14ac:dyDescent="0.25">
      <c r="A8708" s="2">
        <v>0</v>
      </c>
      <c r="B8708" s="38">
        <v>0</v>
      </c>
      <c r="C8708" s="79">
        <v>0</v>
      </c>
    </row>
    <row r="8709" spans="1:3" x14ac:dyDescent="0.25">
      <c r="A8709" s="2">
        <v>0</v>
      </c>
      <c r="B8709" s="38">
        <v>0</v>
      </c>
      <c r="C8709" s="79">
        <v>0</v>
      </c>
    </row>
    <row r="8710" spans="1:3" x14ac:dyDescent="0.25">
      <c r="A8710" s="2">
        <v>0</v>
      </c>
      <c r="B8710" s="38">
        <v>0</v>
      </c>
      <c r="C8710" s="79">
        <v>0</v>
      </c>
    </row>
    <row r="8711" spans="1:3" x14ac:dyDescent="0.25">
      <c r="A8711" s="2">
        <v>0</v>
      </c>
      <c r="B8711" s="38">
        <v>0</v>
      </c>
      <c r="C8711" s="79">
        <v>0</v>
      </c>
    </row>
    <row r="8712" spans="1:3" x14ac:dyDescent="0.25">
      <c r="A8712" s="2">
        <v>0</v>
      </c>
      <c r="B8712" s="38">
        <v>0</v>
      </c>
      <c r="C8712" s="79">
        <v>0</v>
      </c>
    </row>
    <row r="8713" spans="1:3" x14ac:dyDescent="0.25">
      <c r="A8713" s="2">
        <v>0</v>
      </c>
      <c r="B8713" s="38">
        <v>0</v>
      </c>
      <c r="C8713" s="79">
        <v>0</v>
      </c>
    </row>
    <row r="8714" spans="1:3" x14ac:dyDescent="0.25">
      <c r="A8714" s="2">
        <v>0</v>
      </c>
      <c r="B8714" s="38">
        <v>0</v>
      </c>
      <c r="C8714" s="79">
        <v>0</v>
      </c>
    </row>
    <row r="8715" spans="1:3" x14ac:dyDescent="0.25">
      <c r="A8715" s="2">
        <v>0</v>
      </c>
      <c r="B8715" s="38">
        <v>0</v>
      </c>
      <c r="C8715" s="79">
        <v>0</v>
      </c>
    </row>
    <row r="8716" spans="1:3" x14ac:dyDescent="0.25">
      <c r="A8716" s="2">
        <v>0</v>
      </c>
      <c r="B8716" s="38">
        <v>0</v>
      </c>
      <c r="C8716" s="79">
        <v>0</v>
      </c>
    </row>
    <row r="8717" spans="1:3" x14ac:dyDescent="0.25">
      <c r="A8717" s="2">
        <v>0</v>
      </c>
      <c r="B8717" s="38">
        <v>0</v>
      </c>
      <c r="C8717" s="79">
        <v>0</v>
      </c>
    </row>
    <row r="8718" spans="1:3" x14ac:dyDescent="0.25">
      <c r="A8718" s="2">
        <v>0</v>
      </c>
      <c r="B8718" s="38">
        <v>0</v>
      </c>
      <c r="C8718" s="79">
        <v>0</v>
      </c>
    </row>
    <row r="8719" spans="1:3" x14ac:dyDescent="0.25">
      <c r="A8719" s="2">
        <v>0</v>
      </c>
      <c r="B8719" s="38">
        <v>0</v>
      </c>
      <c r="C8719" s="79">
        <v>0</v>
      </c>
    </row>
    <row r="8720" spans="1:3" x14ac:dyDescent="0.25">
      <c r="A8720" s="2">
        <v>0</v>
      </c>
      <c r="B8720" s="38">
        <v>0</v>
      </c>
      <c r="C8720" s="79">
        <v>0</v>
      </c>
    </row>
    <row r="8721" spans="1:3" x14ac:dyDescent="0.25">
      <c r="A8721" s="2">
        <v>0</v>
      </c>
      <c r="B8721" s="38">
        <v>0</v>
      </c>
      <c r="C8721" s="79">
        <v>0</v>
      </c>
    </row>
    <row r="8722" spans="1:3" x14ac:dyDescent="0.25">
      <c r="A8722" s="2">
        <v>0</v>
      </c>
      <c r="B8722" s="38">
        <v>0</v>
      </c>
      <c r="C8722" s="79">
        <v>0</v>
      </c>
    </row>
    <row r="8723" spans="1:3" x14ac:dyDescent="0.25">
      <c r="A8723" s="2">
        <v>0</v>
      </c>
      <c r="B8723" s="38">
        <v>0</v>
      </c>
      <c r="C8723" s="79">
        <v>0</v>
      </c>
    </row>
    <row r="8724" spans="1:3" x14ac:dyDescent="0.25">
      <c r="A8724" s="2">
        <v>0</v>
      </c>
      <c r="B8724" s="38">
        <v>0</v>
      </c>
      <c r="C8724" s="79">
        <v>0</v>
      </c>
    </row>
    <row r="8725" spans="1:3" x14ac:dyDescent="0.25">
      <c r="A8725" s="2">
        <v>0</v>
      </c>
      <c r="B8725" s="38">
        <v>0</v>
      </c>
      <c r="C8725" s="79">
        <v>0</v>
      </c>
    </row>
    <row r="8726" spans="1:3" x14ac:dyDescent="0.25">
      <c r="A8726" s="2">
        <v>0</v>
      </c>
      <c r="B8726" s="38">
        <v>0</v>
      </c>
      <c r="C8726" s="79">
        <v>0</v>
      </c>
    </row>
    <row r="8727" spans="1:3" x14ac:dyDescent="0.25">
      <c r="A8727" s="2">
        <v>0</v>
      </c>
      <c r="B8727" s="38">
        <v>0</v>
      </c>
      <c r="C8727" s="79">
        <v>0</v>
      </c>
    </row>
    <row r="8728" spans="1:3" x14ac:dyDescent="0.25">
      <c r="A8728" s="2">
        <v>0</v>
      </c>
      <c r="B8728" s="38">
        <v>0</v>
      </c>
      <c r="C8728" s="79">
        <v>0</v>
      </c>
    </row>
    <row r="8729" spans="1:3" x14ac:dyDescent="0.25">
      <c r="A8729" s="2">
        <v>0</v>
      </c>
      <c r="B8729" s="38">
        <v>0</v>
      </c>
      <c r="C8729" s="79">
        <v>0</v>
      </c>
    </row>
    <row r="8730" spans="1:3" x14ac:dyDescent="0.25">
      <c r="A8730" s="2">
        <v>0</v>
      </c>
      <c r="B8730" s="38">
        <v>0</v>
      </c>
      <c r="C8730" s="79">
        <v>0</v>
      </c>
    </row>
    <row r="8731" spans="1:3" x14ac:dyDescent="0.25">
      <c r="A8731" s="2">
        <v>0</v>
      </c>
      <c r="B8731" s="38">
        <v>0</v>
      </c>
      <c r="C8731" s="79">
        <v>0</v>
      </c>
    </row>
    <row r="8732" spans="1:3" x14ac:dyDescent="0.25">
      <c r="A8732" s="2">
        <v>0</v>
      </c>
      <c r="B8732" s="38">
        <v>0</v>
      </c>
      <c r="C8732" s="79">
        <v>0</v>
      </c>
    </row>
    <row r="8733" spans="1:3" x14ac:dyDescent="0.25">
      <c r="A8733" s="2">
        <v>0</v>
      </c>
      <c r="B8733" s="38">
        <v>0</v>
      </c>
      <c r="C8733" s="79">
        <v>0</v>
      </c>
    </row>
    <row r="8734" spans="1:3" x14ac:dyDescent="0.25">
      <c r="A8734" s="2">
        <v>0</v>
      </c>
      <c r="B8734" s="38">
        <v>0</v>
      </c>
      <c r="C8734" s="79">
        <v>0</v>
      </c>
    </row>
    <row r="8735" spans="1:3" x14ac:dyDescent="0.25">
      <c r="A8735" s="2">
        <v>0</v>
      </c>
      <c r="B8735" s="38">
        <v>0</v>
      </c>
      <c r="C8735" s="79">
        <v>0</v>
      </c>
    </row>
    <row r="8736" spans="1:3" x14ac:dyDescent="0.25">
      <c r="A8736" s="2">
        <v>0</v>
      </c>
      <c r="B8736" s="38">
        <v>0</v>
      </c>
      <c r="C8736" s="79">
        <v>0</v>
      </c>
    </row>
    <row r="8737" spans="1:3" x14ac:dyDescent="0.25">
      <c r="A8737" s="2">
        <v>0</v>
      </c>
      <c r="B8737" s="38">
        <v>0</v>
      </c>
      <c r="C8737" s="79">
        <v>0</v>
      </c>
    </row>
    <row r="8738" spans="1:3" x14ac:dyDescent="0.25">
      <c r="A8738" s="2">
        <v>0</v>
      </c>
      <c r="B8738" s="38">
        <v>0</v>
      </c>
      <c r="C8738" s="79">
        <v>0</v>
      </c>
    </row>
    <row r="8739" spans="1:3" x14ac:dyDescent="0.25">
      <c r="A8739" s="2">
        <v>0</v>
      </c>
      <c r="B8739" s="38">
        <v>0</v>
      </c>
      <c r="C8739" s="79">
        <v>0</v>
      </c>
    </row>
    <row r="8740" spans="1:3" x14ac:dyDescent="0.25">
      <c r="A8740" s="2">
        <v>0</v>
      </c>
      <c r="B8740" s="38">
        <v>0</v>
      </c>
      <c r="C8740" s="79">
        <v>0</v>
      </c>
    </row>
    <row r="8741" spans="1:3" x14ac:dyDescent="0.25">
      <c r="A8741" s="2">
        <v>0</v>
      </c>
      <c r="B8741" s="38">
        <v>0</v>
      </c>
      <c r="C8741" s="79">
        <v>0</v>
      </c>
    </row>
    <row r="8742" spans="1:3" x14ac:dyDescent="0.25">
      <c r="A8742" s="2">
        <v>0</v>
      </c>
      <c r="B8742" s="38">
        <v>0</v>
      </c>
      <c r="C8742" s="79">
        <v>0</v>
      </c>
    </row>
    <row r="8743" spans="1:3" x14ac:dyDescent="0.25">
      <c r="A8743" s="2">
        <v>0</v>
      </c>
      <c r="B8743" s="38">
        <v>0</v>
      </c>
      <c r="C8743" s="79">
        <v>0</v>
      </c>
    </row>
    <row r="8744" spans="1:3" x14ac:dyDescent="0.25">
      <c r="A8744" s="2">
        <v>0</v>
      </c>
      <c r="B8744" s="38">
        <v>0</v>
      </c>
      <c r="C8744" s="79">
        <v>0</v>
      </c>
    </row>
    <row r="8745" spans="1:3" x14ac:dyDescent="0.25">
      <c r="A8745" s="2">
        <v>0</v>
      </c>
      <c r="B8745" s="38">
        <v>0</v>
      </c>
      <c r="C8745" s="79">
        <v>0</v>
      </c>
    </row>
    <row r="8746" spans="1:3" x14ac:dyDescent="0.25">
      <c r="A8746" s="2">
        <v>0</v>
      </c>
      <c r="B8746" s="38">
        <v>0</v>
      </c>
      <c r="C8746" s="79">
        <v>0</v>
      </c>
    </row>
    <row r="8747" spans="1:3" x14ac:dyDescent="0.25">
      <c r="A8747" s="2">
        <v>0</v>
      </c>
      <c r="B8747" s="38">
        <v>0</v>
      </c>
      <c r="C8747" s="79">
        <v>0</v>
      </c>
    </row>
    <row r="8748" spans="1:3" x14ac:dyDescent="0.25">
      <c r="A8748" s="2">
        <v>0</v>
      </c>
      <c r="B8748" s="38">
        <v>0</v>
      </c>
      <c r="C8748" s="79">
        <v>0</v>
      </c>
    </row>
    <row r="8749" spans="1:3" x14ac:dyDescent="0.25">
      <c r="A8749" s="2">
        <v>0</v>
      </c>
      <c r="B8749" s="38">
        <v>0</v>
      </c>
      <c r="C8749" s="79">
        <v>0</v>
      </c>
    </row>
    <row r="8750" spans="1:3" x14ac:dyDescent="0.25">
      <c r="A8750" s="2">
        <v>0</v>
      </c>
      <c r="B8750" s="38">
        <v>0</v>
      </c>
      <c r="C8750" s="79">
        <v>0</v>
      </c>
    </row>
    <row r="8751" spans="1:3" x14ac:dyDescent="0.25">
      <c r="A8751" s="2">
        <v>0</v>
      </c>
      <c r="B8751" s="38">
        <v>0</v>
      </c>
      <c r="C8751" s="79">
        <v>0</v>
      </c>
    </row>
    <row r="8752" spans="1:3" x14ac:dyDescent="0.25">
      <c r="A8752" s="2">
        <v>0</v>
      </c>
      <c r="B8752" s="38">
        <v>0</v>
      </c>
      <c r="C8752" s="79">
        <v>0</v>
      </c>
    </row>
    <row r="8753" spans="1:3" x14ac:dyDescent="0.25">
      <c r="A8753" s="2">
        <v>0</v>
      </c>
      <c r="B8753" s="38">
        <v>0</v>
      </c>
      <c r="C8753" s="79">
        <v>0</v>
      </c>
    </row>
    <row r="8754" spans="1:3" x14ac:dyDescent="0.25">
      <c r="A8754" s="2">
        <v>0</v>
      </c>
      <c r="B8754" s="38">
        <v>0</v>
      </c>
      <c r="C8754" s="79">
        <v>0</v>
      </c>
    </row>
    <row r="8755" spans="1:3" x14ac:dyDescent="0.25">
      <c r="A8755" s="2">
        <v>0</v>
      </c>
      <c r="B8755" s="38">
        <v>0</v>
      </c>
      <c r="C8755" s="79">
        <v>0</v>
      </c>
    </row>
    <row r="8756" spans="1:3" x14ac:dyDescent="0.25">
      <c r="A8756" s="2">
        <v>0</v>
      </c>
      <c r="B8756" s="38">
        <v>0</v>
      </c>
      <c r="C8756" s="79">
        <v>0</v>
      </c>
    </row>
    <row r="8757" spans="1:3" x14ac:dyDescent="0.25">
      <c r="A8757" s="2">
        <v>0</v>
      </c>
      <c r="B8757" s="38">
        <v>0</v>
      </c>
      <c r="C8757" s="79">
        <v>0</v>
      </c>
    </row>
    <row r="8758" spans="1:3" x14ac:dyDescent="0.25">
      <c r="A8758" s="2">
        <v>0</v>
      </c>
      <c r="B8758" s="38">
        <v>0</v>
      </c>
      <c r="C8758" s="79">
        <v>0</v>
      </c>
    </row>
    <row r="8759" spans="1:3" x14ac:dyDescent="0.25">
      <c r="A8759" s="2">
        <v>0</v>
      </c>
      <c r="B8759" s="38">
        <v>0</v>
      </c>
      <c r="C8759" s="79">
        <v>0</v>
      </c>
    </row>
    <row r="8760" spans="1:3" x14ac:dyDescent="0.25">
      <c r="A8760" s="2">
        <v>0</v>
      </c>
      <c r="B8760" s="38">
        <v>0</v>
      </c>
      <c r="C8760" s="79">
        <v>0</v>
      </c>
    </row>
    <row r="8761" spans="1:3" x14ac:dyDescent="0.25">
      <c r="A8761" s="2">
        <v>0</v>
      </c>
      <c r="B8761" s="38">
        <v>0</v>
      </c>
      <c r="C8761" s="79">
        <v>0</v>
      </c>
    </row>
    <row r="8762" spans="1:3" x14ac:dyDescent="0.25">
      <c r="A8762" s="2">
        <v>0</v>
      </c>
      <c r="B8762" s="38">
        <v>0</v>
      </c>
      <c r="C8762" s="79">
        <v>0</v>
      </c>
    </row>
    <row r="8763" spans="1:3" x14ac:dyDescent="0.25">
      <c r="A8763" s="2">
        <v>0</v>
      </c>
      <c r="B8763" s="38">
        <v>0</v>
      </c>
      <c r="C8763" s="79">
        <v>0</v>
      </c>
    </row>
    <row r="8764" spans="1:3" x14ac:dyDescent="0.25">
      <c r="A8764" s="2">
        <v>0</v>
      </c>
      <c r="B8764" s="38">
        <v>0</v>
      </c>
      <c r="C8764" s="79">
        <v>0</v>
      </c>
    </row>
    <row r="8765" spans="1:3" x14ac:dyDescent="0.25">
      <c r="A8765" s="2">
        <v>0</v>
      </c>
      <c r="B8765" s="38">
        <v>0</v>
      </c>
      <c r="C8765" s="79">
        <v>0</v>
      </c>
    </row>
    <row r="8766" spans="1:3" x14ac:dyDescent="0.25">
      <c r="A8766" s="2">
        <v>0</v>
      </c>
      <c r="B8766" s="38">
        <v>0</v>
      </c>
      <c r="C8766" s="79">
        <v>0</v>
      </c>
    </row>
    <row r="8767" spans="1:3" x14ac:dyDescent="0.25">
      <c r="A8767" s="2">
        <v>0</v>
      </c>
      <c r="B8767" s="38">
        <v>0</v>
      </c>
      <c r="C8767" s="79">
        <v>0</v>
      </c>
    </row>
    <row r="8768" spans="1:3" x14ac:dyDescent="0.25">
      <c r="A8768" s="2">
        <v>0</v>
      </c>
      <c r="B8768" s="38">
        <v>0</v>
      </c>
      <c r="C8768" s="79">
        <v>0</v>
      </c>
    </row>
    <row r="8769" spans="1:3" x14ac:dyDescent="0.25">
      <c r="A8769" s="2">
        <v>0</v>
      </c>
      <c r="B8769" s="38">
        <v>0</v>
      </c>
      <c r="C8769" s="79">
        <v>0</v>
      </c>
    </row>
    <row r="8770" spans="1:3" x14ac:dyDescent="0.25">
      <c r="A8770" s="2">
        <v>0</v>
      </c>
      <c r="B8770" s="38">
        <v>0</v>
      </c>
      <c r="C8770" s="79">
        <v>0</v>
      </c>
    </row>
    <row r="8771" spans="1:3" x14ac:dyDescent="0.25">
      <c r="A8771" s="2">
        <v>0</v>
      </c>
      <c r="B8771" s="38">
        <v>0</v>
      </c>
      <c r="C8771" s="79">
        <v>0</v>
      </c>
    </row>
    <row r="8772" spans="1:3" x14ac:dyDescent="0.25">
      <c r="A8772" s="2">
        <v>0</v>
      </c>
      <c r="B8772" s="38">
        <v>0</v>
      </c>
      <c r="C8772" s="79">
        <v>0</v>
      </c>
    </row>
    <row r="8773" spans="1:3" x14ac:dyDescent="0.25">
      <c r="A8773" s="2">
        <v>0</v>
      </c>
      <c r="B8773" s="38">
        <v>0</v>
      </c>
      <c r="C8773" s="79">
        <v>0</v>
      </c>
    </row>
    <row r="8774" spans="1:3" x14ac:dyDescent="0.25">
      <c r="A8774" s="2">
        <v>0</v>
      </c>
      <c r="B8774" s="38">
        <v>0</v>
      </c>
      <c r="C8774" s="79">
        <v>0</v>
      </c>
    </row>
    <row r="8775" spans="1:3" x14ac:dyDescent="0.25">
      <c r="A8775" s="2">
        <v>0</v>
      </c>
      <c r="B8775" s="38">
        <v>0</v>
      </c>
      <c r="C8775" s="79">
        <v>0</v>
      </c>
    </row>
    <row r="8776" spans="1:3" x14ac:dyDescent="0.25">
      <c r="A8776" s="2">
        <v>0</v>
      </c>
      <c r="B8776" s="38">
        <v>0</v>
      </c>
      <c r="C8776" s="79">
        <v>0</v>
      </c>
    </row>
    <row r="8777" spans="1:3" x14ac:dyDescent="0.25">
      <c r="A8777" s="2">
        <v>0</v>
      </c>
      <c r="B8777" s="38">
        <v>0</v>
      </c>
      <c r="C8777" s="79">
        <v>0</v>
      </c>
    </row>
    <row r="8778" spans="1:3" x14ac:dyDescent="0.25">
      <c r="A8778" s="2">
        <v>0</v>
      </c>
      <c r="B8778" s="38">
        <v>0</v>
      </c>
      <c r="C8778" s="79">
        <v>0</v>
      </c>
    </row>
    <row r="8779" spans="1:3" x14ac:dyDescent="0.25">
      <c r="A8779" s="2">
        <v>0</v>
      </c>
      <c r="B8779" s="38">
        <v>0</v>
      </c>
      <c r="C8779" s="79">
        <v>0</v>
      </c>
    </row>
    <row r="8780" spans="1:3" x14ac:dyDescent="0.25">
      <c r="A8780" s="2">
        <v>0</v>
      </c>
      <c r="B8780" s="38">
        <v>0</v>
      </c>
      <c r="C8780" s="79">
        <v>0</v>
      </c>
    </row>
    <row r="8781" spans="1:3" x14ac:dyDescent="0.25">
      <c r="A8781" s="2">
        <v>0</v>
      </c>
      <c r="B8781" s="38">
        <v>0</v>
      </c>
      <c r="C8781" s="79">
        <v>0</v>
      </c>
    </row>
    <row r="8782" spans="1:3" x14ac:dyDescent="0.25">
      <c r="A8782" s="2">
        <v>0</v>
      </c>
      <c r="B8782" s="38">
        <v>0</v>
      </c>
      <c r="C8782" s="79">
        <v>0</v>
      </c>
    </row>
    <row r="8783" spans="1:3" x14ac:dyDescent="0.25">
      <c r="A8783" s="2">
        <v>0</v>
      </c>
      <c r="B8783" s="38">
        <v>0</v>
      </c>
      <c r="C8783" s="79">
        <v>0</v>
      </c>
    </row>
    <row r="8784" spans="1:3" x14ac:dyDescent="0.25">
      <c r="A8784" s="2">
        <v>0</v>
      </c>
      <c r="B8784" s="38">
        <v>0</v>
      </c>
      <c r="C8784" s="79">
        <v>0</v>
      </c>
    </row>
    <row r="8785" spans="1:3" x14ac:dyDescent="0.25">
      <c r="A8785" s="2">
        <v>0</v>
      </c>
      <c r="B8785" s="38">
        <v>0</v>
      </c>
      <c r="C8785" s="79">
        <v>0</v>
      </c>
    </row>
    <row r="8786" spans="1:3" x14ac:dyDescent="0.25">
      <c r="A8786" s="2">
        <v>0</v>
      </c>
      <c r="B8786" s="38">
        <v>0</v>
      </c>
      <c r="C8786" s="79">
        <v>0</v>
      </c>
    </row>
    <row r="8787" spans="1:3" x14ac:dyDescent="0.25">
      <c r="A8787" s="2">
        <v>0</v>
      </c>
      <c r="B8787" s="38">
        <v>0</v>
      </c>
      <c r="C8787" s="79">
        <v>0</v>
      </c>
    </row>
    <row r="8788" spans="1:3" x14ac:dyDescent="0.25">
      <c r="A8788" s="2">
        <v>0</v>
      </c>
      <c r="B8788" s="38">
        <v>0</v>
      </c>
      <c r="C8788" s="79">
        <v>0</v>
      </c>
    </row>
    <row r="8789" spans="1:3" x14ac:dyDescent="0.25">
      <c r="A8789" s="2">
        <v>0</v>
      </c>
      <c r="B8789" s="38">
        <v>0</v>
      </c>
      <c r="C8789" s="79">
        <v>0</v>
      </c>
    </row>
    <row r="8790" spans="1:3" x14ac:dyDescent="0.25">
      <c r="A8790" s="2">
        <v>0</v>
      </c>
      <c r="B8790" s="38">
        <v>0</v>
      </c>
      <c r="C8790" s="79">
        <v>0</v>
      </c>
    </row>
    <row r="8791" spans="1:3" x14ac:dyDescent="0.25">
      <c r="A8791" s="2">
        <v>0</v>
      </c>
      <c r="B8791" s="38">
        <v>0</v>
      </c>
      <c r="C8791" s="79">
        <v>0</v>
      </c>
    </row>
    <row r="8792" spans="1:3" x14ac:dyDescent="0.25">
      <c r="A8792" s="2">
        <v>0</v>
      </c>
      <c r="B8792" s="38">
        <v>0</v>
      </c>
      <c r="C8792" s="79">
        <v>0</v>
      </c>
    </row>
    <row r="8793" spans="1:3" x14ac:dyDescent="0.25">
      <c r="A8793" s="2">
        <v>0</v>
      </c>
      <c r="B8793" s="38">
        <v>0</v>
      </c>
      <c r="C8793" s="79">
        <v>0</v>
      </c>
    </row>
    <row r="8794" spans="1:3" x14ac:dyDescent="0.25">
      <c r="A8794" s="2">
        <v>0</v>
      </c>
      <c r="B8794" s="38">
        <v>0</v>
      </c>
      <c r="C8794" s="79">
        <v>0</v>
      </c>
    </row>
    <row r="8795" spans="1:3" x14ac:dyDescent="0.25">
      <c r="A8795" s="2">
        <v>0</v>
      </c>
      <c r="B8795" s="38">
        <v>0</v>
      </c>
      <c r="C8795" s="79">
        <v>0</v>
      </c>
    </row>
    <row r="8796" spans="1:3" x14ac:dyDescent="0.25">
      <c r="A8796" s="2">
        <v>0</v>
      </c>
      <c r="B8796" s="38">
        <v>0</v>
      </c>
      <c r="C8796" s="79">
        <v>0</v>
      </c>
    </row>
    <row r="8797" spans="1:3" x14ac:dyDescent="0.25">
      <c r="A8797" s="2">
        <v>0</v>
      </c>
      <c r="B8797" s="38">
        <v>0</v>
      </c>
      <c r="C8797" s="79">
        <v>0</v>
      </c>
    </row>
    <row r="8798" spans="1:3" x14ac:dyDescent="0.25">
      <c r="A8798" s="2">
        <v>0</v>
      </c>
      <c r="B8798" s="38">
        <v>0</v>
      </c>
      <c r="C8798" s="79">
        <v>0</v>
      </c>
    </row>
    <row r="8799" spans="1:3" x14ac:dyDescent="0.25">
      <c r="A8799" s="2">
        <v>0</v>
      </c>
      <c r="B8799" s="38">
        <v>0</v>
      </c>
      <c r="C8799" s="79">
        <v>0</v>
      </c>
    </row>
    <row r="8800" spans="1:3" x14ac:dyDescent="0.25">
      <c r="A8800" s="2">
        <v>0</v>
      </c>
      <c r="B8800" s="38">
        <v>0</v>
      </c>
      <c r="C8800" s="79">
        <v>0</v>
      </c>
    </row>
    <row r="8801" spans="1:3" x14ac:dyDescent="0.25">
      <c r="A8801" s="2">
        <v>0</v>
      </c>
      <c r="B8801" s="38">
        <v>0</v>
      </c>
      <c r="C8801" s="79">
        <v>0</v>
      </c>
    </row>
    <row r="8802" spans="1:3" x14ac:dyDescent="0.25">
      <c r="A8802" s="2">
        <v>0</v>
      </c>
      <c r="B8802" s="38">
        <v>0</v>
      </c>
      <c r="C8802" s="79">
        <v>0</v>
      </c>
    </row>
    <row r="8803" spans="1:3" x14ac:dyDescent="0.25">
      <c r="A8803" s="2">
        <v>0</v>
      </c>
      <c r="B8803" s="38">
        <v>0</v>
      </c>
      <c r="C8803" s="79">
        <v>0</v>
      </c>
    </row>
    <row r="8804" spans="1:3" x14ac:dyDescent="0.25">
      <c r="A8804" s="2">
        <v>0</v>
      </c>
      <c r="B8804" s="38">
        <v>0</v>
      </c>
      <c r="C8804" s="79">
        <v>0</v>
      </c>
    </row>
    <row r="8805" spans="1:3" x14ac:dyDescent="0.25">
      <c r="A8805" s="2">
        <v>0</v>
      </c>
      <c r="B8805" s="38">
        <v>0</v>
      </c>
      <c r="C8805" s="79">
        <v>0</v>
      </c>
    </row>
    <row r="8806" spans="1:3" x14ac:dyDescent="0.25">
      <c r="A8806" s="2">
        <v>0</v>
      </c>
      <c r="B8806" s="38">
        <v>0</v>
      </c>
      <c r="C8806" s="79">
        <v>0</v>
      </c>
    </row>
    <row r="8807" spans="1:3" x14ac:dyDescent="0.25">
      <c r="A8807" s="2">
        <v>0</v>
      </c>
      <c r="B8807" s="38">
        <v>0</v>
      </c>
      <c r="C8807" s="79">
        <v>0</v>
      </c>
    </row>
    <row r="8808" spans="1:3" x14ac:dyDescent="0.25">
      <c r="A8808" s="2">
        <v>0</v>
      </c>
      <c r="B8808" s="38">
        <v>0</v>
      </c>
      <c r="C8808" s="79">
        <v>0</v>
      </c>
    </row>
    <row r="8809" spans="1:3" x14ac:dyDescent="0.25">
      <c r="A8809" s="2">
        <v>0</v>
      </c>
      <c r="B8809" s="38">
        <v>0</v>
      </c>
      <c r="C8809" s="79">
        <v>0</v>
      </c>
    </row>
    <row r="8810" spans="1:3" x14ac:dyDescent="0.25">
      <c r="A8810" s="2">
        <v>0</v>
      </c>
      <c r="B8810" s="38">
        <v>0</v>
      </c>
      <c r="C8810" s="79">
        <v>0</v>
      </c>
    </row>
    <row r="8811" spans="1:3" x14ac:dyDescent="0.25">
      <c r="A8811" s="2">
        <v>0</v>
      </c>
      <c r="B8811" s="38">
        <v>0</v>
      </c>
      <c r="C8811" s="79">
        <v>0</v>
      </c>
    </row>
    <row r="8812" spans="1:3" x14ac:dyDescent="0.25">
      <c r="A8812" s="2">
        <v>0</v>
      </c>
      <c r="B8812" s="38">
        <v>0</v>
      </c>
      <c r="C8812" s="79">
        <v>0</v>
      </c>
    </row>
    <row r="8813" spans="1:3" x14ac:dyDescent="0.25">
      <c r="A8813" s="2">
        <v>0</v>
      </c>
      <c r="B8813" s="38">
        <v>0</v>
      </c>
      <c r="C8813" s="79">
        <v>0</v>
      </c>
    </row>
    <row r="8814" spans="1:3" x14ac:dyDescent="0.25">
      <c r="A8814" s="2">
        <v>0</v>
      </c>
      <c r="B8814" s="38">
        <v>0</v>
      </c>
      <c r="C8814" s="79">
        <v>0</v>
      </c>
    </row>
    <row r="8815" spans="1:3" x14ac:dyDescent="0.25">
      <c r="A8815" s="2">
        <v>0</v>
      </c>
      <c r="B8815" s="38">
        <v>0</v>
      </c>
      <c r="C8815" s="79">
        <v>0</v>
      </c>
    </row>
    <row r="8816" spans="1:3" x14ac:dyDescent="0.25">
      <c r="A8816" s="2">
        <v>0</v>
      </c>
      <c r="B8816" s="38">
        <v>0</v>
      </c>
      <c r="C8816" s="79">
        <v>0</v>
      </c>
    </row>
    <row r="8817" spans="1:3" x14ac:dyDescent="0.25">
      <c r="A8817" s="2">
        <v>0</v>
      </c>
      <c r="B8817" s="38">
        <v>0</v>
      </c>
      <c r="C8817" s="79">
        <v>0</v>
      </c>
    </row>
    <row r="8818" spans="1:3" x14ac:dyDescent="0.25">
      <c r="A8818" s="2">
        <v>0</v>
      </c>
      <c r="B8818" s="38">
        <v>0</v>
      </c>
      <c r="C8818" s="79">
        <v>0</v>
      </c>
    </row>
    <row r="8819" spans="1:3" x14ac:dyDescent="0.25">
      <c r="A8819" s="2">
        <v>0</v>
      </c>
      <c r="B8819" s="38">
        <v>0</v>
      </c>
      <c r="C8819" s="79">
        <v>0</v>
      </c>
    </row>
    <row r="8820" spans="1:3" x14ac:dyDescent="0.25">
      <c r="A8820" s="2">
        <v>0</v>
      </c>
      <c r="B8820" s="38">
        <v>0</v>
      </c>
      <c r="C8820" s="79">
        <v>0</v>
      </c>
    </row>
    <row r="8821" spans="1:3" x14ac:dyDescent="0.25">
      <c r="A8821" s="2">
        <v>0</v>
      </c>
      <c r="B8821" s="38">
        <v>0</v>
      </c>
      <c r="C8821" s="79">
        <v>0</v>
      </c>
    </row>
    <row r="8822" spans="1:3" x14ac:dyDescent="0.25">
      <c r="A8822" s="2">
        <v>0</v>
      </c>
      <c r="B8822" s="38">
        <v>0</v>
      </c>
      <c r="C8822" s="79">
        <v>0</v>
      </c>
    </row>
    <row r="8823" spans="1:3" x14ac:dyDescent="0.25">
      <c r="A8823" s="2">
        <v>0</v>
      </c>
      <c r="B8823" s="38">
        <v>0</v>
      </c>
      <c r="C8823" s="79">
        <v>0</v>
      </c>
    </row>
    <row r="8824" spans="1:3" x14ac:dyDescent="0.25">
      <c r="A8824" s="2">
        <v>0</v>
      </c>
      <c r="B8824" s="38">
        <v>0</v>
      </c>
      <c r="C8824" s="79">
        <v>0</v>
      </c>
    </row>
    <row r="8825" spans="1:3" x14ac:dyDescent="0.25">
      <c r="A8825" s="2">
        <v>0</v>
      </c>
      <c r="B8825" s="38">
        <v>0</v>
      </c>
      <c r="C8825" s="79">
        <v>0</v>
      </c>
    </row>
    <row r="8826" spans="1:3" x14ac:dyDescent="0.25">
      <c r="A8826" s="2">
        <v>0</v>
      </c>
      <c r="B8826" s="38">
        <v>0</v>
      </c>
      <c r="C8826" s="79">
        <v>0</v>
      </c>
    </row>
    <row r="8827" spans="1:3" x14ac:dyDescent="0.25">
      <c r="A8827" s="2">
        <v>0</v>
      </c>
      <c r="B8827" s="38">
        <v>0</v>
      </c>
      <c r="C8827" s="79">
        <v>0</v>
      </c>
    </row>
    <row r="8828" spans="1:3" x14ac:dyDescent="0.25">
      <c r="A8828" s="2">
        <v>0</v>
      </c>
      <c r="B8828" s="38">
        <v>0</v>
      </c>
      <c r="C8828" s="79">
        <v>0</v>
      </c>
    </row>
    <row r="8829" spans="1:3" x14ac:dyDescent="0.25">
      <c r="A8829" s="2">
        <v>0</v>
      </c>
      <c r="B8829" s="38">
        <v>0</v>
      </c>
      <c r="C8829" s="79">
        <v>0</v>
      </c>
    </row>
    <row r="8830" spans="1:3" x14ac:dyDescent="0.25">
      <c r="A8830" s="2">
        <v>0</v>
      </c>
      <c r="B8830" s="38">
        <v>0</v>
      </c>
      <c r="C8830" s="79">
        <v>0</v>
      </c>
    </row>
    <row r="8831" spans="1:3" x14ac:dyDescent="0.25">
      <c r="A8831" s="2">
        <v>0</v>
      </c>
      <c r="B8831" s="38">
        <v>0</v>
      </c>
      <c r="C8831" s="79">
        <v>0</v>
      </c>
    </row>
    <row r="8832" spans="1:3" x14ac:dyDescent="0.25">
      <c r="A8832" s="2">
        <v>0</v>
      </c>
      <c r="B8832" s="38">
        <v>0</v>
      </c>
      <c r="C8832" s="79">
        <v>0</v>
      </c>
    </row>
    <row r="8833" spans="1:3" x14ac:dyDescent="0.25">
      <c r="A8833" s="2">
        <v>0</v>
      </c>
      <c r="B8833" s="38">
        <v>0</v>
      </c>
      <c r="C8833" s="79">
        <v>0</v>
      </c>
    </row>
    <row r="8834" spans="1:3" x14ac:dyDescent="0.25">
      <c r="A8834" s="2">
        <v>0</v>
      </c>
      <c r="B8834" s="38">
        <v>0</v>
      </c>
      <c r="C8834" s="79">
        <v>0</v>
      </c>
    </row>
    <row r="8835" spans="1:3" x14ac:dyDescent="0.25">
      <c r="A8835" s="2">
        <v>0</v>
      </c>
      <c r="B8835" s="38">
        <v>0</v>
      </c>
      <c r="C8835" s="79">
        <v>0</v>
      </c>
    </row>
    <row r="8836" spans="1:3" x14ac:dyDescent="0.25">
      <c r="A8836" s="2">
        <v>0</v>
      </c>
      <c r="B8836" s="38">
        <v>0</v>
      </c>
      <c r="C8836" s="79">
        <v>0</v>
      </c>
    </row>
    <row r="8837" spans="1:3" x14ac:dyDescent="0.25">
      <c r="A8837" s="2">
        <v>0</v>
      </c>
      <c r="B8837" s="38">
        <v>0</v>
      </c>
      <c r="C8837" s="79">
        <v>0</v>
      </c>
    </row>
    <row r="8838" spans="1:3" x14ac:dyDescent="0.25">
      <c r="A8838" s="2">
        <v>0</v>
      </c>
      <c r="B8838" s="38">
        <v>0</v>
      </c>
      <c r="C8838" s="79">
        <v>0</v>
      </c>
    </row>
    <row r="8839" spans="1:3" x14ac:dyDescent="0.25">
      <c r="A8839" s="2">
        <v>0</v>
      </c>
      <c r="B8839" s="38">
        <v>0</v>
      </c>
      <c r="C8839" s="79">
        <v>0</v>
      </c>
    </row>
    <row r="8840" spans="1:3" x14ac:dyDescent="0.25">
      <c r="A8840" s="2">
        <v>0</v>
      </c>
      <c r="B8840" s="38">
        <v>0</v>
      </c>
      <c r="C8840" s="79">
        <v>0</v>
      </c>
    </row>
    <row r="8841" spans="1:3" x14ac:dyDescent="0.25">
      <c r="A8841" s="2">
        <v>0</v>
      </c>
      <c r="B8841" s="38">
        <v>0</v>
      </c>
      <c r="C8841" s="79">
        <v>0</v>
      </c>
    </row>
    <row r="8842" spans="1:3" x14ac:dyDescent="0.25">
      <c r="A8842" s="2">
        <v>0</v>
      </c>
      <c r="B8842" s="38">
        <v>0</v>
      </c>
      <c r="C8842" s="79">
        <v>0</v>
      </c>
    </row>
    <row r="8843" spans="1:3" x14ac:dyDescent="0.25">
      <c r="A8843" s="2">
        <v>0</v>
      </c>
      <c r="B8843" s="38">
        <v>0</v>
      </c>
      <c r="C8843" s="79">
        <v>0</v>
      </c>
    </row>
    <row r="8844" spans="1:3" x14ac:dyDescent="0.25">
      <c r="A8844" s="2">
        <v>0</v>
      </c>
      <c r="B8844" s="38">
        <v>0</v>
      </c>
      <c r="C8844" s="79">
        <v>0</v>
      </c>
    </row>
    <row r="8845" spans="1:3" x14ac:dyDescent="0.25">
      <c r="A8845" s="2">
        <v>0</v>
      </c>
      <c r="B8845" s="38">
        <v>0</v>
      </c>
      <c r="C8845" s="79">
        <v>0</v>
      </c>
    </row>
    <row r="8846" spans="1:3" x14ac:dyDescent="0.25">
      <c r="A8846" s="2">
        <v>0</v>
      </c>
      <c r="B8846" s="38">
        <v>0</v>
      </c>
      <c r="C8846" s="79">
        <v>0</v>
      </c>
    </row>
    <row r="8847" spans="1:3" x14ac:dyDescent="0.25">
      <c r="A8847" s="2">
        <v>0</v>
      </c>
      <c r="B8847" s="38">
        <v>0</v>
      </c>
      <c r="C8847" s="79">
        <v>0</v>
      </c>
    </row>
    <row r="8848" spans="1:3" x14ac:dyDescent="0.25">
      <c r="A8848" s="2">
        <v>0</v>
      </c>
      <c r="B8848" s="38">
        <v>0</v>
      </c>
      <c r="C8848" s="79">
        <v>0</v>
      </c>
    </row>
    <row r="8849" spans="1:3" x14ac:dyDescent="0.25">
      <c r="A8849" s="2">
        <v>0</v>
      </c>
      <c r="B8849" s="38">
        <v>0</v>
      </c>
      <c r="C8849" s="79">
        <v>0</v>
      </c>
    </row>
    <row r="8850" spans="1:3" x14ac:dyDescent="0.25">
      <c r="A8850" s="2">
        <v>0</v>
      </c>
      <c r="B8850" s="38">
        <v>0</v>
      </c>
      <c r="C8850" s="79">
        <v>0</v>
      </c>
    </row>
    <row r="8851" spans="1:3" x14ac:dyDescent="0.25">
      <c r="A8851" s="2">
        <v>0</v>
      </c>
      <c r="B8851" s="38">
        <v>0</v>
      </c>
      <c r="C8851" s="79">
        <v>0</v>
      </c>
    </row>
    <row r="8852" spans="1:3" x14ac:dyDescent="0.25">
      <c r="A8852" s="2">
        <v>0</v>
      </c>
      <c r="B8852" s="38">
        <v>0</v>
      </c>
      <c r="C8852" s="79">
        <v>0</v>
      </c>
    </row>
  </sheetData>
  <phoneticPr fontId="9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B12C-3AC8-464A-B29F-9972CED9BD29}">
  <sheetPr>
    <tabColor theme="3" tint="0.79998168889431442"/>
  </sheetPr>
  <dimension ref="A1:E37"/>
  <sheetViews>
    <sheetView workbookViewId="0">
      <selection activeCell="A2" sqref="A2:A37"/>
    </sheetView>
  </sheetViews>
  <sheetFormatPr defaultRowHeight="14.4" x14ac:dyDescent="0.3"/>
  <cols>
    <col min="1" max="1" width="22.5546875" customWidth="1"/>
    <col min="2" max="2" width="39.109375" bestFit="1" customWidth="1"/>
  </cols>
  <sheetData>
    <row r="1" spans="1:5" x14ac:dyDescent="0.3">
      <c r="A1" s="1" t="s">
        <v>65</v>
      </c>
      <c r="B1" s="1" t="s">
        <v>66</v>
      </c>
    </row>
    <row r="2" spans="1:5" x14ac:dyDescent="0.3">
      <c r="A2" s="7">
        <v>-1.1368316783370469E-2</v>
      </c>
      <c r="B2" s="8">
        <f>A37</f>
        <v>-1.9161857176604603E-2</v>
      </c>
      <c r="C2" s="4"/>
      <c r="E2" s="4"/>
    </row>
    <row r="3" spans="1:5" x14ac:dyDescent="0.3">
      <c r="A3" s="7">
        <v>-8.3905230677618384E-4</v>
      </c>
      <c r="B3" s="8">
        <f>A36</f>
        <v>-9.1746549735837596E-3</v>
      </c>
      <c r="C3" s="4"/>
      <c r="E3" s="4"/>
    </row>
    <row r="4" spans="1:5" x14ac:dyDescent="0.3">
      <c r="A4" s="7">
        <v>1.1113252735493861E-2</v>
      </c>
      <c r="B4" s="8">
        <f>A35</f>
        <v>-3.0244761832459728E-2</v>
      </c>
      <c r="C4" s="4"/>
      <c r="E4" s="4"/>
    </row>
    <row r="5" spans="1:5" x14ac:dyDescent="0.3">
      <c r="A5" s="7">
        <v>-3.7259253962034114E-3</v>
      </c>
      <c r="B5" s="8">
        <f>A34</f>
        <v>3.2136723450963682E-2</v>
      </c>
      <c r="C5" s="4"/>
      <c r="E5" s="4"/>
    </row>
    <row r="6" spans="1:5" x14ac:dyDescent="0.3">
      <c r="A6" s="7">
        <v>1.8776877573598163E-2</v>
      </c>
      <c r="B6" s="8">
        <f>A33</f>
        <v>-1.6170345052158603E-2</v>
      </c>
      <c r="C6" s="4"/>
      <c r="E6" s="4"/>
    </row>
    <row r="7" spans="1:5" x14ac:dyDescent="0.3">
      <c r="A7" s="7">
        <v>-5.0125762273681507E-3</v>
      </c>
      <c r="B7" s="8">
        <f>A32</f>
        <v>-3.2049430994443677E-2</v>
      </c>
      <c r="C7" s="4"/>
      <c r="E7" s="4"/>
    </row>
    <row r="8" spans="1:5" x14ac:dyDescent="0.3">
      <c r="A8" s="7">
        <v>8.3382063677297918E-3</v>
      </c>
      <c r="B8" s="8">
        <f>A31</f>
        <v>2.0472373707602604E-2</v>
      </c>
      <c r="C8" s="4"/>
      <c r="E8" s="4"/>
    </row>
    <row r="9" spans="1:5" x14ac:dyDescent="0.3">
      <c r="A9" s="7">
        <v>7.6003791521948305E-3</v>
      </c>
      <c r="B9" s="8">
        <f>A30</f>
        <v>2.3159596569086033E-2</v>
      </c>
      <c r="C9" s="4"/>
      <c r="E9" s="4"/>
    </row>
    <row r="10" spans="1:5" x14ac:dyDescent="0.3">
      <c r="A10" s="7">
        <v>1.7341940281162312E-2</v>
      </c>
      <c r="B10" s="8">
        <f>A29</f>
        <v>-1.9686065345146275E-2</v>
      </c>
      <c r="C10" s="4"/>
      <c r="E10" s="4"/>
    </row>
    <row r="11" spans="1:5" x14ac:dyDescent="0.3">
      <c r="A11" s="7">
        <v>8.749440302929061E-3</v>
      </c>
      <c r="B11" s="8">
        <f>A28</f>
        <v>2.820590937154005E-2</v>
      </c>
      <c r="C11" s="4"/>
      <c r="E11" s="4"/>
    </row>
    <row r="12" spans="1:5" x14ac:dyDescent="0.3">
      <c r="A12" s="7">
        <v>1.012335117247893E-2</v>
      </c>
      <c r="B12" s="8">
        <f>A27</f>
        <v>-8.0229701859783047E-3</v>
      </c>
      <c r="C12" s="4"/>
      <c r="E12" s="4"/>
    </row>
    <row r="13" spans="1:5" x14ac:dyDescent="0.3">
      <c r="A13" s="7">
        <v>-1.6858345688342925E-2</v>
      </c>
      <c r="B13" s="8">
        <f>A26</f>
        <v>1.5557598419398001E-2</v>
      </c>
      <c r="C13" s="4"/>
      <c r="E13" s="4"/>
    </row>
    <row r="14" spans="1:5" x14ac:dyDescent="0.3">
      <c r="A14" s="7">
        <v>1.5097838587918801E-2</v>
      </c>
      <c r="B14" s="8">
        <f>A25</f>
        <v>8.7650402531956086E-3</v>
      </c>
      <c r="C14" s="4"/>
      <c r="E14" s="4"/>
    </row>
    <row r="15" spans="1:5" x14ac:dyDescent="0.3">
      <c r="A15" s="7">
        <v>9.1940258908615631E-3</v>
      </c>
      <c r="B15" s="8">
        <f>A24</f>
        <v>-3.9882307257142957E-3</v>
      </c>
      <c r="C15" s="4"/>
      <c r="E15" s="4"/>
    </row>
    <row r="16" spans="1:5" x14ac:dyDescent="0.3">
      <c r="A16" s="7">
        <v>7.2424780787771923E-3</v>
      </c>
      <c r="B16" s="8">
        <f>A23</f>
        <v>4.997734239534468E-3</v>
      </c>
      <c r="C16" s="4"/>
      <c r="E16" s="4"/>
    </row>
    <row r="17" spans="1:5" x14ac:dyDescent="0.3">
      <c r="A17" s="7">
        <v>2.7364196685114466E-2</v>
      </c>
      <c r="B17" s="8">
        <f>A22</f>
        <v>8.5679418852385811E-3</v>
      </c>
      <c r="C17" s="4"/>
      <c r="E17" s="4"/>
    </row>
    <row r="18" spans="1:5" x14ac:dyDescent="0.3">
      <c r="A18" s="7">
        <v>3.2476107454908955E-2</v>
      </c>
      <c r="B18" s="8">
        <f>A21</f>
        <v>9.9608677673441461E-4</v>
      </c>
      <c r="C18" s="4"/>
      <c r="E18" s="4"/>
    </row>
    <row r="19" spans="1:5" x14ac:dyDescent="0.3">
      <c r="A19" s="7">
        <v>-1.2319370069453377E-2</v>
      </c>
      <c r="B19" s="8">
        <f>A20</f>
        <v>-1.7737870115072819E-2</v>
      </c>
      <c r="C19" s="4"/>
      <c r="E19" s="4"/>
    </row>
    <row r="20" spans="1:5" x14ac:dyDescent="0.3">
      <c r="A20" s="7">
        <v>-1.7737870115072819E-2</v>
      </c>
      <c r="B20" s="8">
        <f>A19</f>
        <v>-1.2319370069453377E-2</v>
      </c>
      <c r="C20" s="4"/>
      <c r="E20" s="4"/>
    </row>
    <row r="21" spans="1:5" x14ac:dyDescent="0.3">
      <c r="A21" s="7">
        <v>9.9608677673441461E-4</v>
      </c>
      <c r="B21" s="8">
        <f>A18</f>
        <v>3.2476107454908955E-2</v>
      </c>
      <c r="C21" s="4"/>
      <c r="E21" s="4"/>
    </row>
    <row r="22" spans="1:5" x14ac:dyDescent="0.3">
      <c r="A22" s="7">
        <v>8.5679418852385811E-3</v>
      </c>
      <c r="B22" s="8">
        <f>A17</f>
        <v>2.7364196685114466E-2</v>
      </c>
      <c r="C22" s="4"/>
      <c r="E22" s="4"/>
    </row>
    <row r="23" spans="1:5" x14ac:dyDescent="0.3">
      <c r="A23" s="7">
        <v>4.997734239534468E-3</v>
      </c>
      <c r="B23" s="8">
        <f>A16</f>
        <v>7.2424780787771923E-3</v>
      </c>
      <c r="C23" s="4"/>
      <c r="E23" s="4"/>
    </row>
    <row r="24" spans="1:5" x14ac:dyDescent="0.3">
      <c r="A24" s="7">
        <v>-3.9882307257142957E-3</v>
      </c>
      <c r="B24" s="8">
        <f>A15</f>
        <v>9.1940258908615631E-3</v>
      </c>
      <c r="C24" s="4"/>
      <c r="E24" s="4"/>
    </row>
    <row r="25" spans="1:5" x14ac:dyDescent="0.3">
      <c r="A25" s="7">
        <v>8.7650402531956086E-3</v>
      </c>
      <c r="B25" s="8">
        <f>A14</f>
        <v>1.5097838587918801E-2</v>
      </c>
      <c r="C25" s="4"/>
      <c r="E25" s="4"/>
    </row>
    <row r="26" spans="1:5" x14ac:dyDescent="0.3">
      <c r="A26" s="7">
        <v>1.5557598419398001E-2</v>
      </c>
      <c r="B26" s="8">
        <f>A13</f>
        <v>-1.6858345688342925E-2</v>
      </c>
      <c r="C26" s="4"/>
      <c r="E26" s="4"/>
    </row>
    <row r="27" spans="1:5" x14ac:dyDescent="0.3">
      <c r="A27" s="7">
        <v>-8.0229701859783047E-3</v>
      </c>
      <c r="B27" s="8">
        <f>A12</f>
        <v>1.012335117247893E-2</v>
      </c>
      <c r="C27" s="4"/>
      <c r="E27" s="4"/>
    </row>
    <row r="28" spans="1:5" x14ac:dyDescent="0.3">
      <c r="A28" s="7">
        <v>2.820590937154005E-2</v>
      </c>
      <c r="B28" s="8">
        <f>A11</f>
        <v>8.749440302929061E-3</v>
      </c>
      <c r="C28" s="4"/>
      <c r="E28" s="4"/>
    </row>
    <row r="29" spans="1:5" x14ac:dyDescent="0.3">
      <c r="A29" s="7">
        <v>-1.9686065345146275E-2</v>
      </c>
      <c r="B29" s="8">
        <f>A10</f>
        <v>1.7341940281162312E-2</v>
      </c>
      <c r="C29" s="4"/>
      <c r="E29" s="4"/>
    </row>
    <row r="30" spans="1:5" x14ac:dyDescent="0.3">
      <c r="A30" s="7">
        <v>2.3159596569086033E-2</v>
      </c>
      <c r="B30" s="8">
        <f>A9</f>
        <v>7.6003791521948305E-3</v>
      </c>
      <c r="C30" s="4"/>
      <c r="E30" s="4"/>
    </row>
    <row r="31" spans="1:5" x14ac:dyDescent="0.3">
      <c r="A31" s="7">
        <v>2.0472373707602604E-2</v>
      </c>
      <c r="B31" s="8">
        <f>A8</f>
        <v>8.3382063677297918E-3</v>
      </c>
      <c r="C31" s="4"/>
      <c r="E31" s="4"/>
    </row>
    <row r="32" spans="1:5" x14ac:dyDescent="0.3">
      <c r="A32" s="7">
        <v>-3.2049430994443677E-2</v>
      </c>
      <c r="B32" s="8">
        <f>A7</f>
        <v>-5.0125762273681507E-3</v>
      </c>
      <c r="C32" s="4"/>
      <c r="E32" s="4"/>
    </row>
    <row r="33" spans="1:5" x14ac:dyDescent="0.3">
      <c r="A33" s="7">
        <v>-1.6170345052158603E-2</v>
      </c>
      <c r="B33" s="8">
        <f>A6</f>
        <v>1.8776877573598163E-2</v>
      </c>
      <c r="C33" s="4"/>
      <c r="E33" s="4"/>
    </row>
    <row r="34" spans="1:5" x14ac:dyDescent="0.3">
      <c r="A34" s="7">
        <v>3.2136723450963682E-2</v>
      </c>
      <c r="B34" s="8">
        <f>A5</f>
        <v>-3.7259253962034114E-3</v>
      </c>
      <c r="C34" s="4"/>
      <c r="E34" s="4"/>
    </row>
    <row r="35" spans="1:5" x14ac:dyDescent="0.3">
      <c r="A35" s="7">
        <v>-3.0244761832459728E-2</v>
      </c>
      <c r="B35" s="8">
        <f>A4</f>
        <v>1.1113252735493861E-2</v>
      </c>
      <c r="C35" s="4"/>
      <c r="E35" s="4"/>
    </row>
    <row r="36" spans="1:5" x14ac:dyDescent="0.3">
      <c r="A36" s="7">
        <v>-9.1746549735837596E-3</v>
      </c>
      <c r="B36" s="8">
        <f>A3</f>
        <v>-8.3905230677618384E-4</v>
      </c>
      <c r="C36" s="4"/>
      <c r="E36" s="4"/>
    </row>
    <row r="37" spans="1:5" x14ac:dyDescent="0.3">
      <c r="A37" s="7">
        <v>-1.9161857176604603E-2</v>
      </c>
      <c r="B37" s="8">
        <f>A2</f>
        <v>-1.1368316783370469E-2</v>
      </c>
      <c r="C37" s="4"/>
      <c r="E37" s="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E110-4405-4F47-918F-3E9EB5164612}">
  <sheetPr>
    <tabColor theme="3" tint="0.79998168889431442"/>
  </sheetPr>
  <dimension ref="A1:B25"/>
  <sheetViews>
    <sheetView workbookViewId="0"/>
  </sheetViews>
  <sheetFormatPr defaultRowHeight="14.4" x14ac:dyDescent="0.3"/>
  <cols>
    <col min="1" max="1" width="23.6640625" customWidth="1"/>
    <col min="2" max="2" width="39.109375" bestFit="1" customWidth="1"/>
  </cols>
  <sheetData>
    <row r="1" spans="1:2" x14ac:dyDescent="0.3">
      <c r="A1" s="1" t="s">
        <v>65</v>
      </c>
      <c r="B1" s="1" t="s">
        <v>66</v>
      </c>
    </row>
    <row r="2" spans="1:2" x14ac:dyDescent="0.3">
      <c r="A2" s="4">
        <v>3.0706650468159999E-2</v>
      </c>
      <c r="B2" s="8">
        <f>A25</f>
        <v>1.2652129694799999E-3</v>
      </c>
    </row>
    <row r="3" spans="1:2" x14ac:dyDescent="0.3">
      <c r="A3" s="4">
        <v>-5.7978740871472E-2</v>
      </c>
      <c r="B3" s="8">
        <f>A24</f>
        <v>-1.154028669414E-3</v>
      </c>
    </row>
    <row r="4" spans="1:2" x14ac:dyDescent="0.3">
      <c r="A4" s="4">
        <v>4.9354244756929996E-2</v>
      </c>
      <c r="B4" s="8">
        <f>A23</f>
        <v>3.6626656218130001E-2</v>
      </c>
    </row>
    <row r="5" spans="1:2" x14ac:dyDescent="0.3">
      <c r="A5" s="4">
        <v>5.7656809640499991E-3</v>
      </c>
      <c r="B5" s="8">
        <f>A22</f>
        <v>2.5042679491599999E-2</v>
      </c>
    </row>
    <row r="6" spans="1:2" x14ac:dyDescent="0.3">
      <c r="A6" s="4">
        <v>-2.6776590807935E-2</v>
      </c>
      <c r="B6" s="8">
        <f>A21</f>
        <v>4.1179418567679996E-2</v>
      </c>
    </row>
    <row r="7" spans="1:2" x14ac:dyDescent="0.3">
      <c r="A7" s="4">
        <v>1.8036865760450001E-2</v>
      </c>
      <c r="B7" s="8">
        <f>A20</f>
        <v>4.1752524378280004E-2</v>
      </c>
    </row>
    <row r="8" spans="1:2" x14ac:dyDescent="0.3">
      <c r="A8" s="4">
        <v>2.051514015846E-2</v>
      </c>
      <c r="B8" s="8">
        <f>A19</f>
        <v>1.540734673055E-2</v>
      </c>
    </row>
    <row r="9" spans="1:2" x14ac:dyDescent="0.3">
      <c r="A9" s="4">
        <v>1.7416475198040002E-2</v>
      </c>
      <c r="B9" s="8">
        <f>A18</f>
        <v>-8.8147818072520003E-3</v>
      </c>
    </row>
    <row r="10" spans="1:2" x14ac:dyDescent="0.3">
      <c r="A10" s="4">
        <v>3.4338147999680005E-2</v>
      </c>
      <c r="B10" s="8">
        <f>A17</f>
        <v>4.6012451919129997E-2</v>
      </c>
    </row>
    <row r="11" spans="1:2" x14ac:dyDescent="0.3">
      <c r="A11" s="4">
        <v>9.3871301339000003E-4</v>
      </c>
      <c r="B11" s="8">
        <f>A16</f>
        <v>3.5364225347540003E-2</v>
      </c>
    </row>
    <row r="12" spans="1:2" x14ac:dyDescent="0.3">
      <c r="A12" s="4">
        <v>-1.6037540138616E-2</v>
      </c>
      <c r="B12" s="8">
        <f>A15</f>
        <v>-6.3277412543420002E-3</v>
      </c>
    </row>
    <row r="13" spans="1:2" x14ac:dyDescent="0.3">
      <c r="A13" s="4">
        <v>-0.10878217758714</v>
      </c>
      <c r="B13" s="8">
        <f>A14</f>
        <v>2.047540009189E-2</v>
      </c>
    </row>
    <row r="14" spans="1:2" x14ac:dyDescent="0.3">
      <c r="A14" s="4">
        <v>2.047540009189E-2</v>
      </c>
      <c r="B14" s="8">
        <f>A13</f>
        <v>-0.10878217758714</v>
      </c>
    </row>
    <row r="15" spans="1:2" x14ac:dyDescent="0.3">
      <c r="A15" s="4">
        <v>-6.3277412543420002E-3</v>
      </c>
      <c r="B15" s="8">
        <f>A12</f>
        <v>-1.6037540138616E-2</v>
      </c>
    </row>
    <row r="16" spans="1:2" x14ac:dyDescent="0.3">
      <c r="A16" s="4">
        <v>3.5364225347540003E-2</v>
      </c>
      <c r="B16" s="8">
        <f>A11</f>
        <v>9.3871301339000003E-4</v>
      </c>
    </row>
    <row r="17" spans="1:2" x14ac:dyDescent="0.3">
      <c r="A17" s="4">
        <v>4.6012451919129997E-2</v>
      </c>
      <c r="B17" s="8">
        <f>A10</f>
        <v>3.4338147999680005E-2</v>
      </c>
    </row>
    <row r="18" spans="1:2" x14ac:dyDescent="0.3">
      <c r="A18" s="4">
        <v>-8.8147818072520003E-3</v>
      </c>
      <c r="B18" s="8">
        <f>A9</f>
        <v>1.7416475198040002E-2</v>
      </c>
    </row>
    <row r="19" spans="1:2" x14ac:dyDescent="0.3">
      <c r="A19" s="4">
        <v>1.540734673055E-2</v>
      </c>
      <c r="B19" s="8">
        <f>A8</f>
        <v>2.051514015846E-2</v>
      </c>
    </row>
    <row r="20" spans="1:2" x14ac:dyDescent="0.3">
      <c r="A20" s="4">
        <v>4.1752524378280004E-2</v>
      </c>
      <c r="B20" s="8">
        <f>A7</f>
        <v>1.8036865760450001E-2</v>
      </c>
    </row>
    <row r="21" spans="1:2" x14ac:dyDescent="0.3">
      <c r="A21" s="4">
        <v>4.1179418567679996E-2</v>
      </c>
      <c r="B21" s="8">
        <f>A6</f>
        <v>-2.6776590807935E-2</v>
      </c>
    </row>
    <row r="22" spans="1:2" x14ac:dyDescent="0.3">
      <c r="A22" s="4">
        <v>2.5042679491599999E-2</v>
      </c>
      <c r="B22" s="8">
        <f>A5</f>
        <v>5.7656809640499991E-3</v>
      </c>
    </row>
    <row r="23" spans="1:2" x14ac:dyDescent="0.3">
      <c r="A23" s="4">
        <v>3.6626656218130001E-2</v>
      </c>
      <c r="B23" s="8">
        <f>A4</f>
        <v>4.9354244756929996E-2</v>
      </c>
    </row>
    <row r="24" spans="1:2" x14ac:dyDescent="0.3">
      <c r="A24" s="4">
        <v>-1.154028669414E-3</v>
      </c>
      <c r="B24" s="8">
        <f>A3</f>
        <v>-5.7978740871472E-2</v>
      </c>
    </row>
    <row r="25" spans="1:2" x14ac:dyDescent="0.3">
      <c r="A25" s="4">
        <v>1.2652129694799999E-3</v>
      </c>
      <c r="B25" s="8">
        <f>A2</f>
        <v>3.0706650468159999E-2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E412-F13E-46BC-8470-2EE6C67BA62F}">
  <dimension ref="A1:BA66"/>
  <sheetViews>
    <sheetView workbookViewId="0">
      <selection activeCell="G53" sqref="G53"/>
    </sheetView>
  </sheetViews>
  <sheetFormatPr defaultRowHeight="14.4" x14ac:dyDescent="0.3"/>
  <cols>
    <col min="1" max="1" width="22.109375" bestFit="1" customWidth="1"/>
    <col min="2" max="2" width="22.6640625" bestFit="1" customWidth="1"/>
    <col min="3" max="3" width="16.6640625" customWidth="1"/>
    <col min="4" max="4" width="28.6640625" bestFit="1" customWidth="1"/>
    <col min="5" max="5" width="16.6640625" customWidth="1"/>
    <col min="6" max="6" width="40.88671875" customWidth="1"/>
    <col min="7" max="53" width="16.6640625" customWidth="1"/>
  </cols>
  <sheetData>
    <row r="1" spans="1:53" x14ac:dyDescent="0.3">
      <c r="A1" s="2"/>
      <c r="B1" s="12" t="s">
        <v>67</v>
      </c>
      <c r="C1" s="2"/>
      <c r="D1" s="97" t="s">
        <v>68</v>
      </c>
      <c r="E1" s="97"/>
      <c r="F1" s="30" t="s">
        <v>69</v>
      </c>
      <c r="G1" s="28" t="s">
        <v>70</v>
      </c>
      <c r="I1" s="28" t="s">
        <v>71</v>
      </c>
      <c r="K1" s="28" t="s">
        <v>72</v>
      </c>
      <c r="M1" s="28" t="s">
        <v>73</v>
      </c>
      <c r="O1" s="28" t="s">
        <v>74</v>
      </c>
      <c r="Q1" s="28" t="s">
        <v>75</v>
      </c>
      <c r="S1" s="28" t="s">
        <v>76</v>
      </c>
      <c r="U1" s="28" t="s">
        <v>77</v>
      </c>
      <c r="W1" s="28" t="s">
        <v>78</v>
      </c>
      <c r="Y1" s="28" t="s">
        <v>79</v>
      </c>
      <c r="AA1" s="28" t="s">
        <v>80</v>
      </c>
      <c r="AC1" s="28" t="s">
        <v>81</v>
      </c>
      <c r="AE1" s="28" t="s">
        <v>82</v>
      </c>
      <c r="AG1" s="28" t="s">
        <v>83</v>
      </c>
      <c r="AI1" s="28" t="s">
        <v>84</v>
      </c>
      <c r="AK1" s="28" t="s">
        <v>85</v>
      </c>
      <c r="AM1" s="28" t="s">
        <v>86</v>
      </c>
      <c r="AO1" s="28" t="s">
        <v>87</v>
      </c>
      <c r="AQ1" s="28" t="s">
        <v>88</v>
      </c>
      <c r="AS1" s="28" t="s">
        <v>89</v>
      </c>
      <c r="AU1" s="28" t="s">
        <v>90</v>
      </c>
      <c r="AW1" s="28" t="s">
        <v>91</v>
      </c>
      <c r="AY1" s="28" t="s">
        <v>92</v>
      </c>
      <c r="BA1" s="28" t="s">
        <v>93</v>
      </c>
    </row>
    <row r="2" spans="1:53" x14ac:dyDescent="0.3">
      <c r="A2" s="14" t="s">
        <v>94</v>
      </c>
      <c r="B2" s="15">
        <f>'Invert return series (5 years)'!$D2</f>
        <v>0</v>
      </c>
      <c r="C2" s="40">
        <f>(1+B2)</f>
        <v>1</v>
      </c>
      <c r="D2" s="16" t="s">
        <v>95</v>
      </c>
      <c r="E2" s="20" cm="1">
        <f t="array" ref="E2">(PRODUCT(1+$B$2:$B$61)^(0.2)-1)*100</f>
        <v>0</v>
      </c>
      <c r="F2" s="2"/>
      <c r="G2" s="18">
        <f>$B25*100</f>
        <v>0</v>
      </c>
      <c r="H2" s="18"/>
      <c r="I2" s="18">
        <f>$B24*100</f>
        <v>0</v>
      </c>
      <c r="J2" s="18"/>
      <c r="K2" s="18">
        <f>$B23*100</f>
        <v>0</v>
      </c>
      <c r="L2" s="18"/>
      <c r="M2" s="18">
        <f>$B22*100</f>
        <v>0</v>
      </c>
      <c r="N2" s="18"/>
      <c r="O2" s="18">
        <f>$B21*100</f>
        <v>0</v>
      </c>
      <c r="P2" s="18"/>
      <c r="Q2" s="18">
        <f>$B20*100</f>
        <v>0</v>
      </c>
      <c r="R2" s="18"/>
      <c r="S2" s="18">
        <f>$B19*100</f>
        <v>0</v>
      </c>
      <c r="T2" s="18"/>
      <c r="U2" s="18">
        <f>$B18*100</f>
        <v>0</v>
      </c>
      <c r="V2" s="18"/>
      <c r="W2" s="18">
        <f>$B17*100</f>
        <v>0</v>
      </c>
      <c r="X2" s="18"/>
      <c r="Y2" s="18">
        <f>$B16*100</f>
        <v>0</v>
      </c>
      <c r="Z2" s="18"/>
      <c r="AA2" s="18">
        <f>$B15*100</f>
        <v>0</v>
      </c>
      <c r="AB2" s="18"/>
      <c r="AC2" s="18">
        <f>$B14*100</f>
        <v>0</v>
      </c>
      <c r="AD2" s="18"/>
      <c r="AE2" s="18">
        <f>$B13*100</f>
        <v>0</v>
      </c>
      <c r="AF2" s="18"/>
      <c r="AG2" s="18">
        <f>$B12*100</f>
        <v>0</v>
      </c>
      <c r="AH2" s="18"/>
      <c r="AI2" s="18">
        <f>$B11*100</f>
        <v>0</v>
      </c>
      <c r="AJ2" s="18"/>
      <c r="AK2" s="18">
        <f>$B10*100</f>
        <v>0</v>
      </c>
      <c r="AL2" s="18"/>
      <c r="AM2" s="18">
        <f>$B9*100</f>
        <v>0</v>
      </c>
      <c r="AN2" s="18"/>
      <c r="AO2" s="18">
        <f>$B8*100</f>
        <v>0</v>
      </c>
      <c r="AP2" s="18"/>
      <c r="AQ2" s="18">
        <f>$B7*100</f>
        <v>0</v>
      </c>
      <c r="AR2" s="18"/>
      <c r="AS2" s="18">
        <f>$B6*100</f>
        <v>0</v>
      </c>
      <c r="AT2" s="18"/>
      <c r="AU2" s="18">
        <f>$B5*100</f>
        <v>0</v>
      </c>
      <c r="AV2" s="18"/>
      <c r="AW2" s="18">
        <f>$B4*100</f>
        <v>0</v>
      </c>
      <c r="AX2" s="18"/>
      <c r="AY2" s="18">
        <f>$B3*100</f>
        <v>0</v>
      </c>
      <c r="AZ2" s="18"/>
      <c r="BA2" s="18">
        <f>$B2*100</f>
        <v>0</v>
      </c>
    </row>
    <row r="3" spans="1:53" x14ac:dyDescent="0.3">
      <c r="A3" s="14" t="s">
        <v>96</v>
      </c>
      <c r="B3" s="15">
        <f>'Invert return series (5 years)'!$D3</f>
        <v>0</v>
      </c>
      <c r="C3" s="40">
        <f t="shared" ref="C3:C61" si="0">(1+B3)</f>
        <v>1</v>
      </c>
      <c r="D3" s="16" t="s">
        <v>97</v>
      </c>
      <c r="E3" s="20" cm="1">
        <f t="array" ref="E3">(PRODUCT(1+$B$2:$B$37)^(0.333333333)-1)*100</f>
        <v>0</v>
      </c>
      <c r="F3" s="30" t="s">
        <v>98</v>
      </c>
      <c r="G3" s="2">
        <f>INDEX('BM Data'!$K$7:$BE$260,MATCH('Manual Calc (5 years)'!$F7,'BM Data'!$A$7:$A$260,0),MATCH('Manual Calc (5 years)'!G$1,'BM Data'!$K$1:$BE$1,0))</f>
        <v>0.97441999999999995</v>
      </c>
      <c r="H3" s="2"/>
      <c r="I3" s="2">
        <f>INDEX('BM Data'!$K$7:$BE$260,MATCH('Manual Calc (5 years)'!$F7,'BM Data'!$A$7:$A$260,0),MATCH('Manual Calc (5 years)'!I$1,'BM Data'!$K$1:$BE$1,0))</f>
        <v>1.46685</v>
      </c>
      <c r="J3" s="2"/>
      <c r="K3" s="2">
        <f>INDEX('BM Data'!$K$7:$BE$260,MATCH('Manual Calc (5 years)'!$F7,'BM Data'!$A$7:$A$260,0),MATCH('Manual Calc (5 years)'!K$1,'BM Data'!$K$1:$BE$1,0))</f>
        <v>2.0131700000000001</v>
      </c>
      <c r="L3" s="2"/>
      <c r="M3" s="2">
        <f>INDEX('BM Data'!$K$7:$BE$260,MATCH('Manual Calc (5 years)'!$F7,'BM Data'!$A$7:$A$260,0),MATCH('Manual Calc (5 years)'!M$1,'BM Data'!$K$1:$BE$1,0))</f>
        <v>-2.38612</v>
      </c>
      <c r="N3" s="2"/>
      <c r="O3" s="2">
        <f>INDEX('BM Data'!$K$7:$BE$260,MATCH('Manual Calc (5 years)'!$F7,'BM Data'!$A$7:$A$260,0),MATCH('Manual Calc (5 years)'!O$1,'BM Data'!$K$1:$BE$1,0))</f>
        <v>1.09816</v>
      </c>
      <c r="P3" s="2"/>
      <c r="Q3" s="2">
        <f>INDEX('BM Data'!$K$7:$BE$260,MATCH('Manual Calc (5 years)'!$F7,'BM Data'!$A$7:$A$260,0),MATCH('Manual Calc (5 years)'!Q$1,'BM Data'!$K$1:$BE$1,0))</f>
        <v>0.99443999999999999</v>
      </c>
      <c r="R3" s="2"/>
      <c r="S3" s="2">
        <f>INDEX('BM Data'!$K$7:$BE$260,MATCH('Manual Calc (5 years)'!$F7,'BM Data'!$A$7:$A$260,0),MATCH('Manual Calc (5 years)'!S$1,'BM Data'!$K$1:$BE$1,0))</f>
        <v>2.7149299999999998</v>
      </c>
      <c r="T3" s="2"/>
      <c r="U3" s="2">
        <f>INDEX('BM Data'!$K$7:$BE$260,MATCH('Manual Calc (5 years)'!$F7,'BM Data'!$A$7:$A$260,0),MATCH('Manual Calc (5 years)'!U$1,'BM Data'!$K$1:$BE$1,0))</f>
        <v>0.66696</v>
      </c>
      <c r="V3" s="2"/>
      <c r="W3" s="2">
        <f>INDEX('BM Data'!$K$7:$BE$260,MATCH('Manual Calc (5 years)'!$F7,'BM Data'!$A$7:$A$260,0),MATCH('Manual Calc (5 years)'!W$1,'BM Data'!$K$1:$BE$1,0))</f>
        <v>1.18405</v>
      </c>
      <c r="X3" s="2"/>
      <c r="Y3" s="2">
        <f>INDEX('BM Data'!$K$7:$BE$260,MATCH('Manual Calc (5 years)'!$F7,'BM Data'!$A$7:$A$260,0),MATCH('Manual Calc (5 years)'!Y$1,'BM Data'!$K$1:$BE$1,0))</f>
        <v>-0.67898999999999998</v>
      </c>
      <c r="Z3" s="2"/>
      <c r="AA3" s="2">
        <f>INDEX('BM Data'!$K$7:$BE$260,MATCH('Manual Calc (5 years)'!$F7,'BM Data'!$A$7:$A$260,0),MATCH('Manual Calc (5 years)'!AA$1,'BM Data'!$K$1:$BE$1,0))</f>
        <v>2.41574</v>
      </c>
      <c r="AB3" s="2"/>
      <c r="AC3" s="2">
        <f>INDEX('BM Data'!$K$7:$BE$260,MATCH('Manual Calc (5 years)'!$F7,'BM Data'!$A$7:$A$260,0),MATCH('Manual Calc (5 years)'!AC$1,'BM Data'!$K$1:$BE$1,0))</f>
        <v>-0.67086000000000001</v>
      </c>
      <c r="AD3" s="2"/>
      <c r="AE3" s="2">
        <f>INDEX('BM Data'!$K$7:$BE$260,MATCH('Manual Calc (5 years)'!$F7,'BM Data'!$A$7:$A$260,0),MATCH('Manual Calc (5 years)'!AE$1,'BM Data'!$K$1:$BE$1,0))</f>
        <v>1.8748400000000001</v>
      </c>
      <c r="AF3" s="2"/>
      <c r="AG3" s="2">
        <f>INDEX('BM Data'!$K$7:$BE$260,MATCH('Manual Calc (5 years)'!$F7,'BM Data'!$A$7:$A$260,0),MATCH('Manual Calc (5 years)'!AG$1,'BM Data'!$K$1:$BE$1,0))</f>
        <v>-0.37670999999999999</v>
      </c>
      <c r="AH3" s="2"/>
      <c r="AI3" s="2">
        <f>INDEX('BM Data'!$K$7:$BE$260,MATCH('Manual Calc (5 years)'!$F7,'BM Data'!$A$7:$A$260,0),MATCH('Manual Calc (5 years)'!AI$1,'BM Data'!$K$1:$BE$1,0))</f>
        <v>-1.7859499999999999</v>
      </c>
      <c r="AJ3" s="2"/>
      <c r="AK3" s="2">
        <f>INDEX('BM Data'!$K$7:$BE$260,MATCH('Manual Calc (5 years)'!$F7,'BM Data'!$A$7:$A$260,0),MATCH('Manual Calc (5 years)'!AK$1,'BM Data'!$K$1:$BE$1,0))</f>
        <v>1.0821099999999999</v>
      </c>
      <c r="AL3" s="2"/>
      <c r="AM3" s="2">
        <f>INDEX('BM Data'!$K$7:$BE$260,MATCH('Manual Calc (5 years)'!$F7,'BM Data'!$A$7:$A$260,0),MATCH('Manual Calc (5 years)'!AM$1,'BM Data'!$K$1:$BE$1,0))</f>
        <v>2.2064499999999998</v>
      </c>
      <c r="AN3" s="2"/>
      <c r="AO3" s="2">
        <f>INDEX('BM Data'!$K$7:$BE$260,MATCH('Manual Calc (5 years)'!$F7,'BM Data'!$A$7:$A$260,0),MATCH('Manual Calc (5 years)'!AO$1,'BM Data'!$K$1:$BE$1,0))</f>
        <v>1.4093500000000001</v>
      </c>
      <c r="AP3" s="2"/>
      <c r="AQ3" s="2">
        <f>INDEX('BM Data'!$K$7:$BE$260,MATCH('Manual Calc (5 years)'!$F7,'BM Data'!$A$7:$A$260,0),MATCH('Manual Calc (5 years)'!AQ$1,'BM Data'!$K$1:$BE$1,0))</f>
        <v>1.21245</v>
      </c>
      <c r="AR3" s="2"/>
      <c r="AS3" s="2">
        <f>INDEX('BM Data'!$K$7:$BE$260,MATCH('Manual Calc (5 years)'!$F7,'BM Data'!$A$7:$A$260,0),MATCH('Manual Calc (5 years)'!AS$1,'BM Data'!$K$1:$BE$1,0))</f>
        <v>1.4222900000000001</v>
      </c>
      <c r="AT3" s="2"/>
      <c r="AU3" s="2">
        <f>INDEX('BM Data'!$K$7:$BE$260,MATCH('Manual Calc (5 years)'!$F7,'BM Data'!$A$7:$A$260,0),MATCH('Manual Calc (5 years)'!AU$1,'BM Data'!$K$1:$BE$1,0))</f>
        <v>0.66659000000000002</v>
      </c>
      <c r="AV3" s="2"/>
      <c r="AW3" s="2">
        <f>INDEX('BM Data'!$K$7:$BE$260,MATCH('Manual Calc (5 years)'!$F7,'BM Data'!$A$7:$A$260,0),MATCH('Manual Calc (5 years)'!AW$1,'BM Data'!$K$1:$BE$1,0))</f>
        <v>1.1884399999999999</v>
      </c>
      <c r="AX3" s="2"/>
      <c r="AY3" s="2">
        <f>INDEX('BM Data'!$K$7:$BE$260,MATCH('Manual Calc (5 years)'!$F7,'BM Data'!$A$7:$A$260,0),MATCH('Manual Calc (5 years)'!AY$1,'BM Data'!$K$1:$BE$1,0))</f>
        <v>-0.60468</v>
      </c>
      <c r="AZ3" s="2"/>
      <c r="BA3" s="2">
        <f>INDEX('BM Data'!$K$7:$BE$260,MATCH('Manual Calc (5 years)'!$F7,'BM Data'!$A$7:$A$260,0),MATCH('Manual Calc (5 years)'!BA$1,'BM Data'!$K$1:$BE$1,0))</f>
        <v>5.6820000000000002E-2</v>
      </c>
    </row>
    <row r="4" spans="1:53" x14ac:dyDescent="0.3">
      <c r="A4" s="14" t="s">
        <v>99</v>
      </c>
      <c r="B4" s="15">
        <f>'Invert return series (5 years)'!$D4</f>
        <v>0</v>
      </c>
      <c r="C4" s="40">
        <f t="shared" si="0"/>
        <v>1</v>
      </c>
      <c r="D4" s="16" t="s">
        <v>100</v>
      </c>
      <c r="E4" s="20">
        <f>(STDEV($B$2:$B$25)*SQRT(12))*100</f>
        <v>0</v>
      </c>
      <c r="F4" s="30" t="s">
        <v>101</v>
      </c>
      <c r="G4" s="32">
        <f>G2-G3</f>
        <v>-0.97441999999999995</v>
      </c>
      <c r="H4" s="2"/>
      <c r="I4" s="32">
        <f>I2-I3</f>
        <v>-1.46685</v>
      </c>
      <c r="J4" s="2"/>
      <c r="K4" s="32">
        <f>K2-K3</f>
        <v>-2.0131700000000001</v>
      </c>
      <c r="L4" s="2"/>
      <c r="M4" s="32">
        <f>M2-M3</f>
        <v>2.38612</v>
      </c>
      <c r="N4" s="2"/>
      <c r="O4" s="32">
        <f>O2-O3</f>
        <v>-1.09816</v>
      </c>
      <c r="P4" s="2"/>
      <c r="Q4" s="32">
        <f>Q2-Q3</f>
        <v>-0.99443999999999999</v>
      </c>
      <c r="R4" s="2"/>
      <c r="S4" s="32">
        <f>S2-S3</f>
        <v>-2.7149299999999998</v>
      </c>
      <c r="T4" s="2"/>
      <c r="U4" s="32">
        <f>U2-U3</f>
        <v>-0.66696</v>
      </c>
      <c r="V4" s="2"/>
      <c r="W4" s="32">
        <f>W2-W3</f>
        <v>-1.18405</v>
      </c>
      <c r="X4" s="2"/>
      <c r="Y4" s="32">
        <f>Y2-Y3</f>
        <v>0.67898999999999998</v>
      </c>
      <c r="Z4" s="2"/>
      <c r="AA4" s="32">
        <f>AA2-AA3</f>
        <v>-2.41574</v>
      </c>
      <c r="AB4" s="2"/>
      <c r="AC4" s="32">
        <f>AC2-AC3</f>
        <v>0.67086000000000001</v>
      </c>
      <c r="AD4" s="2"/>
      <c r="AE4" s="32">
        <f>AE2-AE3</f>
        <v>-1.8748400000000001</v>
      </c>
      <c r="AF4" s="2"/>
      <c r="AG4" s="32">
        <f>AG2-AG3</f>
        <v>0.37670999999999999</v>
      </c>
      <c r="AH4" s="2"/>
      <c r="AI4" s="32">
        <f>AI2-AI3</f>
        <v>1.7859499999999999</v>
      </c>
      <c r="AJ4" s="2"/>
      <c r="AK4" s="32">
        <f>AK2-AK3</f>
        <v>-1.0821099999999999</v>
      </c>
      <c r="AL4" s="2"/>
      <c r="AM4" s="32">
        <f>AM2-AM3</f>
        <v>-2.2064499999999998</v>
      </c>
      <c r="AN4" s="2"/>
      <c r="AO4" s="32">
        <f>AO2-AO3</f>
        <v>-1.4093500000000001</v>
      </c>
      <c r="AP4" s="2"/>
      <c r="AQ4" s="32">
        <f>AQ2-AQ3</f>
        <v>-1.21245</v>
      </c>
      <c r="AR4" s="2"/>
      <c r="AS4" s="32">
        <f>AS2-AS3</f>
        <v>-1.4222900000000001</v>
      </c>
      <c r="AT4" s="2"/>
      <c r="AU4" s="32">
        <f>AU2-AU3</f>
        <v>-0.66659000000000002</v>
      </c>
      <c r="AV4" s="2"/>
      <c r="AW4" s="32">
        <f>AW2-AW3</f>
        <v>-1.1884399999999999</v>
      </c>
      <c r="AX4" s="2"/>
      <c r="AY4" s="32">
        <f>AY2-AY3</f>
        <v>0.60468</v>
      </c>
      <c r="AZ4" s="2"/>
      <c r="BA4" s="32">
        <f>BA2-BA3</f>
        <v>-5.6820000000000002E-2</v>
      </c>
    </row>
    <row r="5" spans="1:53" x14ac:dyDescent="0.3">
      <c r="A5" s="14" t="s">
        <v>102</v>
      </c>
      <c r="B5" s="15">
        <f>'Invert return series (5 years)'!$D5</f>
        <v>0</v>
      </c>
      <c r="C5" s="40">
        <f t="shared" si="0"/>
        <v>1</v>
      </c>
      <c r="F5" s="31" t="s">
        <v>11</v>
      </c>
      <c r="G5" s="18">
        <f>STDEV(G4,I4,K4,M4,O4,Q4,S4,U4,W4,Y4,AA4,AC4,AE4,AG4,AI4,AK4,AM4,AO4,AQ4,AS4,AU4,AW4,AY4,BA4)*SQRT(12)</f>
        <v>4.4455966458270968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 x14ac:dyDescent="0.3">
      <c r="A6" s="14" t="s">
        <v>103</v>
      </c>
      <c r="B6" s="15">
        <f>'Invert return series (5 years)'!$D6</f>
        <v>0</v>
      </c>
      <c r="C6" s="40">
        <f t="shared" si="0"/>
        <v>1</v>
      </c>
      <c r="D6" s="1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x14ac:dyDescent="0.3">
      <c r="A7" s="14" t="s">
        <v>104</v>
      </c>
      <c r="B7" s="15">
        <f>'Invert return series (5 years)'!$D7</f>
        <v>0</v>
      </c>
      <c r="C7" s="40">
        <f t="shared" si="0"/>
        <v>1</v>
      </c>
      <c r="D7" s="98" t="s">
        <v>105</v>
      </c>
      <c r="E7" s="98"/>
      <c r="F7" s="13" t="s">
        <v>106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 x14ac:dyDescent="0.3">
      <c r="A8" s="14" t="s">
        <v>107</v>
      </c>
      <c r="B8" s="15">
        <f>'Invert return series (5 years)'!$D8</f>
        <v>0</v>
      </c>
      <c r="C8" s="40">
        <f t="shared" si="0"/>
        <v>1</v>
      </c>
      <c r="D8" s="16" t="s">
        <v>95</v>
      </c>
      <c r="E8" s="2">
        <f>VLOOKUP($F$7,'BM Data'!$A:$G,2,FALSE)</f>
        <v>5.6074140000000003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x14ac:dyDescent="0.3">
      <c r="A9" s="14" t="s">
        <v>108</v>
      </c>
      <c r="B9" s="15">
        <f>'Invert return series (5 years)'!$D9</f>
        <v>0</v>
      </c>
      <c r="C9" s="40">
        <f t="shared" si="0"/>
        <v>1</v>
      </c>
      <c r="D9" s="16" t="s">
        <v>97</v>
      </c>
      <c r="E9" s="2">
        <f>VLOOKUP($F$7,'BM Data'!$A:$G,4,FALSE)</f>
        <v>9.7224900000000005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x14ac:dyDescent="0.3">
      <c r="A10" s="14" t="s">
        <v>109</v>
      </c>
      <c r="B10" s="15">
        <f>'Invert return series (5 years)'!$D10</f>
        <v>0</v>
      </c>
      <c r="C10" s="40">
        <f t="shared" si="0"/>
        <v>1</v>
      </c>
      <c r="D10" s="16" t="s">
        <v>100</v>
      </c>
      <c r="E10" s="2">
        <f>VLOOKUP($F$7,'BM Data'!$A:$G,7,FALSE)</f>
        <v>4.4455970000000002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x14ac:dyDescent="0.3">
      <c r="A11" s="14" t="s">
        <v>110</v>
      </c>
      <c r="B11" s="15">
        <f>'Invert return series (5 years)'!$D11</f>
        <v>0</v>
      </c>
      <c r="C11" s="40">
        <f t="shared" si="0"/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x14ac:dyDescent="0.3">
      <c r="A12" s="14" t="s">
        <v>111</v>
      </c>
      <c r="B12" s="15">
        <f>'Invert return series (5 years)'!$D12</f>
        <v>0</v>
      </c>
      <c r="C12" s="40">
        <f t="shared" si="0"/>
        <v>1</v>
      </c>
      <c r="D12" s="1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x14ac:dyDescent="0.3">
      <c r="A13" s="14" t="s">
        <v>112</v>
      </c>
      <c r="B13" s="15">
        <f>'Invert return series (5 years)'!$D13</f>
        <v>0</v>
      </c>
      <c r="C13" s="40">
        <f t="shared" si="0"/>
        <v>1</v>
      </c>
      <c r="D13" s="98" t="s">
        <v>113</v>
      </c>
      <c r="E13" s="98"/>
      <c r="F13" s="13" t="s">
        <v>114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x14ac:dyDescent="0.3">
      <c r="A14" s="14" t="s">
        <v>115</v>
      </c>
      <c r="B14" s="15">
        <f>'Invert return series (5 years)'!$D14</f>
        <v>0</v>
      </c>
      <c r="C14" s="40">
        <f t="shared" si="0"/>
        <v>1</v>
      </c>
      <c r="D14" s="16" t="s">
        <v>27</v>
      </c>
      <c r="E14" s="2">
        <f>VLOOKUP($F$13,'Morningstar Category Data'!$A:$E,5,FALSE)</f>
        <v>5.2292880000000004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 x14ac:dyDescent="0.3">
      <c r="A15" s="14" t="s">
        <v>116</v>
      </c>
      <c r="B15" s="15">
        <f>'Invert return series (5 years)'!$D15</f>
        <v>0</v>
      </c>
      <c r="C15" s="40">
        <f t="shared" si="0"/>
        <v>1</v>
      </c>
      <c r="D15" s="16" t="s">
        <v>28</v>
      </c>
      <c r="E15" s="2">
        <f>VLOOKUP($F$13,'Morningstar Category Data'!$A:$E,4,FALSE)</f>
        <v>8.0463880000000003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x14ac:dyDescent="0.3">
      <c r="A16" s="14" t="s">
        <v>117</v>
      </c>
      <c r="B16" s="15">
        <f>'Invert return series (5 years)'!$D16</f>
        <v>0</v>
      </c>
      <c r="C16" s="40">
        <f t="shared" si="0"/>
        <v>1</v>
      </c>
      <c r="D16" s="16" t="s">
        <v>30</v>
      </c>
      <c r="E16" s="2">
        <f>VLOOKUP($F$13,'Morningstar Category Data'!$I:$J,2,FALSE)</f>
        <v>1.1391960000000001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 x14ac:dyDescent="0.3">
      <c r="A17" s="14" t="s">
        <v>118</v>
      </c>
      <c r="B17" s="15">
        <f>'Invert return series (5 years)'!$D17</f>
        <v>0</v>
      </c>
      <c r="C17" s="40">
        <f t="shared" si="0"/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x14ac:dyDescent="0.3">
      <c r="A18" s="14" t="s">
        <v>119</v>
      </c>
      <c r="B18" s="15">
        <f>'Invert return series (5 years)'!$D18</f>
        <v>0</v>
      </c>
      <c r="C18" s="40">
        <f t="shared" si="0"/>
        <v>1</v>
      </c>
      <c r="D18" s="1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x14ac:dyDescent="0.3">
      <c r="A19" s="14" t="s">
        <v>120</v>
      </c>
      <c r="B19" s="15">
        <f>'Invert return series (5 years)'!$D19</f>
        <v>0</v>
      </c>
      <c r="C19" s="40">
        <f t="shared" si="0"/>
        <v>1</v>
      </c>
      <c r="D19" s="17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x14ac:dyDescent="0.3">
      <c r="A20" s="14" t="s">
        <v>121</v>
      </c>
      <c r="B20" s="15">
        <f>'Invert return series (5 years)'!$D20</f>
        <v>0</v>
      </c>
      <c r="C20" s="40">
        <f t="shared" si="0"/>
        <v>1</v>
      </c>
      <c r="D20" s="17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x14ac:dyDescent="0.3">
      <c r="A21" s="14" t="s">
        <v>122</v>
      </c>
      <c r="B21" s="15">
        <f>'Invert return series (5 years)'!$D21</f>
        <v>0</v>
      </c>
      <c r="C21" s="40">
        <f t="shared" si="0"/>
        <v>1</v>
      </c>
      <c r="D21" s="17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x14ac:dyDescent="0.3">
      <c r="A22" s="14" t="s">
        <v>123</v>
      </c>
      <c r="B22" s="15">
        <f>'Invert return series (5 years)'!$D22</f>
        <v>0</v>
      </c>
      <c r="C22" s="40">
        <f t="shared" si="0"/>
        <v>1</v>
      </c>
      <c r="D22" s="17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 x14ac:dyDescent="0.3">
      <c r="A23" s="14" t="s">
        <v>124</v>
      </c>
      <c r="B23" s="15">
        <f>'Invert return series (5 years)'!$D23</f>
        <v>0</v>
      </c>
      <c r="C23" s="40">
        <f t="shared" si="0"/>
        <v>1</v>
      </c>
      <c r="D23" s="17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x14ac:dyDescent="0.3">
      <c r="A24" s="14" t="s">
        <v>125</v>
      </c>
      <c r="B24" s="15">
        <f>'Invert return series (5 years)'!$D24</f>
        <v>0</v>
      </c>
      <c r="C24" s="40">
        <f t="shared" si="0"/>
        <v>1</v>
      </c>
      <c r="D24" s="17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x14ac:dyDescent="0.3">
      <c r="A25" s="14" t="s">
        <v>126</v>
      </c>
      <c r="B25" s="15">
        <f>'Invert return series (5 years)'!$D25</f>
        <v>0</v>
      </c>
      <c r="C25" s="40">
        <f t="shared" si="0"/>
        <v>1</v>
      </c>
      <c r="D25" s="17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x14ac:dyDescent="0.3">
      <c r="A26" s="14" t="s">
        <v>127</v>
      </c>
      <c r="B26" s="15">
        <f>'Invert return series (5 years)'!$D26</f>
        <v>0</v>
      </c>
      <c r="C26" s="40">
        <f t="shared" si="0"/>
        <v>1</v>
      </c>
      <c r="D26" s="17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 x14ac:dyDescent="0.3">
      <c r="A27" s="14" t="s">
        <v>128</v>
      </c>
      <c r="B27" s="15">
        <f>'Invert return series (5 years)'!$D27</f>
        <v>0</v>
      </c>
      <c r="C27" s="40">
        <f t="shared" si="0"/>
        <v>1</v>
      </c>
      <c r="D27" s="17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 x14ac:dyDescent="0.3">
      <c r="A28" s="14" t="s">
        <v>129</v>
      </c>
      <c r="B28" s="15">
        <f>'Invert return series (5 years)'!$D28</f>
        <v>0</v>
      </c>
      <c r="C28" s="40">
        <f t="shared" si="0"/>
        <v>1</v>
      </c>
      <c r="D28" s="17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x14ac:dyDescent="0.3">
      <c r="A29" s="14" t="s">
        <v>130</v>
      </c>
      <c r="B29" s="15">
        <f>'Invert return series (5 years)'!$D29</f>
        <v>0</v>
      </c>
      <c r="C29" s="40">
        <f t="shared" si="0"/>
        <v>1</v>
      </c>
      <c r="D29" s="17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x14ac:dyDescent="0.3">
      <c r="A30" s="14" t="s">
        <v>131</v>
      </c>
      <c r="B30" s="15">
        <f>'Invert return series (5 years)'!$D30</f>
        <v>0</v>
      </c>
      <c r="C30" s="40">
        <f t="shared" si="0"/>
        <v>1</v>
      </c>
      <c r="D30" s="1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x14ac:dyDescent="0.3">
      <c r="A31" s="14" t="s">
        <v>132</v>
      </c>
      <c r="B31" s="15">
        <f>'Invert return series (5 years)'!$D31</f>
        <v>0</v>
      </c>
      <c r="C31" s="40">
        <f t="shared" si="0"/>
        <v>1</v>
      </c>
      <c r="D31" s="17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x14ac:dyDescent="0.3">
      <c r="A32" s="14" t="s">
        <v>133</v>
      </c>
      <c r="B32" s="15">
        <f>'Invert return series (5 years)'!$D32</f>
        <v>0</v>
      </c>
      <c r="C32" s="40">
        <f t="shared" si="0"/>
        <v>1</v>
      </c>
      <c r="D32" s="17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x14ac:dyDescent="0.3">
      <c r="A33" s="14" t="s">
        <v>134</v>
      </c>
      <c r="B33" s="15">
        <f>'Invert return series (5 years)'!$D33</f>
        <v>0</v>
      </c>
      <c r="C33" s="40">
        <f t="shared" si="0"/>
        <v>1</v>
      </c>
      <c r="D33" s="17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x14ac:dyDescent="0.3">
      <c r="A34" s="14" t="s">
        <v>135</v>
      </c>
      <c r="B34" s="15">
        <f>'Invert return series (5 years)'!$D34</f>
        <v>0</v>
      </c>
      <c r="C34" s="40">
        <f t="shared" si="0"/>
        <v>1</v>
      </c>
      <c r="D34" s="17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x14ac:dyDescent="0.3">
      <c r="A35" s="14" t="s">
        <v>136</v>
      </c>
      <c r="B35" s="15">
        <f>'Invert return series (5 years)'!$D35</f>
        <v>0</v>
      </c>
      <c r="C35" s="40">
        <f t="shared" si="0"/>
        <v>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x14ac:dyDescent="0.3">
      <c r="A36" s="14" t="s">
        <v>137</v>
      </c>
      <c r="B36" s="15">
        <f>'Invert return series (5 years)'!$D36</f>
        <v>0</v>
      </c>
      <c r="C36" s="40">
        <f t="shared" si="0"/>
        <v>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x14ac:dyDescent="0.3">
      <c r="A37" s="14" t="s">
        <v>138</v>
      </c>
      <c r="B37" s="15">
        <f>'Invert return series (5 years)'!$D37</f>
        <v>0</v>
      </c>
      <c r="C37" s="40">
        <f t="shared" si="0"/>
        <v>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spans="1:53" x14ac:dyDescent="0.3">
      <c r="A38" s="14" t="s">
        <v>93</v>
      </c>
      <c r="B38" s="15">
        <f>'Invert return series (5 years)'!$D38</f>
        <v>0</v>
      </c>
      <c r="C38" s="40">
        <f t="shared" si="0"/>
        <v>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pans="1:53" x14ac:dyDescent="0.3">
      <c r="A39" s="14" t="s">
        <v>92</v>
      </c>
      <c r="B39" s="15">
        <f>'Invert return series (5 years)'!$D39</f>
        <v>0</v>
      </c>
      <c r="C39" s="40">
        <f t="shared" si="0"/>
        <v>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spans="1:53" x14ac:dyDescent="0.3">
      <c r="A40" s="14" t="s">
        <v>91</v>
      </c>
      <c r="B40" s="15">
        <f>'Invert return series (5 years)'!$D40</f>
        <v>0</v>
      </c>
      <c r="C40" s="40">
        <f t="shared" si="0"/>
        <v>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 spans="1:53" x14ac:dyDescent="0.3">
      <c r="A41" s="14" t="s">
        <v>90</v>
      </c>
      <c r="B41" s="15">
        <f>'Invert return series (5 years)'!$D41</f>
        <v>0</v>
      </c>
      <c r="C41" s="40">
        <f t="shared" si="0"/>
        <v>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spans="1:53" x14ac:dyDescent="0.3">
      <c r="A42" s="14" t="s">
        <v>89</v>
      </c>
      <c r="B42" s="15">
        <f>'Invert return series (5 years)'!$D42</f>
        <v>0</v>
      </c>
      <c r="C42" s="40">
        <f t="shared" si="0"/>
        <v>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spans="1:53" x14ac:dyDescent="0.3">
      <c r="A43" s="14" t="s">
        <v>88</v>
      </c>
      <c r="B43" s="15">
        <f>'Invert return series (5 years)'!$D43</f>
        <v>0</v>
      </c>
      <c r="C43" s="40">
        <f t="shared" si="0"/>
        <v>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3" x14ac:dyDescent="0.3">
      <c r="A44" s="14" t="s">
        <v>87</v>
      </c>
      <c r="B44" s="15">
        <f>'Invert return series (5 years)'!$D44</f>
        <v>0</v>
      </c>
      <c r="C44" s="40">
        <f t="shared" si="0"/>
        <v>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3" x14ac:dyDescent="0.3">
      <c r="A45" s="14" t="s">
        <v>86</v>
      </c>
      <c r="B45" s="15">
        <f>'Invert return series (5 years)'!$D45</f>
        <v>0</v>
      </c>
      <c r="C45" s="40">
        <f t="shared" si="0"/>
        <v>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spans="1:53" x14ac:dyDescent="0.3">
      <c r="A46" s="14" t="s">
        <v>85</v>
      </c>
      <c r="B46" s="15">
        <f>'Invert return series (5 years)'!$D46</f>
        <v>0</v>
      </c>
      <c r="C46" s="40">
        <f t="shared" si="0"/>
        <v>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spans="1:53" x14ac:dyDescent="0.3">
      <c r="A47" s="14" t="s">
        <v>84</v>
      </c>
      <c r="B47" s="15">
        <f>'Invert return series (5 years)'!$D47</f>
        <v>0</v>
      </c>
      <c r="C47" s="40">
        <f t="shared" si="0"/>
        <v>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 x14ac:dyDescent="0.3">
      <c r="A48" s="14" t="s">
        <v>83</v>
      </c>
      <c r="B48" s="15">
        <f>'Invert return series (5 years)'!$D48</f>
        <v>0</v>
      </c>
      <c r="C48" s="40">
        <f t="shared" si="0"/>
        <v>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spans="1:53" x14ac:dyDescent="0.3">
      <c r="A49" s="14" t="s">
        <v>82</v>
      </c>
      <c r="B49" s="15">
        <f>'Invert return series (5 years)'!$D49</f>
        <v>0</v>
      </c>
      <c r="C49" s="40">
        <f t="shared" si="0"/>
        <v>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spans="1:53" x14ac:dyDescent="0.3">
      <c r="A50" s="14" t="s">
        <v>81</v>
      </c>
      <c r="B50" s="15">
        <f>'Invert return series (5 years)'!$D50</f>
        <v>0</v>
      </c>
      <c r="C50" s="40">
        <f t="shared" si="0"/>
        <v>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spans="1:53" x14ac:dyDescent="0.3">
      <c r="A51" s="14" t="s">
        <v>80</v>
      </c>
      <c r="B51" s="15">
        <f>'Invert return series (5 years)'!$D51</f>
        <v>0</v>
      </c>
      <c r="C51" s="40">
        <f t="shared" si="0"/>
        <v>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spans="1:53" x14ac:dyDescent="0.3">
      <c r="A52" s="14" t="s">
        <v>79</v>
      </c>
      <c r="B52" s="15">
        <f>'Invert return series (5 years)'!$D52</f>
        <v>0</v>
      </c>
      <c r="C52" s="40">
        <f t="shared" si="0"/>
        <v>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spans="1:53" x14ac:dyDescent="0.3">
      <c r="A53" s="14" t="s">
        <v>78</v>
      </c>
      <c r="B53" s="15">
        <f>'Invert return series (5 years)'!$D53</f>
        <v>0</v>
      </c>
      <c r="C53" s="40">
        <f t="shared" si="0"/>
        <v>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spans="1:53" x14ac:dyDescent="0.3">
      <c r="A54" s="14" t="s">
        <v>77</v>
      </c>
      <c r="B54" s="15">
        <f>'Invert return series (5 years)'!$D54</f>
        <v>0</v>
      </c>
      <c r="C54" s="40">
        <f t="shared" si="0"/>
        <v>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spans="1:53" x14ac:dyDescent="0.3">
      <c r="A55" s="14" t="s">
        <v>76</v>
      </c>
      <c r="B55" s="15">
        <f>'Invert return series (5 years)'!$D55</f>
        <v>0</v>
      </c>
      <c r="C55" s="40">
        <f t="shared" si="0"/>
        <v>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spans="1:53" x14ac:dyDescent="0.3">
      <c r="A56" s="14" t="s">
        <v>75</v>
      </c>
      <c r="B56" s="15">
        <f>'Invert return series (5 years)'!$D56</f>
        <v>0</v>
      </c>
      <c r="C56" s="40">
        <f t="shared" si="0"/>
        <v>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spans="1:53" x14ac:dyDescent="0.3">
      <c r="A57" s="14" t="s">
        <v>74</v>
      </c>
      <c r="B57" s="15">
        <f>'Invert return series (5 years)'!$D57</f>
        <v>0</v>
      </c>
      <c r="C57" s="40">
        <f t="shared" si="0"/>
        <v>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 x14ac:dyDescent="0.3">
      <c r="A58" s="14" t="s">
        <v>73</v>
      </c>
      <c r="B58" s="15">
        <f>'Invert return series (5 years)'!$D58</f>
        <v>0</v>
      </c>
      <c r="C58" s="40">
        <f t="shared" si="0"/>
        <v>1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 x14ac:dyDescent="0.3">
      <c r="A59" s="14" t="s">
        <v>72</v>
      </c>
      <c r="B59" s="15">
        <f>'Invert return series (5 years)'!$D59</f>
        <v>0</v>
      </c>
      <c r="C59" s="40">
        <f t="shared" si="0"/>
        <v>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spans="1:53" x14ac:dyDescent="0.3">
      <c r="A60" s="14" t="s">
        <v>71</v>
      </c>
      <c r="B60" s="15">
        <f>'Invert return series (5 years)'!$D60</f>
        <v>0</v>
      </c>
      <c r="C60" s="40">
        <f t="shared" si="0"/>
        <v>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 spans="1:53" x14ac:dyDescent="0.3">
      <c r="A61" s="14" t="s">
        <v>70</v>
      </c>
      <c r="B61" s="15">
        <f>'Invert return series (5 years)'!$D61</f>
        <v>0</v>
      </c>
      <c r="C61" s="40">
        <f t="shared" si="0"/>
        <v>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</row>
    <row r="62" spans="1:53" x14ac:dyDescent="0.3">
      <c r="C62" s="4"/>
    </row>
    <row r="63" spans="1:53" x14ac:dyDescent="0.3">
      <c r="C63" s="40"/>
    </row>
    <row r="64" spans="1:53" x14ac:dyDescent="0.3">
      <c r="A64" s="21" t="s">
        <v>139</v>
      </c>
    </row>
    <row r="65" spans="1:14" ht="147" customHeight="1" x14ac:dyDescent="0.3">
      <c r="A65" s="9" t="s">
        <v>12</v>
      </c>
      <c r="B65" s="9" t="s">
        <v>13</v>
      </c>
      <c r="C65" s="9" t="s">
        <v>140</v>
      </c>
      <c r="D65" s="9" t="s">
        <v>15</v>
      </c>
      <c r="E65" s="9" t="s">
        <v>16</v>
      </c>
      <c r="F65" s="9" t="s">
        <v>17</v>
      </c>
      <c r="G65" s="9" t="s">
        <v>18</v>
      </c>
      <c r="H65" s="9" t="s">
        <v>19</v>
      </c>
      <c r="I65" s="9" t="s">
        <v>20</v>
      </c>
      <c r="J65" s="9" t="s">
        <v>21</v>
      </c>
      <c r="K65" s="9" t="s">
        <v>22</v>
      </c>
      <c r="L65" s="9" t="s">
        <v>23</v>
      </c>
      <c r="M65" s="10" t="s">
        <v>141</v>
      </c>
      <c r="N65" s="11" t="s">
        <v>142</v>
      </c>
    </row>
    <row r="66" spans="1:14" x14ac:dyDescent="0.3">
      <c r="A66" t="str">
        <f>IF(E2&gt;E8,10,"-")</f>
        <v>-</v>
      </c>
      <c r="B66" t="str">
        <f>IF(E2&gt;E14,10,"-")</f>
        <v>-</v>
      </c>
      <c r="C66" t="str">
        <f>IF(E3&gt;E9,10,"-")</f>
        <v>-</v>
      </c>
      <c r="D66" t="str">
        <f>IF(E3&gt;E15,10,"-")</f>
        <v>-</v>
      </c>
      <c r="E66" t="str">
        <f>IF(G5&gt;(2*E16),"-",5)</f>
        <v>-</v>
      </c>
      <c r="F66">
        <f>IF(E4&gt;(1.5*E10),"-",5)</f>
        <v>5</v>
      </c>
      <c r="G66" s="33">
        <v>10</v>
      </c>
      <c r="H66" s="33"/>
      <c r="I66" s="33">
        <v>10</v>
      </c>
      <c r="J66" s="33">
        <v>10</v>
      </c>
      <c r="K66" s="33">
        <v>5</v>
      </c>
      <c r="L66" s="33">
        <v>5</v>
      </c>
      <c r="M66">
        <f>SUM(A66:L66)</f>
        <v>45</v>
      </c>
      <c r="N66" t="str">
        <f>IF(M66&lt;50,"Red",IF(M66&gt;60,"Green","Amber"))</f>
        <v>Red</v>
      </c>
    </row>
  </sheetData>
  <mergeCells count="3">
    <mergeCell ref="D1:E1"/>
    <mergeCell ref="D7:E7"/>
    <mergeCell ref="D13:E13"/>
  </mergeCells>
  <phoneticPr fontId="9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390F6A7-21B6-460E-8E26-9E662DE45D95}">
          <x14:formula1>
            <xm:f>'Morningstar Category Data'!$A$3:$A$64</xm:f>
          </x14:formula1>
          <xm:sqref>F13</xm:sqref>
        </x14:dataValidation>
        <x14:dataValidation type="list" allowBlank="1" showInputMessage="1" showErrorMessage="1" xr:uid="{8957EEF6-0E54-44D2-B1BB-E83B25005F2A}">
          <x14:formula1>
            <xm:f>'BM Data'!$A$7:$A$240</xm:f>
          </x14:formula1>
          <xm:sqref>F7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7A56-1D4F-4D87-9D0C-B0626CEC8A6D}">
  <dimension ref="A1:BA61"/>
  <sheetViews>
    <sheetView workbookViewId="0">
      <selection activeCell="E40" sqref="E40"/>
    </sheetView>
  </sheetViews>
  <sheetFormatPr defaultRowHeight="14.4" x14ac:dyDescent="0.3"/>
  <cols>
    <col min="1" max="1" width="25.6640625" customWidth="1"/>
    <col min="2" max="2" width="24" customWidth="1"/>
    <col min="3" max="3" width="23.6640625" customWidth="1"/>
    <col min="4" max="4" width="26.6640625" customWidth="1"/>
    <col min="5" max="5" width="16.6640625" customWidth="1"/>
    <col min="6" max="6" width="36.33203125" bestFit="1" customWidth="1"/>
    <col min="7" max="53" width="16.6640625" customWidth="1"/>
  </cols>
  <sheetData>
    <row r="1" spans="1:53" x14ac:dyDescent="0.3">
      <c r="A1" s="2"/>
      <c r="B1" s="12" t="s">
        <v>67</v>
      </c>
      <c r="C1" s="2"/>
      <c r="D1" s="97" t="s">
        <v>68</v>
      </c>
      <c r="E1" s="97"/>
      <c r="F1" s="30" t="s">
        <v>69</v>
      </c>
      <c r="G1" s="28" t="s">
        <v>70</v>
      </c>
      <c r="I1" s="28" t="s">
        <v>71</v>
      </c>
      <c r="K1" s="28" t="s">
        <v>72</v>
      </c>
      <c r="M1" s="28" t="s">
        <v>73</v>
      </c>
      <c r="O1" s="28" t="s">
        <v>74</v>
      </c>
      <c r="Q1" s="28" t="s">
        <v>75</v>
      </c>
      <c r="S1" s="28" t="s">
        <v>76</v>
      </c>
      <c r="U1" s="28" t="s">
        <v>77</v>
      </c>
      <c r="W1" s="28" t="s">
        <v>78</v>
      </c>
      <c r="Y1" s="28" t="s">
        <v>79</v>
      </c>
      <c r="AA1" s="28" t="s">
        <v>80</v>
      </c>
      <c r="AC1" s="28" t="s">
        <v>81</v>
      </c>
      <c r="AE1" s="28" t="s">
        <v>82</v>
      </c>
      <c r="AG1" s="28" t="s">
        <v>83</v>
      </c>
      <c r="AI1" s="28" t="s">
        <v>84</v>
      </c>
      <c r="AK1" s="28" t="s">
        <v>85</v>
      </c>
      <c r="AM1" s="28" t="s">
        <v>86</v>
      </c>
      <c r="AO1" s="28" t="s">
        <v>87</v>
      </c>
      <c r="AQ1" s="28" t="s">
        <v>88</v>
      </c>
      <c r="AS1" s="28" t="s">
        <v>89</v>
      </c>
      <c r="AU1" s="28" t="s">
        <v>90</v>
      </c>
      <c r="AW1" s="28" t="s">
        <v>91</v>
      </c>
      <c r="AY1" s="28" t="s">
        <v>92</v>
      </c>
      <c r="BA1" s="28" t="s">
        <v>93</v>
      </c>
    </row>
    <row r="2" spans="1:53" x14ac:dyDescent="0.3">
      <c r="A2" s="14" t="s">
        <v>127</v>
      </c>
      <c r="B2" s="15">
        <f>'Invert return series (3 years)'!$B2</f>
        <v>-1.9161857176604603E-2</v>
      </c>
      <c r="C2" s="2"/>
      <c r="D2" s="16" t="s">
        <v>97</v>
      </c>
      <c r="E2" s="20" cm="1">
        <f t="array" ref="E2">(PRODUCT(1+$B$2:$B$37)^(0.333333333)-1)*100</f>
        <v>3.5512209164173081</v>
      </c>
      <c r="F2" s="2"/>
      <c r="G2" s="18">
        <f>$B25*100</f>
        <v>1.5097838587918802</v>
      </c>
      <c r="H2" s="18"/>
      <c r="I2" s="18">
        <f>$B24*100</f>
        <v>0.91940258908615635</v>
      </c>
      <c r="J2" s="18"/>
      <c r="K2" s="18">
        <f>$B23*100</f>
        <v>0.72424780787771925</v>
      </c>
      <c r="L2" s="18"/>
      <c r="M2" s="18">
        <f>$B22*100</f>
        <v>2.7364196685114464</v>
      </c>
      <c r="N2" s="18"/>
      <c r="O2" s="18">
        <f>$B21*100</f>
        <v>3.2476107454908956</v>
      </c>
      <c r="P2" s="18"/>
      <c r="Q2" s="18">
        <f>$B20*100</f>
        <v>-1.2319370069453377</v>
      </c>
      <c r="R2" s="18"/>
      <c r="S2" s="18">
        <f>$B19*100</f>
        <v>-1.7737870115072818</v>
      </c>
      <c r="T2" s="18"/>
      <c r="U2" s="18">
        <f>$B18*100</f>
        <v>9.9608677673441462E-2</v>
      </c>
      <c r="V2" s="18"/>
      <c r="W2" s="18">
        <f>$B17*100</f>
        <v>0.85679418852385814</v>
      </c>
      <c r="X2" s="18"/>
      <c r="Y2" s="18">
        <f>$B16*100</f>
        <v>0.49977342395344682</v>
      </c>
      <c r="Z2" s="18"/>
      <c r="AA2" s="18">
        <f>$B15*100</f>
        <v>-0.39882307257142957</v>
      </c>
      <c r="AB2" s="18"/>
      <c r="AC2" s="18">
        <f>$B14*100</f>
        <v>0.87650402531956084</v>
      </c>
      <c r="AD2" s="18"/>
      <c r="AE2" s="18">
        <f>$B13*100</f>
        <v>1.5557598419398002</v>
      </c>
      <c r="AF2" s="18"/>
      <c r="AG2" s="18">
        <f>$B12*100</f>
        <v>-0.80229701859783042</v>
      </c>
      <c r="AH2" s="18"/>
      <c r="AI2" s="18">
        <f>$B11*100</f>
        <v>2.8205909371540052</v>
      </c>
      <c r="AJ2" s="18"/>
      <c r="AK2" s="18">
        <f>$B10*100</f>
        <v>-1.9686065345146275</v>
      </c>
      <c r="AL2" s="18"/>
      <c r="AM2" s="18">
        <f>$B9*100</f>
        <v>2.3159596569086034</v>
      </c>
      <c r="AN2" s="18"/>
      <c r="AO2" s="18">
        <f>$B8*100</f>
        <v>2.0472373707602602</v>
      </c>
      <c r="AP2" s="18"/>
      <c r="AQ2" s="18">
        <f>$B7*100</f>
        <v>-3.2049430994443675</v>
      </c>
      <c r="AR2" s="18"/>
      <c r="AS2" s="18">
        <f>$B6*100</f>
        <v>-1.6170345052158603</v>
      </c>
      <c r="AT2" s="18"/>
      <c r="AU2" s="18">
        <f>$B5*100</f>
        <v>3.2136723450963682</v>
      </c>
      <c r="AV2" s="18"/>
      <c r="AW2" s="18">
        <f>$B4*100</f>
        <v>-3.024476183245973</v>
      </c>
      <c r="AX2" s="18"/>
      <c r="AY2" s="18">
        <f>$B3*100</f>
        <v>-0.91746549735837601</v>
      </c>
      <c r="AZ2" s="18"/>
      <c r="BA2" s="18">
        <f>$B2*100</f>
        <v>-1.9161857176604604</v>
      </c>
    </row>
    <row r="3" spans="1:53" x14ac:dyDescent="0.3">
      <c r="A3" s="14" t="s">
        <v>128</v>
      </c>
      <c r="B3" s="15">
        <f>'Invert return series (3 years)'!$B3</f>
        <v>-9.1746549735837596E-3</v>
      </c>
      <c r="C3" s="2"/>
      <c r="D3" s="16" t="s">
        <v>100</v>
      </c>
      <c r="E3" s="20">
        <f>(STDEV($B$2:$B$25)*SQRT(12))*100</f>
        <v>6.7681040211002701</v>
      </c>
      <c r="F3" s="30" t="s">
        <v>98</v>
      </c>
      <c r="G3" s="2">
        <f>INDEX('BM Data'!$K$7:$BE$260,MATCH('Manual Calc (3 years)'!$F7,'BM Data'!$A$7:$A$260,0),MATCH('Manual Calc (3 years)'!G$1,'BM Data'!$K$1:$BE$1,0))</f>
        <v>0.59675</v>
      </c>
      <c r="H3" s="2"/>
      <c r="I3" s="2">
        <f>INDEX('BM Data'!$K$7:$BE$260,MATCH('Manual Calc (3 years)'!$F7,'BM Data'!$A$7:$A$260,0),MATCH('Manual Calc (3 years)'!I$1,'BM Data'!$K$1:$BE$1,0))</f>
        <v>0.67652000000000001</v>
      </c>
      <c r="J3" s="2"/>
      <c r="K3" s="2">
        <f>INDEX('BM Data'!$K$7:$BE$260,MATCH('Manual Calc (3 years)'!$F7,'BM Data'!$A$7:$A$260,0),MATCH('Manual Calc (3 years)'!K$1,'BM Data'!$K$1:$BE$1,0))</f>
        <v>1.5872900000000001</v>
      </c>
      <c r="L3" s="2"/>
      <c r="M3" s="2">
        <f>INDEX('BM Data'!$K$7:$BE$260,MATCH('Manual Calc (3 years)'!$F7,'BM Data'!$A$7:$A$260,0),MATCH('Manual Calc (3 years)'!M$1,'BM Data'!$K$1:$BE$1,0))</f>
        <v>-2.0118999999999998</v>
      </c>
      <c r="N3" s="2"/>
      <c r="O3" s="2">
        <f>INDEX('BM Data'!$K$7:$BE$260,MATCH('Manual Calc (3 years)'!$F7,'BM Data'!$A$7:$A$260,0),MATCH('Manual Calc (3 years)'!O$1,'BM Data'!$K$1:$BE$1,0))</f>
        <v>0.81376000000000004</v>
      </c>
      <c r="P3" s="2"/>
      <c r="Q3" s="2">
        <f>INDEX('BM Data'!$K$7:$BE$260,MATCH('Manual Calc (3 years)'!$F7,'BM Data'!$A$7:$A$260,0),MATCH('Manual Calc (3 years)'!Q$1,'BM Data'!$K$1:$BE$1,0))</f>
        <v>0.80347999999999997</v>
      </c>
      <c r="R3" s="2"/>
      <c r="S3" s="2">
        <f>INDEX('BM Data'!$K$7:$BE$260,MATCH('Manual Calc (3 years)'!$F7,'BM Data'!$A$7:$A$260,0),MATCH('Manual Calc (3 years)'!S$1,'BM Data'!$K$1:$BE$1,0))</f>
        <v>2.2288199999999998</v>
      </c>
      <c r="T3" s="2"/>
      <c r="U3" s="2">
        <f>INDEX('BM Data'!$K$7:$BE$260,MATCH('Manual Calc (3 years)'!$F7,'BM Data'!$A$7:$A$260,0),MATCH('Manual Calc (3 years)'!U$1,'BM Data'!$K$1:$BE$1,0))</f>
        <v>0.82533999999999996</v>
      </c>
      <c r="V3" s="2"/>
      <c r="W3" s="2">
        <f>INDEX('BM Data'!$K$7:$BE$260,MATCH('Manual Calc (3 years)'!$F7,'BM Data'!$A$7:$A$260,0),MATCH('Manual Calc (3 years)'!W$1,'BM Data'!$K$1:$BE$1,0))</f>
        <v>0.94076000000000004</v>
      </c>
      <c r="X3" s="2"/>
      <c r="Y3" s="2">
        <f>INDEX('BM Data'!$K$7:$BE$260,MATCH('Manual Calc (3 years)'!$F7,'BM Data'!$A$7:$A$260,0),MATCH('Manual Calc (3 years)'!Y$1,'BM Data'!$K$1:$BE$1,0))</f>
        <v>-0.94335999999999998</v>
      </c>
      <c r="Z3" s="2"/>
      <c r="AA3" s="2">
        <f>INDEX('BM Data'!$K$7:$BE$260,MATCH('Manual Calc (3 years)'!$F7,'BM Data'!$A$7:$A$260,0),MATCH('Manual Calc (3 years)'!AA$1,'BM Data'!$K$1:$BE$1,0))</f>
        <v>1.7757400000000001</v>
      </c>
      <c r="AB3" s="2"/>
      <c r="AC3" s="2">
        <f>INDEX('BM Data'!$K$7:$BE$260,MATCH('Manual Calc (3 years)'!$F7,'BM Data'!$A$7:$A$260,0),MATCH('Manual Calc (3 years)'!AC$1,'BM Data'!$K$1:$BE$1,0))</f>
        <v>-0.45227000000000001</v>
      </c>
      <c r="AD3" s="2"/>
      <c r="AE3" s="2">
        <f>INDEX('BM Data'!$K$7:$BE$260,MATCH('Manual Calc (3 years)'!$F7,'BM Data'!$A$7:$A$260,0),MATCH('Manual Calc (3 years)'!AE$1,'BM Data'!$K$1:$BE$1,0))</f>
        <v>1.2810699999999999</v>
      </c>
      <c r="AF3" s="2"/>
      <c r="AG3" s="2">
        <f>INDEX('BM Data'!$K$7:$BE$260,MATCH('Manual Calc (3 years)'!$F7,'BM Data'!$A$7:$A$260,0),MATCH('Manual Calc (3 years)'!AG$1,'BM Data'!$K$1:$BE$1,0))</f>
        <v>0.10692</v>
      </c>
      <c r="AH3" s="2"/>
      <c r="AI3" s="2">
        <f>INDEX('BM Data'!$K$7:$BE$260,MATCH('Manual Calc (3 years)'!$F7,'BM Data'!$A$7:$A$260,0),MATCH('Manual Calc (3 years)'!AI$1,'BM Data'!$K$1:$BE$1,0))</f>
        <v>-1.0080199999999999</v>
      </c>
      <c r="AJ3" s="2"/>
      <c r="AK3" s="2">
        <f>INDEX('BM Data'!$K$7:$BE$260,MATCH('Manual Calc (3 years)'!$F7,'BM Data'!$A$7:$A$260,0),MATCH('Manual Calc (3 years)'!AK$1,'BM Data'!$K$1:$BE$1,0))</f>
        <v>1.18781</v>
      </c>
      <c r="AL3" s="2"/>
      <c r="AM3" s="2">
        <f>INDEX('BM Data'!$K$7:$BE$260,MATCH('Manual Calc (3 years)'!$F7,'BM Data'!$A$7:$A$260,0),MATCH('Manual Calc (3 years)'!AM$1,'BM Data'!$K$1:$BE$1,0))</f>
        <v>1.2941</v>
      </c>
      <c r="AN3" s="2"/>
      <c r="AO3" s="2">
        <f>INDEX('BM Data'!$K$7:$BE$260,MATCH('Manual Calc (3 years)'!$F7,'BM Data'!$A$7:$A$260,0),MATCH('Manual Calc (3 years)'!AO$1,'BM Data'!$K$1:$BE$1,0))</f>
        <v>1.07077</v>
      </c>
      <c r="AP3" s="2"/>
      <c r="AQ3" s="2">
        <f>INDEX('BM Data'!$K$7:$BE$260,MATCH('Manual Calc (3 years)'!$F7,'BM Data'!$A$7:$A$260,0),MATCH('Manual Calc (3 years)'!AQ$1,'BM Data'!$K$1:$BE$1,0))</f>
        <v>0.71494999999999997</v>
      </c>
      <c r="AR3" s="2"/>
      <c r="AS3" s="2">
        <f>INDEX('BM Data'!$K$7:$BE$260,MATCH('Manual Calc (3 years)'!$F7,'BM Data'!$A$7:$A$260,0),MATCH('Manual Calc (3 years)'!AS$1,'BM Data'!$K$1:$BE$1,0))</f>
        <v>1.0607800000000001</v>
      </c>
      <c r="AT3" s="2"/>
      <c r="AU3" s="2">
        <f>INDEX('BM Data'!$K$7:$BE$260,MATCH('Manual Calc (3 years)'!$F7,'BM Data'!$A$7:$A$260,0),MATCH('Manual Calc (3 years)'!AU$1,'BM Data'!$K$1:$BE$1,0))</f>
        <v>0.46655000000000002</v>
      </c>
      <c r="AV3" s="2"/>
      <c r="AW3" s="2">
        <f>INDEX('BM Data'!$K$7:$BE$260,MATCH('Manual Calc (3 years)'!$F7,'BM Data'!$A$7:$A$260,0),MATCH('Manual Calc (3 years)'!AW$1,'BM Data'!$K$1:$BE$1,0))</f>
        <v>0.85045999999999999</v>
      </c>
      <c r="AX3" s="2"/>
      <c r="AY3" s="2">
        <f>INDEX('BM Data'!$K$7:$BE$260,MATCH('Manual Calc (3 years)'!$F7,'BM Data'!$A$7:$A$260,0),MATCH('Manual Calc (3 years)'!AY$1,'BM Data'!$K$1:$BE$1,0))</f>
        <v>-0.52841000000000005</v>
      </c>
      <c r="AZ3" s="2"/>
      <c r="BA3" s="2">
        <f>INDEX('BM Data'!$K$7:$BE$260,MATCH('Manual Calc (3 years)'!$F7,'BM Data'!$A$7:$A$260,0),MATCH('Manual Calc (3 years)'!BA$1,'BM Data'!$K$1:$BE$1,0))</f>
        <v>-8.8300000000000003E-2</v>
      </c>
    </row>
    <row r="4" spans="1:53" x14ac:dyDescent="0.3">
      <c r="A4" s="14" t="s">
        <v>129</v>
      </c>
      <c r="B4" s="15">
        <f>'Invert return series (3 years)'!$B4</f>
        <v>-3.0244761832459728E-2</v>
      </c>
      <c r="C4" s="2"/>
      <c r="F4" s="30" t="s">
        <v>101</v>
      </c>
      <c r="G4" s="32">
        <f>G2-G3</f>
        <v>0.91303385879188015</v>
      </c>
      <c r="H4" s="2"/>
      <c r="I4" s="32">
        <f>I2-I3</f>
        <v>0.24288258908615634</v>
      </c>
      <c r="J4" s="2"/>
      <c r="K4" s="32">
        <f>K2-K3</f>
        <v>-0.86304219212228084</v>
      </c>
      <c r="L4" s="2"/>
      <c r="M4" s="32">
        <f>M2-M3</f>
        <v>4.7483196685114457</v>
      </c>
      <c r="N4" s="2"/>
      <c r="O4" s="32">
        <f>O2-O3</f>
        <v>2.4338507454908953</v>
      </c>
      <c r="P4" s="2"/>
      <c r="Q4" s="32">
        <f>Q2-Q3</f>
        <v>-2.0354170069453374</v>
      </c>
      <c r="R4" s="2"/>
      <c r="S4" s="32">
        <f>S2-S3</f>
        <v>-4.0026070115072816</v>
      </c>
      <c r="T4" s="2"/>
      <c r="U4" s="32">
        <f>U2-U3</f>
        <v>-0.72573132232655846</v>
      </c>
      <c r="V4" s="2"/>
      <c r="W4" s="32">
        <f>W2-W3</f>
        <v>-8.3965811476141905E-2</v>
      </c>
      <c r="X4" s="2"/>
      <c r="Y4" s="32">
        <f>Y2-Y3</f>
        <v>1.4431334239534468</v>
      </c>
      <c r="Z4" s="2"/>
      <c r="AA4" s="32">
        <f>AA2-AA3</f>
        <v>-2.1745630725714298</v>
      </c>
      <c r="AB4" s="2"/>
      <c r="AC4" s="32">
        <f>AC2-AC3</f>
        <v>1.3287740253195608</v>
      </c>
      <c r="AD4" s="2"/>
      <c r="AE4" s="32">
        <f>AE2-AE3</f>
        <v>0.27468984193980028</v>
      </c>
      <c r="AF4" s="2"/>
      <c r="AG4" s="32">
        <f>AG2-AG3</f>
        <v>-0.90921701859783044</v>
      </c>
      <c r="AH4" s="2"/>
      <c r="AI4" s="32">
        <f>AI2-AI3</f>
        <v>3.8286109371540054</v>
      </c>
      <c r="AJ4" s="2"/>
      <c r="AK4" s="32">
        <f>AK2-AK3</f>
        <v>-3.1564165345146273</v>
      </c>
      <c r="AL4" s="2"/>
      <c r="AM4" s="32">
        <f>AM2-AM3</f>
        <v>1.0218596569086034</v>
      </c>
      <c r="AN4" s="2"/>
      <c r="AO4" s="32">
        <f>AO2-AO3</f>
        <v>0.97646737076026024</v>
      </c>
      <c r="AP4" s="2"/>
      <c r="AQ4" s="32">
        <f>AQ2-AQ3</f>
        <v>-3.9198930994443675</v>
      </c>
      <c r="AR4" s="2"/>
      <c r="AS4" s="32">
        <f>AS2-AS3</f>
        <v>-2.6778145052158604</v>
      </c>
      <c r="AT4" s="2"/>
      <c r="AU4" s="32">
        <f>AU2-AU3</f>
        <v>2.7471223450963684</v>
      </c>
      <c r="AV4" s="2"/>
      <c r="AW4" s="32">
        <f>AW2-AW3</f>
        <v>-3.874936183245973</v>
      </c>
      <c r="AX4" s="2"/>
      <c r="AY4" s="32">
        <f>AY2-AY3</f>
        <v>-0.38905549735837597</v>
      </c>
      <c r="AZ4" s="2"/>
      <c r="BA4" s="32">
        <f>BA2-BA3</f>
        <v>-1.8278857176604604</v>
      </c>
    </row>
    <row r="5" spans="1:53" x14ac:dyDescent="0.3">
      <c r="A5" s="14" t="s">
        <v>130</v>
      </c>
      <c r="B5" s="15">
        <f>'Invert return series (3 years)'!$B5</f>
        <v>3.2136723450963682E-2</v>
      </c>
      <c r="C5" s="2"/>
      <c r="F5" s="31" t="s">
        <v>11</v>
      </c>
      <c r="G5" s="18">
        <f>STDEV(G4,I4,K4,M4,O4,Q4,S4,U4,W4,Y4,AA4,AC4,AE4,AG4,AI4,AK4,AM4,AO4,AQ4,AS4,AU4,AW4,AY4,BA4)*SQRT(12)</f>
        <v>8.3499603464358483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 x14ac:dyDescent="0.3">
      <c r="A6" s="14" t="s">
        <v>131</v>
      </c>
      <c r="B6" s="15">
        <f>'Invert return series (3 years)'!$B6</f>
        <v>-1.6170345052158603E-2</v>
      </c>
      <c r="C6" s="2"/>
      <c r="D6" s="1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x14ac:dyDescent="0.3">
      <c r="A7" s="14" t="s">
        <v>132</v>
      </c>
      <c r="B7" s="15">
        <f>'Invert return series (3 years)'!$B7</f>
        <v>-3.2049430994443677E-2</v>
      </c>
      <c r="C7" s="2"/>
      <c r="D7" s="98" t="s">
        <v>105</v>
      </c>
      <c r="E7" s="98"/>
      <c r="F7" s="13" t="s">
        <v>143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 x14ac:dyDescent="0.3">
      <c r="A8" s="14" t="s">
        <v>133</v>
      </c>
      <c r="B8" s="15">
        <f>'Invert return series (3 years)'!$B8</f>
        <v>2.0472373707602604E-2</v>
      </c>
      <c r="C8" s="2"/>
      <c r="D8" s="16" t="s">
        <v>97</v>
      </c>
      <c r="E8" s="2">
        <f>VLOOKUP($F$7,'BM Data'!$A:$G,4,FALSE)</f>
        <v>7.2013670000000003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x14ac:dyDescent="0.3">
      <c r="A9" s="14" t="s">
        <v>134</v>
      </c>
      <c r="B9" s="15">
        <f>'Invert return series (3 years)'!$B9</f>
        <v>2.3159596569086033E-2</v>
      </c>
      <c r="C9" s="2"/>
      <c r="D9" s="16" t="s">
        <v>100</v>
      </c>
      <c r="E9" s="2">
        <f>VLOOKUP($F$7,'BM Data'!$A:$G,7,FALSE)</f>
        <v>3.3818619999999999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x14ac:dyDescent="0.3">
      <c r="A10" s="14" t="s">
        <v>135</v>
      </c>
      <c r="B10" s="15">
        <f>'Invert return series (3 years)'!$B10</f>
        <v>-1.9686065345146275E-2</v>
      </c>
      <c r="C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x14ac:dyDescent="0.3">
      <c r="A11" s="14" t="s">
        <v>136</v>
      </c>
      <c r="B11" s="15">
        <f>'Invert return series (3 years)'!$B11</f>
        <v>2.820590937154005E-2</v>
      </c>
      <c r="C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x14ac:dyDescent="0.3">
      <c r="A12" s="14" t="s">
        <v>137</v>
      </c>
      <c r="B12" s="15">
        <f>'Invert return series (3 years)'!$B12</f>
        <v>-8.0229701859783047E-3</v>
      </c>
      <c r="C12" s="2"/>
      <c r="D12" s="1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x14ac:dyDescent="0.3">
      <c r="A13" s="14" t="s">
        <v>138</v>
      </c>
      <c r="B13" s="15">
        <f>'Invert return series (3 years)'!$B13</f>
        <v>1.5557598419398001E-2</v>
      </c>
      <c r="C13" s="2"/>
      <c r="D13" s="98" t="s">
        <v>113</v>
      </c>
      <c r="E13" s="98"/>
      <c r="F13" s="13" t="s">
        <v>144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x14ac:dyDescent="0.3">
      <c r="A14" s="14" t="s">
        <v>93</v>
      </c>
      <c r="B14" s="15">
        <f>'Invert return series (3 years)'!$B14</f>
        <v>8.7650402531956086E-3</v>
      </c>
      <c r="C14" s="2"/>
      <c r="D14" s="16" t="s">
        <v>28</v>
      </c>
      <c r="E14" s="2">
        <f>VLOOKUP($F$13,'Morningstar Category Data'!$A:$E,4,FALSE)</f>
        <v>3.4379710000000001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 x14ac:dyDescent="0.3">
      <c r="A15" s="14" t="s">
        <v>92</v>
      </c>
      <c r="B15" s="15">
        <f>'Invert return series (3 years)'!$B15</f>
        <v>-3.9882307257142957E-3</v>
      </c>
      <c r="C15" s="2"/>
      <c r="D15" s="16" t="s">
        <v>30</v>
      </c>
      <c r="E15" s="2">
        <f>VLOOKUP($F$13,'Morningstar Category Data'!$I:$J,2,FALSE)</f>
        <v>11.011604999999999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x14ac:dyDescent="0.3">
      <c r="A16" s="14" t="s">
        <v>91</v>
      </c>
      <c r="B16" s="15">
        <f>'Invert return series (3 years)'!$B16</f>
        <v>4.997734239534468E-3</v>
      </c>
      <c r="C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 x14ac:dyDescent="0.3">
      <c r="A17" s="14" t="s">
        <v>90</v>
      </c>
      <c r="B17" s="15">
        <f>'Invert return series (3 years)'!$B17</f>
        <v>8.5679418852385811E-3</v>
      </c>
      <c r="C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x14ac:dyDescent="0.3">
      <c r="A18" s="14" t="s">
        <v>89</v>
      </c>
      <c r="B18" s="15">
        <f>'Invert return series (3 years)'!$B18</f>
        <v>9.9608677673441461E-4</v>
      </c>
      <c r="C18" s="2"/>
      <c r="D18" s="1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x14ac:dyDescent="0.3">
      <c r="A19" s="14" t="s">
        <v>88</v>
      </c>
      <c r="B19" s="15">
        <f>'Invert return series (3 years)'!$B19</f>
        <v>-1.7737870115072819E-2</v>
      </c>
      <c r="C19" s="2"/>
      <c r="D19" s="17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x14ac:dyDescent="0.3">
      <c r="A20" s="14" t="s">
        <v>87</v>
      </c>
      <c r="B20" s="15">
        <f>'Invert return series (3 years)'!$B20</f>
        <v>-1.2319370069453377E-2</v>
      </c>
      <c r="C20" s="2"/>
      <c r="D20" s="17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x14ac:dyDescent="0.3">
      <c r="A21" s="14" t="s">
        <v>86</v>
      </c>
      <c r="B21" s="15">
        <f>'Invert return series (3 years)'!$B21</f>
        <v>3.2476107454908955E-2</v>
      </c>
      <c r="C21" s="2"/>
      <c r="D21" s="17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x14ac:dyDescent="0.3">
      <c r="A22" s="14" t="s">
        <v>85</v>
      </c>
      <c r="B22" s="15">
        <f>'Invert return series (3 years)'!$B22</f>
        <v>2.7364196685114466E-2</v>
      </c>
      <c r="C22" s="2"/>
      <c r="D22" s="17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 x14ac:dyDescent="0.3">
      <c r="A23" s="14" t="s">
        <v>84</v>
      </c>
      <c r="B23" s="15">
        <f>'Invert return series (3 years)'!$B23</f>
        <v>7.2424780787771923E-3</v>
      </c>
      <c r="C23" s="2"/>
      <c r="D23" s="17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x14ac:dyDescent="0.3">
      <c r="A24" s="14" t="s">
        <v>83</v>
      </c>
      <c r="B24" s="15">
        <f>'Invert return series (3 years)'!$B24</f>
        <v>9.1940258908615631E-3</v>
      </c>
      <c r="C24" s="2"/>
      <c r="D24" s="17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x14ac:dyDescent="0.3">
      <c r="A25" s="14" t="s">
        <v>82</v>
      </c>
      <c r="B25" s="15">
        <f>'Invert return series (3 years)'!$B25</f>
        <v>1.5097838587918801E-2</v>
      </c>
      <c r="C25" s="2"/>
      <c r="D25" s="17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x14ac:dyDescent="0.3">
      <c r="A26" s="14" t="s">
        <v>81</v>
      </c>
      <c r="B26" s="15">
        <f>'Invert return series (3 years)'!$B26</f>
        <v>-1.6858345688342925E-2</v>
      </c>
      <c r="C26" s="2"/>
      <c r="D26" s="17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 x14ac:dyDescent="0.3">
      <c r="A27" s="14" t="s">
        <v>80</v>
      </c>
      <c r="B27" s="15">
        <f>'Invert return series (3 years)'!$B27</f>
        <v>1.012335117247893E-2</v>
      </c>
      <c r="C27" s="2"/>
      <c r="D27" s="17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 x14ac:dyDescent="0.3">
      <c r="A28" s="14" t="s">
        <v>79</v>
      </c>
      <c r="B28" s="15">
        <f>'Invert return series (3 years)'!$B28</f>
        <v>8.749440302929061E-3</v>
      </c>
      <c r="C28" s="2"/>
      <c r="D28" s="17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x14ac:dyDescent="0.3">
      <c r="A29" s="14" t="s">
        <v>78</v>
      </c>
      <c r="B29" s="15">
        <f>'Invert return series (3 years)'!$B29</f>
        <v>1.7341940281162312E-2</v>
      </c>
      <c r="C29" s="2"/>
      <c r="D29" s="17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x14ac:dyDescent="0.3">
      <c r="A30" s="14" t="s">
        <v>77</v>
      </c>
      <c r="B30" s="15">
        <f>'Invert return series (3 years)'!$B30</f>
        <v>7.6003791521948305E-3</v>
      </c>
      <c r="C30" s="2"/>
      <c r="D30" s="1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x14ac:dyDescent="0.3">
      <c r="A31" s="14" t="s">
        <v>76</v>
      </c>
      <c r="B31" s="15">
        <f>'Invert return series (3 years)'!$B31</f>
        <v>8.3382063677297918E-3</v>
      </c>
      <c r="C31" s="2"/>
      <c r="D31" s="17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x14ac:dyDescent="0.3">
      <c r="A32" s="14" t="s">
        <v>75</v>
      </c>
      <c r="B32" s="15">
        <f>'Invert return series (3 years)'!$B32</f>
        <v>-5.0125762273681507E-3</v>
      </c>
      <c r="C32" s="2"/>
      <c r="D32" s="17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x14ac:dyDescent="0.3">
      <c r="A33" s="14" t="s">
        <v>74</v>
      </c>
      <c r="B33" s="15">
        <f>'Invert return series (3 years)'!$B33</f>
        <v>1.8776877573598163E-2</v>
      </c>
      <c r="C33" s="2"/>
      <c r="D33" s="17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x14ac:dyDescent="0.3">
      <c r="A34" s="14" t="s">
        <v>73</v>
      </c>
      <c r="B34" s="15">
        <f>'Invert return series (3 years)'!$B34</f>
        <v>-3.7259253962034114E-3</v>
      </c>
      <c r="C34" s="2"/>
      <c r="D34" s="17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x14ac:dyDescent="0.3">
      <c r="A35" s="14" t="s">
        <v>72</v>
      </c>
      <c r="B35" s="15">
        <f>'Invert return series (3 years)'!$B35</f>
        <v>1.1113252735493861E-2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x14ac:dyDescent="0.3">
      <c r="A36" s="14" t="s">
        <v>71</v>
      </c>
      <c r="B36" s="15">
        <f>'Invert return series (3 years)'!$B36</f>
        <v>-8.3905230677618384E-4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x14ac:dyDescent="0.3">
      <c r="A37" s="14" t="s">
        <v>70</v>
      </c>
      <c r="B37" s="15">
        <f>'Invert return series (3 years)'!$B37</f>
        <v>-1.1368316783370469E-2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spans="1:53" x14ac:dyDescent="0.3">
      <c r="A38" s="14"/>
      <c r="B38" s="1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pans="1:53" x14ac:dyDescent="0.3">
      <c r="A39" s="14"/>
      <c r="B39" s="1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spans="1:53" x14ac:dyDescent="0.3">
      <c r="A40" s="21" t="s">
        <v>139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 spans="1:53" ht="43.2" x14ac:dyDescent="0.3">
      <c r="A41" s="9" t="s">
        <v>140</v>
      </c>
      <c r="B41" s="9" t="s">
        <v>15</v>
      </c>
      <c r="C41" s="9" t="s">
        <v>16</v>
      </c>
      <c r="D41" s="9" t="s">
        <v>17</v>
      </c>
      <c r="E41" s="9" t="s">
        <v>18</v>
      </c>
      <c r="F41" s="9" t="s">
        <v>19</v>
      </c>
      <c r="G41" s="9" t="s">
        <v>20</v>
      </c>
      <c r="H41" s="9" t="s">
        <v>21</v>
      </c>
      <c r="I41" s="9" t="s">
        <v>22</v>
      </c>
      <c r="J41" s="9" t="s">
        <v>23</v>
      </c>
      <c r="K41" s="10" t="s">
        <v>141</v>
      </c>
      <c r="L41" s="11" t="s">
        <v>142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spans="1:53" x14ac:dyDescent="0.3">
      <c r="A42" t="str">
        <f>IF(E2&gt;E8,20,"-")</f>
        <v>-</v>
      </c>
      <c r="B42">
        <f>IF(E2&gt;E14,20,"-")</f>
        <v>20</v>
      </c>
      <c r="C42">
        <f>IF(G5&gt;(2*E15),"-",5)</f>
        <v>5</v>
      </c>
      <c r="D42" t="str">
        <f>IF(E3&gt;(1.5*E9),"-",5)</f>
        <v>-</v>
      </c>
      <c r="E42" s="33">
        <v>10</v>
      </c>
      <c r="F42" s="33"/>
      <c r="G42" s="33">
        <v>10</v>
      </c>
      <c r="H42" s="33">
        <v>10</v>
      </c>
      <c r="I42" s="33">
        <v>5</v>
      </c>
      <c r="J42" s="33">
        <v>5</v>
      </c>
      <c r="K42" s="29">
        <f>SUM(A42:J42)</f>
        <v>65</v>
      </c>
      <c r="L42" t="str">
        <f>IF(K42&lt;50,"Red",IF(K42&gt;60,"Green","Amber"))</f>
        <v>Green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spans="1:53" x14ac:dyDescent="0.3">
      <c r="A43" s="14"/>
      <c r="B43" s="1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3" x14ac:dyDescent="0.3">
      <c r="A44" s="14"/>
      <c r="B44" s="1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3" x14ac:dyDescent="0.3">
      <c r="A45" s="14"/>
      <c r="B45" s="1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spans="1:53" x14ac:dyDescent="0.3">
      <c r="A46" s="14"/>
      <c r="B46" s="1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spans="1:53" x14ac:dyDescent="0.3">
      <c r="A47" s="14"/>
      <c r="B47" s="1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 x14ac:dyDescent="0.3">
      <c r="A48" s="14"/>
      <c r="B48" s="1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spans="1:53" x14ac:dyDescent="0.3">
      <c r="A49" s="14"/>
      <c r="B49" s="1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spans="1:53" x14ac:dyDescent="0.3">
      <c r="A50" s="14"/>
      <c r="B50" s="1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spans="1:53" x14ac:dyDescent="0.3">
      <c r="A51" s="14"/>
      <c r="B51" s="1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spans="1:53" x14ac:dyDescent="0.3">
      <c r="A52" s="14"/>
      <c r="B52" s="1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spans="1:53" x14ac:dyDescent="0.3">
      <c r="A53" s="14"/>
      <c r="B53" s="1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spans="1:53" x14ac:dyDescent="0.3">
      <c r="A54" s="14"/>
      <c r="B54" s="1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spans="1:53" x14ac:dyDescent="0.3">
      <c r="A55" s="14"/>
      <c r="B55" s="1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spans="1:53" x14ac:dyDescent="0.3">
      <c r="A56" s="14"/>
      <c r="B56" s="1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spans="1:53" x14ac:dyDescent="0.3">
      <c r="A57" s="14"/>
      <c r="B57" s="1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 x14ac:dyDescent="0.3">
      <c r="A58" s="14"/>
      <c r="B58" s="1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 x14ac:dyDescent="0.3">
      <c r="A59" s="14"/>
      <c r="B59" s="1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spans="1:53" x14ac:dyDescent="0.3">
      <c r="A60" s="14"/>
      <c r="B60" s="17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 spans="1:53" x14ac:dyDescent="0.3">
      <c r="A61" s="14"/>
      <c r="B61" s="1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</row>
  </sheetData>
  <mergeCells count="3">
    <mergeCell ref="D1:E1"/>
    <mergeCell ref="D7:E7"/>
    <mergeCell ref="D13:E13"/>
  </mergeCells>
  <phoneticPr fontId="9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D013CD3-416F-4C85-8351-175750A239A1}">
          <x14:formula1>
            <xm:f>'Morningstar Category Data'!$A$3:$A$64</xm:f>
          </x14:formula1>
          <xm:sqref>F13</xm:sqref>
        </x14:dataValidation>
        <x14:dataValidation type="list" allowBlank="1" showInputMessage="1" showErrorMessage="1" xr:uid="{1DF7C6E6-610D-41BB-9EFD-FEFD1745ED48}">
          <x14:formula1>
            <xm:f>'BM Data'!$A$7:$A$240</xm:f>
          </x14:formula1>
          <xm:sqref>F7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1E02-D072-4D55-908A-2E11B36F5FB9}">
  <dimension ref="A1:BA61"/>
  <sheetViews>
    <sheetView topLeftCell="A2" workbookViewId="0">
      <selection activeCell="A29" sqref="A29"/>
    </sheetView>
  </sheetViews>
  <sheetFormatPr defaultRowHeight="14.4" x14ac:dyDescent="0.3"/>
  <cols>
    <col min="1" max="1" width="36.44140625" customWidth="1"/>
    <col min="2" max="2" width="32.109375" customWidth="1"/>
    <col min="3" max="3" width="16.6640625" customWidth="1"/>
    <col min="4" max="4" width="28.6640625" bestFit="1" customWidth="1"/>
    <col min="5" max="5" width="16.6640625" customWidth="1"/>
    <col min="6" max="6" width="35.109375" bestFit="1" customWidth="1"/>
    <col min="7" max="53" width="16.6640625" customWidth="1"/>
  </cols>
  <sheetData>
    <row r="1" spans="1:53" x14ac:dyDescent="0.3">
      <c r="A1" s="2"/>
      <c r="B1" s="12" t="s">
        <v>67</v>
      </c>
      <c r="C1" s="2"/>
      <c r="D1" s="97" t="s">
        <v>68</v>
      </c>
      <c r="E1" s="97"/>
      <c r="F1" s="30" t="s">
        <v>69</v>
      </c>
      <c r="G1" s="28" t="s">
        <v>70</v>
      </c>
      <c r="I1" s="28" t="s">
        <v>71</v>
      </c>
      <c r="K1" s="28" t="s">
        <v>72</v>
      </c>
      <c r="M1" s="28" t="s">
        <v>73</v>
      </c>
      <c r="O1" s="28" t="s">
        <v>74</v>
      </c>
      <c r="Q1" s="28" t="s">
        <v>75</v>
      </c>
      <c r="S1" s="28" t="s">
        <v>76</v>
      </c>
      <c r="U1" s="28" t="s">
        <v>77</v>
      </c>
      <c r="W1" s="28" t="s">
        <v>78</v>
      </c>
      <c r="Y1" s="28" t="s">
        <v>79</v>
      </c>
      <c r="AA1" s="28" t="s">
        <v>80</v>
      </c>
      <c r="AC1" s="28" t="s">
        <v>81</v>
      </c>
      <c r="AE1" s="28" t="s">
        <v>82</v>
      </c>
      <c r="AG1" s="28" t="s">
        <v>83</v>
      </c>
      <c r="AI1" s="28" t="s">
        <v>84</v>
      </c>
      <c r="AK1" s="28" t="s">
        <v>85</v>
      </c>
      <c r="AM1" s="28" t="s">
        <v>86</v>
      </c>
      <c r="AO1" s="28" t="s">
        <v>87</v>
      </c>
      <c r="AQ1" s="28" t="s">
        <v>88</v>
      </c>
      <c r="AS1" s="28" t="s">
        <v>89</v>
      </c>
      <c r="AU1" s="28" t="s">
        <v>90</v>
      </c>
      <c r="AW1" s="28" t="s">
        <v>91</v>
      </c>
      <c r="AY1" s="28" t="s">
        <v>92</v>
      </c>
      <c r="BA1" s="28" t="s">
        <v>93</v>
      </c>
    </row>
    <row r="2" spans="1:53" x14ac:dyDescent="0.3">
      <c r="A2" s="14" t="s">
        <v>93</v>
      </c>
      <c r="B2" s="15">
        <f>'Invert return series (2 years)'!$B2</f>
        <v>1.2652129694799999E-3</v>
      </c>
      <c r="C2" s="2"/>
      <c r="D2" s="16" t="s">
        <v>145</v>
      </c>
      <c r="E2" s="20" cm="1">
        <f t="array" ref="E2">(PRODUCT(1+$B$2:$B$25)^(0.5)-1)*100</f>
        <v>10.422398060733462</v>
      </c>
      <c r="F2" s="2"/>
      <c r="G2" s="18">
        <f>$B25*100</f>
        <v>3.0706650468159999</v>
      </c>
      <c r="H2" s="18"/>
      <c r="I2" s="18">
        <f>$B24*100</f>
        <v>-5.7978740871471999</v>
      </c>
      <c r="J2" s="18"/>
      <c r="K2" s="18">
        <f>$B23*100</f>
        <v>4.9354244756929999</v>
      </c>
      <c r="L2" s="18"/>
      <c r="M2" s="18">
        <f>$B22*100</f>
        <v>0.57656809640499995</v>
      </c>
      <c r="N2" s="18"/>
      <c r="O2" s="18">
        <f>$B21*100</f>
        <v>-2.6776590807935001</v>
      </c>
      <c r="P2" s="18"/>
      <c r="Q2" s="18">
        <f>$B20*100</f>
        <v>1.803686576045</v>
      </c>
      <c r="R2" s="18"/>
      <c r="S2" s="18">
        <f>$B19*100</f>
        <v>2.0515140158460001</v>
      </c>
      <c r="T2" s="18"/>
      <c r="U2" s="18">
        <f>$B18*100</f>
        <v>1.7416475198040002</v>
      </c>
      <c r="V2" s="18"/>
      <c r="W2" s="18">
        <f>$B17*100</f>
        <v>3.4338147999680007</v>
      </c>
      <c r="X2" s="18"/>
      <c r="Y2" s="18">
        <f>$B16*100</f>
        <v>9.3871301338999999E-2</v>
      </c>
      <c r="Z2" s="18"/>
      <c r="AA2" s="18">
        <f>$B15*100</f>
        <v>-1.6037540138616</v>
      </c>
      <c r="AB2" s="18"/>
      <c r="AC2" s="18">
        <f>$B14*100</f>
        <v>-10.878217758713999</v>
      </c>
      <c r="AD2" s="18"/>
      <c r="AE2" s="18">
        <f>$B13*100</f>
        <v>2.0475400091889999</v>
      </c>
      <c r="AF2" s="18"/>
      <c r="AG2" s="18">
        <f>$B12*100</f>
        <v>-0.63277412543419997</v>
      </c>
      <c r="AH2" s="18"/>
      <c r="AI2" s="18">
        <f>$B11*100</f>
        <v>3.5364225347540001</v>
      </c>
      <c r="AJ2" s="18"/>
      <c r="AK2" s="18">
        <f>$B10*100</f>
        <v>4.6012451919129997</v>
      </c>
      <c r="AL2" s="18"/>
      <c r="AM2" s="18">
        <f>$B9*100</f>
        <v>-0.88147818072520001</v>
      </c>
      <c r="AN2" s="18"/>
      <c r="AO2" s="18">
        <f>$B8*100</f>
        <v>1.540734673055</v>
      </c>
      <c r="AP2" s="18"/>
      <c r="AQ2" s="18">
        <f>$B7*100</f>
        <v>4.175252437828</v>
      </c>
      <c r="AR2" s="18"/>
      <c r="AS2" s="18">
        <f>$B6*100</f>
        <v>4.1179418567679997</v>
      </c>
      <c r="AT2" s="18"/>
      <c r="AU2" s="18">
        <f>$B5*100</f>
        <v>2.50426794916</v>
      </c>
      <c r="AV2" s="18"/>
      <c r="AW2" s="18">
        <f>$B4*100</f>
        <v>3.6626656218130003</v>
      </c>
      <c r="AX2" s="18"/>
      <c r="AY2" s="18">
        <f>$B3*100</f>
        <v>-0.11540286694140001</v>
      </c>
      <c r="AZ2" s="18"/>
      <c r="BA2" s="18">
        <f>$B2*100</f>
        <v>0.12652129694799999</v>
      </c>
    </row>
    <row r="3" spans="1:53" x14ac:dyDescent="0.3">
      <c r="A3" s="14" t="s">
        <v>92</v>
      </c>
      <c r="B3" s="15">
        <f>'Invert return series (2 years)'!$B3</f>
        <v>-1.154028669414E-3</v>
      </c>
      <c r="C3" s="2"/>
      <c r="D3" s="16" t="s">
        <v>100</v>
      </c>
      <c r="E3" s="20">
        <f>(STDEV($B$2:$B$25)*SQRT(12))*100</f>
        <v>12.39555524833621</v>
      </c>
      <c r="F3" s="30" t="s">
        <v>98</v>
      </c>
      <c r="G3" s="2">
        <f>INDEX('BM Data'!$K$7:$BE$260,MATCH('Manual Calc (2 years)'!$F7,'BM Data'!$A$7:$A$260,0),MATCH('Manual Calc (2 years)'!G$1,'BM Data'!$K$1:$BE$1,0))</f>
        <v>1.506E-2</v>
      </c>
      <c r="H3" s="2"/>
      <c r="I3" s="2">
        <f>INDEX('BM Data'!$K$7:$BE$260,MATCH('Manual Calc (2 years)'!$F7,'BM Data'!$A$7:$A$260,0),MATCH('Manual Calc (2 years)'!I$1,'BM Data'!$K$1:$BE$1,0))</f>
        <v>0.79920999999999998</v>
      </c>
      <c r="J3" s="2"/>
      <c r="K3" s="2">
        <f>INDEX('BM Data'!$K$7:$BE$260,MATCH('Manual Calc (2 years)'!$F7,'BM Data'!$A$7:$A$260,0),MATCH('Manual Calc (2 years)'!K$1,'BM Data'!$K$1:$BE$1,0))</f>
        <v>1.4799</v>
      </c>
      <c r="L3" s="2"/>
      <c r="M3" s="2">
        <f>INDEX('BM Data'!$K$7:$BE$260,MATCH('Manual Calc (2 years)'!$F7,'BM Data'!$A$7:$A$260,0),MATCH('Manual Calc (2 years)'!M$1,'BM Data'!$K$1:$BE$1,0))</f>
        <v>-0.72550000000000003</v>
      </c>
      <c r="N3" s="2"/>
      <c r="O3" s="2">
        <f>INDEX('BM Data'!$K$7:$BE$260,MATCH('Manual Calc (2 years)'!$F7,'BM Data'!$A$7:$A$260,0),MATCH('Manual Calc (2 years)'!O$1,'BM Data'!$K$1:$BE$1,0))</f>
        <v>1.1112599999999999</v>
      </c>
      <c r="P3" s="2"/>
      <c r="Q3" s="2">
        <f>INDEX('BM Data'!$K$7:$BE$260,MATCH('Manual Calc (2 years)'!$F7,'BM Data'!$A$7:$A$260,0),MATCH('Manual Calc (2 years)'!Q$1,'BM Data'!$K$1:$BE$1,0))</f>
        <v>0.56979000000000002</v>
      </c>
      <c r="R3" s="2"/>
      <c r="S3" s="2">
        <f>INDEX('BM Data'!$K$7:$BE$260,MATCH('Manual Calc (2 years)'!$F7,'BM Data'!$A$7:$A$260,0),MATCH('Manual Calc (2 years)'!S$1,'BM Data'!$K$1:$BE$1,0))</f>
        <v>1.73315</v>
      </c>
      <c r="T3" s="2"/>
      <c r="U3" s="2">
        <f>INDEX('BM Data'!$K$7:$BE$260,MATCH('Manual Calc (2 years)'!$F7,'BM Data'!$A$7:$A$260,0),MATCH('Manual Calc (2 years)'!U$1,'BM Data'!$K$1:$BE$1,0))</f>
        <v>1.64181</v>
      </c>
      <c r="V3" s="2"/>
      <c r="W3" s="2">
        <f>INDEX('BM Data'!$K$7:$BE$260,MATCH('Manual Calc (2 years)'!$F7,'BM Data'!$A$7:$A$260,0),MATCH('Manual Calc (2 years)'!W$1,'BM Data'!$K$1:$BE$1,0))</f>
        <v>1.69939</v>
      </c>
      <c r="X3" s="2"/>
      <c r="Y3" s="2">
        <f>INDEX('BM Data'!$K$7:$BE$260,MATCH('Manual Calc (2 years)'!$F7,'BM Data'!$A$7:$A$260,0),MATCH('Manual Calc (2 years)'!Y$1,'BM Data'!$K$1:$BE$1,0))</f>
        <v>-0.15723999999999999</v>
      </c>
      <c r="Z3" s="2"/>
      <c r="AA3" s="2">
        <f>INDEX('BM Data'!$K$7:$BE$260,MATCH('Manual Calc (2 years)'!$F7,'BM Data'!$A$7:$A$260,0),MATCH('Manual Calc (2 years)'!AA$1,'BM Data'!$K$1:$BE$1,0))</f>
        <v>1.2899499999999999</v>
      </c>
      <c r="AB3" s="2"/>
      <c r="AC3" s="2">
        <f>INDEX('BM Data'!$K$7:$BE$260,MATCH('Manual Calc (2 years)'!$F7,'BM Data'!$A$7:$A$260,0),MATCH('Manual Calc (2 years)'!AC$1,'BM Data'!$K$1:$BE$1,0))</f>
        <v>-0.25624000000000002</v>
      </c>
      <c r="AD3" s="2"/>
      <c r="AE3" s="2">
        <f>INDEX('BM Data'!$K$7:$BE$260,MATCH('Manual Calc (2 years)'!$F7,'BM Data'!$A$7:$A$260,0),MATCH('Manual Calc (2 years)'!AE$1,'BM Data'!$K$1:$BE$1,0))</f>
        <v>1.3345199999999999</v>
      </c>
      <c r="AF3" s="2"/>
      <c r="AG3" s="2">
        <f>INDEX('BM Data'!$K$7:$BE$260,MATCH('Manual Calc (2 years)'!$F7,'BM Data'!$A$7:$A$260,0),MATCH('Manual Calc (2 years)'!AG$1,'BM Data'!$K$1:$BE$1,0))</f>
        <v>0.76971999999999996</v>
      </c>
      <c r="AH3" s="2"/>
      <c r="AI3" s="2">
        <f>INDEX('BM Data'!$K$7:$BE$260,MATCH('Manual Calc (2 years)'!$F7,'BM Data'!$A$7:$A$260,0),MATCH('Manual Calc (2 years)'!AI$1,'BM Data'!$K$1:$BE$1,0))</f>
        <v>-0.96199000000000001</v>
      </c>
      <c r="AJ3" s="2"/>
      <c r="AK3" s="2">
        <f>INDEX('BM Data'!$K$7:$BE$260,MATCH('Manual Calc (2 years)'!$F7,'BM Data'!$A$7:$A$260,0),MATCH('Manual Calc (2 years)'!AK$1,'BM Data'!$K$1:$BE$1,0))</f>
        <v>-3.0159999999999999E-2</v>
      </c>
      <c r="AL3" s="2"/>
      <c r="AM3" s="2">
        <f>INDEX('BM Data'!$K$7:$BE$260,MATCH('Manual Calc (2 years)'!$F7,'BM Data'!$A$7:$A$260,0),MATCH('Manual Calc (2 years)'!AM$1,'BM Data'!$K$1:$BE$1,0))</f>
        <v>1.6452100000000001</v>
      </c>
      <c r="AN3" s="2"/>
      <c r="AO3" s="2">
        <f>INDEX('BM Data'!$K$7:$BE$260,MATCH('Manual Calc (2 years)'!$F7,'BM Data'!$A$7:$A$260,0),MATCH('Manual Calc (2 years)'!AO$1,'BM Data'!$K$1:$BE$1,0))</f>
        <v>1.6890499999999999</v>
      </c>
      <c r="AP3" s="2"/>
      <c r="AQ3" s="2">
        <f>INDEX('BM Data'!$K$7:$BE$260,MATCH('Manual Calc (2 years)'!$F7,'BM Data'!$A$7:$A$260,0),MATCH('Manual Calc (2 years)'!AQ$1,'BM Data'!$K$1:$BE$1,0))</f>
        <v>0.84724999999999995</v>
      </c>
      <c r="AR3" s="2"/>
      <c r="AS3" s="2">
        <f>INDEX('BM Data'!$K$7:$BE$260,MATCH('Manual Calc (2 years)'!$F7,'BM Data'!$A$7:$A$260,0),MATCH('Manual Calc (2 years)'!AS$1,'BM Data'!$K$1:$BE$1,0))</f>
        <v>1.0837000000000001</v>
      </c>
      <c r="AT3" s="2"/>
      <c r="AU3" s="2">
        <f>INDEX('BM Data'!$K$7:$BE$260,MATCH('Manual Calc (2 years)'!$F7,'BM Data'!$A$7:$A$260,0),MATCH('Manual Calc (2 years)'!AU$1,'BM Data'!$K$1:$BE$1,0))</f>
        <v>0.58796999999999999</v>
      </c>
      <c r="AV3" s="2"/>
      <c r="AW3" s="2">
        <f>INDEX('BM Data'!$K$7:$BE$260,MATCH('Manual Calc (2 years)'!$F7,'BM Data'!$A$7:$A$260,0),MATCH('Manual Calc (2 years)'!AW$1,'BM Data'!$K$1:$BE$1,0))</f>
        <v>1.0346599999999999</v>
      </c>
      <c r="AX3" s="2"/>
      <c r="AY3" s="2">
        <f>INDEX('BM Data'!$K$7:$BE$260,MATCH('Manual Calc (2 years)'!$F7,'BM Data'!$A$7:$A$260,0),MATCH('Manual Calc (2 years)'!AY$1,'BM Data'!$K$1:$BE$1,0))</f>
        <v>0.44207000000000002</v>
      </c>
      <c r="AZ3" s="2"/>
      <c r="BA3" s="2">
        <f>INDEX('BM Data'!$K$7:$BE$260,MATCH('Manual Calc (2 years)'!$F7,'BM Data'!$A$7:$A$260,0),MATCH('Manual Calc (2 years)'!BA$1,'BM Data'!$K$1:$BE$1,0))</f>
        <v>0.74980999999999998</v>
      </c>
    </row>
    <row r="4" spans="1:53" x14ac:dyDescent="0.3">
      <c r="A4" s="14" t="s">
        <v>91</v>
      </c>
      <c r="B4" s="15">
        <f>'Invert return series (2 years)'!$B4</f>
        <v>3.6626656218130001E-2</v>
      </c>
      <c r="C4" s="2"/>
      <c r="F4" s="30" t="s">
        <v>101</v>
      </c>
      <c r="G4" s="32">
        <f>G2-G3</f>
        <v>3.0556050468159999</v>
      </c>
      <c r="H4" s="2"/>
      <c r="I4" s="32">
        <f>I2-I3</f>
        <v>-6.5970840871472003</v>
      </c>
      <c r="J4" s="2"/>
      <c r="K4" s="32">
        <f>K2-K3</f>
        <v>3.4555244756930001</v>
      </c>
      <c r="L4" s="2"/>
      <c r="M4" s="32">
        <f>M2-M3</f>
        <v>1.302068096405</v>
      </c>
      <c r="N4" s="2"/>
      <c r="O4" s="32">
        <f>O2-O3</f>
        <v>-3.7889190807934998</v>
      </c>
      <c r="P4" s="2"/>
      <c r="Q4" s="32">
        <f>Q2-Q3</f>
        <v>1.233896576045</v>
      </c>
      <c r="R4" s="2"/>
      <c r="S4" s="32">
        <f>S2-S3</f>
        <v>0.31836401584600016</v>
      </c>
      <c r="T4" s="2"/>
      <c r="U4" s="32">
        <f>U2-U3</f>
        <v>9.9837519804000241E-2</v>
      </c>
      <c r="V4" s="2"/>
      <c r="W4" s="32">
        <f>W2-W3</f>
        <v>1.7344247999680007</v>
      </c>
      <c r="X4" s="2"/>
      <c r="Y4" s="32">
        <f>Y2-Y3</f>
        <v>0.251111301339</v>
      </c>
      <c r="Z4" s="2"/>
      <c r="AA4" s="32">
        <f>AA2-AA3</f>
        <v>-2.8937040138615999</v>
      </c>
      <c r="AB4" s="2"/>
      <c r="AC4" s="32">
        <f>AC2-AC3</f>
        <v>-10.621977758713999</v>
      </c>
      <c r="AD4" s="2"/>
      <c r="AE4" s="32">
        <f>AE2-AE3</f>
        <v>0.71302000918899999</v>
      </c>
      <c r="AF4" s="2"/>
      <c r="AG4" s="32">
        <f>AG2-AG3</f>
        <v>-1.4024941254341998</v>
      </c>
      <c r="AH4" s="2"/>
      <c r="AI4" s="32">
        <f>AI2-AI3</f>
        <v>4.4984125347540003</v>
      </c>
      <c r="AJ4" s="2"/>
      <c r="AK4" s="32">
        <f>AK2-AK3</f>
        <v>4.6314051919130002</v>
      </c>
      <c r="AL4" s="2"/>
      <c r="AM4" s="32">
        <f>AM2-AM3</f>
        <v>-2.5266881807252002</v>
      </c>
      <c r="AN4" s="2"/>
      <c r="AO4" s="32">
        <f>AO2-AO3</f>
        <v>-0.14831532694499994</v>
      </c>
      <c r="AP4" s="2"/>
      <c r="AQ4" s="32">
        <f>AQ2-AQ3</f>
        <v>3.3280024378280002</v>
      </c>
      <c r="AR4" s="2"/>
      <c r="AS4" s="32">
        <f>AS2-AS3</f>
        <v>3.0342418567679994</v>
      </c>
      <c r="AT4" s="2"/>
      <c r="AU4" s="32">
        <f>AU2-AU3</f>
        <v>1.9162979491600001</v>
      </c>
      <c r="AV4" s="2"/>
      <c r="AW4" s="32">
        <f>AW2-AW3</f>
        <v>2.6280056218130001</v>
      </c>
      <c r="AX4" s="2"/>
      <c r="AY4" s="32">
        <f>AY2-AY3</f>
        <v>-0.55747286694139997</v>
      </c>
      <c r="AZ4" s="2"/>
      <c r="BA4" s="32">
        <f>BA2-BA3</f>
        <v>-0.62328870305200001</v>
      </c>
    </row>
    <row r="5" spans="1:53" x14ac:dyDescent="0.3">
      <c r="A5" s="14" t="s">
        <v>90</v>
      </c>
      <c r="B5" s="15">
        <f>'Invert return series (2 years)'!$B5</f>
        <v>2.5042679491599999E-2</v>
      </c>
      <c r="C5" s="2"/>
      <c r="F5" s="31" t="s">
        <v>11</v>
      </c>
      <c r="G5" s="18">
        <f>STDEV(G4,I4,K4,M4,O4,Q4,S4,U4,W4,Y4,AA4,AC4,AE4,AG4,AI4,AK4,AM4,AO4,AQ4,AS4,AU4,AW4,AY4,BA4)*SQRT(12)</f>
        <v>12.268673900102177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 x14ac:dyDescent="0.3">
      <c r="A6" s="14" t="s">
        <v>89</v>
      </c>
      <c r="B6" s="15">
        <f>'Invert return series (2 years)'!$B6</f>
        <v>4.1179418567679996E-2</v>
      </c>
      <c r="C6" s="2"/>
      <c r="D6" s="1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x14ac:dyDescent="0.3">
      <c r="A7" s="14" t="s">
        <v>88</v>
      </c>
      <c r="B7" s="15">
        <f>'Invert return series (2 years)'!$B7</f>
        <v>4.1752524378280004E-2</v>
      </c>
      <c r="C7" s="2"/>
      <c r="D7" s="98" t="s">
        <v>105</v>
      </c>
      <c r="E7" s="98"/>
      <c r="F7" s="13" t="s">
        <v>146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 x14ac:dyDescent="0.3">
      <c r="A8" s="14" t="s">
        <v>87</v>
      </c>
      <c r="B8" s="15">
        <f>'Invert return series (2 years)'!$B8</f>
        <v>1.540734673055E-2</v>
      </c>
      <c r="C8" s="2"/>
      <c r="D8" s="16" t="s">
        <v>145</v>
      </c>
      <c r="E8" s="2">
        <f>VLOOKUP($F$7,'BM Data'!$A:$G,6,FALSE)</f>
        <v>9.555733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x14ac:dyDescent="0.3">
      <c r="A9" s="14" t="s">
        <v>86</v>
      </c>
      <c r="B9" s="15">
        <f>'Invert return series (2 years)'!$B9</f>
        <v>-8.8147818072520003E-3</v>
      </c>
      <c r="C9" s="2"/>
      <c r="D9" s="16" t="s">
        <v>100</v>
      </c>
      <c r="E9" s="2">
        <f>VLOOKUP($F$7,'BM Data'!$A:$G,7,FALSE)</f>
        <v>2.7110530000000002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x14ac:dyDescent="0.3">
      <c r="A10" s="14" t="s">
        <v>85</v>
      </c>
      <c r="B10" s="15">
        <f>'Invert return series (2 years)'!$B10</f>
        <v>4.6012451919129997E-2</v>
      </c>
      <c r="C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x14ac:dyDescent="0.3">
      <c r="A11" s="14" t="s">
        <v>84</v>
      </c>
      <c r="B11" s="15">
        <f>'Invert return series (2 years)'!$B11</f>
        <v>3.5364225347540003E-2</v>
      </c>
      <c r="C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x14ac:dyDescent="0.3">
      <c r="A12" s="14" t="s">
        <v>83</v>
      </c>
      <c r="B12" s="15">
        <f>'Invert return series (2 years)'!$B12</f>
        <v>-6.3277412543420002E-3</v>
      </c>
      <c r="C12" s="2"/>
      <c r="D12" s="1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x14ac:dyDescent="0.3">
      <c r="A13" s="14" t="s">
        <v>82</v>
      </c>
      <c r="B13" s="15">
        <f>'Invert return series (2 years)'!$B13</f>
        <v>2.047540009189E-2</v>
      </c>
      <c r="C13" s="2"/>
      <c r="D13" s="98" t="s">
        <v>113</v>
      </c>
      <c r="E13" s="98"/>
      <c r="F13" s="13" t="s">
        <v>147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x14ac:dyDescent="0.3">
      <c r="A14" s="14" t="s">
        <v>81</v>
      </c>
      <c r="B14" s="15">
        <f>'Invert return series (2 years)'!$B14</f>
        <v>-0.10878217758714</v>
      </c>
      <c r="C14" s="2"/>
      <c r="D14" s="16" t="s">
        <v>29</v>
      </c>
      <c r="E14" s="2">
        <f>VLOOKUP($F$13,'Morningstar Category Data'!$A:$E,3,FALSE)</f>
        <v>-1.255531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 x14ac:dyDescent="0.3">
      <c r="A15" s="14" t="s">
        <v>80</v>
      </c>
      <c r="B15" s="15">
        <f>'Invert return series (2 years)'!$B15</f>
        <v>-1.6037540138616E-2</v>
      </c>
      <c r="C15" s="2"/>
      <c r="D15" s="16" t="s">
        <v>30</v>
      </c>
      <c r="E15" s="2">
        <f>VLOOKUP($F$13,'Morningstar Category Data'!$I:$J,2,FALSE)</f>
        <v>11.186195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x14ac:dyDescent="0.3">
      <c r="A16" s="14" t="s">
        <v>79</v>
      </c>
      <c r="B16" s="15">
        <f>'Invert return series (2 years)'!$B16</f>
        <v>9.3871301339000003E-4</v>
      </c>
      <c r="C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 x14ac:dyDescent="0.3">
      <c r="A17" s="14" t="s">
        <v>78</v>
      </c>
      <c r="B17" s="15">
        <f>'Invert return series (2 years)'!$B17</f>
        <v>3.4338147999680005E-2</v>
      </c>
      <c r="C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x14ac:dyDescent="0.3">
      <c r="A18" s="14" t="s">
        <v>77</v>
      </c>
      <c r="B18" s="15">
        <f>'Invert return series (2 years)'!$B18</f>
        <v>1.7416475198040002E-2</v>
      </c>
      <c r="C18" s="2"/>
      <c r="D18" s="1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x14ac:dyDescent="0.3">
      <c r="A19" s="14" t="s">
        <v>76</v>
      </c>
      <c r="B19" s="15">
        <f>'Invert return series (2 years)'!$B19</f>
        <v>2.051514015846E-2</v>
      </c>
      <c r="C19" s="2"/>
      <c r="D19" s="17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x14ac:dyDescent="0.3">
      <c r="A20" s="14" t="s">
        <v>75</v>
      </c>
      <c r="B20" s="15">
        <f>'Invert return series (2 years)'!$B20</f>
        <v>1.8036865760450001E-2</v>
      </c>
      <c r="C20" s="2"/>
      <c r="D20" s="17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x14ac:dyDescent="0.3">
      <c r="A21" s="14" t="s">
        <v>74</v>
      </c>
      <c r="B21" s="15">
        <f>'Invert return series (2 years)'!$B21</f>
        <v>-2.6776590807935E-2</v>
      </c>
      <c r="C21" s="2"/>
      <c r="D21" s="17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x14ac:dyDescent="0.3">
      <c r="A22" s="14" t="s">
        <v>73</v>
      </c>
      <c r="B22" s="15">
        <f>'Invert return series (2 years)'!$B22</f>
        <v>5.7656809640499991E-3</v>
      </c>
      <c r="C22" s="2"/>
      <c r="D22" s="17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 x14ac:dyDescent="0.3">
      <c r="A23" s="14" t="s">
        <v>72</v>
      </c>
      <c r="B23" s="15">
        <f>'Invert return series (2 years)'!$B23</f>
        <v>4.9354244756929996E-2</v>
      </c>
      <c r="C23" s="2"/>
      <c r="D23" s="17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x14ac:dyDescent="0.3">
      <c r="A24" s="14" t="s">
        <v>71</v>
      </c>
      <c r="B24" s="15">
        <f>'Invert return series (2 years)'!$B24</f>
        <v>-5.7978740871472E-2</v>
      </c>
      <c r="C24" s="2"/>
      <c r="D24" s="17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x14ac:dyDescent="0.3">
      <c r="A25" s="14" t="s">
        <v>70</v>
      </c>
      <c r="B25" s="15">
        <f>'Invert return series (2 years)'!$B25</f>
        <v>3.0706650468159999E-2</v>
      </c>
      <c r="C25" s="2"/>
      <c r="D25" s="17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x14ac:dyDescent="0.3">
      <c r="A26" s="14"/>
      <c r="B26" s="15"/>
      <c r="C26" s="2"/>
      <c r="D26" s="17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 x14ac:dyDescent="0.3">
      <c r="A27" s="14"/>
      <c r="B27" s="15"/>
      <c r="C27" s="2"/>
      <c r="D27" s="17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 x14ac:dyDescent="0.3">
      <c r="A28" s="21" t="s">
        <v>139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ht="57.6" x14ac:dyDescent="0.3">
      <c r="A29" s="9" t="s">
        <v>14</v>
      </c>
      <c r="B29" s="9" t="s">
        <v>148</v>
      </c>
      <c r="C29" s="9" t="s">
        <v>16</v>
      </c>
      <c r="D29" s="9" t="s">
        <v>17</v>
      </c>
      <c r="E29" s="9" t="s">
        <v>18</v>
      </c>
      <c r="F29" s="9" t="s">
        <v>19</v>
      </c>
      <c r="G29" s="9" t="s">
        <v>20</v>
      </c>
      <c r="H29" s="9" t="s">
        <v>21</v>
      </c>
      <c r="I29" s="9" t="s">
        <v>22</v>
      </c>
      <c r="J29" s="9" t="s">
        <v>23</v>
      </c>
      <c r="K29" s="10" t="s">
        <v>141</v>
      </c>
      <c r="L29" s="11" t="s">
        <v>142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x14ac:dyDescent="0.3">
      <c r="A30">
        <f>IF(E2&gt;E8,20,"-")</f>
        <v>20</v>
      </c>
      <c r="B30">
        <f>IF(E2&gt;E14,20,"-")</f>
        <v>20</v>
      </c>
      <c r="C30">
        <f>IF(G5&gt;(2*E15),"-",5)</f>
        <v>5</v>
      </c>
      <c r="D30" t="str">
        <f>IF(E3&gt;(1.5*E9),"-",5)</f>
        <v>-</v>
      </c>
      <c r="E30" s="33">
        <v>10</v>
      </c>
      <c r="F30" s="33"/>
      <c r="G30" s="33">
        <v>10</v>
      </c>
      <c r="H30" s="33">
        <v>10</v>
      </c>
      <c r="I30" s="33">
        <v>5</v>
      </c>
      <c r="J30" s="33">
        <v>5</v>
      </c>
      <c r="K30" s="29">
        <f>SUM(A30:J30)</f>
        <v>85</v>
      </c>
      <c r="L30" t="str">
        <f>IF(K30&lt;50,"Red",IF(K30&gt;60,"Green","Amber"))</f>
        <v>Green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x14ac:dyDescent="0.3">
      <c r="A31" s="14"/>
      <c r="B31" s="19"/>
      <c r="C31" s="2"/>
      <c r="D31" s="17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x14ac:dyDescent="0.3">
      <c r="A32" s="14"/>
      <c r="B32" s="19"/>
      <c r="C32" s="2"/>
      <c r="D32" s="17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x14ac:dyDescent="0.3">
      <c r="A33" s="14"/>
      <c r="B33" s="19"/>
      <c r="C33" s="2"/>
      <c r="D33" s="17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x14ac:dyDescent="0.3">
      <c r="A34" s="14"/>
      <c r="B34" s="19"/>
      <c r="C34" s="2"/>
      <c r="D34" s="17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x14ac:dyDescent="0.3">
      <c r="A35" s="14"/>
      <c r="B35" s="1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x14ac:dyDescent="0.3">
      <c r="A36" s="14"/>
      <c r="B36" s="1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x14ac:dyDescent="0.3">
      <c r="A37" s="14"/>
      <c r="B37" s="1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spans="1:53" x14ac:dyDescent="0.3">
      <c r="A38" s="14"/>
      <c r="B38" s="1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pans="1:53" x14ac:dyDescent="0.3">
      <c r="A39" s="14"/>
      <c r="B39" s="1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spans="1:53" x14ac:dyDescent="0.3">
      <c r="A40" s="14"/>
      <c r="B40" s="1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 spans="1:53" x14ac:dyDescent="0.3">
      <c r="A41" s="14"/>
      <c r="B41" s="1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spans="1:53" x14ac:dyDescent="0.3">
      <c r="A42" s="14"/>
      <c r="B42" s="1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spans="1:53" x14ac:dyDescent="0.3">
      <c r="A43" s="14"/>
      <c r="B43" s="1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3" x14ac:dyDescent="0.3">
      <c r="A44" s="14"/>
      <c r="B44" s="1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3" x14ac:dyDescent="0.3">
      <c r="A45" s="14"/>
      <c r="B45" s="1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spans="1:53" x14ac:dyDescent="0.3">
      <c r="A46" s="14"/>
      <c r="B46" s="1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spans="1:53" x14ac:dyDescent="0.3">
      <c r="A47" s="14"/>
      <c r="B47" s="1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 x14ac:dyDescent="0.3">
      <c r="A48" s="14"/>
      <c r="B48" s="1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spans="1:53" x14ac:dyDescent="0.3">
      <c r="A49" s="14"/>
      <c r="B49" s="1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spans="1:53" x14ac:dyDescent="0.3">
      <c r="A50" s="14"/>
      <c r="B50" s="1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spans="1:53" x14ac:dyDescent="0.3">
      <c r="A51" s="14"/>
      <c r="B51" s="1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spans="1:53" x14ac:dyDescent="0.3">
      <c r="A52" s="14"/>
      <c r="B52" s="1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spans="1:53" x14ac:dyDescent="0.3">
      <c r="A53" s="14"/>
      <c r="B53" s="1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spans="1:53" x14ac:dyDescent="0.3">
      <c r="A54" s="14"/>
      <c r="B54" s="1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spans="1:53" x14ac:dyDescent="0.3">
      <c r="A55" s="14"/>
      <c r="B55" s="1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spans="1:53" x14ac:dyDescent="0.3">
      <c r="A56" s="14"/>
      <c r="B56" s="1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spans="1:53" x14ac:dyDescent="0.3">
      <c r="A57" s="14"/>
      <c r="B57" s="1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 x14ac:dyDescent="0.3">
      <c r="A58" s="14"/>
      <c r="B58" s="1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 x14ac:dyDescent="0.3">
      <c r="A59" s="14"/>
      <c r="B59" s="1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spans="1:53" x14ac:dyDescent="0.3">
      <c r="A60" s="14"/>
      <c r="B60" s="17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 spans="1:53" x14ac:dyDescent="0.3">
      <c r="A61" s="14"/>
      <c r="B61" s="1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</row>
  </sheetData>
  <mergeCells count="3">
    <mergeCell ref="D1:E1"/>
    <mergeCell ref="D7:E7"/>
    <mergeCell ref="D13:E13"/>
  </mergeCells>
  <phoneticPr fontId="9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387E811-B3A3-4D21-AC31-E5082BD73344}">
          <x14:formula1>
            <xm:f>'Morningstar Category Data'!$A$3:$A$64</xm:f>
          </x14:formula1>
          <xm:sqref>F13</xm:sqref>
        </x14:dataValidation>
        <x14:dataValidation type="list" allowBlank="1" showInputMessage="1" showErrorMessage="1" xr:uid="{D079286D-9B56-4771-B97C-7D1F1BCB8C8F}">
          <x14:formula1>
            <xm:f>'BM Data'!$A$7:$A$240</xm:f>
          </x14:formula1>
          <xm:sqref>F7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FFD9-2067-4BD7-A632-3377A89AB733}">
  <sheetPr>
    <tabColor theme="2"/>
  </sheetPr>
  <dimension ref="A1:V70"/>
  <sheetViews>
    <sheetView workbookViewId="0">
      <selection activeCell="G38" sqref="G38"/>
    </sheetView>
  </sheetViews>
  <sheetFormatPr defaultRowHeight="14.4" x14ac:dyDescent="0.3"/>
  <cols>
    <col min="1" max="1" width="54.109375" bestFit="1" customWidth="1"/>
    <col min="2" max="2" width="8.44140625" bestFit="1" customWidth="1"/>
    <col min="3" max="5" width="8.88671875" bestFit="1" customWidth="1"/>
    <col min="9" max="9" width="59.109375" bestFit="1" customWidth="1"/>
    <col min="10" max="10" width="10.44140625" bestFit="1" customWidth="1"/>
    <col min="15" max="16" width="9.109375" customWidth="1"/>
  </cols>
  <sheetData>
    <row r="1" spans="1:22" x14ac:dyDescent="0.3">
      <c r="A1" s="99" t="s">
        <v>149</v>
      </c>
      <c r="B1" s="99"/>
      <c r="C1" s="99"/>
      <c r="D1" s="99"/>
      <c r="E1" s="99"/>
      <c r="I1" s="99" t="s">
        <v>150</v>
      </c>
      <c r="J1" s="99"/>
    </row>
    <row r="2" spans="1:22" x14ac:dyDescent="0.3">
      <c r="A2" s="83" t="s">
        <v>151</v>
      </c>
      <c r="B2" s="22" t="s">
        <v>152</v>
      </c>
      <c r="C2" s="22" t="s">
        <v>153</v>
      </c>
      <c r="D2" s="22" t="s">
        <v>154</v>
      </c>
      <c r="E2" s="22" t="s">
        <v>155</v>
      </c>
      <c r="I2" s="83" t="s">
        <v>151</v>
      </c>
      <c r="J2" s="22" t="s">
        <v>153</v>
      </c>
    </row>
    <row r="3" spans="1:22" x14ac:dyDescent="0.3">
      <c r="A3" t="s">
        <v>147</v>
      </c>
      <c r="B3" s="84">
        <v>-4.8266210000000003</v>
      </c>
      <c r="C3" s="84">
        <v>-1.255531</v>
      </c>
      <c r="D3" s="84">
        <v>1.3643689999999999</v>
      </c>
      <c r="E3" s="84">
        <v>1.054108</v>
      </c>
      <c r="I3" t="s">
        <v>147</v>
      </c>
      <c r="J3" s="91">
        <v>11.186195</v>
      </c>
      <c r="K3" s="35"/>
      <c r="L3" s="91">
        <v>11.186195</v>
      </c>
      <c r="M3" s="84"/>
      <c r="N3" s="84"/>
      <c r="O3" s="84"/>
      <c r="P3" s="84"/>
      <c r="R3" s="84"/>
      <c r="S3" s="92"/>
      <c r="T3" s="34"/>
      <c r="V3" s="35"/>
    </row>
    <row r="4" spans="1:22" x14ac:dyDescent="0.3">
      <c r="A4" t="s">
        <v>156</v>
      </c>
      <c r="B4" s="84">
        <v>4.8714060000000003</v>
      </c>
      <c r="C4" s="84">
        <v>5.6513169999999997</v>
      </c>
      <c r="D4" s="84">
        <v>6.294975</v>
      </c>
      <c r="E4" s="84">
        <v>5.1290279999999999</v>
      </c>
      <c r="I4" t="s">
        <v>156</v>
      </c>
      <c r="J4" s="91">
        <v>10.509394</v>
      </c>
      <c r="K4" s="35"/>
      <c r="L4" s="91">
        <v>10.509394</v>
      </c>
      <c r="M4" s="84"/>
      <c r="N4" s="84"/>
      <c r="O4" s="84"/>
      <c r="P4" s="84"/>
      <c r="R4" s="84"/>
      <c r="S4" s="92"/>
      <c r="T4" s="34"/>
      <c r="V4" s="35"/>
    </row>
    <row r="5" spans="1:22" x14ac:dyDescent="0.3">
      <c r="A5" t="s">
        <v>144</v>
      </c>
      <c r="B5" s="84">
        <v>2.0287519999999999</v>
      </c>
      <c r="C5" s="84">
        <v>4.2633780000000003</v>
      </c>
      <c r="D5" s="84">
        <v>3.4379710000000001</v>
      </c>
      <c r="E5" s="84">
        <v>1.836301</v>
      </c>
      <c r="I5" t="s">
        <v>144</v>
      </c>
      <c r="J5" s="91">
        <v>11.011604999999999</v>
      </c>
      <c r="K5" s="35"/>
      <c r="L5" s="91">
        <v>11.011604999999999</v>
      </c>
      <c r="M5" s="84"/>
      <c r="N5" s="84"/>
      <c r="O5" s="84"/>
      <c r="P5" s="84"/>
      <c r="R5" s="84"/>
      <c r="S5" s="92"/>
      <c r="T5" s="34"/>
      <c r="V5" s="35"/>
    </row>
    <row r="6" spans="1:22" x14ac:dyDescent="0.3">
      <c r="A6" t="s">
        <v>157</v>
      </c>
      <c r="B6" s="84">
        <v>2.065401</v>
      </c>
      <c r="C6" s="84">
        <v>3.1411380000000002</v>
      </c>
      <c r="D6" s="84">
        <v>1.8922950000000001</v>
      </c>
      <c r="E6" s="84">
        <v>4.0671850000000003</v>
      </c>
      <c r="I6" t="s">
        <v>157</v>
      </c>
      <c r="J6" s="91">
        <v>13.333062999999999</v>
      </c>
      <c r="K6" s="35"/>
      <c r="L6" s="91">
        <v>13.333062999999999</v>
      </c>
      <c r="M6" s="84"/>
      <c r="N6" s="84"/>
      <c r="O6" s="84"/>
      <c r="P6" s="84"/>
      <c r="R6" s="84"/>
      <c r="S6" s="92"/>
      <c r="T6" s="34"/>
      <c r="V6" s="35"/>
    </row>
    <row r="7" spans="1:22" x14ac:dyDescent="0.3">
      <c r="A7" t="s">
        <v>158</v>
      </c>
      <c r="B7" s="84">
        <v>3.9766940000000002</v>
      </c>
      <c r="C7" s="84">
        <v>4.1971080000000001</v>
      </c>
      <c r="D7" s="84">
        <v>4.0817189999999997</v>
      </c>
      <c r="E7" s="84">
        <v>2.703786</v>
      </c>
      <c r="I7" t="s">
        <v>158</v>
      </c>
      <c r="J7" s="91">
        <v>6.7355999999999999E-2</v>
      </c>
      <c r="K7" s="35"/>
      <c r="L7" s="91">
        <v>6.7355999999999999E-2</v>
      </c>
      <c r="M7" s="84"/>
      <c r="N7" s="84"/>
      <c r="O7" s="84"/>
      <c r="P7" s="84"/>
      <c r="R7" s="84"/>
      <c r="S7" s="92"/>
      <c r="T7" s="34"/>
      <c r="V7" s="35"/>
    </row>
    <row r="8" spans="1:22" x14ac:dyDescent="0.3">
      <c r="A8" t="s">
        <v>159</v>
      </c>
      <c r="B8" s="84">
        <v>4.2278539999999998</v>
      </c>
      <c r="C8" s="84">
        <v>4.49918</v>
      </c>
      <c r="D8" s="84">
        <v>4.3578770000000002</v>
      </c>
      <c r="E8" s="84">
        <v>2.8625829999999999</v>
      </c>
      <c r="I8" t="s">
        <v>159</v>
      </c>
      <c r="J8" s="91">
        <v>0.27641700000000002</v>
      </c>
      <c r="K8" s="35"/>
      <c r="L8" s="91">
        <v>0.27641700000000002</v>
      </c>
      <c r="M8" s="84"/>
      <c r="N8" s="84"/>
      <c r="O8" s="84"/>
      <c r="P8" s="84"/>
      <c r="R8" s="84"/>
      <c r="S8" s="92"/>
      <c r="T8" s="34"/>
      <c r="V8" s="35"/>
    </row>
    <row r="9" spans="1:22" x14ac:dyDescent="0.3">
      <c r="A9" t="s">
        <v>160</v>
      </c>
      <c r="B9" s="84">
        <v>2.917516</v>
      </c>
      <c r="C9" s="84">
        <v>2.774295</v>
      </c>
      <c r="D9" s="84">
        <v>3.5009130000000002</v>
      </c>
      <c r="E9" s="84">
        <v>-0.74884200000000001</v>
      </c>
      <c r="I9" t="s">
        <v>160</v>
      </c>
      <c r="J9" s="91">
        <v>0.39032099999999997</v>
      </c>
      <c r="K9" s="35"/>
      <c r="L9" s="91">
        <v>0.39032099999999997</v>
      </c>
      <c r="M9" s="84"/>
      <c r="N9" s="84"/>
      <c r="O9" s="84"/>
      <c r="P9" s="84"/>
      <c r="R9" s="84"/>
      <c r="S9" s="92"/>
      <c r="T9" s="34"/>
      <c r="V9" s="35"/>
    </row>
    <row r="10" spans="1:22" x14ac:dyDescent="0.3">
      <c r="A10" t="s">
        <v>161</v>
      </c>
      <c r="B10" s="84">
        <v>12.250659000000001</v>
      </c>
      <c r="C10" s="84">
        <v>8.5589739999999992</v>
      </c>
      <c r="D10" s="84">
        <v>8.7020370000000007</v>
      </c>
      <c r="E10" s="84">
        <v>-0.33867599999999998</v>
      </c>
      <c r="I10" t="s">
        <v>161</v>
      </c>
      <c r="J10" s="91">
        <v>6.2354180000000001</v>
      </c>
      <c r="K10" s="35"/>
      <c r="L10" s="91">
        <v>6.2354180000000001</v>
      </c>
      <c r="M10" s="84"/>
      <c r="N10" s="84"/>
      <c r="O10" s="84"/>
      <c r="P10" s="84"/>
      <c r="R10" s="84"/>
      <c r="S10" s="92"/>
      <c r="T10" s="34"/>
      <c r="V10" s="35"/>
    </row>
    <row r="11" spans="1:22" x14ac:dyDescent="0.3">
      <c r="A11" t="s">
        <v>162</v>
      </c>
      <c r="B11" s="84">
        <v>4.0968400000000003</v>
      </c>
      <c r="C11" s="84">
        <v>2.5749</v>
      </c>
      <c r="D11" s="84">
        <v>3.333599</v>
      </c>
      <c r="E11" s="84">
        <v>-1.3337490000000001</v>
      </c>
      <c r="I11" t="s">
        <v>162</v>
      </c>
      <c r="J11" s="91">
        <v>0.94390799999999997</v>
      </c>
      <c r="K11" s="35"/>
      <c r="L11" s="91">
        <v>0.94390799999999997</v>
      </c>
      <c r="M11" s="84"/>
      <c r="N11" s="84"/>
      <c r="O11" s="84"/>
      <c r="P11" s="84"/>
      <c r="R11" s="84"/>
      <c r="S11" s="92"/>
      <c r="T11" s="34"/>
      <c r="V11" s="35"/>
    </row>
    <row r="12" spans="1:22" x14ac:dyDescent="0.3">
      <c r="A12" t="s">
        <v>163</v>
      </c>
      <c r="B12" s="84">
        <v>4.0517820000000002</v>
      </c>
      <c r="C12" s="84">
        <v>2.9997340000000001</v>
      </c>
      <c r="D12" s="84">
        <v>3.7439439999999999</v>
      </c>
      <c r="E12" s="84">
        <v>-0.63436499999999996</v>
      </c>
      <c r="I12" t="s">
        <v>163</v>
      </c>
      <c r="J12" s="91">
        <v>0.98565999999999998</v>
      </c>
      <c r="K12" s="35"/>
      <c r="L12" s="91">
        <v>0.98565999999999998</v>
      </c>
      <c r="M12" s="84"/>
      <c r="N12" s="84"/>
      <c r="O12" s="84"/>
      <c r="P12" s="84"/>
      <c r="R12" s="84"/>
      <c r="S12" s="92"/>
      <c r="T12" s="34"/>
      <c r="V12" s="35"/>
    </row>
    <row r="13" spans="1:22" x14ac:dyDescent="0.3">
      <c r="A13" t="s">
        <v>164</v>
      </c>
      <c r="B13" s="84">
        <v>1.7853300000000001</v>
      </c>
      <c r="C13" s="84">
        <v>0.44727600000000001</v>
      </c>
      <c r="D13" s="84">
        <v>3.1652719999999999</v>
      </c>
      <c r="E13" s="84">
        <v>-0.23125200000000001</v>
      </c>
      <c r="I13" t="s">
        <v>164</v>
      </c>
      <c r="J13" s="91">
        <v>2.1298149999999998</v>
      </c>
      <c r="K13" s="35"/>
      <c r="L13" s="91">
        <v>2.1298149999999998</v>
      </c>
      <c r="M13" s="84"/>
      <c r="N13" s="84"/>
      <c r="O13" s="84"/>
      <c r="P13" s="84"/>
      <c r="R13" s="84"/>
      <c r="S13" s="92"/>
      <c r="T13" s="34"/>
      <c r="V13" s="35"/>
    </row>
    <row r="14" spans="1:22" x14ac:dyDescent="0.3">
      <c r="A14" t="s">
        <v>165</v>
      </c>
      <c r="B14" s="84">
        <v>51.784353000000003</v>
      </c>
      <c r="C14" s="84">
        <v>42.329340000000002</v>
      </c>
      <c r="D14" s="84">
        <v>31.299258999999999</v>
      </c>
      <c r="E14" s="84">
        <v>16.218237999999999</v>
      </c>
      <c r="I14" t="s">
        <v>165</v>
      </c>
      <c r="J14" s="91">
        <v>23.877368000000001</v>
      </c>
      <c r="K14" s="35"/>
      <c r="L14" s="91">
        <v>23.877368000000001</v>
      </c>
      <c r="M14" s="84"/>
      <c r="N14" s="84"/>
      <c r="O14" s="84"/>
      <c r="P14" s="84"/>
      <c r="R14" s="84"/>
      <c r="S14" s="92"/>
      <c r="T14" s="34"/>
      <c r="V14" s="35"/>
    </row>
    <row r="15" spans="1:22" x14ac:dyDescent="0.3">
      <c r="A15" t="s">
        <v>166</v>
      </c>
      <c r="B15" s="84">
        <v>5.0210379999999999</v>
      </c>
      <c r="C15" s="84">
        <v>5.1063609999999997</v>
      </c>
      <c r="D15" s="84">
        <v>5.4079980000000001</v>
      </c>
      <c r="E15" s="84">
        <v>2.297666</v>
      </c>
      <c r="I15" t="s">
        <v>166</v>
      </c>
      <c r="J15" s="91">
        <v>3.665483</v>
      </c>
      <c r="K15" s="35"/>
      <c r="L15" s="91">
        <v>3.665483</v>
      </c>
      <c r="M15" s="84"/>
      <c r="N15" s="84"/>
      <c r="O15" s="84"/>
      <c r="P15" s="84"/>
      <c r="R15" s="84"/>
      <c r="S15" s="92"/>
      <c r="T15" s="34"/>
      <c r="V15" s="35"/>
    </row>
    <row r="16" spans="1:22" x14ac:dyDescent="0.3">
      <c r="A16" s="85" t="s">
        <v>167</v>
      </c>
      <c r="B16" s="84">
        <v>5.3753409999999997</v>
      </c>
      <c r="C16" s="84">
        <v>5.9894959999999999</v>
      </c>
      <c r="D16" s="84">
        <v>6.834276</v>
      </c>
      <c r="E16" s="84">
        <v>7.5601190000000003</v>
      </c>
      <c r="I16" s="85" t="s">
        <v>167</v>
      </c>
      <c r="J16" s="91">
        <v>4.4448650000000001</v>
      </c>
      <c r="K16" s="35" t="s">
        <v>168</v>
      </c>
      <c r="L16" s="91">
        <v>4.4448650000000001</v>
      </c>
      <c r="M16" s="84"/>
      <c r="N16" s="84"/>
      <c r="O16" s="84"/>
      <c r="P16" s="84"/>
      <c r="R16" s="84"/>
      <c r="S16" s="92"/>
      <c r="T16" s="34"/>
      <c r="V16" s="35"/>
    </row>
    <row r="17" spans="1:22" x14ac:dyDescent="0.3">
      <c r="A17" t="s">
        <v>169</v>
      </c>
      <c r="B17" s="84">
        <v>13.001158</v>
      </c>
      <c r="C17" s="84">
        <v>18.607074000000001</v>
      </c>
      <c r="D17" s="84">
        <v>11.10338</v>
      </c>
      <c r="E17" s="84">
        <v>5.0006820000000003</v>
      </c>
      <c r="I17" t="s">
        <v>169</v>
      </c>
      <c r="J17" s="91">
        <v>6.3578700000000001</v>
      </c>
      <c r="K17" s="35"/>
      <c r="L17" s="91">
        <v>6.3578700000000001</v>
      </c>
      <c r="M17" s="84"/>
      <c r="N17" s="84"/>
      <c r="O17" s="84"/>
      <c r="P17" s="84"/>
      <c r="R17" s="84"/>
      <c r="S17" s="92"/>
      <c r="T17" s="34"/>
      <c r="V17" s="35"/>
    </row>
    <row r="18" spans="1:22" x14ac:dyDescent="0.3">
      <c r="A18" t="s">
        <v>170</v>
      </c>
      <c r="B18" s="84">
        <v>6.2358830000000003</v>
      </c>
      <c r="C18" s="84">
        <v>8.1892980000000009</v>
      </c>
      <c r="D18" s="84">
        <v>8.562284</v>
      </c>
      <c r="E18" s="84">
        <v>8.0252060000000007</v>
      </c>
      <c r="I18" t="s">
        <v>170</v>
      </c>
      <c r="J18" s="91">
        <v>2.8499240000000001</v>
      </c>
      <c r="K18" s="35"/>
      <c r="L18" s="91">
        <v>2.8499240000000001</v>
      </c>
      <c r="M18" s="84"/>
      <c r="N18" s="84"/>
      <c r="O18" s="84"/>
      <c r="P18" s="84"/>
      <c r="R18" s="84"/>
      <c r="S18" s="92"/>
      <c r="T18" s="34"/>
      <c r="V18" s="35"/>
    </row>
    <row r="19" spans="1:22" x14ac:dyDescent="0.3">
      <c r="A19" t="s">
        <v>171</v>
      </c>
      <c r="B19" s="84">
        <v>1.2548760000000001</v>
      </c>
      <c r="C19" s="84">
        <v>9.4777260000000005</v>
      </c>
      <c r="D19" s="84">
        <v>11.361641000000001</v>
      </c>
      <c r="E19" s="84">
        <v>10.441292000000001</v>
      </c>
      <c r="I19" t="s">
        <v>171</v>
      </c>
      <c r="J19" s="91">
        <v>12.366682000000001</v>
      </c>
      <c r="K19" s="35"/>
      <c r="L19" s="91">
        <v>12.366682000000001</v>
      </c>
      <c r="M19" s="84"/>
      <c r="N19" s="84"/>
      <c r="O19" s="84"/>
      <c r="P19" s="84"/>
      <c r="R19" s="84"/>
      <c r="S19" s="92"/>
      <c r="T19" s="34"/>
      <c r="V19" s="35"/>
    </row>
    <row r="20" spans="1:22" x14ac:dyDescent="0.3">
      <c r="A20" t="s">
        <v>172</v>
      </c>
      <c r="B20" s="84">
        <v>-9.6712880000000006</v>
      </c>
      <c r="C20" s="84">
        <v>2.3030900000000001</v>
      </c>
      <c r="D20" s="84">
        <v>8.0881349999999994</v>
      </c>
      <c r="E20" s="84">
        <v>3.8038660000000002</v>
      </c>
      <c r="I20" t="s">
        <v>172</v>
      </c>
      <c r="J20" s="91">
        <v>6.3748139999999998</v>
      </c>
      <c r="K20" s="35"/>
      <c r="L20" s="91">
        <v>6.3748139999999998</v>
      </c>
      <c r="M20" s="84"/>
      <c r="N20" s="84"/>
      <c r="O20" s="84"/>
      <c r="P20" s="84"/>
      <c r="R20" s="84"/>
      <c r="S20" s="92"/>
      <c r="T20" s="34"/>
      <c r="V20" s="35"/>
    </row>
    <row r="21" spans="1:22" x14ac:dyDescent="0.3">
      <c r="A21" t="s">
        <v>173</v>
      </c>
      <c r="B21" s="84">
        <v>4.2635579999999997</v>
      </c>
      <c r="C21" s="84">
        <v>6.4895160000000001</v>
      </c>
      <c r="D21" s="84">
        <v>6.2540329999999997</v>
      </c>
      <c r="E21" s="84">
        <v>8.1676959999999994</v>
      </c>
      <c r="I21" t="s">
        <v>173</v>
      </c>
      <c r="J21" s="91">
        <v>3.727303</v>
      </c>
      <c r="K21" s="35"/>
      <c r="L21" s="91">
        <v>3.727303</v>
      </c>
      <c r="M21" s="84"/>
      <c r="N21" s="84"/>
      <c r="O21" s="84"/>
      <c r="P21" s="84"/>
      <c r="R21" s="84"/>
      <c r="S21" s="92"/>
      <c r="T21" s="34"/>
      <c r="V21" s="35"/>
    </row>
    <row r="22" spans="1:22" x14ac:dyDescent="0.3">
      <c r="A22" t="s">
        <v>174</v>
      </c>
      <c r="B22" s="84">
        <v>7.4331360000000002</v>
      </c>
      <c r="C22" s="84">
        <v>5.9019510000000004</v>
      </c>
      <c r="D22" s="84">
        <v>6.2301029999999997</v>
      </c>
      <c r="E22" s="84">
        <v>6.2957679999999998</v>
      </c>
      <c r="I22" t="s">
        <v>174</v>
      </c>
      <c r="J22" s="91">
        <v>8.5850150000000003</v>
      </c>
      <c r="K22" s="35"/>
      <c r="L22" s="91">
        <v>8.5850150000000003</v>
      </c>
      <c r="M22" s="84"/>
      <c r="N22" s="84"/>
      <c r="O22" s="84"/>
      <c r="P22" s="84"/>
      <c r="R22" s="84"/>
      <c r="S22" s="92"/>
      <c r="T22" s="34"/>
      <c r="V22" s="35"/>
    </row>
    <row r="23" spans="1:22" x14ac:dyDescent="0.3">
      <c r="A23" t="s">
        <v>175</v>
      </c>
      <c r="B23" s="84">
        <v>12.025828000000001</v>
      </c>
      <c r="C23" s="84">
        <v>11.224767999999999</v>
      </c>
      <c r="D23" s="84">
        <v>10.167329000000001</v>
      </c>
      <c r="E23" s="84">
        <v>5.3628549999999997</v>
      </c>
      <c r="I23" t="s">
        <v>175</v>
      </c>
      <c r="J23" s="91">
        <v>7.9578920000000002</v>
      </c>
      <c r="K23" s="35"/>
      <c r="L23" s="91">
        <v>7.9578920000000002</v>
      </c>
      <c r="M23" s="84"/>
      <c r="N23" s="84"/>
      <c r="O23" s="84"/>
      <c r="P23" s="84"/>
      <c r="R23" s="84"/>
      <c r="S23" s="92"/>
      <c r="T23" s="34"/>
      <c r="V23" s="35"/>
    </row>
    <row r="24" spans="1:22" x14ac:dyDescent="0.3">
      <c r="A24" t="s">
        <v>176</v>
      </c>
      <c r="B24" s="84">
        <v>-1.01519</v>
      </c>
      <c r="C24" s="84">
        <v>8.8685749999999999</v>
      </c>
      <c r="D24" s="84">
        <v>10.024471999999999</v>
      </c>
      <c r="E24" s="84">
        <v>2.9165809999999999</v>
      </c>
      <c r="I24" t="s">
        <v>176</v>
      </c>
      <c r="J24" s="91">
        <v>8.7550629999999998</v>
      </c>
      <c r="K24" s="35"/>
      <c r="L24" s="91">
        <v>8.7550629999999998</v>
      </c>
      <c r="M24" s="84"/>
      <c r="N24" s="84"/>
      <c r="O24" s="84"/>
      <c r="P24" s="84"/>
      <c r="R24" s="84"/>
      <c r="S24" s="92"/>
      <c r="T24" s="34"/>
      <c r="V24" s="35"/>
    </row>
    <row r="25" spans="1:22" x14ac:dyDescent="0.3">
      <c r="A25" t="s">
        <v>177</v>
      </c>
      <c r="B25" s="84">
        <v>8.2661269999999991</v>
      </c>
      <c r="C25" s="84">
        <v>10.841429</v>
      </c>
      <c r="D25" s="84">
        <v>11.320505000000001</v>
      </c>
      <c r="E25" s="84">
        <v>9.0141659999999995</v>
      </c>
      <c r="I25" t="s">
        <v>177</v>
      </c>
      <c r="J25" s="91">
        <v>9.4453499999999995</v>
      </c>
      <c r="K25" s="35"/>
      <c r="L25" s="91">
        <v>9.4453499999999995</v>
      </c>
      <c r="M25" s="84"/>
      <c r="N25" s="84"/>
      <c r="O25" s="84"/>
      <c r="P25" s="84"/>
      <c r="R25" s="84"/>
      <c r="S25" s="92"/>
      <c r="T25" s="34"/>
      <c r="V25" s="35"/>
    </row>
    <row r="26" spans="1:22" x14ac:dyDescent="0.3">
      <c r="A26" t="s">
        <v>178</v>
      </c>
      <c r="B26" s="84">
        <v>7.1933720000000001</v>
      </c>
      <c r="C26" s="84">
        <v>8.1316659999999992</v>
      </c>
      <c r="D26" s="84">
        <v>8.5239259999999994</v>
      </c>
      <c r="E26" s="84">
        <v>7.0756290000000002</v>
      </c>
      <c r="I26" t="s">
        <v>178</v>
      </c>
      <c r="J26" s="91">
        <v>11.648778999999999</v>
      </c>
      <c r="K26" s="35"/>
      <c r="L26" s="91">
        <v>11.648778999999999</v>
      </c>
      <c r="M26" s="84"/>
      <c r="N26" s="84"/>
      <c r="O26" s="84"/>
      <c r="P26" s="84"/>
      <c r="R26" s="84"/>
      <c r="S26" s="92"/>
      <c r="T26" s="34"/>
      <c r="V26" s="35"/>
    </row>
    <row r="27" spans="1:22" x14ac:dyDescent="0.3">
      <c r="A27" t="s">
        <v>179</v>
      </c>
      <c r="B27" s="84">
        <v>8.9368540000000003</v>
      </c>
      <c r="C27" s="84">
        <v>12.386949</v>
      </c>
      <c r="D27" s="84">
        <v>13.409132</v>
      </c>
      <c r="E27" s="84">
        <v>7.9384940000000004</v>
      </c>
      <c r="I27" t="s">
        <v>179</v>
      </c>
      <c r="J27" s="91">
        <v>1.3550800000000001</v>
      </c>
      <c r="K27" s="35"/>
      <c r="L27" s="91">
        <v>1.3550800000000001</v>
      </c>
      <c r="M27" s="84"/>
      <c r="N27" s="84"/>
      <c r="O27" s="84"/>
      <c r="P27" s="84"/>
      <c r="R27" s="84"/>
      <c r="S27" s="92"/>
      <c r="T27" s="34"/>
      <c r="V27" s="35"/>
    </row>
    <row r="28" spans="1:22" x14ac:dyDescent="0.3">
      <c r="A28" t="s">
        <v>180</v>
      </c>
      <c r="B28" s="84">
        <v>18.703339</v>
      </c>
      <c r="C28" s="84">
        <v>14.41817</v>
      </c>
      <c r="D28" s="84">
        <v>14.079470000000001</v>
      </c>
      <c r="E28" s="84">
        <v>4.3615659999999998</v>
      </c>
      <c r="I28" t="s">
        <v>180</v>
      </c>
      <c r="J28" s="91">
        <v>4.8584079999999998</v>
      </c>
      <c r="K28" s="35"/>
      <c r="L28" s="91">
        <v>4.8584079999999998</v>
      </c>
      <c r="M28" s="84"/>
      <c r="N28" s="84"/>
      <c r="O28" s="84"/>
      <c r="P28" s="84"/>
      <c r="R28" s="84"/>
      <c r="S28" s="92"/>
      <c r="T28" s="34"/>
      <c r="V28" s="35"/>
    </row>
    <row r="29" spans="1:22" x14ac:dyDescent="0.3">
      <c r="A29" t="s">
        <v>181</v>
      </c>
      <c r="B29" s="84">
        <v>19.442565999999999</v>
      </c>
      <c r="C29" s="84">
        <v>12.126607</v>
      </c>
      <c r="D29" s="84">
        <v>14.340904999999999</v>
      </c>
      <c r="E29" s="84">
        <v>8.2930060000000001</v>
      </c>
      <c r="I29" t="s">
        <v>181</v>
      </c>
      <c r="J29" s="91">
        <v>5.130331</v>
      </c>
      <c r="K29" s="35"/>
      <c r="L29" s="91">
        <v>5.130331</v>
      </c>
      <c r="M29" s="84"/>
      <c r="N29" s="84"/>
      <c r="O29" s="84"/>
      <c r="P29" s="84"/>
      <c r="R29" s="84"/>
      <c r="S29" s="92"/>
      <c r="T29" s="34"/>
      <c r="V29" s="35"/>
    </row>
    <row r="30" spans="1:22" x14ac:dyDescent="0.3">
      <c r="A30" t="s">
        <v>182</v>
      </c>
      <c r="B30" s="84">
        <v>8.6574279999999995</v>
      </c>
      <c r="C30" s="84">
        <v>12.969673999999999</v>
      </c>
      <c r="D30" s="84">
        <v>9.1563110000000005</v>
      </c>
      <c r="E30" s="84">
        <v>9.5159389999999995</v>
      </c>
      <c r="I30" t="s">
        <v>182</v>
      </c>
      <c r="J30" s="91">
        <v>5.2147969999999999</v>
      </c>
      <c r="K30" s="35"/>
      <c r="L30" s="91">
        <v>5.2147969999999999</v>
      </c>
      <c r="M30" s="84"/>
      <c r="N30" s="84"/>
      <c r="O30" s="84"/>
      <c r="P30" s="84"/>
      <c r="R30" s="84"/>
      <c r="S30" s="92"/>
      <c r="T30" s="34"/>
      <c r="V30" s="35"/>
    </row>
    <row r="31" spans="1:22" x14ac:dyDescent="0.3">
      <c r="A31" t="s">
        <v>183</v>
      </c>
      <c r="B31" s="84">
        <v>11.470169</v>
      </c>
      <c r="C31" s="84">
        <v>10.522926</v>
      </c>
      <c r="D31" s="84">
        <v>6.9532889999999998</v>
      </c>
      <c r="E31" s="84">
        <v>6.0934730000000004</v>
      </c>
      <c r="I31" t="s">
        <v>183</v>
      </c>
      <c r="J31" s="91">
        <v>4.647113</v>
      </c>
      <c r="K31" s="35"/>
      <c r="L31" s="91">
        <v>4.647113</v>
      </c>
      <c r="M31" s="84"/>
      <c r="N31" s="84"/>
      <c r="O31" s="84"/>
      <c r="P31" s="84"/>
      <c r="R31" s="84"/>
      <c r="S31" s="92"/>
      <c r="T31" s="34"/>
      <c r="V31" s="35"/>
    </row>
    <row r="32" spans="1:22" x14ac:dyDescent="0.3">
      <c r="A32" t="s">
        <v>184</v>
      </c>
      <c r="B32" s="84">
        <v>2.857488</v>
      </c>
      <c r="C32" s="84">
        <v>3.53911</v>
      </c>
      <c r="D32" s="84">
        <v>5.0278020000000003</v>
      </c>
      <c r="E32" s="84">
        <v>2.1494230000000001</v>
      </c>
      <c r="I32" t="s">
        <v>184</v>
      </c>
      <c r="J32" s="91">
        <v>6.3940359999999998</v>
      </c>
      <c r="K32" s="35"/>
      <c r="L32" s="91">
        <v>6.3940359999999998</v>
      </c>
      <c r="M32" s="84"/>
      <c r="N32" s="84"/>
      <c r="O32" s="84"/>
      <c r="P32" s="84"/>
      <c r="R32" s="84"/>
      <c r="S32" s="92"/>
      <c r="T32" s="34"/>
      <c r="V32" s="35"/>
    </row>
    <row r="33" spans="1:22" x14ac:dyDescent="0.3">
      <c r="A33" t="s">
        <v>185</v>
      </c>
      <c r="B33" s="84">
        <v>43.395257000000001</v>
      </c>
      <c r="C33" s="84">
        <v>19.906486000000001</v>
      </c>
      <c r="D33" s="84">
        <v>12.749141</v>
      </c>
      <c r="E33" s="84">
        <v>13.662039999999999</v>
      </c>
      <c r="I33" t="s">
        <v>185</v>
      </c>
      <c r="J33" s="91">
        <v>19.762246000000001</v>
      </c>
      <c r="K33" s="35"/>
      <c r="L33" s="91">
        <v>19.762246000000001</v>
      </c>
      <c r="M33" s="84"/>
      <c r="N33" s="84"/>
      <c r="O33" s="84"/>
      <c r="P33" s="84"/>
      <c r="R33" s="84"/>
      <c r="S33" s="92"/>
      <c r="T33" s="34"/>
      <c r="V33" s="35"/>
    </row>
    <row r="34" spans="1:22" ht="13.35" customHeight="1" x14ac:dyDescent="0.3">
      <c r="A34" t="s">
        <v>186</v>
      </c>
      <c r="B34" s="84">
        <v>0.39644699999999999</v>
      </c>
      <c r="C34" s="84">
        <v>14.026152</v>
      </c>
      <c r="D34" s="84">
        <v>22.790201</v>
      </c>
      <c r="E34" s="84">
        <v>9.6377179999999996</v>
      </c>
      <c r="I34" t="s">
        <v>186</v>
      </c>
      <c r="J34" s="91">
        <v>12.109767</v>
      </c>
      <c r="K34" s="35"/>
      <c r="L34" s="91">
        <v>12.109767</v>
      </c>
      <c r="M34" s="84"/>
      <c r="N34" s="84"/>
      <c r="O34" s="84"/>
      <c r="P34" s="84"/>
      <c r="R34" s="84"/>
      <c r="S34" s="92"/>
      <c r="T34" s="34"/>
      <c r="V34" s="35"/>
    </row>
    <row r="35" spans="1:22" x14ac:dyDescent="0.3">
      <c r="A35" t="s">
        <v>187</v>
      </c>
      <c r="B35" s="84">
        <v>12.642384</v>
      </c>
      <c r="C35" s="84">
        <v>14.311385</v>
      </c>
      <c r="D35" s="84">
        <v>6.4344270000000003</v>
      </c>
      <c r="E35" s="84">
        <v>0.132134</v>
      </c>
      <c r="I35" t="s">
        <v>187</v>
      </c>
      <c r="J35" s="91">
        <v>8.0381689999999999</v>
      </c>
      <c r="K35" s="35"/>
      <c r="L35" s="91">
        <v>8.0381689999999999</v>
      </c>
      <c r="M35" s="84"/>
      <c r="N35" s="84"/>
      <c r="O35" s="84"/>
      <c r="P35" s="84"/>
      <c r="R35" s="84"/>
      <c r="S35" s="92"/>
      <c r="T35" s="34"/>
      <c r="V35" s="35"/>
    </row>
    <row r="36" spans="1:22" ht="15.75" customHeight="1" x14ac:dyDescent="0.3">
      <c r="A36" t="s">
        <v>188</v>
      </c>
      <c r="B36" s="84">
        <v>16.328488</v>
      </c>
      <c r="C36" s="84">
        <v>9.8799799999999998</v>
      </c>
      <c r="D36" s="84">
        <v>11.385453</v>
      </c>
      <c r="E36" s="84">
        <v>8.0961510000000008</v>
      </c>
      <c r="I36" t="s">
        <v>188</v>
      </c>
      <c r="J36" s="91">
        <v>6.9246549999999996</v>
      </c>
      <c r="K36" s="35"/>
      <c r="L36" s="91">
        <v>6.9246549999999996</v>
      </c>
      <c r="M36" s="84"/>
      <c r="N36" s="84"/>
      <c r="O36" s="84"/>
      <c r="P36" s="84"/>
      <c r="R36" s="84"/>
      <c r="S36" s="92"/>
      <c r="T36" s="34"/>
      <c r="V36" s="35"/>
    </row>
    <row r="37" spans="1:22" x14ac:dyDescent="0.3">
      <c r="A37" t="s">
        <v>189</v>
      </c>
      <c r="B37" s="84">
        <v>3.6084529999999999</v>
      </c>
      <c r="C37" s="84">
        <v>10.662255999999999</v>
      </c>
      <c r="D37" s="84">
        <v>11.745025</v>
      </c>
      <c r="E37" s="84">
        <v>11.594108</v>
      </c>
      <c r="I37" t="s">
        <v>189</v>
      </c>
      <c r="J37" s="91">
        <v>7.138668</v>
      </c>
      <c r="K37" s="35"/>
      <c r="L37" s="91">
        <v>7.138668</v>
      </c>
      <c r="M37" s="84"/>
      <c r="N37" s="84"/>
      <c r="O37" s="84"/>
      <c r="P37" s="84"/>
      <c r="R37" s="84"/>
      <c r="S37" s="92"/>
      <c r="T37" s="34"/>
      <c r="V37" s="35"/>
    </row>
    <row r="38" spans="1:22" x14ac:dyDescent="0.3">
      <c r="A38" t="s">
        <v>190</v>
      </c>
      <c r="B38" s="84">
        <v>10.991875</v>
      </c>
      <c r="C38" s="84">
        <v>13.107037999999999</v>
      </c>
      <c r="D38" s="84">
        <v>14.122102999999999</v>
      </c>
      <c r="E38" s="84">
        <v>7.5025409999999999</v>
      </c>
      <c r="I38" t="s">
        <v>190</v>
      </c>
      <c r="J38" s="91">
        <v>7.7815589999999997</v>
      </c>
      <c r="K38" s="35"/>
      <c r="L38" s="91">
        <v>7.7815589999999997</v>
      </c>
      <c r="M38" s="84"/>
      <c r="N38" s="84"/>
      <c r="O38" s="84"/>
      <c r="P38" s="84"/>
      <c r="R38" s="84"/>
      <c r="S38" s="92"/>
      <c r="T38" s="34"/>
      <c r="V38" s="35"/>
    </row>
    <row r="39" spans="1:22" x14ac:dyDescent="0.3">
      <c r="A39" t="s">
        <v>191</v>
      </c>
      <c r="B39" s="84">
        <v>6.717384</v>
      </c>
      <c r="C39" s="84">
        <v>14.248169000000001</v>
      </c>
      <c r="D39" s="84">
        <v>15.146349000000001</v>
      </c>
      <c r="E39" s="84">
        <v>10.369498999999999</v>
      </c>
      <c r="I39" t="s">
        <v>191</v>
      </c>
      <c r="J39" s="91">
        <v>4.0973480000000002</v>
      </c>
      <c r="K39" s="35"/>
      <c r="L39" s="91">
        <v>4.0973480000000002</v>
      </c>
      <c r="M39" s="84"/>
      <c r="N39" s="84"/>
      <c r="O39" s="84"/>
      <c r="P39" s="84"/>
      <c r="R39" s="84"/>
      <c r="S39" s="92"/>
      <c r="T39" s="34"/>
      <c r="V39" s="35"/>
    </row>
    <row r="40" spans="1:22" x14ac:dyDescent="0.3">
      <c r="A40" t="s">
        <v>192</v>
      </c>
      <c r="B40" s="84">
        <v>1.4808699999999999</v>
      </c>
      <c r="C40" s="84">
        <v>10.209225</v>
      </c>
      <c r="D40" s="84">
        <v>13.862284000000001</v>
      </c>
      <c r="E40" s="84">
        <v>6.9013609999999996</v>
      </c>
      <c r="I40" t="s">
        <v>192</v>
      </c>
      <c r="J40" s="91">
        <v>6.0516100000000002</v>
      </c>
      <c r="K40" s="35"/>
      <c r="L40" s="91">
        <v>6.0516100000000002</v>
      </c>
      <c r="M40" s="84"/>
      <c r="N40" s="84"/>
      <c r="O40" s="84"/>
      <c r="P40" s="84"/>
      <c r="R40" s="84"/>
      <c r="S40" s="92"/>
      <c r="T40" s="34"/>
      <c r="V40" s="35"/>
    </row>
    <row r="41" spans="1:22" x14ac:dyDescent="0.3">
      <c r="A41" t="s">
        <v>193</v>
      </c>
      <c r="B41" s="84">
        <v>12.51221</v>
      </c>
      <c r="C41" s="84">
        <v>12.951072</v>
      </c>
      <c r="D41" s="84">
        <v>13.148292</v>
      </c>
      <c r="E41" s="84">
        <v>11.531639999999999</v>
      </c>
      <c r="I41" t="s">
        <v>193</v>
      </c>
      <c r="J41" s="91">
        <v>7.7196959999999999</v>
      </c>
      <c r="K41" s="35"/>
      <c r="L41" s="91">
        <v>7.7196959999999999</v>
      </c>
      <c r="M41" s="84"/>
      <c r="N41" s="84"/>
      <c r="O41" s="84"/>
      <c r="P41" s="84"/>
      <c r="R41" s="84"/>
      <c r="S41" s="92"/>
      <c r="T41" s="34"/>
      <c r="V41" s="35"/>
    </row>
    <row r="42" spans="1:22" x14ac:dyDescent="0.3">
      <c r="A42" t="s">
        <v>194</v>
      </c>
      <c r="B42" s="84">
        <v>3.0077020000000001</v>
      </c>
      <c r="C42" s="84">
        <v>4.0917199999999996</v>
      </c>
      <c r="D42" s="84">
        <v>2.5579510000000001</v>
      </c>
      <c r="E42" s="84">
        <v>7.5972049999999998</v>
      </c>
      <c r="I42" t="s">
        <v>194</v>
      </c>
      <c r="J42" s="91">
        <v>11.542683</v>
      </c>
      <c r="K42" s="35"/>
      <c r="L42" s="91">
        <v>11.542683</v>
      </c>
      <c r="M42" s="84"/>
      <c r="N42" s="84"/>
      <c r="O42" s="84"/>
      <c r="P42" s="84"/>
      <c r="R42" s="84"/>
      <c r="S42" s="92"/>
      <c r="T42" s="34"/>
      <c r="V42" s="35"/>
    </row>
    <row r="43" spans="1:22" x14ac:dyDescent="0.3">
      <c r="A43" t="s">
        <v>195</v>
      </c>
      <c r="B43" s="84">
        <v>2.0809820000000001</v>
      </c>
      <c r="C43" s="84">
        <v>7.1588859999999999</v>
      </c>
      <c r="D43" s="84">
        <v>9.6971179999999997</v>
      </c>
      <c r="E43" s="84">
        <v>7.3330500000000001</v>
      </c>
      <c r="I43" t="s">
        <v>195</v>
      </c>
      <c r="J43" s="91">
        <v>7.083221</v>
      </c>
      <c r="K43" s="35"/>
      <c r="L43" s="91">
        <v>7.083221</v>
      </c>
      <c r="M43" s="84"/>
      <c r="N43" s="84"/>
      <c r="O43" s="84"/>
      <c r="P43" s="84"/>
      <c r="R43" s="84"/>
      <c r="S43" s="92"/>
      <c r="T43" s="34"/>
      <c r="V43" s="35"/>
    </row>
    <row r="44" spans="1:22" x14ac:dyDescent="0.3">
      <c r="A44" t="s">
        <v>196</v>
      </c>
      <c r="B44" s="84">
        <v>6.5329610000000002</v>
      </c>
      <c r="C44" s="84">
        <v>7.6419480000000002</v>
      </c>
      <c r="D44" s="84">
        <v>8.0053199999999993</v>
      </c>
      <c r="E44" s="84">
        <v>7.0230449999999998</v>
      </c>
      <c r="I44" t="s">
        <v>196</v>
      </c>
      <c r="J44" s="91">
        <v>12.906231</v>
      </c>
      <c r="K44" s="35"/>
      <c r="L44" s="91">
        <v>12.906231</v>
      </c>
      <c r="M44" s="84"/>
      <c r="N44" s="84"/>
      <c r="O44" s="84"/>
      <c r="P44" s="84"/>
      <c r="R44" s="84"/>
      <c r="S44" s="92"/>
      <c r="T44" s="34"/>
      <c r="V44" s="35"/>
    </row>
    <row r="45" spans="1:22" x14ac:dyDescent="0.3">
      <c r="A45" t="s">
        <v>197</v>
      </c>
      <c r="B45" s="84">
        <v>4.9397209999999996</v>
      </c>
      <c r="C45" s="84">
        <v>6.4066689999999999</v>
      </c>
      <c r="D45" s="84">
        <v>7.0947069999999997</v>
      </c>
      <c r="E45" s="84">
        <v>3.2522129999999998</v>
      </c>
      <c r="I45" t="s">
        <v>197</v>
      </c>
      <c r="J45" s="91">
        <v>2.05497</v>
      </c>
      <c r="K45" s="35"/>
      <c r="L45" s="91">
        <v>2.05497</v>
      </c>
      <c r="M45" s="84"/>
      <c r="N45" s="84"/>
      <c r="O45" s="84"/>
      <c r="P45" s="84"/>
      <c r="R45" s="84"/>
      <c r="S45" s="92"/>
      <c r="T45" s="34"/>
      <c r="V45" s="35"/>
    </row>
    <row r="46" spans="1:22" x14ac:dyDescent="0.3">
      <c r="A46" t="s">
        <v>198</v>
      </c>
      <c r="B46" s="84">
        <v>-5.1907899999999998</v>
      </c>
      <c r="C46" s="84">
        <v>1.901384</v>
      </c>
      <c r="D46" s="84">
        <v>2.1972710000000002</v>
      </c>
      <c r="E46" s="84">
        <v>2.4898479999999998</v>
      </c>
      <c r="I46" t="s">
        <v>198</v>
      </c>
      <c r="J46" s="91">
        <v>10.064273999999999</v>
      </c>
      <c r="K46" s="35"/>
      <c r="L46" s="91">
        <v>10.064273999999999</v>
      </c>
      <c r="M46" s="84"/>
      <c r="N46" s="84"/>
      <c r="O46" s="84"/>
      <c r="P46" s="84"/>
      <c r="R46" s="84"/>
      <c r="S46" s="92"/>
      <c r="T46" s="34"/>
      <c r="V46" s="35"/>
    </row>
    <row r="47" spans="1:22" x14ac:dyDescent="0.3">
      <c r="A47" t="s">
        <v>199</v>
      </c>
      <c r="B47" s="84">
        <v>3.8792659999999999</v>
      </c>
      <c r="C47" s="84">
        <v>4.3444330000000004</v>
      </c>
      <c r="D47" s="84">
        <v>5.1343969999999999</v>
      </c>
      <c r="E47" s="84">
        <v>1.5160290000000001</v>
      </c>
      <c r="I47" t="s">
        <v>199</v>
      </c>
      <c r="J47" s="91">
        <v>10.799974000000001</v>
      </c>
      <c r="K47" s="35"/>
      <c r="L47" s="91">
        <v>10.799974000000001</v>
      </c>
      <c r="M47" s="84"/>
      <c r="N47" s="84"/>
      <c r="O47" s="84"/>
      <c r="P47" s="84"/>
      <c r="R47" s="84"/>
      <c r="S47" s="92"/>
      <c r="T47" s="34"/>
      <c r="V47" s="35"/>
    </row>
    <row r="48" spans="1:22" x14ac:dyDescent="0.3">
      <c r="A48" t="s">
        <v>200</v>
      </c>
      <c r="B48" s="84">
        <v>6.9117800000000003</v>
      </c>
      <c r="C48" s="84">
        <v>7.5916459999999999</v>
      </c>
      <c r="D48" s="84">
        <v>7.3724769999999999</v>
      </c>
      <c r="E48" s="84">
        <v>4.813923</v>
      </c>
      <c r="I48" t="s">
        <v>200</v>
      </c>
      <c r="J48" s="91">
        <v>0.134377</v>
      </c>
      <c r="K48" s="35"/>
      <c r="L48" s="91">
        <v>0.134377</v>
      </c>
      <c r="M48" s="84"/>
      <c r="N48" s="84"/>
      <c r="O48" s="84"/>
      <c r="P48" s="84"/>
      <c r="R48" s="84"/>
      <c r="S48" s="92"/>
      <c r="T48" s="34"/>
      <c r="V48" s="35"/>
    </row>
    <row r="49" spans="1:22" x14ac:dyDescent="0.3">
      <c r="A49" t="s">
        <v>201</v>
      </c>
      <c r="B49" s="84">
        <v>5.9063080000000001</v>
      </c>
      <c r="C49" s="84">
        <v>6.1535900000000003</v>
      </c>
      <c r="D49" s="84">
        <v>5.4892589999999997</v>
      </c>
      <c r="E49" s="84">
        <v>4.4872990000000001</v>
      </c>
      <c r="I49" t="s">
        <v>201</v>
      </c>
      <c r="J49" s="91">
        <v>9.0062000000000003E-2</v>
      </c>
      <c r="K49" s="35"/>
      <c r="L49" s="91">
        <v>9.0062000000000003E-2</v>
      </c>
      <c r="M49" s="84"/>
      <c r="N49" s="84"/>
      <c r="O49" s="84"/>
      <c r="P49" s="84"/>
      <c r="R49" s="84"/>
      <c r="S49" s="92"/>
      <c r="T49" s="34"/>
      <c r="V49" s="35"/>
    </row>
    <row r="50" spans="1:22" x14ac:dyDescent="0.3">
      <c r="A50" t="s">
        <v>52</v>
      </c>
      <c r="B50" s="84">
        <v>8.4415189999999996</v>
      </c>
      <c r="C50" s="84">
        <v>12.081514</v>
      </c>
      <c r="D50" s="84">
        <v>12.524834999999999</v>
      </c>
      <c r="E50" s="84">
        <v>8.6471140000000002</v>
      </c>
      <c r="I50" t="s">
        <v>52</v>
      </c>
      <c r="J50" s="91">
        <v>1.5972900000000001</v>
      </c>
      <c r="K50" s="35"/>
      <c r="L50" s="91">
        <v>1.5972900000000001</v>
      </c>
      <c r="M50" s="84"/>
      <c r="N50" s="84"/>
      <c r="O50" s="84"/>
      <c r="P50" s="84"/>
      <c r="R50" s="84"/>
      <c r="S50" s="92"/>
      <c r="T50" s="34"/>
      <c r="V50" s="35"/>
    </row>
    <row r="51" spans="1:22" x14ac:dyDescent="0.3">
      <c r="A51" t="s">
        <v>114</v>
      </c>
      <c r="B51" s="84">
        <v>6.8302870000000002</v>
      </c>
      <c r="C51" s="84">
        <v>7.4786210000000004</v>
      </c>
      <c r="D51" s="84">
        <v>8.0463880000000003</v>
      </c>
      <c r="E51" s="84">
        <v>5.2292880000000004</v>
      </c>
      <c r="I51" t="s">
        <v>114</v>
      </c>
      <c r="J51" s="91">
        <v>1.1391960000000001</v>
      </c>
      <c r="K51" s="35"/>
      <c r="L51" s="91">
        <v>1.1391960000000001</v>
      </c>
      <c r="M51" s="84"/>
      <c r="N51" s="84"/>
      <c r="O51" s="84"/>
      <c r="P51" s="84"/>
      <c r="R51" s="84"/>
      <c r="S51" s="92"/>
      <c r="T51" s="34"/>
      <c r="V51" s="35"/>
    </row>
    <row r="52" spans="1:22" x14ac:dyDescent="0.3">
      <c r="A52" t="s">
        <v>49</v>
      </c>
      <c r="B52" s="84">
        <v>4.7446719999999996</v>
      </c>
      <c r="C52" s="84">
        <v>4.9743019999999998</v>
      </c>
      <c r="D52" s="84">
        <v>5.1913260000000001</v>
      </c>
      <c r="E52" s="84">
        <v>2.0672510000000002</v>
      </c>
      <c r="I52" t="s">
        <v>49</v>
      </c>
      <c r="J52" s="91">
        <v>1.228132</v>
      </c>
      <c r="K52" s="35"/>
      <c r="L52" s="91">
        <v>1.228132</v>
      </c>
      <c r="M52" s="84"/>
      <c r="N52" s="84"/>
      <c r="O52" s="84"/>
      <c r="P52" s="84"/>
      <c r="R52" s="84"/>
      <c r="S52" s="92"/>
      <c r="T52" s="34"/>
      <c r="V52" s="35"/>
    </row>
    <row r="53" spans="1:22" x14ac:dyDescent="0.3">
      <c r="A53" t="s">
        <v>202</v>
      </c>
      <c r="B53" s="84">
        <v>7.792961</v>
      </c>
      <c r="C53" s="84">
        <v>6.6755630000000004</v>
      </c>
      <c r="D53" s="84">
        <v>6.0177009999999997</v>
      </c>
      <c r="E53" s="84">
        <v>4.579218</v>
      </c>
      <c r="I53" t="s">
        <v>202</v>
      </c>
      <c r="J53" s="91">
        <v>8.2093410000000002</v>
      </c>
      <c r="K53" s="35"/>
      <c r="L53" s="91">
        <v>8.2093410000000002</v>
      </c>
      <c r="M53" s="84"/>
      <c r="N53" s="84"/>
      <c r="O53" s="84"/>
      <c r="P53" s="84"/>
      <c r="R53" s="84"/>
      <c r="S53" s="92"/>
      <c r="T53" s="34"/>
      <c r="V53" s="35"/>
    </row>
    <row r="54" spans="1:22" x14ac:dyDescent="0.3">
      <c r="A54" t="s">
        <v>203</v>
      </c>
      <c r="B54" s="84">
        <v>7.698124</v>
      </c>
      <c r="C54" s="84">
        <v>9.4083570000000005</v>
      </c>
      <c r="D54" s="84">
        <v>9.8687330000000006</v>
      </c>
      <c r="E54" s="84">
        <v>6.7359749999999998</v>
      </c>
      <c r="I54" t="s">
        <v>203</v>
      </c>
      <c r="J54" s="91">
        <v>1.461972</v>
      </c>
      <c r="K54" s="35"/>
      <c r="L54" s="91">
        <v>1.461972</v>
      </c>
      <c r="M54" s="84"/>
      <c r="N54" s="84"/>
      <c r="O54" s="84"/>
      <c r="P54" s="84"/>
      <c r="R54" s="84"/>
      <c r="S54" s="92"/>
      <c r="T54" s="34"/>
      <c r="V54" s="35"/>
    </row>
    <row r="55" spans="1:22" x14ac:dyDescent="0.3">
      <c r="A55" t="s">
        <v>204</v>
      </c>
      <c r="B55" s="84">
        <v>7.4405039999999998</v>
      </c>
      <c r="C55" s="84">
        <v>8.1993310000000008</v>
      </c>
      <c r="D55" s="84">
        <v>8.4635770000000008</v>
      </c>
      <c r="E55" s="84">
        <v>5.3151659999999996</v>
      </c>
      <c r="I55" t="s">
        <v>204</v>
      </c>
      <c r="J55" s="91">
        <v>7.4885229999999998</v>
      </c>
      <c r="K55" s="35"/>
      <c r="L55" s="91">
        <v>7.4885229999999998</v>
      </c>
      <c r="M55" s="84"/>
      <c r="N55" s="84"/>
      <c r="O55" s="84"/>
      <c r="P55" s="84"/>
      <c r="R55" s="84"/>
      <c r="S55" s="92"/>
      <c r="T55" s="34"/>
      <c r="V55" s="35"/>
    </row>
    <row r="56" spans="1:22" x14ac:dyDescent="0.3">
      <c r="A56" t="s">
        <v>205</v>
      </c>
      <c r="B56" s="84">
        <v>8.3597409999999996</v>
      </c>
      <c r="C56" s="84">
        <v>9.0833150000000007</v>
      </c>
      <c r="D56" s="84">
        <v>8.813815</v>
      </c>
      <c r="E56" s="84">
        <v>5.0113219999999998</v>
      </c>
      <c r="I56" t="s">
        <v>205</v>
      </c>
      <c r="J56" s="91">
        <v>7.2705260000000003</v>
      </c>
      <c r="K56" s="35"/>
      <c r="L56" s="91">
        <v>7.2705260000000003</v>
      </c>
      <c r="M56" s="84"/>
      <c r="N56" s="84"/>
      <c r="O56" s="84"/>
      <c r="P56" s="84"/>
      <c r="R56" s="84"/>
      <c r="S56" s="92"/>
      <c r="T56" s="34"/>
      <c r="V56" s="35"/>
    </row>
    <row r="57" spans="1:22" x14ac:dyDescent="0.3">
      <c r="A57" t="s">
        <v>206</v>
      </c>
      <c r="B57" s="84">
        <v>9.8429970000000004</v>
      </c>
      <c r="C57" s="84">
        <v>10.61139</v>
      </c>
      <c r="D57" s="84">
        <v>10.315314000000001</v>
      </c>
      <c r="E57" s="84">
        <v>6.630509</v>
      </c>
      <c r="I57" t="s">
        <v>206</v>
      </c>
      <c r="J57" s="91">
        <v>6.7669560000000004</v>
      </c>
      <c r="K57" s="35"/>
      <c r="L57" s="91">
        <v>6.7669560000000004</v>
      </c>
      <c r="M57" s="84"/>
      <c r="N57" s="84"/>
      <c r="O57" s="84"/>
      <c r="P57" s="84"/>
      <c r="R57" s="84"/>
      <c r="S57" s="92"/>
      <c r="T57" s="34"/>
      <c r="V57" s="35"/>
    </row>
    <row r="58" spans="1:22" x14ac:dyDescent="0.3">
      <c r="A58" t="s">
        <v>207</v>
      </c>
      <c r="B58" s="84">
        <v>10.747479999999999</v>
      </c>
      <c r="C58" s="84">
        <v>12.839551</v>
      </c>
      <c r="D58" s="84">
        <v>12.351324999999999</v>
      </c>
      <c r="E58" s="84">
        <v>8.8900079999999999</v>
      </c>
      <c r="I58" t="s">
        <v>207</v>
      </c>
      <c r="J58" s="91">
        <v>6.0126049999999998</v>
      </c>
      <c r="K58" s="35"/>
      <c r="L58" s="91">
        <v>6.0126049999999998</v>
      </c>
      <c r="M58" s="84"/>
      <c r="N58" s="84"/>
      <c r="O58" s="84"/>
      <c r="P58" s="84"/>
      <c r="R58" s="84"/>
      <c r="S58" s="92"/>
      <c r="T58" s="34"/>
      <c r="V58" s="35"/>
    </row>
    <row r="59" spans="1:22" x14ac:dyDescent="0.3">
      <c r="A59" t="s">
        <v>208</v>
      </c>
      <c r="B59" s="84">
        <v>10.963691000000001</v>
      </c>
      <c r="C59" s="84">
        <v>13.070805999999999</v>
      </c>
      <c r="D59" s="84">
        <v>12.574633</v>
      </c>
      <c r="E59" s="84">
        <v>9.1764089999999996</v>
      </c>
      <c r="I59" t="s">
        <v>208</v>
      </c>
      <c r="J59" s="91">
        <v>5.8330149999999996</v>
      </c>
      <c r="K59" s="35"/>
      <c r="L59" s="91">
        <v>5.8330149999999996</v>
      </c>
      <c r="M59" s="84"/>
      <c r="N59" s="84"/>
      <c r="O59" s="84"/>
      <c r="P59" s="84"/>
      <c r="R59" s="84"/>
      <c r="S59" s="92"/>
      <c r="T59" s="34"/>
      <c r="V59" s="35"/>
    </row>
    <row r="60" spans="1:22" x14ac:dyDescent="0.3">
      <c r="A60" t="s">
        <v>209</v>
      </c>
      <c r="B60" s="84">
        <v>10.902042</v>
      </c>
      <c r="C60" s="84">
        <v>12.173683</v>
      </c>
      <c r="D60" s="84">
        <v>12.48495</v>
      </c>
      <c r="E60" s="84">
        <v>8.9874609999999997</v>
      </c>
      <c r="I60" t="s">
        <v>209</v>
      </c>
      <c r="J60" s="91">
        <v>6.0158750000000003</v>
      </c>
      <c r="K60" s="35"/>
      <c r="L60" s="91">
        <v>6.0158750000000003</v>
      </c>
      <c r="M60" s="84"/>
      <c r="N60" s="84"/>
      <c r="O60" s="84"/>
      <c r="P60" s="84"/>
      <c r="R60" s="84"/>
      <c r="S60" s="92"/>
      <c r="T60" s="34"/>
      <c r="V60" s="35"/>
    </row>
    <row r="61" spans="1:22" x14ac:dyDescent="0.3">
      <c r="A61" t="s">
        <v>210</v>
      </c>
      <c r="B61" s="84">
        <v>5.7149770000000002</v>
      </c>
      <c r="C61" s="84">
        <v>5.900989</v>
      </c>
      <c r="D61" s="84">
        <v>6.2541779999999996</v>
      </c>
      <c r="E61" s="84">
        <v>3.1925520000000001</v>
      </c>
      <c r="I61" t="s">
        <v>210</v>
      </c>
      <c r="J61" s="91">
        <v>0.92859199999999997</v>
      </c>
      <c r="K61" s="35"/>
      <c r="L61" s="91">
        <v>0.92859199999999997</v>
      </c>
      <c r="M61" s="84"/>
      <c r="N61" s="84"/>
      <c r="O61" s="84"/>
      <c r="P61" s="84"/>
      <c r="R61" s="84"/>
      <c r="S61" s="92"/>
      <c r="T61" s="34"/>
      <c r="V61" s="35"/>
    </row>
    <row r="62" spans="1:22" x14ac:dyDescent="0.3">
      <c r="A62" t="s">
        <v>211</v>
      </c>
      <c r="B62" s="84">
        <v>4.1659550000000003</v>
      </c>
      <c r="C62" s="84">
        <v>5.0463630000000004</v>
      </c>
      <c r="D62" s="84">
        <v>5.4711639999999999</v>
      </c>
      <c r="E62" s="84">
        <v>2.1428500000000001</v>
      </c>
      <c r="I62" t="s">
        <v>211</v>
      </c>
      <c r="J62" s="91">
        <v>3.1884450000000002</v>
      </c>
      <c r="K62" s="35"/>
      <c r="L62" s="91">
        <v>3.1884450000000002</v>
      </c>
      <c r="M62" s="84"/>
      <c r="N62" s="84"/>
      <c r="O62" s="84"/>
      <c r="P62" s="84"/>
      <c r="R62" s="84"/>
      <c r="S62" s="92"/>
      <c r="T62" s="34"/>
      <c r="V62" s="35"/>
    </row>
    <row r="63" spans="1:22" x14ac:dyDescent="0.3">
      <c r="A63" t="s">
        <v>212</v>
      </c>
      <c r="B63" s="34"/>
      <c r="C63" s="34"/>
      <c r="D63" s="34"/>
      <c r="E63" s="34"/>
      <c r="I63" t="s">
        <v>212</v>
      </c>
      <c r="J63" s="91"/>
      <c r="K63" s="35"/>
      <c r="L63" s="91"/>
      <c r="M63" s="84"/>
      <c r="N63" s="34"/>
      <c r="O63" s="34"/>
      <c r="P63" s="34"/>
      <c r="R63" s="84"/>
      <c r="S63" s="92"/>
      <c r="V63" s="35"/>
    </row>
    <row r="64" spans="1:22" x14ac:dyDescent="0.3">
      <c r="A64" t="s">
        <v>213</v>
      </c>
      <c r="B64" s="84">
        <v>1.6474359999999999</v>
      </c>
      <c r="C64" s="84">
        <v>-4.90543</v>
      </c>
      <c r="D64" s="84">
        <v>-5.8244579999999999</v>
      </c>
      <c r="E64" s="84">
        <v>-1.2905150000000001</v>
      </c>
      <c r="I64" t="s">
        <v>213</v>
      </c>
      <c r="J64" s="91">
        <v>16.691281</v>
      </c>
      <c r="K64" s="35"/>
      <c r="L64" s="91">
        <v>16.691281</v>
      </c>
      <c r="M64" s="84"/>
      <c r="N64" s="84"/>
      <c r="O64" s="84"/>
      <c r="P64" s="84"/>
      <c r="R64" s="84"/>
      <c r="S64" s="92"/>
      <c r="T64" s="34"/>
      <c r="V64" s="35"/>
    </row>
    <row r="65" spans="1:22" x14ac:dyDescent="0.3">
      <c r="A65" t="s">
        <v>214</v>
      </c>
      <c r="B65" s="84">
        <v>7.7043169999999996</v>
      </c>
      <c r="C65" s="84">
        <v>8.2358770000000003</v>
      </c>
      <c r="D65" s="84">
        <v>8.5137640000000001</v>
      </c>
      <c r="E65" s="84">
        <v>7.1513309999999999</v>
      </c>
      <c r="I65" t="s">
        <v>214</v>
      </c>
      <c r="J65" s="91">
        <v>2.7525170000000001</v>
      </c>
      <c r="L65" s="91">
        <v>2.7525170000000001</v>
      </c>
      <c r="M65" s="84"/>
      <c r="N65" s="84"/>
      <c r="O65" s="84"/>
      <c r="P65" s="84"/>
      <c r="R65" s="84"/>
      <c r="S65" s="92"/>
      <c r="T65" s="34"/>
      <c r="V65" s="35"/>
    </row>
    <row r="66" spans="1:22" x14ac:dyDescent="0.3">
      <c r="A66" t="s">
        <v>215</v>
      </c>
      <c r="B66" s="84">
        <v>4.9397209999999996</v>
      </c>
      <c r="C66" s="84">
        <v>6.4066689999999999</v>
      </c>
      <c r="D66" s="84">
        <v>7.0947069999999997</v>
      </c>
      <c r="E66" s="84">
        <v>3.2522129999999998</v>
      </c>
      <c r="I66" t="s">
        <v>215</v>
      </c>
      <c r="J66" s="91">
        <v>2.05497</v>
      </c>
      <c r="L66" s="91">
        <v>2.05497</v>
      </c>
      <c r="M66" s="84"/>
      <c r="N66" s="84"/>
      <c r="O66" s="84"/>
      <c r="P66" s="84"/>
      <c r="R66" s="84"/>
      <c r="S66" s="92"/>
      <c r="T66" s="34"/>
      <c r="V66" s="35"/>
    </row>
    <row r="67" spans="1:22" x14ac:dyDescent="0.3">
      <c r="A67" t="s">
        <v>216</v>
      </c>
      <c r="B67" s="84">
        <v>-8.5392109999999999</v>
      </c>
      <c r="C67" s="84">
        <v>-3.1288719999999999</v>
      </c>
      <c r="D67" s="84">
        <v>-5.6214649999999997</v>
      </c>
      <c r="E67" s="84">
        <v>2.4587500000000002</v>
      </c>
      <c r="I67" t="s">
        <v>216</v>
      </c>
      <c r="J67" s="91">
        <v>8.0291920000000001</v>
      </c>
      <c r="L67" s="91">
        <v>8.0291920000000001</v>
      </c>
      <c r="M67" s="84"/>
      <c r="N67" s="84"/>
      <c r="O67" s="84"/>
      <c r="P67" s="84"/>
      <c r="R67" s="84"/>
      <c r="S67" s="92"/>
      <c r="T67" s="34"/>
      <c r="V67" s="35"/>
    </row>
    <row r="68" spans="1:22" x14ac:dyDescent="0.3">
      <c r="A68" t="s">
        <v>217</v>
      </c>
      <c r="B68" s="84">
        <v>4.9397209999999996</v>
      </c>
      <c r="C68" s="84">
        <v>6.4066689999999999</v>
      </c>
      <c r="D68" s="84">
        <v>7.0947069999999997</v>
      </c>
      <c r="E68" s="84">
        <v>3.2522129999999998</v>
      </c>
      <c r="I68" t="s">
        <v>217</v>
      </c>
      <c r="J68" s="91">
        <v>2.7525170000000001</v>
      </c>
      <c r="L68" s="91">
        <v>2.7525170000000001</v>
      </c>
      <c r="M68" s="84"/>
      <c r="N68" s="84"/>
      <c r="O68" s="84"/>
      <c r="P68" s="84"/>
      <c r="R68" s="84"/>
      <c r="S68" s="92"/>
      <c r="T68" s="34"/>
      <c r="V68" s="35"/>
    </row>
    <row r="69" spans="1:22" x14ac:dyDescent="0.3">
      <c r="A69" t="s">
        <v>218</v>
      </c>
      <c r="B69" s="84">
        <v>4.7180229999999996</v>
      </c>
      <c r="C69" s="84">
        <v>5.4561029999999997</v>
      </c>
      <c r="D69" s="84">
        <v>6.4411860000000001</v>
      </c>
      <c r="E69" s="84">
        <v>5.8284599999999998</v>
      </c>
      <c r="I69" t="s">
        <v>218</v>
      </c>
      <c r="J69" s="91">
        <v>5.5546189999999998</v>
      </c>
      <c r="L69" s="91">
        <v>5.5546189999999998</v>
      </c>
      <c r="M69" s="84"/>
      <c r="N69" s="84"/>
      <c r="O69" s="84"/>
      <c r="P69" s="84"/>
      <c r="R69" s="84"/>
      <c r="S69" s="92"/>
      <c r="T69" s="34"/>
      <c r="V69" s="35"/>
    </row>
    <row r="70" spans="1:22" x14ac:dyDescent="0.3">
      <c r="L70" s="35"/>
    </row>
  </sheetData>
  <mergeCells count="2">
    <mergeCell ref="A1:E1"/>
    <mergeCell ref="I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10F2-74C8-4F6A-B0A7-A4825716DA47}">
  <sheetPr>
    <tabColor theme="2"/>
  </sheetPr>
  <dimension ref="A1:BT307"/>
  <sheetViews>
    <sheetView workbookViewId="0">
      <pane xSplit="1" ySplit="5" topLeftCell="B196" activePane="bottomRight" state="frozen"/>
      <selection pane="topRight" activeCell="B1" sqref="B1"/>
      <selection pane="bottomLeft" activeCell="A6" sqref="A6"/>
      <selection pane="bottomRight" activeCell="A57" sqref="A57"/>
    </sheetView>
  </sheetViews>
  <sheetFormatPr defaultRowHeight="14.4" x14ac:dyDescent="0.3"/>
  <cols>
    <col min="1" max="1" width="82.33203125" bestFit="1" customWidth="1"/>
    <col min="2" max="2" width="13.6640625" bestFit="1" customWidth="1"/>
    <col min="4" max="4" width="13.6640625" bestFit="1" customWidth="1"/>
    <col min="6" max="6" width="12.109375" customWidth="1"/>
    <col min="7" max="7" width="9.33203125" bestFit="1" customWidth="1"/>
    <col min="9" max="9" width="13.6640625" bestFit="1" customWidth="1"/>
  </cols>
  <sheetData>
    <row r="1" spans="1:57" x14ac:dyDescent="0.3">
      <c r="B1" s="28" t="s">
        <v>219</v>
      </c>
      <c r="D1" s="28" t="s">
        <v>220</v>
      </c>
      <c r="F1" s="28" t="s">
        <v>221</v>
      </c>
      <c r="G1" s="28" t="s">
        <v>222</v>
      </c>
      <c r="I1" s="28" t="s">
        <v>223</v>
      </c>
      <c r="K1" s="28" t="s">
        <v>70</v>
      </c>
      <c r="M1" s="28" t="s">
        <v>71</v>
      </c>
      <c r="O1" s="28" t="s">
        <v>72</v>
      </c>
      <c r="Q1" s="28" t="s">
        <v>73</v>
      </c>
      <c r="S1" s="28" t="s">
        <v>74</v>
      </c>
      <c r="U1" s="28" t="s">
        <v>75</v>
      </c>
      <c r="W1" s="28" t="s">
        <v>76</v>
      </c>
      <c r="Y1" s="28" t="s">
        <v>77</v>
      </c>
      <c r="AA1" s="28" t="s">
        <v>78</v>
      </c>
      <c r="AC1" s="28" t="s">
        <v>79</v>
      </c>
      <c r="AE1" s="28" t="s">
        <v>80</v>
      </c>
      <c r="AG1" s="28" t="s">
        <v>81</v>
      </c>
      <c r="AI1" s="28" t="s">
        <v>82</v>
      </c>
      <c r="AK1" s="28" t="s">
        <v>83</v>
      </c>
      <c r="AM1" s="28" t="s">
        <v>84</v>
      </c>
      <c r="AO1" s="28" t="s">
        <v>85</v>
      </c>
      <c r="AQ1" s="28" t="s">
        <v>86</v>
      </c>
      <c r="AS1" s="28" t="s">
        <v>87</v>
      </c>
      <c r="AU1" s="28" t="s">
        <v>88</v>
      </c>
      <c r="AW1" s="28" t="s">
        <v>89</v>
      </c>
      <c r="AY1" s="28" t="s">
        <v>90</v>
      </c>
      <c r="BA1" s="28" t="s">
        <v>91</v>
      </c>
      <c r="BC1" s="28" t="s">
        <v>92</v>
      </c>
      <c r="BE1" s="28" t="s">
        <v>93</v>
      </c>
    </row>
    <row r="2" spans="1:57" x14ac:dyDescent="0.3">
      <c r="A2" s="23"/>
      <c r="B2" s="23"/>
      <c r="C2" s="23"/>
      <c r="D2" s="23"/>
      <c r="E2" s="23"/>
      <c r="F2" s="100"/>
      <c r="G2" s="101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</row>
    <row r="3" spans="1:57" x14ac:dyDescent="0.3">
      <c r="A3" s="23"/>
      <c r="B3" s="26"/>
      <c r="C3" s="23"/>
      <c r="D3" s="26"/>
      <c r="E3" s="23"/>
      <c r="F3" s="102"/>
      <c r="G3" s="103"/>
      <c r="H3" s="23"/>
      <c r="I3" s="26"/>
      <c r="J3" s="23"/>
      <c r="K3" s="26"/>
      <c r="L3" s="23"/>
      <c r="M3" s="26"/>
      <c r="N3" s="23"/>
      <c r="O3" s="26"/>
      <c r="P3" s="23"/>
      <c r="Q3" s="26"/>
      <c r="R3" s="23"/>
      <c r="S3" s="26"/>
      <c r="T3" s="23"/>
      <c r="U3" s="26"/>
      <c r="V3" s="23"/>
      <c r="W3" s="26"/>
      <c r="X3" s="23"/>
      <c r="Y3" s="26"/>
      <c r="Z3" s="23"/>
      <c r="AA3" s="26"/>
      <c r="AB3" s="23"/>
      <c r="AC3" s="26"/>
      <c r="AD3" s="23"/>
      <c r="AE3" s="26"/>
      <c r="AF3" s="23"/>
      <c r="AG3" s="26"/>
      <c r="AH3" s="23"/>
      <c r="AI3" s="26"/>
      <c r="AJ3" s="23"/>
      <c r="AK3" s="26"/>
      <c r="AL3" s="23"/>
      <c r="AM3" s="26"/>
      <c r="AN3" s="23"/>
      <c r="AO3" s="26"/>
      <c r="AP3" s="23"/>
      <c r="AQ3" s="26"/>
      <c r="AR3" s="23"/>
      <c r="AS3" s="26"/>
      <c r="AT3" s="23"/>
      <c r="AU3" s="26"/>
      <c r="AV3" s="23"/>
      <c r="AW3" s="26"/>
      <c r="AX3" s="23"/>
      <c r="AY3" s="26"/>
      <c r="AZ3" s="23"/>
      <c r="BA3" s="26"/>
      <c r="BB3" s="23"/>
      <c r="BC3" s="26"/>
      <c r="BD3" s="23"/>
      <c r="BE3" s="26"/>
    </row>
    <row r="4" spans="1:57" ht="39" x14ac:dyDescent="0.3">
      <c r="A4" s="25" t="s">
        <v>224</v>
      </c>
      <c r="B4" s="25" t="s">
        <v>225</v>
      </c>
      <c r="C4" s="25"/>
      <c r="D4" s="25" t="s">
        <v>225</v>
      </c>
      <c r="E4" s="25"/>
      <c r="F4" s="25" t="s">
        <v>225</v>
      </c>
      <c r="G4" s="25" t="s">
        <v>226</v>
      </c>
      <c r="H4" s="25"/>
      <c r="I4" s="25" t="s">
        <v>227</v>
      </c>
      <c r="J4" s="25"/>
      <c r="K4" s="25" t="s">
        <v>227</v>
      </c>
      <c r="L4" s="25"/>
      <c r="M4" s="25" t="s">
        <v>227</v>
      </c>
      <c r="N4" s="25"/>
      <c r="O4" s="25" t="s">
        <v>227</v>
      </c>
      <c r="P4" s="25"/>
      <c r="Q4" s="25" t="s">
        <v>227</v>
      </c>
      <c r="R4" s="25"/>
      <c r="S4" s="25" t="s">
        <v>227</v>
      </c>
      <c r="T4" s="25"/>
      <c r="U4" s="25" t="s">
        <v>227</v>
      </c>
      <c r="V4" s="25"/>
      <c r="W4" s="25" t="s">
        <v>227</v>
      </c>
      <c r="X4" s="25"/>
      <c r="Y4" s="25" t="s">
        <v>227</v>
      </c>
      <c r="Z4" s="25"/>
      <c r="AA4" s="25" t="s">
        <v>227</v>
      </c>
      <c r="AB4" s="25"/>
      <c r="AC4" s="25" t="s">
        <v>227</v>
      </c>
      <c r="AD4" s="25"/>
      <c r="AE4" s="25" t="s">
        <v>227</v>
      </c>
      <c r="AF4" s="25"/>
      <c r="AG4" s="25" t="s">
        <v>227</v>
      </c>
      <c r="AH4" s="25"/>
      <c r="AI4" s="25" t="s">
        <v>227</v>
      </c>
      <c r="AJ4" s="25"/>
      <c r="AK4" s="25" t="s">
        <v>227</v>
      </c>
      <c r="AL4" s="25"/>
      <c r="AM4" s="25" t="s">
        <v>227</v>
      </c>
      <c r="AN4" s="25"/>
      <c r="AO4" s="25" t="s">
        <v>227</v>
      </c>
      <c r="AP4" s="25"/>
      <c r="AQ4" s="25" t="s">
        <v>227</v>
      </c>
      <c r="AR4" s="25"/>
      <c r="AS4" s="25" t="s">
        <v>227</v>
      </c>
      <c r="AT4" s="25"/>
      <c r="AU4" s="25" t="s">
        <v>227</v>
      </c>
      <c r="AV4" s="25"/>
      <c r="AW4" s="25" t="s">
        <v>227</v>
      </c>
      <c r="AX4" s="25"/>
      <c r="AY4" s="25" t="s">
        <v>227</v>
      </c>
      <c r="AZ4" s="25"/>
      <c r="BA4" s="25" t="s">
        <v>227</v>
      </c>
      <c r="BB4" s="25"/>
      <c r="BC4" s="25" t="s">
        <v>227</v>
      </c>
      <c r="BD4" s="25"/>
      <c r="BE4" s="25" t="s">
        <v>227</v>
      </c>
    </row>
    <row r="5" spans="1:57" x14ac:dyDescent="0.3">
      <c r="A5" s="24"/>
    </row>
    <row r="6" spans="1:57" x14ac:dyDescent="0.3">
      <c r="A6" s="27" t="s">
        <v>228</v>
      </c>
    </row>
    <row r="7" spans="1:57" s="36" customFormat="1" ht="12.6" x14ac:dyDescent="0.2">
      <c r="A7" s="24" t="s">
        <v>229</v>
      </c>
      <c r="B7" s="6">
        <v>6.9666439999999996</v>
      </c>
      <c r="D7" s="6">
        <v>9.6067999999999998</v>
      </c>
      <c r="F7" s="6">
        <v>10.814071999999999</v>
      </c>
      <c r="G7" s="6">
        <v>9.61355</v>
      </c>
      <c r="I7" s="6">
        <v>10.742233000000001</v>
      </c>
      <c r="K7" s="6">
        <v>-1.914453</v>
      </c>
      <c r="M7" s="6">
        <v>1.2786150000000001</v>
      </c>
      <c r="O7" s="6">
        <v>4.9620439999999997</v>
      </c>
      <c r="Q7" s="6">
        <v>-4.2198760000000002</v>
      </c>
      <c r="S7" s="6">
        <v>3.7135449999999999</v>
      </c>
      <c r="U7" s="6">
        <v>-0.68285300000000004</v>
      </c>
      <c r="W7" s="6">
        <v>6.1612809999999998</v>
      </c>
      <c r="Y7" s="6">
        <v>3.29047</v>
      </c>
      <c r="AA7" s="6">
        <v>3.1962989999999998</v>
      </c>
      <c r="AC7" s="6">
        <v>-2.1347100000000001</v>
      </c>
      <c r="AE7" s="6">
        <v>3.2371880000000002</v>
      </c>
      <c r="AG7" s="6">
        <v>-5.717517</v>
      </c>
      <c r="AI7" s="6">
        <v>2.1128990000000001</v>
      </c>
      <c r="AK7" s="6">
        <v>0.51801900000000001</v>
      </c>
      <c r="AM7" s="6">
        <v>-1.2845420000000001</v>
      </c>
      <c r="AO7" s="6">
        <v>1.1954020000000001</v>
      </c>
      <c r="AQ7" s="6">
        <v>2.5669309999999999</v>
      </c>
      <c r="AS7" s="6">
        <v>0.64192000000000005</v>
      </c>
      <c r="AU7" s="6">
        <v>1.2955650000000001</v>
      </c>
      <c r="AW7" s="6">
        <v>2.8123079999999998</v>
      </c>
      <c r="AY7" s="6">
        <v>0.501973</v>
      </c>
      <c r="BA7" s="6">
        <v>-0.25121399999999999</v>
      </c>
      <c r="BC7" s="6">
        <v>1.3317669999999999</v>
      </c>
      <c r="BE7" s="6">
        <v>-1.100711</v>
      </c>
    </row>
    <row r="8" spans="1:57" s="36" customFormat="1" ht="12.6" x14ac:dyDescent="0.2">
      <c r="A8" s="24" t="s">
        <v>230</v>
      </c>
      <c r="B8" s="6">
        <v>1.1616899999999999</v>
      </c>
      <c r="D8" s="6">
        <v>3.940045</v>
      </c>
      <c r="F8" s="6">
        <v>3.6466270000000001</v>
      </c>
      <c r="G8" s="6">
        <v>1.592446</v>
      </c>
      <c r="I8" s="6">
        <v>3.5767000000000002</v>
      </c>
      <c r="K8" s="6">
        <v>0.28800399999999998</v>
      </c>
      <c r="M8" s="6">
        <v>2.2105E-2</v>
      </c>
      <c r="O8" s="6">
        <v>0.74441000000000002</v>
      </c>
      <c r="Q8" s="6">
        <v>-0.81605399999999995</v>
      </c>
      <c r="S8" s="6">
        <v>0.38393500000000003</v>
      </c>
      <c r="U8" s="6">
        <v>0.56154800000000005</v>
      </c>
      <c r="W8" s="6">
        <v>0.92625299999999999</v>
      </c>
      <c r="Y8" s="6">
        <v>0.79280799999999996</v>
      </c>
      <c r="AA8" s="6">
        <v>0.33330399999999999</v>
      </c>
      <c r="AC8" s="6">
        <v>-0.75358700000000001</v>
      </c>
      <c r="AE8" s="6">
        <v>0.74803299999999995</v>
      </c>
      <c r="AG8" s="6">
        <v>0.44182399999999999</v>
      </c>
      <c r="AI8" s="6">
        <v>0.28491</v>
      </c>
      <c r="AK8" s="6">
        <v>0.633189</v>
      </c>
      <c r="AM8" s="6">
        <v>0.26055400000000001</v>
      </c>
      <c r="AO8" s="6">
        <v>1.026124</v>
      </c>
      <c r="AQ8" s="6">
        <v>0.25315399999999999</v>
      </c>
      <c r="AS8" s="6">
        <v>0.53319399999999995</v>
      </c>
      <c r="AU8" s="6">
        <v>0.13283200000000001</v>
      </c>
      <c r="AW8" s="6">
        <v>0.32757900000000001</v>
      </c>
      <c r="AY8" s="6">
        <v>0.19600400000000001</v>
      </c>
      <c r="BA8" s="6">
        <v>0.32873599999999997</v>
      </c>
      <c r="BC8" s="6">
        <v>-0.29154999999999998</v>
      </c>
      <c r="BE8" s="6">
        <v>-0.15889300000000001</v>
      </c>
    </row>
    <row r="9" spans="1:57" s="36" customFormat="1" ht="12.6" x14ac:dyDescent="0.2">
      <c r="A9" s="24" t="s">
        <v>231</v>
      </c>
      <c r="B9" s="6">
        <v>-0.49848599999999998</v>
      </c>
      <c r="D9" s="6">
        <v>3.8530579999999999</v>
      </c>
      <c r="F9" s="6">
        <v>3.1896249999999999</v>
      </c>
      <c r="G9" s="6">
        <v>2.9985210000000002</v>
      </c>
      <c r="I9" s="6">
        <v>3.7968150000000001</v>
      </c>
      <c r="K9" s="6">
        <v>-5.3206000000000003E-2</v>
      </c>
      <c r="M9" s="6">
        <v>-0.55255299999999996</v>
      </c>
      <c r="O9" s="6">
        <v>0.96577299999999999</v>
      </c>
      <c r="Q9" s="6">
        <v>-1.8435630000000001</v>
      </c>
      <c r="S9" s="6">
        <v>0.58369199999999999</v>
      </c>
      <c r="U9" s="6">
        <v>0.77886100000000003</v>
      </c>
      <c r="W9" s="6">
        <v>1.680482</v>
      </c>
      <c r="Y9" s="6">
        <v>1.096544</v>
      </c>
      <c r="AA9" s="6">
        <v>0.68946799999999997</v>
      </c>
      <c r="AC9" s="6">
        <v>-1.694264</v>
      </c>
      <c r="AE9" s="6">
        <v>1.1484369999999999</v>
      </c>
      <c r="AG9" s="6">
        <v>-0.17494299999999999</v>
      </c>
      <c r="AI9" s="6">
        <v>0.28548000000000001</v>
      </c>
      <c r="AK9" s="6">
        <v>1.062176</v>
      </c>
      <c r="AM9" s="6">
        <v>-0.13200200000000001</v>
      </c>
      <c r="AO9" s="6">
        <v>1.3223849999999999</v>
      </c>
      <c r="AQ9" s="6">
        <v>-9.8152000000000003E-2</v>
      </c>
      <c r="AS9" s="6">
        <v>0.82696199999999997</v>
      </c>
      <c r="AU9" s="6">
        <v>-9.3712000000000004E-2</v>
      </c>
      <c r="AW9" s="6">
        <v>0.41450799999999999</v>
      </c>
      <c r="AY9" s="6">
        <v>0.389428</v>
      </c>
      <c r="BA9" s="6">
        <v>0.55404600000000004</v>
      </c>
      <c r="BC9" s="6">
        <v>-0.35138200000000003</v>
      </c>
      <c r="BE9" s="6">
        <v>-0.430282</v>
      </c>
    </row>
    <row r="10" spans="1:57" s="36" customFormat="1" ht="12.6" x14ac:dyDescent="0.2">
      <c r="A10" s="24" t="s">
        <v>232</v>
      </c>
      <c r="B10" s="6"/>
      <c r="D10" s="6"/>
      <c r="F10" s="6"/>
      <c r="G10" s="6"/>
      <c r="I10" s="6"/>
      <c r="K10" s="6"/>
      <c r="M10" s="6"/>
      <c r="O10" s="6"/>
      <c r="Q10" s="6"/>
      <c r="S10" s="6"/>
      <c r="U10" s="6"/>
      <c r="W10" s="6"/>
      <c r="Y10" s="6"/>
      <c r="AA10" s="6"/>
      <c r="AC10" s="6"/>
      <c r="AE10" s="6"/>
      <c r="AG10" s="6"/>
      <c r="AI10" s="6"/>
      <c r="AK10" s="6"/>
      <c r="AM10" s="6"/>
      <c r="AO10" s="6"/>
      <c r="AQ10" s="6"/>
      <c r="AS10" s="6"/>
      <c r="AU10" s="6"/>
      <c r="AW10" s="6"/>
      <c r="AY10" s="6"/>
      <c r="BA10" s="6"/>
      <c r="BC10" s="6"/>
      <c r="BE10" s="6"/>
    </row>
    <row r="11" spans="1:57" s="36" customFormat="1" ht="12.6" x14ac:dyDescent="0.2">
      <c r="A11" s="24" t="s">
        <v>233</v>
      </c>
      <c r="B11" s="6">
        <v>9.1579709999999999</v>
      </c>
      <c r="D11" s="6">
        <v>12.911670000000001</v>
      </c>
      <c r="F11" s="6">
        <v>12.703663000000001</v>
      </c>
      <c r="G11" s="6">
        <v>4.7956909999999997</v>
      </c>
      <c r="I11" s="6">
        <v>8.3073049999999995</v>
      </c>
      <c r="K11" s="6">
        <v>2.4479250000000001</v>
      </c>
      <c r="M11" s="6">
        <v>3.1374300000000002</v>
      </c>
      <c r="O11" s="6">
        <v>1.6975929999999999</v>
      </c>
      <c r="Q11" s="6">
        <v>-1.4490719999999999</v>
      </c>
      <c r="S11" s="6">
        <v>1.195702</v>
      </c>
      <c r="U11" s="6">
        <v>0.98569700000000005</v>
      </c>
      <c r="W11" s="6">
        <v>2.2267700000000001</v>
      </c>
      <c r="Y11" s="6">
        <v>-0.43477700000000002</v>
      </c>
      <c r="AA11" s="6">
        <v>-5.3418E-2</v>
      </c>
      <c r="AC11" s="6">
        <v>2.1475610000000001</v>
      </c>
      <c r="AE11" s="6">
        <v>2.7715869999999998</v>
      </c>
      <c r="AG11" s="6">
        <v>1.4762010000000001</v>
      </c>
      <c r="AI11" s="6">
        <v>1.55691</v>
      </c>
      <c r="AK11" s="6">
        <v>-1.163E-2</v>
      </c>
      <c r="AM11" s="6">
        <v>-2.1587740000000002</v>
      </c>
      <c r="AO11" s="6">
        <v>-0.749031</v>
      </c>
      <c r="AQ11" s="6">
        <v>2.8431000000000002</v>
      </c>
      <c r="AS11" s="6">
        <v>1.387173</v>
      </c>
      <c r="AU11" s="6">
        <v>1.724963</v>
      </c>
      <c r="AW11" s="6">
        <v>0.61965700000000001</v>
      </c>
      <c r="AY11" s="6">
        <v>1.1455150000000001</v>
      </c>
      <c r="BA11" s="6">
        <v>1.8134490000000001</v>
      </c>
      <c r="BC11" s="6">
        <v>0.233538</v>
      </c>
      <c r="BE11" s="6">
        <v>-0.296879</v>
      </c>
    </row>
    <row r="12" spans="1:57" s="36" customFormat="1" ht="12.6" x14ac:dyDescent="0.2">
      <c r="A12" s="24" t="s">
        <v>234</v>
      </c>
      <c r="B12" s="6">
        <v>9.0473060000000007</v>
      </c>
      <c r="D12" s="6">
        <v>16.341698000000001</v>
      </c>
      <c r="F12" s="6">
        <v>18.459174999999998</v>
      </c>
      <c r="G12" s="6">
        <v>8.3188429999999993</v>
      </c>
      <c r="I12" s="6">
        <v>17.657622</v>
      </c>
      <c r="K12" s="6">
        <v>-0.60294400000000004</v>
      </c>
      <c r="M12" s="6">
        <v>5.6285160000000003</v>
      </c>
      <c r="O12" s="6">
        <v>2.9885860000000002</v>
      </c>
      <c r="Q12" s="6">
        <v>-1.899362</v>
      </c>
      <c r="S12" s="6">
        <v>0.137126</v>
      </c>
      <c r="U12" s="6">
        <v>0.57628999999999997</v>
      </c>
      <c r="W12" s="6">
        <v>5.9295910000000003</v>
      </c>
      <c r="Y12" s="6">
        <v>-2.744275</v>
      </c>
      <c r="AA12" s="6">
        <v>1.9822949999999999</v>
      </c>
      <c r="AC12" s="6">
        <v>2.136657</v>
      </c>
      <c r="AE12" s="6">
        <v>1.9874069999999999</v>
      </c>
      <c r="AG12" s="6">
        <v>2.005957</v>
      </c>
      <c r="AI12" s="6">
        <v>1.869402</v>
      </c>
      <c r="AK12" s="6">
        <v>-1.113002</v>
      </c>
      <c r="AM12" s="6">
        <v>-1.7724120000000001</v>
      </c>
      <c r="AO12" s="6">
        <v>-1.6298809999999999</v>
      </c>
      <c r="AQ12" s="6">
        <v>4.4318030000000004</v>
      </c>
      <c r="AS12" s="6">
        <v>3.4745210000000002</v>
      </c>
      <c r="AU12" s="6">
        <v>3.389284</v>
      </c>
      <c r="AW12" s="6">
        <v>1.5397590000000001</v>
      </c>
      <c r="AY12" s="6">
        <v>3.2651979999999998</v>
      </c>
      <c r="BA12" s="6">
        <v>3.4387569999999998</v>
      </c>
      <c r="BC12" s="6">
        <v>-0.51641300000000001</v>
      </c>
      <c r="BE12" s="6">
        <v>0.27066099999999998</v>
      </c>
    </row>
    <row r="13" spans="1:57" s="36" customFormat="1" ht="12.6" x14ac:dyDescent="0.2">
      <c r="A13" s="24" t="s">
        <v>235</v>
      </c>
      <c r="B13" s="6">
        <v>12.810354</v>
      </c>
      <c r="D13" s="6">
        <v>16.758780000000002</v>
      </c>
      <c r="F13" s="6">
        <v>16.285758999999999</v>
      </c>
      <c r="G13" s="6">
        <v>7.9466200000000002</v>
      </c>
      <c r="I13" s="6">
        <v>11.709678</v>
      </c>
      <c r="K13" s="6">
        <v>2.81047</v>
      </c>
      <c r="M13" s="6">
        <v>3.4537909999999998</v>
      </c>
      <c r="O13" s="6">
        <v>3.1414740000000001</v>
      </c>
      <c r="Q13" s="6">
        <v>-3.0924209999999999</v>
      </c>
      <c r="S13" s="6">
        <v>1.433481</v>
      </c>
      <c r="U13" s="6">
        <v>1.2622009999999999</v>
      </c>
      <c r="W13" s="6">
        <v>4.1053139999999999</v>
      </c>
      <c r="Y13" s="6">
        <v>-0.400038</v>
      </c>
      <c r="AA13" s="6">
        <v>1.3016540000000001</v>
      </c>
      <c r="AC13" s="6">
        <v>1.3121659999999999</v>
      </c>
      <c r="AE13" s="6">
        <v>4.4313459999999996</v>
      </c>
      <c r="AG13" s="6">
        <v>-0.24890999999999999</v>
      </c>
      <c r="AI13" s="6">
        <v>3.6010469999999999</v>
      </c>
      <c r="AK13" s="6">
        <v>-2.0731410000000001</v>
      </c>
      <c r="AM13" s="6">
        <v>-4.0051459999999999</v>
      </c>
      <c r="AO13" s="6">
        <v>0.87882499999999997</v>
      </c>
      <c r="AQ13" s="6">
        <v>4.7684550000000003</v>
      </c>
      <c r="AS13" s="6">
        <v>1.936442</v>
      </c>
      <c r="AU13" s="6">
        <v>2.7755329999999998</v>
      </c>
      <c r="AW13" s="6">
        <v>2.0424280000000001</v>
      </c>
      <c r="AY13" s="6">
        <v>0.66968499999999997</v>
      </c>
      <c r="BA13" s="6">
        <v>1.868903</v>
      </c>
      <c r="BC13" s="6">
        <v>-1.2352989999999999</v>
      </c>
      <c r="BE13" s="6">
        <v>0.23150200000000001</v>
      </c>
    </row>
    <row r="14" spans="1:57" s="36" customFormat="1" ht="12.6" x14ac:dyDescent="0.2">
      <c r="A14" s="24" t="s">
        <v>236</v>
      </c>
      <c r="B14" s="6">
        <v>8.6060149999999993</v>
      </c>
      <c r="D14" s="6">
        <v>13.159128000000001</v>
      </c>
      <c r="F14" s="6">
        <v>15.925845000000001</v>
      </c>
      <c r="G14" s="6">
        <v>10.61524</v>
      </c>
      <c r="I14" s="6">
        <v>21.663912</v>
      </c>
      <c r="K14" s="6">
        <v>-0.63715699999999997</v>
      </c>
      <c r="M14" s="6">
        <v>3.532378</v>
      </c>
      <c r="O14" s="6">
        <v>4.1149969999999998</v>
      </c>
      <c r="Q14" s="6">
        <v>-2.5936910000000002</v>
      </c>
      <c r="S14" s="6">
        <v>0.23511199999999999</v>
      </c>
      <c r="U14" s="6">
        <v>-1.390603</v>
      </c>
      <c r="W14" s="6">
        <v>3.8279369999999999</v>
      </c>
      <c r="Y14" s="6">
        <v>-2.3771E-2</v>
      </c>
      <c r="AA14" s="6">
        <v>4.0620229999999999</v>
      </c>
      <c r="AC14" s="6">
        <v>-0.80859700000000001</v>
      </c>
      <c r="AE14" s="6">
        <v>3.5113699999999999</v>
      </c>
      <c r="AG14" s="6">
        <v>-3.418339</v>
      </c>
      <c r="AI14" s="6">
        <v>5.0741379999999996</v>
      </c>
      <c r="AK14" s="6">
        <v>-3.721536</v>
      </c>
      <c r="AM14" s="6">
        <v>-3.562271</v>
      </c>
      <c r="AO14" s="6">
        <v>2.5968339999999999</v>
      </c>
      <c r="AQ14" s="6">
        <v>5.8515730000000001</v>
      </c>
      <c r="AS14" s="6">
        <v>0.81217600000000001</v>
      </c>
      <c r="AU14" s="6">
        <v>3.5650439999999999</v>
      </c>
      <c r="AW14" s="6">
        <v>6.9697339999999999</v>
      </c>
      <c r="AY14" s="6">
        <v>1.9106559999999999</v>
      </c>
      <c r="BA14" s="6">
        <v>1.3937850000000001</v>
      </c>
      <c r="BC14" s="6">
        <v>-0.58723700000000001</v>
      </c>
      <c r="BE14" s="6">
        <v>9.1768000000000002E-2</v>
      </c>
    </row>
    <row r="15" spans="1:57" s="36" customFormat="1" ht="12.6" x14ac:dyDescent="0.2">
      <c r="A15" s="24" t="s">
        <v>237</v>
      </c>
      <c r="B15" s="6">
        <v>1.1616899999999999</v>
      </c>
      <c r="D15" s="6">
        <v>3.940045</v>
      </c>
      <c r="F15" s="6">
        <v>3.6466270000000001</v>
      </c>
      <c r="G15" s="6">
        <v>1.592446</v>
      </c>
      <c r="I15" s="6">
        <v>3.5767000000000002</v>
      </c>
      <c r="K15" s="6">
        <v>0.28800399999999998</v>
      </c>
      <c r="M15" s="6">
        <v>2.2105E-2</v>
      </c>
      <c r="O15" s="6">
        <v>0.74441000000000002</v>
      </c>
      <c r="Q15" s="6">
        <v>-0.81605399999999995</v>
      </c>
      <c r="S15" s="6">
        <v>0.38393500000000003</v>
      </c>
      <c r="U15" s="6">
        <v>0.56154800000000005</v>
      </c>
      <c r="W15" s="6">
        <v>0.92625299999999999</v>
      </c>
      <c r="Y15" s="6">
        <v>0.79280799999999996</v>
      </c>
      <c r="AA15" s="6">
        <v>0.33330399999999999</v>
      </c>
      <c r="AC15" s="6">
        <v>-0.75358700000000001</v>
      </c>
      <c r="AE15" s="6">
        <v>0.74803299999999995</v>
      </c>
      <c r="AG15" s="6">
        <v>0.44182399999999999</v>
      </c>
      <c r="AI15" s="6">
        <v>0.28491</v>
      </c>
      <c r="AK15" s="6">
        <v>0.633189</v>
      </c>
      <c r="AM15" s="6">
        <v>0.26055400000000001</v>
      </c>
      <c r="AO15" s="6">
        <v>1.026124</v>
      </c>
      <c r="AQ15" s="6">
        <v>0.25315399999999999</v>
      </c>
      <c r="AS15" s="6">
        <v>0.53319399999999995</v>
      </c>
      <c r="AU15" s="6">
        <v>0.13283200000000001</v>
      </c>
      <c r="AW15" s="6">
        <v>0.32757900000000001</v>
      </c>
      <c r="AY15" s="6">
        <v>0.19600400000000001</v>
      </c>
      <c r="BA15" s="6">
        <v>0.32873599999999997</v>
      </c>
      <c r="BC15" s="6">
        <v>-0.29154999999999998</v>
      </c>
      <c r="BE15" s="6">
        <v>-0.15889300000000001</v>
      </c>
    </row>
    <row r="16" spans="1:57" s="36" customFormat="1" ht="12.6" x14ac:dyDescent="0.2">
      <c r="A16" s="24" t="s">
        <v>238</v>
      </c>
      <c r="B16" s="6">
        <v>2.2817669999999999</v>
      </c>
      <c r="D16" s="6">
        <v>3.947622</v>
      </c>
      <c r="F16" s="6">
        <v>4.0383779999999998</v>
      </c>
      <c r="G16" s="6">
        <v>0.49201</v>
      </c>
      <c r="I16" s="6">
        <v>3.7931789999999999</v>
      </c>
      <c r="K16" s="6">
        <v>0.36948799999999998</v>
      </c>
      <c r="M16" s="6">
        <v>0.24848300000000001</v>
      </c>
      <c r="O16" s="6">
        <v>0.40803299999999998</v>
      </c>
      <c r="Q16" s="6">
        <v>6.2184000000000003E-2</v>
      </c>
      <c r="S16" s="6">
        <v>0.37922499999999998</v>
      </c>
      <c r="U16" s="6">
        <v>0.32022200000000001</v>
      </c>
      <c r="W16" s="6">
        <v>0.59134100000000001</v>
      </c>
      <c r="Y16" s="6">
        <v>0.49537700000000001</v>
      </c>
      <c r="AA16" s="6">
        <v>0.36847999999999997</v>
      </c>
      <c r="AC16" s="6">
        <v>8.5815000000000002E-2</v>
      </c>
      <c r="AE16" s="6">
        <v>0.41419400000000001</v>
      </c>
      <c r="AG16" s="6">
        <v>0.46074300000000001</v>
      </c>
      <c r="AI16" s="6">
        <v>0.39792300000000003</v>
      </c>
      <c r="AK16" s="6">
        <v>0.37354399999999999</v>
      </c>
      <c r="AM16" s="6">
        <v>0.37978800000000001</v>
      </c>
      <c r="AO16" s="6">
        <v>0.598634</v>
      </c>
      <c r="AQ16" s="6">
        <v>0.339978</v>
      </c>
      <c r="AS16" s="6">
        <v>0.36070999999999998</v>
      </c>
      <c r="AU16" s="6">
        <v>0.21782399999999999</v>
      </c>
      <c r="AW16" s="6">
        <v>0.32805800000000002</v>
      </c>
      <c r="AY16" s="6">
        <v>0.18867400000000001</v>
      </c>
      <c r="BA16" s="6">
        <v>0.27563300000000002</v>
      </c>
      <c r="BC16" s="6">
        <v>0.12138500000000001</v>
      </c>
      <c r="BE16" s="6">
        <v>0.14758399999999999</v>
      </c>
    </row>
    <row r="17" spans="1:57" s="36" customFormat="1" ht="12.6" x14ac:dyDescent="0.2">
      <c r="A17" s="24" t="s">
        <v>239</v>
      </c>
      <c r="B17" s="6">
        <v>-0.49848599999999998</v>
      </c>
      <c r="D17" s="6">
        <v>3.8530579999999999</v>
      </c>
      <c r="F17" s="6">
        <v>3.1896249999999999</v>
      </c>
      <c r="G17" s="6">
        <v>2.9985210000000002</v>
      </c>
      <c r="I17" s="6">
        <v>3.7968150000000001</v>
      </c>
      <c r="K17" s="6">
        <v>-5.3206000000000003E-2</v>
      </c>
      <c r="M17" s="6">
        <v>-0.55255299999999996</v>
      </c>
      <c r="O17" s="6">
        <v>0.96577299999999999</v>
      </c>
      <c r="Q17" s="6">
        <v>-1.8435630000000001</v>
      </c>
      <c r="S17" s="6">
        <v>0.58369199999999999</v>
      </c>
      <c r="U17" s="6">
        <v>0.77886100000000003</v>
      </c>
      <c r="W17" s="6">
        <v>1.680482</v>
      </c>
      <c r="Y17" s="6">
        <v>1.096544</v>
      </c>
      <c r="AA17" s="6">
        <v>0.68946799999999997</v>
      </c>
      <c r="AC17" s="6">
        <v>-1.694264</v>
      </c>
      <c r="AE17" s="6">
        <v>1.1484369999999999</v>
      </c>
      <c r="AG17" s="6">
        <v>-0.17494299999999999</v>
      </c>
      <c r="AI17" s="6">
        <v>0.28548000000000001</v>
      </c>
      <c r="AK17" s="6">
        <v>1.062176</v>
      </c>
      <c r="AM17" s="6">
        <v>-0.13200200000000001</v>
      </c>
      <c r="AO17" s="6">
        <v>1.3223849999999999</v>
      </c>
      <c r="AQ17" s="6">
        <v>-9.8152000000000003E-2</v>
      </c>
      <c r="AS17" s="6">
        <v>0.82696199999999997</v>
      </c>
      <c r="AU17" s="6">
        <v>-9.3712000000000004E-2</v>
      </c>
      <c r="AW17" s="6">
        <v>0.41450799999999999</v>
      </c>
      <c r="AY17" s="6">
        <v>0.389428</v>
      </c>
      <c r="BA17" s="6">
        <v>0.55404600000000004</v>
      </c>
      <c r="BC17" s="6">
        <v>-0.35138200000000003</v>
      </c>
      <c r="BE17" s="6">
        <v>-0.430282</v>
      </c>
    </row>
    <row r="18" spans="1:57" s="36" customFormat="1" ht="12.6" x14ac:dyDescent="0.2">
      <c r="A18" s="24" t="s">
        <v>240</v>
      </c>
      <c r="B18" s="6">
        <v>5.611656</v>
      </c>
      <c r="D18" s="6">
        <v>7.4962920000000004</v>
      </c>
      <c r="F18" s="6">
        <v>8.9755520000000004</v>
      </c>
      <c r="G18" s="6">
        <v>9.5060300000000009</v>
      </c>
      <c r="I18" s="6">
        <v>10.113163</v>
      </c>
      <c r="K18" s="6">
        <v>-2.807677</v>
      </c>
      <c r="M18" s="6">
        <v>0.23280600000000001</v>
      </c>
      <c r="O18" s="6">
        <v>3.7361740000000001</v>
      </c>
      <c r="Q18" s="6">
        <v>-3.5738620000000001</v>
      </c>
      <c r="S18" s="6">
        <v>3.946863</v>
      </c>
      <c r="U18" s="6">
        <v>-0.81652199999999997</v>
      </c>
      <c r="W18" s="6">
        <v>5.9375609999999996</v>
      </c>
      <c r="Y18" s="6">
        <v>4.0444870000000002</v>
      </c>
      <c r="AA18" s="6">
        <v>2.3441679999999998</v>
      </c>
      <c r="AC18" s="6">
        <v>-2.233006</v>
      </c>
      <c r="AE18" s="6">
        <v>3.2922829999999998</v>
      </c>
      <c r="AG18" s="6">
        <v>-5.7656879999999999</v>
      </c>
      <c r="AI18" s="6">
        <v>1.48827</v>
      </c>
      <c r="AK18" s="6">
        <v>2.1556730000000002</v>
      </c>
      <c r="AM18" s="6">
        <v>-0.668099</v>
      </c>
      <c r="AO18" s="6">
        <v>-0.158752</v>
      </c>
      <c r="AQ18" s="6">
        <v>1.9790220000000001</v>
      </c>
      <c r="AS18" s="6">
        <v>0.315691</v>
      </c>
      <c r="AU18" s="6">
        <v>0.68103599999999997</v>
      </c>
      <c r="AW18" s="6">
        <v>2.492718</v>
      </c>
      <c r="AY18" s="6">
        <v>1.3227260000000001</v>
      </c>
      <c r="BA18" s="6">
        <v>-0.50056299999999998</v>
      </c>
      <c r="BC18" s="6">
        <v>2.5201020000000001</v>
      </c>
      <c r="BE18" s="6">
        <v>-1.8466260000000001</v>
      </c>
    </row>
    <row r="19" spans="1:57" s="36" customFormat="1" ht="12.6" x14ac:dyDescent="0.2">
      <c r="A19" s="24" t="s">
        <v>241</v>
      </c>
      <c r="B19" s="6">
        <v>17.826239999999999</v>
      </c>
      <c r="D19" s="6">
        <v>29.605142000000001</v>
      </c>
      <c r="F19" s="6">
        <v>28.232323999999998</v>
      </c>
      <c r="G19" s="6">
        <v>10.841328000000001</v>
      </c>
      <c r="I19" s="6">
        <v>25.485112000000001</v>
      </c>
      <c r="K19" s="6">
        <v>2.7381120000000001</v>
      </c>
      <c r="M19" s="6">
        <v>5.2236560000000001</v>
      </c>
      <c r="O19" s="6">
        <v>3.5107270000000002</v>
      </c>
      <c r="Q19" s="6">
        <v>-3.765873</v>
      </c>
      <c r="S19" s="6">
        <v>5.6238250000000001</v>
      </c>
      <c r="U19" s="6">
        <v>4.4750019999999999</v>
      </c>
      <c r="W19" s="6">
        <v>1.32439</v>
      </c>
      <c r="Y19" s="6">
        <v>1.5963419999999999</v>
      </c>
      <c r="AA19" s="6">
        <v>1.3826579999999999</v>
      </c>
      <c r="AC19" s="6">
        <v>0.60479400000000005</v>
      </c>
      <c r="AE19" s="6">
        <v>5.7271080000000003</v>
      </c>
      <c r="AG19" s="6">
        <v>-0.66361800000000004</v>
      </c>
      <c r="AI19" s="6">
        <v>2.3802159999999999</v>
      </c>
      <c r="AK19" s="6">
        <v>-0.275808</v>
      </c>
      <c r="AM19" s="6">
        <v>-5.6887020000000001</v>
      </c>
      <c r="AO19" s="6">
        <v>0.28482800000000003</v>
      </c>
      <c r="AQ19" s="6">
        <v>7.7024860000000004</v>
      </c>
      <c r="AS19" s="6">
        <v>5.9542640000000002</v>
      </c>
      <c r="AU19" s="6">
        <v>3.0640589999999999</v>
      </c>
      <c r="AW19" s="6">
        <v>1.402069</v>
      </c>
      <c r="AY19" s="6">
        <v>4.4275419999999999</v>
      </c>
      <c r="BA19" s="6">
        <v>3.4285580000000002</v>
      </c>
      <c r="BC19" s="6">
        <v>-1.3277589999999999</v>
      </c>
      <c r="BE19" s="6">
        <v>2.2416700000000001</v>
      </c>
    </row>
    <row r="20" spans="1:57" s="36" customFormat="1" ht="12.6" x14ac:dyDescent="0.2">
      <c r="A20" s="24" t="s">
        <v>242</v>
      </c>
      <c r="B20" s="6">
        <v>9.0473060000000007</v>
      </c>
      <c r="D20" s="6">
        <v>16.341698000000001</v>
      </c>
      <c r="F20" s="6">
        <v>18.459174999999998</v>
      </c>
      <c r="G20" s="6">
        <v>8.3188429999999993</v>
      </c>
      <c r="I20" s="6">
        <v>17.657622</v>
      </c>
      <c r="K20" s="6">
        <v>-0.60294400000000004</v>
      </c>
      <c r="M20" s="6">
        <v>5.6285160000000003</v>
      </c>
      <c r="O20" s="6">
        <v>2.9885860000000002</v>
      </c>
      <c r="Q20" s="6">
        <v>-1.899362</v>
      </c>
      <c r="S20" s="6">
        <v>0.137126</v>
      </c>
      <c r="U20" s="6">
        <v>0.57628999999999997</v>
      </c>
      <c r="W20" s="6">
        <v>5.9295910000000003</v>
      </c>
      <c r="Y20" s="6">
        <v>-2.744275</v>
      </c>
      <c r="AA20" s="6">
        <v>1.9822949999999999</v>
      </c>
      <c r="AC20" s="6">
        <v>2.136657</v>
      </c>
      <c r="AE20" s="6">
        <v>1.9874069999999999</v>
      </c>
      <c r="AG20" s="6">
        <v>2.005957</v>
      </c>
      <c r="AI20" s="6">
        <v>1.869402</v>
      </c>
      <c r="AK20" s="6">
        <v>-1.113002</v>
      </c>
      <c r="AM20" s="6">
        <v>-1.7724120000000001</v>
      </c>
      <c r="AO20" s="6">
        <v>-1.6298809999999999</v>
      </c>
      <c r="AQ20" s="6">
        <v>4.4318030000000004</v>
      </c>
      <c r="AS20" s="6">
        <v>3.4745210000000002</v>
      </c>
      <c r="AU20" s="6">
        <v>3.389284</v>
      </c>
      <c r="AW20" s="6">
        <v>1.5397590000000001</v>
      </c>
      <c r="AY20" s="6">
        <v>3.2651979999999998</v>
      </c>
      <c r="BA20" s="6">
        <v>3.4387569999999998</v>
      </c>
      <c r="BC20" s="6">
        <v>-0.51641300000000001</v>
      </c>
      <c r="BE20" s="6">
        <v>0.27066099999999998</v>
      </c>
    </row>
    <row r="21" spans="1:57" s="36" customFormat="1" ht="12.6" x14ac:dyDescent="0.2">
      <c r="A21" s="24" t="s">
        <v>243</v>
      </c>
      <c r="B21" s="6">
        <v>4.7588509999999999</v>
      </c>
      <c r="D21" s="6">
        <v>7.5813649999999999</v>
      </c>
      <c r="F21" s="6">
        <v>6.9861599999999999</v>
      </c>
      <c r="G21" s="6">
        <v>5.4810759999999998</v>
      </c>
      <c r="I21" s="6">
        <v>6.8134220000000001</v>
      </c>
      <c r="K21" s="6">
        <v>0.69671499999999997</v>
      </c>
      <c r="M21" s="6">
        <v>0.24568699999999999</v>
      </c>
      <c r="O21" s="6">
        <v>2.1980840000000001</v>
      </c>
      <c r="Q21" s="6">
        <v>-2.4598749999999998</v>
      </c>
      <c r="S21" s="6">
        <v>0.65495899999999996</v>
      </c>
      <c r="U21" s="6">
        <v>0.89319000000000004</v>
      </c>
      <c r="W21" s="6">
        <v>2.835664</v>
      </c>
      <c r="Y21" s="6">
        <v>0.83780699999999997</v>
      </c>
      <c r="AA21" s="6">
        <v>1.6375999999999999</v>
      </c>
      <c r="AC21" s="6">
        <v>-1.593788</v>
      </c>
      <c r="AE21" s="6">
        <v>2.4619789999999999</v>
      </c>
      <c r="AG21" s="6">
        <v>-1.3224229999999999</v>
      </c>
      <c r="AI21" s="6">
        <v>2.3806850000000002</v>
      </c>
      <c r="AK21" s="6">
        <v>-1.430682</v>
      </c>
      <c r="AM21" s="6">
        <v>-1.6090230000000001</v>
      </c>
      <c r="AO21" s="6">
        <v>2.660174</v>
      </c>
      <c r="AQ21" s="6">
        <v>2.1833100000000001</v>
      </c>
      <c r="AS21" s="6">
        <v>1.081531</v>
      </c>
      <c r="AU21" s="6">
        <v>1.161365</v>
      </c>
      <c r="AW21" s="6">
        <v>1.7191149999999999</v>
      </c>
      <c r="AY21" s="6">
        <v>-0.340868</v>
      </c>
      <c r="BA21" s="6">
        <v>0.37443900000000002</v>
      </c>
      <c r="BC21" s="6">
        <v>-1.7698229999999999</v>
      </c>
      <c r="BE21" s="6">
        <v>0.33549200000000001</v>
      </c>
    </row>
    <row r="22" spans="1:57" s="36" customFormat="1" ht="12.6" x14ac:dyDescent="0.2">
      <c r="A22" s="24" t="s">
        <v>244</v>
      </c>
      <c r="B22" s="6">
        <v>8.1028780000000005</v>
      </c>
      <c r="D22" s="6">
        <v>11.695876</v>
      </c>
      <c r="F22" s="6">
        <v>10.742876000000001</v>
      </c>
      <c r="G22" s="6">
        <v>11.072803</v>
      </c>
      <c r="I22" s="6">
        <v>6.4971969999999999</v>
      </c>
      <c r="K22" s="6">
        <v>0.159222</v>
      </c>
      <c r="M22" s="6">
        <v>2.8622070000000002</v>
      </c>
      <c r="O22" s="6">
        <v>6.4944480000000002</v>
      </c>
      <c r="Q22" s="6">
        <v>-6.5589110000000002</v>
      </c>
      <c r="S22" s="6">
        <v>1.4694510000000001</v>
      </c>
      <c r="U22" s="6">
        <v>0.16355</v>
      </c>
      <c r="W22" s="6">
        <v>7.6280840000000003</v>
      </c>
      <c r="Y22" s="6">
        <v>1.4453240000000001</v>
      </c>
      <c r="AA22" s="6">
        <v>3.668053</v>
      </c>
      <c r="AC22" s="6">
        <v>-0.98313700000000004</v>
      </c>
      <c r="AE22" s="6">
        <v>2.6699769999999998</v>
      </c>
      <c r="AG22" s="6">
        <v>-3.9534989999999999</v>
      </c>
      <c r="AI22" s="6">
        <v>2.794295</v>
      </c>
      <c r="AK22" s="6">
        <v>-1.769806</v>
      </c>
      <c r="AM22" s="6">
        <v>-3.5745100000000001</v>
      </c>
      <c r="AO22" s="6">
        <v>2.3278620000000001</v>
      </c>
      <c r="AQ22" s="6">
        <v>3.4711539999999999</v>
      </c>
      <c r="AS22" s="6">
        <v>0.45636100000000002</v>
      </c>
      <c r="AU22" s="6">
        <v>2.0100189999999998</v>
      </c>
      <c r="AW22" s="6">
        <v>3.5538910000000001</v>
      </c>
      <c r="AY22" s="6">
        <v>-1.568892</v>
      </c>
      <c r="BA22" s="6">
        <v>0.15457399999999999</v>
      </c>
      <c r="BC22" s="6">
        <v>-0.90978000000000003</v>
      </c>
      <c r="BE22" s="6">
        <v>-0.34514299999999998</v>
      </c>
    </row>
    <row r="23" spans="1:57" s="36" customFormat="1" ht="12.6" x14ac:dyDescent="0.2">
      <c r="A23" s="24" t="s">
        <v>245</v>
      </c>
      <c r="B23" s="6">
        <v>-0.19925200000000001</v>
      </c>
      <c r="D23" s="6">
        <v>5.0195829999999999</v>
      </c>
      <c r="F23" s="6">
        <v>4.6202030000000001</v>
      </c>
      <c r="G23" s="6">
        <v>3.823226</v>
      </c>
      <c r="I23" s="6">
        <v>6.0998520000000003</v>
      </c>
      <c r="K23" s="6">
        <v>0.58435700000000002</v>
      </c>
      <c r="M23" s="6">
        <v>-0.32048500000000002</v>
      </c>
      <c r="O23" s="6">
        <v>0.87330799999999997</v>
      </c>
      <c r="Q23" s="6">
        <v>-2.4029790000000002</v>
      </c>
      <c r="S23" s="6">
        <v>0.475744</v>
      </c>
      <c r="U23" s="6">
        <v>8.9191000000000006E-2</v>
      </c>
      <c r="W23" s="6">
        <v>3.0715340000000002</v>
      </c>
      <c r="Y23" s="6">
        <v>0.57806900000000006</v>
      </c>
      <c r="AA23" s="6">
        <v>0.123741</v>
      </c>
      <c r="AC23" s="6">
        <v>-0.936782</v>
      </c>
      <c r="AE23" s="6">
        <v>0.21171599999999999</v>
      </c>
      <c r="AG23" s="6">
        <v>0.85761799999999999</v>
      </c>
      <c r="AI23" s="6">
        <v>0.14144999999999999</v>
      </c>
      <c r="AK23" s="6">
        <v>1.4646920000000001</v>
      </c>
      <c r="AM23" s="6">
        <v>1.4786760000000001</v>
      </c>
      <c r="AO23" s="6">
        <v>2.0995360000000001</v>
      </c>
      <c r="AQ23" s="6">
        <v>-0.44697300000000001</v>
      </c>
      <c r="AS23" s="6">
        <v>1.5846610000000001</v>
      </c>
      <c r="AU23" s="6">
        <v>-0.46492600000000001</v>
      </c>
      <c r="AW23" s="6">
        <v>0.79443600000000003</v>
      </c>
      <c r="AY23" s="6">
        <v>7.6883999999999994E-2</v>
      </c>
      <c r="BA23" s="6">
        <v>0.16337299999999999</v>
      </c>
      <c r="BC23" s="6">
        <v>-0.212952</v>
      </c>
      <c r="BE23" s="6">
        <v>-0.69406400000000001</v>
      </c>
    </row>
    <row r="24" spans="1:57" s="36" customFormat="1" ht="12.6" x14ac:dyDescent="0.2">
      <c r="A24" s="24" t="s">
        <v>246</v>
      </c>
      <c r="B24" s="6">
        <v>-0.48377500000000001</v>
      </c>
      <c r="D24" s="6">
        <v>3.8268719999999998</v>
      </c>
      <c r="F24" s="6">
        <v>3.1629230000000002</v>
      </c>
      <c r="G24" s="6">
        <v>3.0085989999999998</v>
      </c>
      <c r="I24" s="6">
        <v>3.6725279999999998</v>
      </c>
      <c r="K24" s="6">
        <v>-1.2880000000000001E-3</v>
      </c>
      <c r="M24" s="6">
        <v>-0.50213300000000005</v>
      </c>
      <c r="O24" s="6">
        <v>0.99696600000000002</v>
      </c>
      <c r="Q24" s="6">
        <v>-1.871739</v>
      </c>
      <c r="S24" s="6">
        <v>0.54558700000000004</v>
      </c>
      <c r="U24" s="6">
        <v>0.77766999999999997</v>
      </c>
      <c r="W24" s="6">
        <v>1.640145</v>
      </c>
      <c r="Y24" s="6">
        <v>1.1187849999999999</v>
      </c>
      <c r="AA24" s="6">
        <v>0.61313899999999999</v>
      </c>
      <c r="AC24" s="6">
        <v>-1.731719</v>
      </c>
      <c r="AE24" s="6">
        <v>1.1458140000000001</v>
      </c>
      <c r="AG24" s="6">
        <v>-3.8545000000000003E-2</v>
      </c>
      <c r="AI24" s="6">
        <v>0.26596199999999998</v>
      </c>
      <c r="AK24" s="6">
        <v>1.0352220000000001</v>
      </c>
      <c r="AM24" s="6">
        <v>-7.0782999999999999E-2</v>
      </c>
      <c r="AO24" s="6">
        <v>1.3978330000000001</v>
      </c>
      <c r="AQ24" s="6">
        <v>-4.5941000000000003E-2</v>
      </c>
      <c r="AS24" s="6">
        <v>0.81120099999999995</v>
      </c>
      <c r="AU24" s="6">
        <v>-8.2022999999999999E-2</v>
      </c>
      <c r="AW24" s="6">
        <v>0.39855000000000002</v>
      </c>
      <c r="AY24" s="6">
        <v>0.33136300000000002</v>
      </c>
      <c r="BA24" s="6">
        <v>0.51544400000000001</v>
      </c>
      <c r="BC24" s="6">
        <v>-0.45689999999999997</v>
      </c>
      <c r="BE24" s="6">
        <v>-0.46971800000000002</v>
      </c>
    </row>
    <row r="25" spans="1:57" s="36" customFormat="1" ht="12.6" x14ac:dyDescent="0.2">
      <c r="A25" s="24" t="s">
        <v>247</v>
      </c>
      <c r="B25" s="6">
        <v>-0.48377500000000001</v>
      </c>
      <c r="D25" s="6">
        <v>3.8268719999999998</v>
      </c>
      <c r="F25" s="6">
        <v>3.1629230000000002</v>
      </c>
      <c r="G25" s="6">
        <v>3.0085989999999998</v>
      </c>
      <c r="I25" s="6">
        <v>3.6725279999999998</v>
      </c>
      <c r="K25" s="6">
        <v>-1.2880000000000001E-3</v>
      </c>
      <c r="M25" s="6">
        <v>-0.50213300000000005</v>
      </c>
      <c r="O25" s="6">
        <v>0.99696600000000002</v>
      </c>
      <c r="Q25" s="6">
        <v>-1.871739</v>
      </c>
      <c r="S25" s="6">
        <v>0.54558700000000004</v>
      </c>
      <c r="U25" s="6">
        <v>0.77766999999999997</v>
      </c>
      <c r="W25" s="6">
        <v>1.640145</v>
      </c>
      <c r="Y25" s="6">
        <v>1.1187849999999999</v>
      </c>
      <c r="AA25" s="6">
        <v>0.61313899999999999</v>
      </c>
      <c r="AC25" s="6">
        <v>-1.731719</v>
      </c>
      <c r="AE25" s="6">
        <v>1.1458140000000001</v>
      </c>
      <c r="AG25" s="6">
        <v>-3.8545000000000003E-2</v>
      </c>
      <c r="AI25" s="6">
        <v>0.26596199999999998</v>
      </c>
      <c r="AK25" s="6">
        <v>1.0352220000000001</v>
      </c>
      <c r="AM25" s="6">
        <v>-7.0782999999999999E-2</v>
      </c>
      <c r="AO25" s="6">
        <v>1.3978330000000001</v>
      </c>
      <c r="AQ25" s="6">
        <v>-4.5941000000000003E-2</v>
      </c>
      <c r="AS25" s="6">
        <v>0.81120099999999995</v>
      </c>
      <c r="AU25" s="6">
        <v>-8.2022999999999999E-2</v>
      </c>
      <c r="AW25" s="6">
        <v>0.39855000000000002</v>
      </c>
      <c r="AY25" s="6">
        <v>0.33136300000000002</v>
      </c>
      <c r="BA25" s="6">
        <v>0.51544400000000001</v>
      </c>
      <c r="BC25" s="6">
        <v>-0.45689999999999997</v>
      </c>
      <c r="BE25" s="6">
        <v>-0.46971800000000002</v>
      </c>
    </row>
    <row r="26" spans="1:57" s="36" customFormat="1" ht="12.6" x14ac:dyDescent="0.2">
      <c r="A26" s="24" t="s">
        <v>248</v>
      </c>
      <c r="B26" s="6"/>
      <c r="D26" s="6"/>
      <c r="F26" s="6"/>
      <c r="G26" s="6"/>
      <c r="I26" s="6"/>
      <c r="K26" s="6"/>
      <c r="M26" s="6"/>
      <c r="O26" s="6"/>
      <c r="Q26" s="6"/>
      <c r="S26" s="6"/>
      <c r="U26" s="6"/>
      <c r="W26" s="6"/>
      <c r="Y26" s="6"/>
      <c r="AA26" s="6"/>
      <c r="AC26" s="6"/>
      <c r="AE26" s="6"/>
      <c r="AG26" s="6"/>
      <c r="AI26" s="6"/>
      <c r="AK26" s="6"/>
      <c r="AM26" s="6"/>
      <c r="AO26" s="6"/>
      <c r="AQ26" s="6"/>
      <c r="AS26" s="6"/>
      <c r="AU26" s="6"/>
      <c r="AW26" s="6"/>
      <c r="AY26" s="6"/>
      <c r="BA26" s="6"/>
      <c r="BC26" s="6"/>
      <c r="BE26" s="6"/>
    </row>
    <row r="27" spans="1:57" s="36" customFormat="1" ht="12.6" x14ac:dyDescent="0.2">
      <c r="A27" s="24" t="s">
        <v>249</v>
      </c>
      <c r="B27" s="6">
        <v>7.4638099999999996</v>
      </c>
      <c r="D27" s="6">
        <v>8.9452449999999999</v>
      </c>
      <c r="F27" s="6">
        <v>8.7129309999999993</v>
      </c>
      <c r="G27" s="6">
        <v>5.9055650000000002</v>
      </c>
      <c r="I27" s="6">
        <v>8.4086890000000007</v>
      </c>
      <c r="K27" s="6">
        <v>0.84656600000000004</v>
      </c>
      <c r="M27" s="6">
        <v>0.76228799999999997</v>
      </c>
      <c r="O27" s="6">
        <v>2.2523059999999999</v>
      </c>
      <c r="Q27" s="6">
        <v>-1.7732110000000001</v>
      </c>
      <c r="S27" s="6">
        <v>0.68437199999999998</v>
      </c>
      <c r="U27" s="6">
        <v>0.72259499999999999</v>
      </c>
      <c r="W27" s="6">
        <v>2.817367</v>
      </c>
      <c r="Y27" s="6">
        <v>0.42041899999999999</v>
      </c>
      <c r="AA27" s="6">
        <v>2.1247319999999998</v>
      </c>
      <c r="AC27" s="6">
        <v>-0.71074700000000002</v>
      </c>
      <c r="AE27" s="6">
        <v>2.520832</v>
      </c>
      <c r="AG27" s="6">
        <v>-1.867389</v>
      </c>
      <c r="AI27" s="6">
        <v>3.0326460000000002</v>
      </c>
      <c r="AK27" s="6">
        <v>-2.3480479999999999</v>
      </c>
      <c r="AM27" s="6">
        <v>-2.0466359999999999</v>
      </c>
      <c r="AO27" s="6">
        <v>2.458456</v>
      </c>
      <c r="AQ27" s="6">
        <v>2.8489620000000002</v>
      </c>
      <c r="AS27" s="6">
        <v>1.0353749999999999</v>
      </c>
      <c r="AU27" s="6">
        <v>1.697808</v>
      </c>
      <c r="AW27" s="6">
        <v>2.1684160000000001</v>
      </c>
      <c r="AY27" s="6">
        <v>-0.31813799999999998</v>
      </c>
      <c r="BA27" s="6">
        <v>0.382546</v>
      </c>
      <c r="BC27" s="6">
        <v>-1.609048</v>
      </c>
      <c r="BE27" s="6">
        <v>0.99736000000000002</v>
      </c>
    </row>
    <row r="28" spans="1:57" s="36" customFormat="1" ht="12.6" x14ac:dyDescent="0.2">
      <c r="A28" s="24" t="s">
        <v>250</v>
      </c>
      <c r="B28" s="6">
        <v>-0.78995000000000004</v>
      </c>
      <c r="D28" s="6">
        <v>3.522786</v>
      </c>
      <c r="F28" s="6">
        <v>2.824138</v>
      </c>
      <c r="G28" s="6">
        <v>3.0537839999999998</v>
      </c>
      <c r="I28" s="6">
        <v>3.2284820000000001</v>
      </c>
      <c r="K28" s="6">
        <v>9.6819999999999996E-3</v>
      </c>
      <c r="M28" s="6">
        <v>-0.46366000000000002</v>
      </c>
      <c r="O28" s="6">
        <v>0.98475400000000002</v>
      </c>
      <c r="Q28" s="6">
        <v>-1.9107080000000001</v>
      </c>
      <c r="S28" s="6">
        <v>0.418653</v>
      </c>
      <c r="U28" s="6">
        <v>0.75863999999999998</v>
      </c>
      <c r="W28" s="6">
        <v>1.6033249999999999</v>
      </c>
      <c r="Y28" s="6">
        <v>1.1204320000000001</v>
      </c>
      <c r="AA28" s="6">
        <v>0.51377499999999998</v>
      </c>
      <c r="AC28" s="6">
        <v>-1.7817019999999999</v>
      </c>
      <c r="AE28" s="6">
        <v>1.14829</v>
      </c>
      <c r="AG28" s="6">
        <v>6.2058000000000002E-2</v>
      </c>
      <c r="AI28" s="6">
        <v>0.210171</v>
      </c>
      <c r="AK28" s="6">
        <v>0.99139600000000005</v>
      </c>
      <c r="AM28" s="6">
        <v>-4.0537999999999998E-2</v>
      </c>
      <c r="AO28" s="6">
        <v>1.5371250000000001</v>
      </c>
      <c r="AQ28" s="6">
        <v>-6.7382999999999998E-2</v>
      </c>
      <c r="AS28" s="6">
        <v>0.75283299999999997</v>
      </c>
      <c r="AU28" s="6">
        <v>-0.129273</v>
      </c>
      <c r="AW28" s="6">
        <v>0.322548</v>
      </c>
      <c r="AY28" s="6">
        <v>0.25018200000000002</v>
      </c>
      <c r="BA28" s="6">
        <v>0.50465700000000002</v>
      </c>
      <c r="BC28" s="6">
        <v>-0.57194800000000001</v>
      </c>
      <c r="BE28" s="6">
        <v>-0.55727400000000005</v>
      </c>
    </row>
    <row r="29" spans="1:57" s="36" customFormat="1" ht="12.6" x14ac:dyDescent="0.2">
      <c r="A29" s="24" t="s">
        <v>251</v>
      </c>
      <c r="B29" s="6">
        <v>-0.78995000000000004</v>
      </c>
      <c r="D29" s="6">
        <v>3.522786</v>
      </c>
      <c r="F29" s="6">
        <v>2.824138</v>
      </c>
      <c r="G29" s="6">
        <v>3.0537839999999998</v>
      </c>
      <c r="I29" s="6">
        <v>3.2284820000000001</v>
      </c>
      <c r="K29" s="6">
        <v>9.6819999999999996E-3</v>
      </c>
      <c r="M29" s="6">
        <v>-0.46366000000000002</v>
      </c>
      <c r="O29" s="6">
        <v>0.98475400000000002</v>
      </c>
      <c r="Q29" s="6">
        <v>-1.9107080000000001</v>
      </c>
      <c r="S29" s="6">
        <v>0.418653</v>
      </c>
      <c r="U29" s="6">
        <v>0.75863999999999998</v>
      </c>
      <c r="W29" s="6">
        <v>1.6033249999999999</v>
      </c>
      <c r="Y29" s="6">
        <v>1.1204320000000001</v>
      </c>
      <c r="AA29" s="6">
        <v>0.51377499999999998</v>
      </c>
      <c r="AC29" s="6">
        <v>-1.7817019999999999</v>
      </c>
      <c r="AE29" s="6">
        <v>1.14829</v>
      </c>
      <c r="AG29" s="6">
        <v>6.2058000000000002E-2</v>
      </c>
      <c r="AI29" s="6">
        <v>0.210171</v>
      </c>
      <c r="AK29" s="6">
        <v>0.99139600000000005</v>
      </c>
      <c r="AM29" s="6">
        <v>-4.0537999999999998E-2</v>
      </c>
      <c r="AO29" s="6">
        <v>1.5371250000000001</v>
      </c>
      <c r="AQ29" s="6">
        <v>-6.7382999999999998E-2</v>
      </c>
      <c r="AS29" s="6">
        <v>0.75283299999999997</v>
      </c>
      <c r="AU29" s="6">
        <v>-0.129273</v>
      </c>
      <c r="AW29" s="6">
        <v>0.322548</v>
      </c>
      <c r="AY29" s="6">
        <v>0.25018200000000002</v>
      </c>
      <c r="BA29" s="6">
        <v>0.50465700000000002</v>
      </c>
      <c r="BC29" s="6">
        <v>-0.57194800000000001</v>
      </c>
      <c r="BE29" s="6">
        <v>-0.55727400000000005</v>
      </c>
    </row>
    <row r="30" spans="1:57" s="36" customFormat="1" ht="12.6" x14ac:dyDescent="0.2">
      <c r="A30" s="24" t="s">
        <v>252</v>
      </c>
      <c r="B30" s="6">
        <v>-0.53082099999999999</v>
      </c>
      <c r="D30" s="6">
        <v>3.9039079999999999</v>
      </c>
      <c r="F30" s="6">
        <v>3.2420019999999998</v>
      </c>
      <c r="G30" s="6">
        <v>3.0136720000000001</v>
      </c>
      <c r="I30" s="6">
        <v>4.0448589999999998</v>
      </c>
      <c r="K30" s="6">
        <v>-0.15704299999999999</v>
      </c>
      <c r="M30" s="6">
        <v>-0.653393</v>
      </c>
      <c r="O30" s="6">
        <v>0.903389</v>
      </c>
      <c r="Q30" s="6">
        <v>-1.78721</v>
      </c>
      <c r="S30" s="6">
        <v>0.65990300000000002</v>
      </c>
      <c r="U30" s="6">
        <v>0.78124400000000005</v>
      </c>
      <c r="W30" s="6">
        <v>1.7611559999999999</v>
      </c>
      <c r="Y30" s="6">
        <v>1.0520640000000001</v>
      </c>
      <c r="AA30" s="6">
        <v>0.84212500000000001</v>
      </c>
      <c r="AC30" s="6">
        <v>-1.619354</v>
      </c>
      <c r="AE30" s="6">
        <v>1.153683</v>
      </c>
      <c r="AG30" s="6">
        <v>-0.447739</v>
      </c>
      <c r="AI30" s="6">
        <v>0.324517</v>
      </c>
      <c r="AK30" s="6">
        <v>1.1160840000000001</v>
      </c>
      <c r="AM30" s="6">
        <v>-0.254438</v>
      </c>
      <c r="AO30" s="6">
        <v>1.1714899999999999</v>
      </c>
      <c r="AQ30" s="6">
        <v>-0.20257500000000001</v>
      </c>
      <c r="AS30" s="6">
        <v>0.858483</v>
      </c>
      <c r="AU30" s="6">
        <v>-0.117091</v>
      </c>
      <c r="AW30" s="6">
        <v>0.44642199999999999</v>
      </c>
      <c r="AY30" s="6">
        <v>0.50555700000000003</v>
      </c>
      <c r="BA30" s="6">
        <v>0.63124999999999998</v>
      </c>
      <c r="BC30" s="6">
        <v>-0.140345</v>
      </c>
      <c r="BE30" s="6">
        <v>-0.35141</v>
      </c>
    </row>
    <row r="31" spans="1:57" s="36" customFormat="1" ht="12.6" x14ac:dyDescent="0.2">
      <c r="A31" s="24" t="s">
        <v>253</v>
      </c>
      <c r="B31" s="6">
        <v>-0.47003800000000001</v>
      </c>
      <c r="D31" s="6">
        <v>3.8001770000000001</v>
      </c>
      <c r="F31" s="6">
        <v>3.1358779999999999</v>
      </c>
      <c r="G31" s="6">
        <v>3.0303339999999999</v>
      </c>
      <c r="I31" s="6">
        <v>3.5480640000000001</v>
      </c>
      <c r="K31" s="6">
        <v>5.0631000000000002E-2</v>
      </c>
      <c r="M31" s="6">
        <v>-0.45171299999999998</v>
      </c>
      <c r="O31" s="6">
        <v>1.0281579999999999</v>
      </c>
      <c r="Q31" s="6">
        <v>-1.8999159999999999</v>
      </c>
      <c r="S31" s="6">
        <v>0.50748099999999996</v>
      </c>
      <c r="U31" s="6">
        <v>0.77647900000000003</v>
      </c>
      <c r="W31" s="6">
        <v>1.599807</v>
      </c>
      <c r="Y31" s="6">
        <v>1.141025</v>
      </c>
      <c r="AA31" s="6">
        <v>0.53681100000000004</v>
      </c>
      <c r="AC31" s="6">
        <v>-1.7691749999999999</v>
      </c>
      <c r="AE31" s="6">
        <v>1.1431910000000001</v>
      </c>
      <c r="AG31" s="6">
        <v>9.7852999999999996E-2</v>
      </c>
      <c r="AI31" s="6">
        <v>0.246444</v>
      </c>
      <c r="AK31" s="6">
        <v>1.0082679999999999</v>
      </c>
      <c r="AM31" s="6">
        <v>-9.5650000000000006E-3</v>
      </c>
      <c r="AO31" s="6">
        <v>1.4732799999999999</v>
      </c>
      <c r="AQ31" s="6">
        <v>6.2709999999999997E-3</v>
      </c>
      <c r="AS31" s="6">
        <v>0.79544099999999995</v>
      </c>
      <c r="AU31" s="6">
        <v>-7.0333000000000007E-2</v>
      </c>
      <c r="AW31" s="6">
        <v>0.38259300000000002</v>
      </c>
      <c r="AY31" s="6">
        <v>0.27329900000000001</v>
      </c>
      <c r="BA31" s="6">
        <v>0.47684199999999999</v>
      </c>
      <c r="BC31" s="6">
        <v>-0.56241799999999997</v>
      </c>
      <c r="BE31" s="6">
        <v>-0.509154</v>
      </c>
    </row>
    <row r="32" spans="1:57" s="36" customFormat="1" ht="12.6" x14ac:dyDescent="0.2">
      <c r="A32" s="24" t="s">
        <v>254</v>
      </c>
      <c r="B32" s="6"/>
      <c r="D32" s="6"/>
      <c r="F32" s="6"/>
      <c r="G32" s="6"/>
      <c r="I32" s="6">
        <v>3.7968150000000001</v>
      </c>
      <c r="K32" s="6"/>
      <c r="M32" s="6"/>
      <c r="O32" s="6"/>
      <c r="Q32" s="6"/>
      <c r="S32" s="6"/>
      <c r="U32" s="6"/>
      <c r="W32" s="6"/>
      <c r="Y32" s="6"/>
      <c r="AA32" s="6">
        <v>0.68946799999999997</v>
      </c>
      <c r="AC32" s="6">
        <v>-1.694264</v>
      </c>
      <c r="AE32" s="6">
        <v>1.1484369999999999</v>
      </c>
      <c r="AG32" s="6">
        <v>-0.17494299999999999</v>
      </c>
      <c r="AI32" s="6">
        <v>0.28548000000000001</v>
      </c>
      <c r="AK32" s="6">
        <v>1.062176</v>
      </c>
      <c r="AM32" s="6">
        <v>-0.13200200000000001</v>
      </c>
      <c r="AO32" s="6">
        <v>1.3223849999999999</v>
      </c>
      <c r="AQ32" s="6">
        <v>-9.8152000000000003E-2</v>
      </c>
      <c r="AS32" s="6">
        <v>0.82696199999999997</v>
      </c>
      <c r="AU32" s="6">
        <v>-9.3712000000000004E-2</v>
      </c>
      <c r="AW32" s="6">
        <v>0.41450799999999999</v>
      </c>
      <c r="AY32" s="6">
        <v>0.389428</v>
      </c>
      <c r="BA32" s="6">
        <v>0.55404600000000004</v>
      </c>
      <c r="BC32" s="6">
        <v>-0.35138200000000003</v>
      </c>
      <c r="BE32" s="6">
        <v>-0.430282</v>
      </c>
    </row>
    <row r="33" spans="1:71" s="36" customFormat="1" ht="12.6" x14ac:dyDescent="0.2">
      <c r="A33" s="24" t="s">
        <v>255</v>
      </c>
      <c r="B33" s="6">
        <v>9.2813660000000002</v>
      </c>
      <c r="D33" s="6">
        <v>13.010103000000001</v>
      </c>
      <c r="F33" s="6">
        <v>15.706602999999999</v>
      </c>
      <c r="G33" s="6">
        <v>10.888833999999999</v>
      </c>
      <c r="I33" s="6">
        <v>20.339568</v>
      </c>
      <c r="K33" s="6">
        <v>-1.250535</v>
      </c>
      <c r="M33" s="6">
        <v>4.2565720000000002</v>
      </c>
      <c r="O33" s="6">
        <v>3.8454269999999999</v>
      </c>
      <c r="Q33" s="6">
        <v>-2.4059539999999999</v>
      </c>
      <c r="S33" s="6">
        <v>0.34803800000000001</v>
      </c>
      <c r="U33" s="6">
        <v>-1.3890709999999999</v>
      </c>
      <c r="W33" s="6">
        <v>3.9625599999999999</v>
      </c>
      <c r="Y33" s="6">
        <v>0.77352600000000005</v>
      </c>
      <c r="AA33" s="6">
        <v>3.6631849999999999</v>
      </c>
      <c r="AC33" s="6">
        <v>-1.452933</v>
      </c>
      <c r="AE33" s="6">
        <v>4.3897940000000002</v>
      </c>
      <c r="AG33" s="6">
        <v>-3.5559810000000001</v>
      </c>
      <c r="AI33" s="6">
        <v>5.2691169999999996</v>
      </c>
      <c r="AK33" s="6">
        <v>-4.0920889999999996</v>
      </c>
      <c r="AM33" s="6">
        <v>-3.5451929999999998</v>
      </c>
      <c r="AO33" s="6">
        <v>2.8998849999999998</v>
      </c>
      <c r="AQ33" s="6">
        <v>5.8867849999999997</v>
      </c>
      <c r="AS33" s="6">
        <v>0.79774800000000001</v>
      </c>
      <c r="AU33" s="6">
        <v>3.8633700000000002</v>
      </c>
      <c r="AW33" s="6">
        <v>6.3917080000000004</v>
      </c>
      <c r="AY33" s="6">
        <v>1.297147</v>
      </c>
      <c r="BA33" s="6">
        <v>1.1941440000000001</v>
      </c>
      <c r="BC33" s="6">
        <v>-0.22894300000000001</v>
      </c>
      <c r="BE33" s="6">
        <v>-0.43783899999999998</v>
      </c>
    </row>
    <row r="34" spans="1:71" s="36" customFormat="1" ht="12.6" x14ac:dyDescent="0.2">
      <c r="A34" s="24" t="s">
        <v>256</v>
      </c>
      <c r="B34" s="6">
        <v>-0.66721600000000003</v>
      </c>
      <c r="D34" s="6">
        <v>3.4497930000000001</v>
      </c>
      <c r="F34" s="6">
        <v>2.444169</v>
      </c>
      <c r="G34" s="6">
        <v>3.4328959999999999</v>
      </c>
      <c r="I34" s="6">
        <v>2.8239640000000001</v>
      </c>
      <c r="K34" s="6">
        <v>4.1397000000000003E-2</v>
      </c>
      <c r="M34" s="6">
        <v>-0.39226</v>
      </c>
      <c r="O34" s="6">
        <v>1.2028540000000001</v>
      </c>
      <c r="Q34" s="6">
        <v>-2.1800540000000002</v>
      </c>
      <c r="S34" s="6">
        <v>0.23542299999999999</v>
      </c>
      <c r="U34" s="6">
        <v>0.81214600000000003</v>
      </c>
      <c r="W34" s="6">
        <v>1.51075</v>
      </c>
      <c r="Y34" s="6">
        <v>1.1724019999999999</v>
      </c>
      <c r="AA34" s="6">
        <v>0.31299300000000002</v>
      </c>
      <c r="AC34" s="6">
        <v>-2.1664210000000002</v>
      </c>
      <c r="AE34" s="6">
        <v>1.2284379999999999</v>
      </c>
      <c r="AG34" s="6">
        <v>0.353215</v>
      </c>
      <c r="AI34" s="6">
        <v>8.2392000000000007E-2</v>
      </c>
      <c r="AK34" s="6">
        <v>0.93680799999999997</v>
      </c>
      <c r="AM34" s="6">
        <v>-2.3581000000000001E-2</v>
      </c>
      <c r="AO34" s="6">
        <v>1.7330369999999999</v>
      </c>
      <c r="AQ34" s="6">
        <v>0.149003</v>
      </c>
      <c r="AS34" s="6">
        <v>0.78335299999999997</v>
      </c>
      <c r="AU34" s="6">
        <v>-7.1110000000000007E-2</v>
      </c>
      <c r="AW34" s="6">
        <v>0.36710900000000002</v>
      </c>
      <c r="AY34" s="6">
        <v>0.23868800000000001</v>
      </c>
      <c r="BA34" s="6">
        <v>0.39373399999999997</v>
      </c>
      <c r="BC34" s="6">
        <v>-0.95129200000000003</v>
      </c>
      <c r="BE34" s="6">
        <v>-0.82121100000000002</v>
      </c>
    </row>
    <row r="35" spans="1:71" s="36" customFormat="1" ht="12.6" x14ac:dyDescent="0.2">
      <c r="A35" s="24" t="s">
        <v>257</v>
      </c>
      <c r="B35" s="6">
        <v>12.974329000000001</v>
      </c>
      <c r="D35" s="6">
        <v>14.520516000000001</v>
      </c>
      <c r="F35" s="6">
        <v>14.647091</v>
      </c>
      <c r="G35" s="6">
        <v>0.13491500000000001</v>
      </c>
      <c r="I35" s="6">
        <v>14.357062000000001</v>
      </c>
      <c r="K35" s="6">
        <v>1.1847369999999999</v>
      </c>
      <c r="M35" s="6">
        <v>1.1068020000000001</v>
      </c>
      <c r="O35" s="6">
        <v>1.1821809999999999</v>
      </c>
      <c r="Q35" s="6">
        <v>1.1409199999999999</v>
      </c>
      <c r="S35" s="6">
        <v>1.1898599999999999</v>
      </c>
      <c r="U35" s="6">
        <v>1.1387579999999999</v>
      </c>
      <c r="W35" s="6">
        <v>1.1888570000000001</v>
      </c>
      <c r="Y35" s="6">
        <v>1.1930499999999999</v>
      </c>
      <c r="AA35" s="6">
        <v>1.147416</v>
      </c>
      <c r="AC35" s="6">
        <v>1.1895169999999999</v>
      </c>
      <c r="AE35" s="6">
        <v>1.1493899999999999</v>
      </c>
      <c r="AG35" s="6">
        <v>1.19177</v>
      </c>
      <c r="AI35" s="6">
        <v>1.1971419999999999</v>
      </c>
      <c r="AK35" s="6">
        <v>1.074692</v>
      </c>
      <c r="AM35" s="6">
        <v>1.1619550000000001</v>
      </c>
      <c r="AO35" s="6">
        <v>1.1412100000000001</v>
      </c>
      <c r="AQ35" s="6">
        <v>1.1583110000000001</v>
      </c>
      <c r="AS35" s="6">
        <v>1.106554</v>
      </c>
      <c r="AU35" s="6">
        <v>1.1155060000000001</v>
      </c>
      <c r="AW35" s="6">
        <v>1.135165</v>
      </c>
      <c r="AY35" s="6">
        <v>1.081035</v>
      </c>
      <c r="BA35" s="6">
        <v>1.110975</v>
      </c>
      <c r="BC35" s="6">
        <v>1.0840289999999999</v>
      </c>
      <c r="BE35" s="6">
        <v>1.1243190000000001</v>
      </c>
    </row>
    <row r="36" spans="1:71" s="36" customFormat="1" ht="12.6" x14ac:dyDescent="0.2">
      <c r="A36" s="24" t="s">
        <v>52</v>
      </c>
      <c r="B36" s="6">
        <v>9.7914569999999994</v>
      </c>
      <c r="D36" s="6">
        <v>13.820728000000001</v>
      </c>
      <c r="F36" s="6">
        <v>13.670038</v>
      </c>
      <c r="G36" s="6">
        <v>6.7472630000000002</v>
      </c>
      <c r="I36" s="6">
        <v>10.969673</v>
      </c>
      <c r="K36" s="6">
        <v>1.7956799999999999</v>
      </c>
      <c r="M36" s="6">
        <v>3.08196</v>
      </c>
      <c r="O36" s="6">
        <v>3.0414599999999998</v>
      </c>
      <c r="Q36" s="6">
        <v>-2.7158500000000001</v>
      </c>
      <c r="S36" s="6">
        <v>1.29528</v>
      </c>
      <c r="U36" s="6">
        <v>0.99533000000000005</v>
      </c>
      <c r="W36" s="6">
        <v>3.32613</v>
      </c>
      <c r="Y36" s="6">
        <v>0.14491999999999999</v>
      </c>
      <c r="AA36" s="6">
        <v>1.7496100000000001</v>
      </c>
      <c r="AC36" s="6">
        <v>0.37746000000000002</v>
      </c>
      <c r="AE36" s="6">
        <v>3.4090199999999999</v>
      </c>
      <c r="AG36" s="6">
        <v>-0.99329000000000001</v>
      </c>
      <c r="AI36" s="6">
        <v>3.1210200000000001</v>
      </c>
      <c r="AK36" s="6">
        <v>-1.59179</v>
      </c>
      <c r="AM36" s="6">
        <v>-3.2579699999999998</v>
      </c>
      <c r="AO36" s="6">
        <v>0.43794</v>
      </c>
      <c r="AQ36" s="6">
        <v>4.2589800000000002</v>
      </c>
      <c r="AS36" s="6">
        <v>1.8461099999999999</v>
      </c>
      <c r="AU36" s="6">
        <v>2.1283500000000002</v>
      </c>
      <c r="AW36" s="6">
        <v>2.0868899999999999</v>
      </c>
      <c r="AY36" s="6">
        <v>0.85304000000000002</v>
      </c>
      <c r="BA36" s="6">
        <v>1.42635</v>
      </c>
      <c r="BC36" s="6">
        <v>-0.79659000000000002</v>
      </c>
      <c r="BE36" s="6">
        <v>0.17796000000000001</v>
      </c>
    </row>
    <row r="37" spans="1:71" s="36" customFormat="1" ht="12.6" x14ac:dyDescent="0.2">
      <c r="A37" s="24" t="s">
        <v>114</v>
      </c>
      <c r="B37" s="6">
        <v>6.0288440000000003</v>
      </c>
      <c r="D37" s="6">
        <v>9.0955379999999995</v>
      </c>
      <c r="F37" s="6">
        <v>9.0567130000000002</v>
      </c>
      <c r="G37" s="6">
        <v>4.0898839999999996</v>
      </c>
      <c r="I37" s="6">
        <v>8.1766909999999999</v>
      </c>
      <c r="K37" s="6">
        <v>0.89073999999999998</v>
      </c>
      <c r="M37" s="6">
        <v>1.4799599999999999</v>
      </c>
      <c r="O37" s="6">
        <v>2.16717</v>
      </c>
      <c r="Q37" s="6">
        <v>-1.9732099999999999</v>
      </c>
      <c r="S37" s="6">
        <v>0.90644999999999998</v>
      </c>
      <c r="U37" s="6">
        <v>0.60116000000000003</v>
      </c>
      <c r="W37" s="6">
        <v>2.5850599999999999</v>
      </c>
      <c r="Y37" s="6">
        <v>0.36501</v>
      </c>
      <c r="AA37" s="6">
        <v>1.1940299999999999</v>
      </c>
      <c r="AC37" s="6">
        <v>-0.26645999999999997</v>
      </c>
      <c r="AE37" s="6">
        <v>2.2315999999999998</v>
      </c>
      <c r="AG37" s="6">
        <v>-0.57084999999999997</v>
      </c>
      <c r="AI37" s="6">
        <v>1.82698</v>
      </c>
      <c r="AK37" s="6">
        <v>-0.35372999999999999</v>
      </c>
      <c r="AM37" s="6">
        <v>-1.71905</v>
      </c>
      <c r="AO37" s="6">
        <v>0.58692</v>
      </c>
      <c r="AQ37" s="6">
        <v>2.28247</v>
      </c>
      <c r="AS37" s="6">
        <v>1.2615099999999999</v>
      </c>
      <c r="AU37" s="6">
        <v>1.14371</v>
      </c>
      <c r="AW37" s="6">
        <v>1.3785499999999999</v>
      </c>
      <c r="AY37" s="6">
        <v>0.73106000000000004</v>
      </c>
      <c r="BA37" s="6">
        <v>1.0416700000000001</v>
      </c>
      <c r="BC37" s="6">
        <v>-0.35781000000000002</v>
      </c>
      <c r="BE37" s="6">
        <v>0.1293</v>
      </c>
    </row>
    <row r="38" spans="1:71" s="36" customFormat="1" ht="12.6" x14ac:dyDescent="0.2">
      <c r="A38" s="24" t="s">
        <v>49</v>
      </c>
      <c r="B38" s="6"/>
      <c r="D38" s="6"/>
      <c r="F38" s="6"/>
      <c r="G38" s="6"/>
      <c r="I38" s="6"/>
      <c r="K38" s="6"/>
      <c r="M38" s="6"/>
      <c r="O38" s="6"/>
      <c r="Q38" s="6"/>
      <c r="S38" s="6"/>
      <c r="U38" s="6"/>
      <c r="W38" s="6"/>
      <c r="Y38" s="6"/>
      <c r="AA38" s="6"/>
      <c r="AC38" s="6"/>
      <c r="AE38" s="6"/>
      <c r="AG38" s="6"/>
      <c r="AI38" s="6"/>
      <c r="AK38" s="6"/>
      <c r="AM38" s="6"/>
      <c r="AO38" s="6"/>
      <c r="AQ38" s="6"/>
      <c r="AS38" s="6"/>
      <c r="AU38" s="6"/>
      <c r="AW38" s="6"/>
      <c r="AY38" s="6"/>
      <c r="BA38" s="6"/>
      <c r="BC38" s="6"/>
      <c r="BE38" s="6"/>
    </row>
    <row r="39" spans="1:71" s="36" customFormat="1" ht="12.6" x14ac:dyDescent="0.2">
      <c r="A39" s="24" t="s">
        <v>203</v>
      </c>
      <c r="B39" s="6">
        <v>7.3286550000000004</v>
      </c>
      <c r="D39" s="6">
        <v>10.606591999999999</v>
      </c>
      <c r="F39" s="6">
        <v>10.485018999999999</v>
      </c>
      <c r="G39" s="6">
        <v>5.2486709999999999</v>
      </c>
      <c r="I39" s="6">
        <v>8.8875329999999995</v>
      </c>
      <c r="K39" s="6">
        <v>1.1675</v>
      </c>
      <c r="M39" s="6">
        <v>2.1122399999999999</v>
      </c>
      <c r="O39" s="6">
        <v>2.5679400000000001</v>
      </c>
      <c r="Q39" s="6">
        <v>-2.39452</v>
      </c>
      <c r="S39" s="6">
        <v>1.0116700000000001</v>
      </c>
      <c r="U39" s="6">
        <v>0.79861000000000004</v>
      </c>
      <c r="W39" s="6">
        <v>2.85195</v>
      </c>
      <c r="Y39" s="6">
        <v>0.35391</v>
      </c>
      <c r="AA39" s="6">
        <v>1.5009399999999999</v>
      </c>
      <c r="AC39" s="6">
        <v>-0.17180999999999999</v>
      </c>
      <c r="AE39" s="6">
        <v>2.7193800000000001</v>
      </c>
      <c r="AG39" s="6">
        <v>-0.89959999999999996</v>
      </c>
      <c r="AI39" s="6">
        <v>2.3921000000000001</v>
      </c>
      <c r="AK39" s="6">
        <v>-1.01884</v>
      </c>
      <c r="AM39" s="6">
        <v>-2.37399</v>
      </c>
      <c r="AO39" s="6">
        <v>0.65847999999999995</v>
      </c>
      <c r="AQ39" s="6">
        <v>3.1079300000000001</v>
      </c>
      <c r="AS39" s="6">
        <v>1.46976</v>
      </c>
      <c r="AU39" s="6">
        <v>1.42171</v>
      </c>
      <c r="AW39" s="6">
        <v>1.6108100000000001</v>
      </c>
      <c r="AY39" s="6">
        <v>0.64942</v>
      </c>
      <c r="BA39" s="6">
        <v>1.1666000000000001</v>
      </c>
      <c r="BC39" s="6">
        <v>-0.56703999999999999</v>
      </c>
      <c r="BE39" s="6">
        <v>0.15322</v>
      </c>
    </row>
    <row r="40" spans="1:71" s="36" customFormat="1" ht="12.6" x14ac:dyDescent="0.2">
      <c r="A40" s="24" t="s">
        <v>210</v>
      </c>
      <c r="B40" s="6">
        <v>3.7193779999999999</v>
      </c>
      <c r="D40" s="6">
        <v>6.7532079999999999</v>
      </c>
      <c r="F40" s="6">
        <v>6.6328389999999997</v>
      </c>
      <c r="G40" s="6">
        <v>2.817034</v>
      </c>
      <c r="I40" s="6">
        <v>6.257314</v>
      </c>
      <c r="K40" s="6">
        <v>0.47915999999999997</v>
      </c>
      <c r="M40" s="6">
        <v>0.86063999999999996</v>
      </c>
      <c r="O40" s="6">
        <v>1.58</v>
      </c>
      <c r="Q40" s="6">
        <v>-1.5207900000000001</v>
      </c>
      <c r="S40" s="6">
        <v>0.73336000000000001</v>
      </c>
      <c r="U40" s="6">
        <v>0.59128000000000003</v>
      </c>
      <c r="W40" s="6">
        <v>1.8938900000000001</v>
      </c>
      <c r="Y40" s="6">
        <v>0.65227000000000002</v>
      </c>
      <c r="AA40" s="6">
        <v>0.96758999999999995</v>
      </c>
      <c r="AC40" s="6">
        <v>-0.60716999999999999</v>
      </c>
      <c r="AE40" s="6">
        <v>1.52616</v>
      </c>
      <c r="AG40" s="6">
        <v>-0.30985000000000001</v>
      </c>
      <c r="AI40" s="6">
        <v>1.1322399999999999</v>
      </c>
      <c r="AK40" s="6">
        <v>8.6330000000000004E-2</v>
      </c>
      <c r="AM40" s="6">
        <v>-0.87861</v>
      </c>
      <c r="AO40" s="6">
        <v>0.67542000000000002</v>
      </c>
      <c r="AQ40" s="6">
        <v>1.31552</v>
      </c>
      <c r="AS40" s="6">
        <v>1.0319400000000001</v>
      </c>
      <c r="AU40" s="6">
        <v>0.63295000000000001</v>
      </c>
      <c r="AW40" s="6">
        <v>1.02806</v>
      </c>
      <c r="AY40" s="6">
        <v>0.59697</v>
      </c>
      <c r="BA40" s="6">
        <v>0.77149000000000001</v>
      </c>
      <c r="BC40" s="6">
        <v>-0.26630999999999999</v>
      </c>
      <c r="BE40" s="6">
        <v>-1.7899999999999999E-2</v>
      </c>
    </row>
    <row r="41" spans="1:71" s="36" customFormat="1" x14ac:dyDescent="0.3">
      <c r="A41" s="24" t="s">
        <v>258</v>
      </c>
      <c r="B41" s="6">
        <v>5.3108009999999997</v>
      </c>
      <c r="C41"/>
      <c r="D41" s="6">
        <v>4.3941509999999999</v>
      </c>
      <c r="E41"/>
      <c r="F41" s="6">
        <v>4.047803</v>
      </c>
      <c r="G41" s="6">
        <v>1.45702</v>
      </c>
      <c r="H41"/>
      <c r="I41" s="6">
        <v>4.6611010000000004</v>
      </c>
      <c r="J41"/>
      <c r="K41" s="6">
        <v>8.4487000000000007E-2</v>
      </c>
      <c r="L41"/>
      <c r="M41" s="6">
        <v>7.9034999999999994E-2</v>
      </c>
      <c r="N41"/>
      <c r="O41" s="6">
        <v>1.01617</v>
      </c>
      <c r="P41"/>
      <c r="Q41" s="6">
        <v>8.1761E-2</v>
      </c>
      <c r="R41"/>
      <c r="S41" s="6">
        <v>8.4487000000000007E-2</v>
      </c>
      <c r="T41"/>
      <c r="U41" s="6">
        <v>1.130698</v>
      </c>
      <c r="V41"/>
      <c r="W41" s="6">
        <v>8.4487000000000007E-2</v>
      </c>
      <c r="X41"/>
      <c r="Y41" s="6">
        <v>8.4487000000000007E-2</v>
      </c>
      <c r="Z41"/>
      <c r="AA41" s="6">
        <v>0.29975299999999999</v>
      </c>
      <c r="AB41"/>
      <c r="AC41" s="6">
        <v>8.4487000000000007E-2</v>
      </c>
      <c r="AD41"/>
      <c r="AE41" s="6">
        <v>8.1761E-2</v>
      </c>
      <c r="AF41"/>
      <c r="AG41" s="6">
        <v>0.28129500000000002</v>
      </c>
      <c r="AH41"/>
      <c r="AI41" s="6">
        <v>8.4487000000000007E-2</v>
      </c>
      <c r="AJ41"/>
      <c r="AK41" s="6">
        <v>7.6308000000000001E-2</v>
      </c>
      <c r="AL41"/>
      <c r="AM41" s="6">
        <v>1.0045660000000001</v>
      </c>
      <c r="AN41"/>
      <c r="AO41" s="6">
        <v>8.1761E-2</v>
      </c>
      <c r="AP41"/>
      <c r="AQ41" s="6">
        <v>8.4487000000000007E-2</v>
      </c>
      <c r="AR41"/>
      <c r="AS41" s="6">
        <v>0.82953699999999997</v>
      </c>
      <c r="AT41"/>
      <c r="AU41" s="6">
        <v>8.4487000000000007E-2</v>
      </c>
      <c r="AV41"/>
      <c r="AW41" s="6">
        <v>8.4487000000000007E-2</v>
      </c>
      <c r="AX41"/>
      <c r="AY41" s="6">
        <v>1.40354</v>
      </c>
      <c r="AZ41"/>
      <c r="BA41" s="6">
        <v>8.4487000000000007E-2</v>
      </c>
      <c r="BB41"/>
      <c r="BC41" s="6">
        <v>8.1761E-2</v>
      </c>
      <c r="BD41"/>
      <c r="BE41" s="6">
        <v>0.67656799999999995</v>
      </c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</row>
    <row r="42" spans="1:71" s="36" customFormat="1" x14ac:dyDescent="0.3">
      <c r="A42" s="24" t="s">
        <v>259</v>
      </c>
      <c r="B42" s="6">
        <v>5.8320100000000004</v>
      </c>
      <c r="C42"/>
      <c r="D42" s="6">
        <v>4.9110259999999997</v>
      </c>
      <c r="E42"/>
      <c r="F42" s="6">
        <v>4.5632029999999997</v>
      </c>
      <c r="G42" s="6">
        <v>1.457573</v>
      </c>
      <c r="H42"/>
      <c r="I42" s="6">
        <v>5.17882</v>
      </c>
      <c r="J42"/>
      <c r="K42" s="6">
        <v>0.126445</v>
      </c>
      <c r="L42"/>
      <c r="M42" s="6">
        <v>0.118282</v>
      </c>
      <c r="N42"/>
      <c r="O42" s="6">
        <v>1.058505</v>
      </c>
      <c r="P42"/>
      <c r="Q42" s="6">
        <v>0.122363</v>
      </c>
      <c r="R42"/>
      <c r="S42" s="6">
        <v>0.126445</v>
      </c>
      <c r="T42"/>
      <c r="U42" s="6">
        <v>1.1717109999999999</v>
      </c>
      <c r="V42"/>
      <c r="W42" s="6">
        <v>0.126445</v>
      </c>
      <c r="X42"/>
      <c r="Y42" s="6">
        <v>0.126445</v>
      </c>
      <c r="Z42"/>
      <c r="AA42" s="6">
        <v>0.34044099999999999</v>
      </c>
      <c r="AB42"/>
      <c r="AC42" s="6">
        <v>0.126445</v>
      </c>
      <c r="AD42"/>
      <c r="AE42" s="6">
        <v>0.122363</v>
      </c>
      <c r="AF42"/>
      <c r="AG42" s="6">
        <v>0.32333200000000001</v>
      </c>
      <c r="AH42"/>
      <c r="AI42" s="6">
        <v>0.126445</v>
      </c>
      <c r="AJ42"/>
      <c r="AK42" s="6">
        <v>0.114201</v>
      </c>
      <c r="AL42"/>
      <c r="AM42" s="6">
        <v>1.046896</v>
      </c>
      <c r="AN42"/>
      <c r="AO42" s="6">
        <v>0.122363</v>
      </c>
      <c r="AP42"/>
      <c r="AQ42" s="6">
        <v>0.126445</v>
      </c>
      <c r="AR42"/>
      <c r="AS42" s="6">
        <v>0.87043199999999998</v>
      </c>
      <c r="AT42"/>
      <c r="AU42" s="6">
        <v>0.126445</v>
      </c>
      <c r="AV42"/>
      <c r="AW42" s="6">
        <v>0.126445</v>
      </c>
      <c r="AX42"/>
      <c r="AY42" s="6">
        <v>1.444661</v>
      </c>
      <c r="AZ42"/>
      <c r="BA42" s="6">
        <v>0.126445</v>
      </c>
      <c r="BB42"/>
      <c r="BC42" s="6">
        <v>0.122363</v>
      </c>
      <c r="BD42"/>
      <c r="BE42" s="6">
        <v>0.71876600000000002</v>
      </c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</row>
    <row r="43" spans="1:71" s="36" customFormat="1" x14ac:dyDescent="0.3">
      <c r="A43" s="24" t="s">
        <v>260</v>
      </c>
      <c r="B43" s="6">
        <v>6.3532190000000002</v>
      </c>
      <c r="C43"/>
      <c r="D43" s="6">
        <v>5.4279000000000002</v>
      </c>
      <c r="E43"/>
      <c r="F43" s="6">
        <v>5.0786040000000003</v>
      </c>
      <c r="G43" s="6">
        <v>1.4581329999999999</v>
      </c>
      <c r="H43"/>
      <c r="I43" s="6">
        <v>5.696536</v>
      </c>
      <c r="J43"/>
      <c r="K43" s="6">
        <v>0.168213</v>
      </c>
      <c r="L43"/>
      <c r="M43" s="6">
        <v>0.15735199999999999</v>
      </c>
      <c r="N43"/>
      <c r="O43" s="6">
        <v>1.1006499999999999</v>
      </c>
      <c r="P43"/>
      <c r="Q43" s="6">
        <v>0.16278200000000001</v>
      </c>
      <c r="R43"/>
      <c r="S43" s="6">
        <v>0.168213</v>
      </c>
      <c r="T43"/>
      <c r="U43" s="6">
        <v>1.21254</v>
      </c>
      <c r="V43"/>
      <c r="W43" s="6">
        <v>0.168213</v>
      </c>
      <c r="X43"/>
      <c r="Y43" s="6">
        <v>0.168213</v>
      </c>
      <c r="Z43"/>
      <c r="AA43" s="6">
        <v>0.38094499999999998</v>
      </c>
      <c r="AB43"/>
      <c r="AC43" s="6">
        <v>0.168213</v>
      </c>
      <c r="AD43"/>
      <c r="AE43" s="6">
        <v>0.16278200000000001</v>
      </c>
      <c r="AF43"/>
      <c r="AG43" s="6">
        <v>0.36518</v>
      </c>
      <c r="AH43"/>
      <c r="AI43" s="6">
        <v>0.168213</v>
      </c>
      <c r="AJ43"/>
      <c r="AK43" s="6">
        <v>0.151922</v>
      </c>
      <c r="AL43"/>
      <c r="AM43" s="6">
        <v>1.0890359999999999</v>
      </c>
      <c r="AN43"/>
      <c r="AO43" s="6">
        <v>0.16278200000000001</v>
      </c>
      <c r="AP43"/>
      <c r="AQ43" s="6">
        <v>0.168213</v>
      </c>
      <c r="AR43"/>
      <c r="AS43" s="6">
        <v>0.91114300000000004</v>
      </c>
      <c r="AT43"/>
      <c r="AU43" s="6">
        <v>0.168213</v>
      </c>
      <c r="AV43"/>
      <c r="AW43" s="6">
        <v>0.168213</v>
      </c>
      <c r="AX43"/>
      <c r="AY43" s="6">
        <v>1.4855959999999999</v>
      </c>
      <c r="AZ43"/>
      <c r="BA43" s="6">
        <v>0.168213</v>
      </c>
      <c r="BB43"/>
      <c r="BC43" s="6">
        <v>0.16278200000000001</v>
      </c>
      <c r="BD43"/>
      <c r="BE43" s="6">
        <v>0.76077300000000003</v>
      </c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</row>
    <row r="44" spans="1:71" s="36" customFormat="1" x14ac:dyDescent="0.3">
      <c r="A44" s="24" t="s">
        <v>261</v>
      </c>
      <c r="B44" s="6">
        <v>6.874428</v>
      </c>
      <c r="C44"/>
      <c r="D44" s="6">
        <v>5.9447749999999999</v>
      </c>
      <c r="E44"/>
      <c r="F44" s="6">
        <v>5.5940070000000004</v>
      </c>
      <c r="G44" s="6">
        <v>1.4587000000000001</v>
      </c>
      <c r="H44"/>
      <c r="I44" s="6">
        <v>6.2142499999999998</v>
      </c>
      <c r="J44"/>
      <c r="K44" s="6">
        <v>0.20979400000000001</v>
      </c>
      <c r="L44"/>
      <c r="M44" s="6">
        <v>0.196246</v>
      </c>
      <c r="N44"/>
      <c r="O44" s="6">
        <v>1.142606</v>
      </c>
      <c r="P44"/>
      <c r="Q44" s="6">
        <v>0.20302000000000001</v>
      </c>
      <c r="R44"/>
      <c r="S44" s="6">
        <v>0.20979400000000001</v>
      </c>
      <c r="T44"/>
      <c r="U44" s="6">
        <v>1.253185</v>
      </c>
      <c r="V44"/>
      <c r="W44" s="6">
        <v>0.20979400000000001</v>
      </c>
      <c r="X44"/>
      <c r="Y44" s="6">
        <v>0.20979400000000001</v>
      </c>
      <c r="Z44"/>
      <c r="AA44" s="6">
        <v>0.421267</v>
      </c>
      <c r="AB44"/>
      <c r="AC44" s="6">
        <v>0.20979400000000001</v>
      </c>
      <c r="AD44"/>
      <c r="AE44" s="6">
        <v>0.20302000000000001</v>
      </c>
      <c r="AF44"/>
      <c r="AG44" s="6">
        <v>0.40683999999999998</v>
      </c>
      <c r="AH44"/>
      <c r="AI44" s="6">
        <v>0.20979400000000001</v>
      </c>
      <c r="AJ44"/>
      <c r="AK44" s="6">
        <v>0.189472</v>
      </c>
      <c r="AL44"/>
      <c r="AM44" s="6">
        <v>1.130987</v>
      </c>
      <c r="AN44"/>
      <c r="AO44" s="6">
        <v>0.20302000000000001</v>
      </c>
      <c r="AP44"/>
      <c r="AQ44" s="6">
        <v>0.20979400000000001</v>
      </c>
      <c r="AR44"/>
      <c r="AS44" s="6">
        <v>0.95167100000000004</v>
      </c>
      <c r="AT44"/>
      <c r="AU44" s="6">
        <v>0.20979400000000001</v>
      </c>
      <c r="AV44"/>
      <c r="AW44" s="6">
        <v>0.20979400000000001</v>
      </c>
      <c r="AX44"/>
      <c r="AY44" s="6">
        <v>1.5263469999999999</v>
      </c>
      <c r="AZ44"/>
      <c r="BA44" s="6">
        <v>0.20979400000000001</v>
      </c>
      <c r="BB44"/>
      <c r="BC44" s="6">
        <v>0.20302000000000001</v>
      </c>
      <c r="BD44"/>
      <c r="BE44" s="6">
        <v>0.802593</v>
      </c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</row>
    <row r="45" spans="1:71" s="36" customFormat="1" x14ac:dyDescent="0.3">
      <c r="A45" s="24" t="s">
        <v>262</v>
      </c>
      <c r="B45" s="6">
        <v>7.3956350000000004</v>
      </c>
      <c r="C45"/>
      <c r="D45" s="6">
        <v>6.4616509999999998</v>
      </c>
      <c r="E45"/>
      <c r="F45" s="6">
        <v>6.1094109999999997</v>
      </c>
      <c r="G45" s="6">
        <v>1.459273</v>
      </c>
      <c r="H45"/>
      <c r="I45" s="6">
        <v>6.7319630000000004</v>
      </c>
      <c r="J45"/>
      <c r="K45" s="6">
        <v>0.25119000000000002</v>
      </c>
      <c r="L45"/>
      <c r="M45" s="6">
        <v>0.23496600000000001</v>
      </c>
      <c r="N45"/>
      <c r="O45" s="6">
        <v>1.184375</v>
      </c>
      <c r="P45"/>
      <c r="Q45" s="6">
        <v>0.24307799999999999</v>
      </c>
      <c r="R45"/>
      <c r="S45" s="6">
        <v>0.25119000000000002</v>
      </c>
      <c r="T45"/>
      <c r="U45" s="6">
        <v>1.293649</v>
      </c>
      <c r="V45"/>
      <c r="W45" s="6">
        <v>0.25119000000000002</v>
      </c>
      <c r="X45"/>
      <c r="Y45" s="6">
        <v>0.25119000000000002</v>
      </c>
      <c r="Z45"/>
      <c r="AA45" s="6">
        <v>0.46140900000000001</v>
      </c>
      <c r="AB45"/>
      <c r="AC45" s="6">
        <v>0.25119000000000002</v>
      </c>
      <c r="AD45"/>
      <c r="AE45" s="6">
        <v>0.24307799999999999</v>
      </c>
      <c r="AF45"/>
      <c r="AG45" s="6">
        <v>0.44831500000000002</v>
      </c>
      <c r="AH45"/>
      <c r="AI45" s="6">
        <v>0.25119000000000002</v>
      </c>
      <c r="AJ45"/>
      <c r="AK45" s="6">
        <v>0.226854</v>
      </c>
      <c r="AL45"/>
      <c r="AM45" s="6">
        <v>1.172752</v>
      </c>
      <c r="AN45"/>
      <c r="AO45" s="6">
        <v>0.24307799999999999</v>
      </c>
      <c r="AP45"/>
      <c r="AQ45" s="6">
        <v>0.25119000000000002</v>
      </c>
      <c r="AR45"/>
      <c r="AS45" s="6">
        <v>0.99201899999999998</v>
      </c>
      <c r="AT45"/>
      <c r="AU45" s="6">
        <v>0.25119000000000002</v>
      </c>
      <c r="AV45"/>
      <c r="AW45" s="6">
        <v>0.25119000000000002</v>
      </c>
      <c r="AX45"/>
      <c r="AY45" s="6">
        <v>1.5669169999999999</v>
      </c>
      <c r="AZ45"/>
      <c r="BA45" s="6">
        <v>0.25119000000000002</v>
      </c>
      <c r="BB45"/>
      <c r="BC45" s="6">
        <v>0.24307799999999999</v>
      </c>
      <c r="BD45"/>
      <c r="BE45" s="6">
        <v>0.84422600000000003</v>
      </c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</row>
    <row r="46" spans="1:71" s="36" customFormat="1" x14ac:dyDescent="0.3">
      <c r="A46" s="24" t="s">
        <v>263</v>
      </c>
      <c r="B46" s="6">
        <v>7.9168419999999999</v>
      </c>
      <c r="C46"/>
      <c r="D46" s="6">
        <v>6.9785259999999996</v>
      </c>
      <c r="E46"/>
      <c r="F46" s="6">
        <v>6.6248170000000002</v>
      </c>
      <c r="G46" s="6">
        <v>1.4598519999999999</v>
      </c>
      <c r="H46"/>
      <c r="I46" s="6">
        <v>7.2496729999999996</v>
      </c>
      <c r="J46"/>
      <c r="K46" s="6">
        <v>0.29240300000000002</v>
      </c>
      <c r="L46"/>
      <c r="M46" s="6">
        <v>0.27351300000000001</v>
      </c>
      <c r="N46"/>
      <c r="O46" s="6">
        <v>1.225959</v>
      </c>
      <c r="P46"/>
      <c r="Q46" s="6">
        <v>0.28295700000000001</v>
      </c>
      <c r="R46"/>
      <c r="S46" s="6">
        <v>0.29240300000000002</v>
      </c>
      <c r="T46"/>
      <c r="U46" s="6">
        <v>1.3339319999999999</v>
      </c>
      <c r="V46"/>
      <c r="W46" s="6">
        <v>0.29240300000000002</v>
      </c>
      <c r="X46"/>
      <c r="Y46" s="6">
        <v>0.29240300000000002</v>
      </c>
      <c r="Z46"/>
      <c r="AA46" s="6">
        <v>0.50137299999999996</v>
      </c>
      <c r="AB46"/>
      <c r="AC46" s="6">
        <v>0.29240300000000002</v>
      </c>
      <c r="AD46"/>
      <c r="AE46" s="6">
        <v>0.28295700000000001</v>
      </c>
      <c r="AF46"/>
      <c r="AG46" s="6">
        <v>0.48960599999999999</v>
      </c>
      <c r="AH46"/>
      <c r="AI46" s="6">
        <v>0.29240300000000002</v>
      </c>
      <c r="AJ46"/>
      <c r="AK46" s="6">
        <v>0.264069</v>
      </c>
      <c r="AL46"/>
      <c r="AM46" s="6">
        <v>1.214331</v>
      </c>
      <c r="AN46"/>
      <c r="AO46" s="6">
        <v>0.28295700000000001</v>
      </c>
      <c r="AP46"/>
      <c r="AQ46" s="6">
        <v>0.29240300000000002</v>
      </c>
      <c r="AR46"/>
      <c r="AS46" s="6">
        <v>1.032186</v>
      </c>
      <c r="AT46"/>
      <c r="AU46" s="6">
        <v>0.29240300000000002</v>
      </c>
      <c r="AV46"/>
      <c r="AW46" s="6">
        <v>0.29240300000000002</v>
      </c>
      <c r="AX46"/>
      <c r="AY46" s="6">
        <v>1.607305</v>
      </c>
      <c r="AZ46"/>
      <c r="BA46" s="6">
        <v>0.29240300000000002</v>
      </c>
      <c r="BB46"/>
      <c r="BC46" s="6">
        <v>0.28295700000000001</v>
      </c>
      <c r="BD46"/>
      <c r="BE46" s="6">
        <v>0.88567399999999996</v>
      </c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</row>
    <row r="47" spans="1:71" s="36" customFormat="1" x14ac:dyDescent="0.3">
      <c r="A47" s="24" t="s">
        <v>264</v>
      </c>
      <c r="B47" s="6">
        <v>8.4380489999999995</v>
      </c>
      <c r="C47"/>
      <c r="D47" s="6">
        <v>7.4954020000000003</v>
      </c>
      <c r="E47"/>
      <c r="F47" s="6">
        <v>7.1402239999999999</v>
      </c>
      <c r="G47" s="6">
        <v>1.460437</v>
      </c>
      <c r="H47"/>
      <c r="I47" s="6">
        <v>7.7673819999999996</v>
      </c>
      <c r="J47"/>
      <c r="K47" s="6">
        <v>0.33343400000000001</v>
      </c>
      <c r="L47"/>
      <c r="M47" s="6">
        <v>0.31188900000000003</v>
      </c>
      <c r="N47"/>
      <c r="O47" s="6">
        <v>1.2673589999999999</v>
      </c>
      <c r="P47"/>
      <c r="Q47" s="6">
        <v>0.32266099999999998</v>
      </c>
      <c r="R47"/>
      <c r="S47" s="6">
        <v>0.33343400000000001</v>
      </c>
      <c r="T47"/>
      <c r="U47" s="6">
        <v>1.3740380000000001</v>
      </c>
      <c r="V47"/>
      <c r="W47" s="6">
        <v>0.33343400000000001</v>
      </c>
      <c r="X47"/>
      <c r="Y47" s="6">
        <v>0.33343400000000001</v>
      </c>
      <c r="Z47"/>
      <c r="AA47" s="6">
        <v>0.54115999999999997</v>
      </c>
      <c r="AB47"/>
      <c r="AC47" s="6">
        <v>0.33343400000000001</v>
      </c>
      <c r="AD47"/>
      <c r="AE47" s="6">
        <v>0.32266099999999998</v>
      </c>
      <c r="AF47"/>
      <c r="AG47" s="6">
        <v>0.53071500000000005</v>
      </c>
      <c r="AH47"/>
      <c r="AI47" s="6">
        <v>0.33343400000000001</v>
      </c>
      <c r="AJ47"/>
      <c r="AK47" s="6">
        <v>0.301118</v>
      </c>
      <c r="AL47"/>
      <c r="AM47" s="6">
        <v>1.255727</v>
      </c>
      <c r="AN47"/>
      <c r="AO47" s="6">
        <v>0.32266099999999998</v>
      </c>
      <c r="AP47"/>
      <c r="AQ47" s="6">
        <v>0.33343400000000001</v>
      </c>
      <c r="AR47"/>
      <c r="AS47" s="6">
        <v>1.072176</v>
      </c>
      <c r="AT47"/>
      <c r="AU47" s="6">
        <v>0.33343400000000001</v>
      </c>
      <c r="AV47"/>
      <c r="AW47" s="6">
        <v>0.33343400000000001</v>
      </c>
      <c r="AX47"/>
      <c r="AY47" s="6">
        <v>1.647516</v>
      </c>
      <c r="AZ47"/>
      <c r="BA47" s="6">
        <v>0.33343400000000001</v>
      </c>
      <c r="BB47"/>
      <c r="BC47" s="6">
        <v>0.32266099999999998</v>
      </c>
      <c r="BD47"/>
      <c r="BE47" s="6">
        <v>0.92693999999999999</v>
      </c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</row>
    <row r="48" spans="1:71" s="36" customFormat="1" x14ac:dyDescent="0.3">
      <c r="A48" s="24" t="s">
        <v>265</v>
      </c>
      <c r="B48" s="6">
        <v>8.9592550000000006</v>
      </c>
      <c r="C48"/>
      <c r="D48" s="6">
        <v>8.0122789999999995</v>
      </c>
      <c r="E48"/>
      <c r="F48" s="6">
        <v>7.6556329999999999</v>
      </c>
      <c r="G48" s="6">
        <v>1.4610289999999999</v>
      </c>
      <c r="H48"/>
      <c r="I48" s="6">
        <v>8.285088</v>
      </c>
      <c r="J48"/>
      <c r="K48" s="6">
        <v>0.37428499999999998</v>
      </c>
      <c r="L48"/>
      <c r="M48" s="6">
        <v>0.35009499999999999</v>
      </c>
      <c r="N48"/>
      <c r="O48" s="6">
        <v>1.308578</v>
      </c>
      <c r="P48"/>
      <c r="Q48" s="6">
        <v>0.36218899999999998</v>
      </c>
      <c r="R48"/>
      <c r="S48" s="6">
        <v>0.37428499999999998</v>
      </c>
      <c r="T48"/>
      <c r="U48" s="6">
        <v>1.413967</v>
      </c>
      <c r="V48"/>
      <c r="W48" s="6">
        <v>0.37428499999999998</v>
      </c>
      <c r="X48"/>
      <c r="Y48" s="6">
        <v>0.37428499999999998</v>
      </c>
      <c r="Z48"/>
      <c r="AA48" s="6">
        <v>0.58077199999999995</v>
      </c>
      <c r="AB48"/>
      <c r="AC48" s="6">
        <v>0.37428499999999998</v>
      </c>
      <c r="AD48"/>
      <c r="AE48" s="6">
        <v>0.36218899999999998</v>
      </c>
      <c r="AF48"/>
      <c r="AG48" s="6">
        <v>0.57164400000000004</v>
      </c>
      <c r="AH48"/>
      <c r="AI48" s="6">
        <v>0.37428499999999998</v>
      </c>
      <c r="AJ48"/>
      <c r="AK48" s="6">
        <v>0.338003</v>
      </c>
      <c r="AL48"/>
      <c r="AM48" s="6">
        <v>1.2969409999999999</v>
      </c>
      <c r="AN48"/>
      <c r="AO48" s="6">
        <v>0.36218899999999998</v>
      </c>
      <c r="AP48"/>
      <c r="AQ48" s="6">
        <v>0.37428499999999998</v>
      </c>
      <c r="AR48"/>
      <c r="AS48" s="6">
        <v>1.11199</v>
      </c>
      <c r="AT48"/>
      <c r="AU48" s="6">
        <v>0.37428499999999998</v>
      </c>
      <c r="AV48"/>
      <c r="AW48" s="6">
        <v>0.37428499999999998</v>
      </c>
      <c r="AX48"/>
      <c r="AY48" s="6">
        <v>1.687549</v>
      </c>
      <c r="AZ48"/>
      <c r="BA48" s="6">
        <v>0.37428499999999998</v>
      </c>
      <c r="BB48"/>
      <c r="BC48" s="6">
        <v>0.36218899999999998</v>
      </c>
      <c r="BD48"/>
      <c r="BE48" s="6">
        <v>0.96802500000000002</v>
      </c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</row>
    <row r="49" spans="1:71" s="36" customFormat="1" x14ac:dyDescent="0.3">
      <c r="A49" s="24" t="s">
        <v>266</v>
      </c>
      <c r="B49" s="6">
        <v>9.4804600000000008</v>
      </c>
      <c r="C49"/>
      <c r="D49" s="6">
        <v>8.5291549999999994</v>
      </c>
      <c r="E49"/>
      <c r="F49" s="6">
        <v>8.1710429999999992</v>
      </c>
      <c r="G49" s="6">
        <v>1.4616260000000001</v>
      </c>
      <c r="H49"/>
      <c r="I49" s="6">
        <v>8.8027929999999994</v>
      </c>
      <c r="J49"/>
      <c r="K49" s="6">
        <v>0.41495700000000002</v>
      </c>
      <c r="L49"/>
      <c r="M49" s="6">
        <v>0.38813399999999998</v>
      </c>
      <c r="N49"/>
      <c r="O49" s="6">
        <v>1.3496170000000001</v>
      </c>
      <c r="P49"/>
      <c r="Q49" s="6">
        <v>0.40154499999999999</v>
      </c>
      <c r="R49"/>
      <c r="S49" s="6">
        <v>0.41495700000000002</v>
      </c>
      <c r="T49"/>
      <c r="U49" s="6">
        <v>1.453721</v>
      </c>
      <c r="V49"/>
      <c r="W49" s="6">
        <v>0.41495700000000002</v>
      </c>
      <c r="X49"/>
      <c r="Y49" s="6">
        <v>0.41495700000000002</v>
      </c>
      <c r="Z49"/>
      <c r="AA49" s="6">
        <v>0.62021000000000004</v>
      </c>
      <c r="AB49"/>
      <c r="AC49" s="6">
        <v>0.41495700000000002</v>
      </c>
      <c r="AD49"/>
      <c r="AE49" s="6">
        <v>0.40154499999999999</v>
      </c>
      <c r="AF49"/>
      <c r="AG49" s="6">
        <v>0.61239299999999997</v>
      </c>
      <c r="AH49"/>
      <c r="AI49" s="6">
        <v>0.41495700000000002</v>
      </c>
      <c r="AJ49"/>
      <c r="AK49" s="6">
        <v>0.37472499999999997</v>
      </c>
      <c r="AL49"/>
      <c r="AM49" s="6">
        <v>1.3379749999999999</v>
      </c>
      <c r="AN49"/>
      <c r="AO49" s="6">
        <v>0.40154499999999999</v>
      </c>
      <c r="AP49"/>
      <c r="AQ49" s="6">
        <v>0.41495700000000002</v>
      </c>
      <c r="AR49"/>
      <c r="AS49" s="6">
        <v>1.1516299999999999</v>
      </c>
      <c r="AT49"/>
      <c r="AU49" s="6">
        <v>0.41495700000000002</v>
      </c>
      <c r="AV49"/>
      <c r="AW49" s="6">
        <v>0.41495700000000002</v>
      </c>
      <c r="AX49"/>
      <c r="AY49" s="6">
        <v>1.727406</v>
      </c>
      <c r="AZ49"/>
      <c r="BA49" s="6">
        <v>0.41495700000000002</v>
      </c>
      <c r="BB49"/>
      <c r="BC49" s="6">
        <v>0.40154499999999999</v>
      </c>
      <c r="BD49"/>
      <c r="BE49" s="6">
        <v>1.0089300000000001</v>
      </c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</row>
    <row r="50" spans="1:71" s="36" customFormat="1" x14ac:dyDescent="0.3">
      <c r="A50" s="24" t="s">
        <v>267</v>
      </c>
      <c r="B50" s="6">
        <v>10.001664999999999</v>
      </c>
      <c r="C50"/>
      <c r="D50" s="6">
        <v>9.0460320000000003</v>
      </c>
      <c r="E50"/>
      <c r="F50" s="6">
        <v>8.6864550000000005</v>
      </c>
      <c r="G50" s="6">
        <v>1.4622299999999999</v>
      </c>
      <c r="H50"/>
      <c r="I50" s="6">
        <v>9.3204949999999993</v>
      </c>
      <c r="J50"/>
      <c r="K50" s="6">
        <v>0.455453</v>
      </c>
      <c r="L50"/>
      <c r="M50" s="6">
        <v>0.426006</v>
      </c>
      <c r="N50"/>
      <c r="O50" s="6">
        <v>1.390477</v>
      </c>
      <c r="P50"/>
      <c r="Q50" s="6">
        <v>0.44072800000000001</v>
      </c>
      <c r="R50"/>
      <c r="S50" s="6">
        <v>0.455453</v>
      </c>
      <c r="T50"/>
      <c r="U50" s="6">
        <v>1.493301</v>
      </c>
      <c r="V50"/>
      <c r="W50" s="6">
        <v>0.455453</v>
      </c>
      <c r="X50"/>
      <c r="Y50" s="6">
        <v>0.455453</v>
      </c>
      <c r="Z50"/>
      <c r="AA50" s="6">
        <v>0.65947599999999995</v>
      </c>
      <c r="AB50"/>
      <c r="AC50" s="6">
        <v>0.455453</v>
      </c>
      <c r="AD50"/>
      <c r="AE50" s="6">
        <v>0.44072800000000001</v>
      </c>
      <c r="AF50"/>
      <c r="AG50" s="6">
        <v>0.65296600000000005</v>
      </c>
      <c r="AH50"/>
      <c r="AI50" s="6">
        <v>0.455453</v>
      </c>
      <c r="AJ50"/>
      <c r="AK50" s="6">
        <v>0.41128599999999998</v>
      </c>
      <c r="AL50"/>
      <c r="AM50" s="6">
        <v>1.3788309999999999</v>
      </c>
      <c r="AN50"/>
      <c r="AO50" s="6">
        <v>0.44072800000000001</v>
      </c>
      <c r="AP50"/>
      <c r="AQ50" s="6">
        <v>0.455453</v>
      </c>
      <c r="AR50"/>
      <c r="AS50" s="6">
        <v>1.1910970000000001</v>
      </c>
      <c r="AT50"/>
      <c r="AU50" s="6">
        <v>0.455453</v>
      </c>
      <c r="AV50"/>
      <c r="AW50" s="6">
        <v>0.455453</v>
      </c>
      <c r="AX50"/>
      <c r="AY50" s="6">
        <v>1.76709</v>
      </c>
      <c r="AZ50"/>
      <c r="BA50" s="6">
        <v>0.455453</v>
      </c>
      <c r="BB50"/>
      <c r="BC50" s="6">
        <v>0.44072800000000001</v>
      </c>
      <c r="BD50"/>
      <c r="BE50" s="6">
        <v>1.0496570000000001</v>
      </c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</row>
    <row r="51" spans="1:71" s="36" customFormat="1" ht="12.6" x14ac:dyDescent="0.2">
      <c r="A51" s="24" t="s">
        <v>268</v>
      </c>
      <c r="B51" s="6">
        <v>2.7059880000000001</v>
      </c>
      <c r="D51" s="6">
        <v>4.1083800000000004</v>
      </c>
      <c r="F51" s="6">
        <v>4.2189430000000003</v>
      </c>
      <c r="G51" s="6">
        <v>0.101442</v>
      </c>
      <c r="I51" s="6">
        <v>3.9687809999999999</v>
      </c>
      <c r="K51" s="6">
        <v>0.36962</v>
      </c>
      <c r="M51" s="6">
        <v>0.34466000000000002</v>
      </c>
      <c r="O51" s="6">
        <v>0.36709000000000003</v>
      </c>
      <c r="Q51" s="6">
        <v>0.35233999999999999</v>
      </c>
      <c r="S51" s="6">
        <v>0.37470999999999999</v>
      </c>
      <c r="U51" s="6">
        <v>0.35019</v>
      </c>
      <c r="W51" s="6">
        <v>0.37370999999999999</v>
      </c>
      <c r="Y51" s="6">
        <v>0.37786999999999998</v>
      </c>
      <c r="AA51" s="6">
        <v>0.35877999999999999</v>
      </c>
      <c r="AC51" s="6">
        <v>0.37436999999999998</v>
      </c>
      <c r="AE51" s="6">
        <v>0.36074000000000001</v>
      </c>
      <c r="AG51" s="6">
        <v>0.37659999999999999</v>
      </c>
      <c r="AI51" s="6">
        <v>0.38192999999999999</v>
      </c>
      <c r="AK51" s="6">
        <v>0.33896999999999999</v>
      </c>
      <c r="AM51" s="6">
        <v>0.34702</v>
      </c>
      <c r="AO51" s="6">
        <v>0.35261999999999999</v>
      </c>
      <c r="AQ51" s="6">
        <v>0.34339999999999998</v>
      </c>
      <c r="AS51" s="6">
        <v>0.31823000000000001</v>
      </c>
      <c r="AU51" s="6">
        <v>0.30092999999999998</v>
      </c>
      <c r="AW51" s="6">
        <v>0.32044</v>
      </c>
      <c r="AY51" s="6">
        <v>0.29289999999999999</v>
      </c>
      <c r="BA51" s="6">
        <v>0.29643000000000003</v>
      </c>
      <c r="BC51" s="6">
        <v>0.29587000000000002</v>
      </c>
      <c r="BE51" s="6">
        <v>0.30967</v>
      </c>
    </row>
    <row r="52" spans="1:71" s="36" customFormat="1" ht="12.6" x14ac:dyDescent="0.2">
      <c r="A52" s="24" t="s">
        <v>269</v>
      </c>
      <c r="B52" s="6">
        <v>2.2817669999999999</v>
      </c>
      <c r="D52" s="6">
        <v>3.947622</v>
      </c>
      <c r="F52" s="6">
        <v>4.0383779999999998</v>
      </c>
      <c r="G52" s="6">
        <v>0.49201</v>
      </c>
      <c r="I52" s="6">
        <v>3.7931789999999999</v>
      </c>
      <c r="K52" s="6">
        <v>0.36948799999999998</v>
      </c>
      <c r="M52" s="6">
        <v>0.24848300000000001</v>
      </c>
      <c r="O52" s="6">
        <v>0.40803299999999998</v>
      </c>
      <c r="Q52" s="6">
        <v>6.2184000000000003E-2</v>
      </c>
      <c r="S52" s="6">
        <v>0.37922499999999998</v>
      </c>
      <c r="U52" s="6">
        <v>0.32022200000000001</v>
      </c>
      <c r="W52" s="6">
        <v>0.59134100000000001</v>
      </c>
      <c r="Y52" s="6">
        <v>0.49537700000000001</v>
      </c>
      <c r="AA52" s="6">
        <v>0.36847999999999997</v>
      </c>
      <c r="AC52" s="6">
        <v>8.5815000000000002E-2</v>
      </c>
      <c r="AE52" s="6">
        <v>0.41419400000000001</v>
      </c>
      <c r="AG52" s="6">
        <v>0.46074300000000001</v>
      </c>
      <c r="AI52" s="6">
        <v>0.39792300000000003</v>
      </c>
      <c r="AK52" s="6">
        <v>0.37354399999999999</v>
      </c>
      <c r="AM52" s="6">
        <v>0.37978800000000001</v>
      </c>
      <c r="AO52" s="6">
        <v>0.598634</v>
      </c>
      <c r="AQ52" s="6">
        <v>0.339978</v>
      </c>
      <c r="AS52" s="6">
        <v>0.36070999999999998</v>
      </c>
      <c r="AU52" s="6">
        <v>0.21782399999999999</v>
      </c>
      <c r="AW52" s="6">
        <v>0.32805800000000002</v>
      </c>
      <c r="AY52" s="6">
        <v>0.18867400000000001</v>
      </c>
      <c r="BA52" s="6">
        <v>0.27563300000000002</v>
      </c>
      <c r="BC52" s="6">
        <v>0.12138500000000001</v>
      </c>
      <c r="BE52" s="6">
        <v>0.14758399999999999</v>
      </c>
    </row>
    <row r="53" spans="1:71" s="36" customFormat="1" ht="12.6" x14ac:dyDescent="0.2">
      <c r="A53" s="24" t="s">
        <v>270</v>
      </c>
      <c r="B53" s="6">
        <v>-0.48377500000000001</v>
      </c>
      <c r="D53" s="6">
        <v>3.8268719999999998</v>
      </c>
      <c r="F53" s="6">
        <v>3.1629230000000002</v>
      </c>
      <c r="G53" s="6">
        <v>3.0085989999999998</v>
      </c>
      <c r="I53" s="6">
        <v>3.6725279999999998</v>
      </c>
      <c r="K53" s="6">
        <v>-1.2880000000000001E-3</v>
      </c>
      <c r="M53" s="6">
        <v>-0.50213300000000005</v>
      </c>
      <c r="O53" s="6">
        <v>0.99696600000000002</v>
      </c>
      <c r="Q53" s="6">
        <v>-1.871739</v>
      </c>
      <c r="S53" s="6">
        <v>0.54558700000000004</v>
      </c>
      <c r="U53" s="6">
        <v>0.77766999999999997</v>
      </c>
      <c r="W53" s="6">
        <v>1.640145</v>
      </c>
      <c r="Y53" s="6">
        <v>1.1187849999999999</v>
      </c>
      <c r="AA53" s="6">
        <v>0.61313899999999999</v>
      </c>
      <c r="AC53" s="6">
        <v>-1.731719</v>
      </c>
      <c r="AE53" s="6">
        <v>1.1458140000000001</v>
      </c>
      <c r="AG53" s="6">
        <v>-3.8545000000000003E-2</v>
      </c>
      <c r="AI53" s="6">
        <v>0.26596199999999998</v>
      </c>
      <c r="AK53" s="6">
        <v>1.0352220000000001</v>
      </c>
      <c r="AM53" s="6">
        <v>-7.0782999999999999E-2</v>
      </c>
      <c r="AO53" s="6">
        <v>1.3978330000000001</v>
      </c>
      <c r="AQ53" s="6">
        <v>-4.5941000000000003E-2</v>
      </c>
      <c r="AS53" s="6">
        <v>0.81120099999999995</v>
      </c>
      <c r="AU53" s="6">
        <v>-8.2022999999999999E-2</v>
      </c>
      <c r="AW53" s="6">
        <v>0.39855000000000002</v>
      </c>
      <c r="AY53" s="6">
        <v>0.33136300000000002</v>
      </c>
      <c r="BA53" s="6">
        <v>0.51544400000000001</v>
      </c>
      <c r="BC53" s="6">
        <v>-0.45689999999999997</v>
      </c>
      <c r="BE53" s="6">
        <v>-0.46971800000000002</v>
      </c>
    </row>
    <row r="54" spans="1:71" s="36" customFormat="1" ht="12.6" x14ac:dyDescent="0.2">
      <c r="A54" s="24" t="s">
        <v>271</v>
      </c>
      <c r="B54" s="6">
        <v>-0.43468299999999999</v>
      </c>
      <c r="D54" s="6">
        <v>3.7170580000000002</v>
      </c>
      <c r="F54" s="6">
        <v>3.0527009999999999</v>
      </c>
      <c r="G54" s="6">
        <v>3.1624409999999998</v>
      </c>
      <c r="I54" s="6">
        <v>3.1736309999999999</v>
      </c>
      <c r="K54" s="6">
        <v>0.20638999999999999</v>
      </c>
      <c r="M54" s="6">
        <v>-0.30044999999999999</v>
      </c>
      <c r="O54" s="6">
        <v>1.1217299999999999</v>
      </c>
      <c r="Q54" s="6">
        <v>-1.98445</v>
      </c>
      <c r="S54" s="6">
        <v>0.39316000000000001</v>
      </c>
      <c r="U54" s="6">
        <v>0.77290999999999999</v>
      </c>
      <c r="W54" s="6">
        <v>1.4787999999999999</v>
      </c>
      <c r="Y54" s="6">
        <v>1.2077500000000001</v>
      </c>
      <c r="AA54" s="6">
        <v>0.30782999999999999</v>
      </c>
      <c r="AC54" s="6">
        <v>-1.88154</v>
      </c>
      <c r="AE54" s="6">
        <v>1.1353200000000001</v>
      </c>
      <c r="AG54" s="6">
        <v>0.50705</v>
      </c>
      <c r="AI54" s="6">
        <v>0.18789</v>
      </c>
      <c r="AK54" s="6">
        <v>0.92740999999999996</v>
      </c>
      <c r="AM54" s="6">
        <v>0.17408999999999999</v>
      </c>
      <c r="AO54" s="6">
        <v>1.6996199999999999</v>
      </c>
      <c r="AQ54" s="6">
        <v>0.16289999999999999</v>
      </c>
      <c r="AS54" s="6">
        <v>0.74816000000000005</v>
      </c>
      <c r="AU54" s="6">
        <v>-3.5270000000000003E-2</v>
      </c>
      <c r="AW54" s="6">
        <v>0.33472000000000002</v>
      </c>
      <c r="AY54" s="6">
        <v>9.9110000000000004E-2</v>
      </c>
      <c r="BA54" s="6">
        <v>0.36104000000000003</v>
      </c>
      <c r="BC54" s="6">
        <v>-0.87897000000000003</v>
      </c>
      <c r="BE54" s="6">
        <v>-0.62746000000000002</v>
      </c>
    </row>
    <row r="55" spans="1:71" s="36" customFormat="1" ht="12.6" x14ac:dyDescent="0.2">
      <c r="A55" s="24" t="s">
        <v>272</v>
      </c>
      <c r="B55" s="6">
        <v>1.5083489999999999</v>
      </c>
      <c r="D55" s="6">
        <v>5.5159929999999999</v>
      </c>
      <c r="F55" s="6">
        <v>4.8686680000000004</v>
      </c>
      <c r="G55" s="6">
        <v>2.0308470000000001</v>
      </c>
      <c r="I55" s="6">
        <v>4.3350980000000003</v>
      </c>
      <c r="K55" s="6">
        <v>0.41263499999999997</v>
      </c>
      <c r="M55" s="6">
        <v>4.7350999999999997E-2</v>
      </c>
      <c r="O55" s="6">
        <v>0.90181999999999995</v>
      </c>
      <c r="Q55" s="6">
        <v>-0.911852</v>
      </c>
      <c r="S55" s="6">
        <v>0.70002200000000003</v>
      </c>
      <c r="U55" s="6">
        <v>0.44467800000000002</v>
      </c>
      <c r="W55" s="6">
        <v>1.555866</v>
      </c>
      <c r="Y55" s="6">
        <v>0.92768099999999998</v>
      </c>
      <c r="AA55" s="6">
        <v>0.54442199999999996</v>
      </c>
      <c r="AC55" s="6">
        <v>-0.88362200000000002</v>
      </c>
      <c r="AE55" s="6">
        <v>0.85584899999999997</v>
      </c>
      <c r="AG55" s="6">
        <v>0.70942300000000003</v>
      </c>
      <c r="AI55" s="6">
        <v>0.43732399999999999</v>
      </c>
      <c r="AK55" s="6">
        <v>0.79156800000000005</v>
      </c>
      <c r="AM55" s="6">
        <v>0.28430899999999998</v>
      </c>
      <c r="AO55" s="6">
        <v>1.0925720000000001</v>
      </c>
      <c r="AQ55" s="6">
        <v>0.57713499999999995</v>
      </c>
      <c r="AS55" s="6">
        <v>0.62341000000000002</v>
      </c>
      <c r="AU55" s="6">
        <v>0.26405800000000001</v>
      </c>
      <c r="AW55" s="6">
        <v>0.59640000000000004</v>
      </c>
      <c r="AY55" s="6">
        <v>5.6132000000000001E-2</v>
      </c>
      <c r="BA55" s="6">
        <v>0.27474199999999999</v>
      </c>
      <c r="BC55" s="6">
        <v>-0.48974499999999999</v>
      </c>
      <c r="BE55" s="6">
        <v>-0.24612999999999999</v>
      </c>
    </row>
    <row r="56" spans="1:71" s="36" customFormat="1" ht="12.6" x14ac:dyDescent="0.2">
      <c r="A56" s="24" t="s">
        <v>273</v>
      </c>
      <c r="B56" s="6">
        <v>3.4437630000000001</v>
      </c>
      <c r="D56" s="6">
        <v>5.2440300000000004</v>
      </c>
      <c r="F56" s="6">
        <v>5.3319570000000001</v>
      </c>
      <c r="G56" s="6">
        <v>0.299452</v>
      </c>
      <c r="I56" s="6">
        <v>4.9730590000000001</v>
      </c>
      <c r="K56" s="6">
        <v>0.43879000000000001</v>
      </c>
      <c r="M56" s="6">
        <v>0.53447</v>
      </c>
      <c r="O56" s="6">
        <v>0.50012999999999996</v>
      </c>
      <c r="Q56" s="6">
        <v>0.47711999999999999</v>
      </c>
      <c r="S56" s="6">
        <v>0.50455000000000005</v>
      </c>
      <c r="U56" s="6">
        <v>0.41116999999999998</v>
      </c>
      <c r="W56" s="6">
        <v>0.52290000000000003</v>
      </c>
      <c r="Y56" s="6">
        <v>0.42879</v>
      </c>
      <c r="AA56" s="6">
        <v>0.42820999999999998</v>
      </c>
      <c r="AC56" s="6">
        <v>0.49980999999999998</v>
      </c>
      <c r="AE56" s="6">
        <v>0.37213000000000002</v>
      </c>
      <c r="AG56" s="6">
        <v>0.43084</v>
      </c>
      <c r="AI56" s="6">
        <v>0.47021000000000002</v>
      </c>
      <c r="AK56" s="6">
        <v>0.4743</v>
      </c>
      <c r="AM56" s="6">
        <v>0.32102999999999998</v>
      </c>
      <c r="AO56" s="6">
        <v>0.21934000000000001</v>
      </c>
      <c r="AQ56" s="6">
        <v>0.64393</v>
      </c>
      <c r="AS56" s="6">
        <v>0.38042999999999999</v>
      </c>
      <c r="AU56" s="6">
        <v>0.42675000000000002</v>
      </c>
      <c r="AW56" s="6">
        <v>0.45827000000000001</v>
      </c>
      <c r="AY56" s="6">
        <v>0.43407000000000001</v>
      </c>
      <c r="BA56" s="6">
        <v>0.32866000000000001</v>
      </c>
      <c r="BC56" s="6">
        <v>0.33850999999999998</v>
      </c>
      <c r="BE56" s="6">
        <v>0.36830000000000002</v>
      </c>
    </row>
    <row r="57" spans="1:71" s="36" customFormat="1" ht="12.6" x14ac:dyDescent="0.2">
      <c r="A57" s="24" t="s">
        <v>274</v>
      </c>
      <c r="B57" s="6">
        <v>1.0888070000000001</v>
      </c>
      <c r="D57" s="6">
        <v>3.4875189999999998</v>
      </c>
      <c r="F57" s="6">
        <v>3.421764</v>
      </c>
      <c r="G57" s="6">
        <v>1.6280520000000001</v>
      </c>
      <c r="I57" s="6">
        <v>3.2406920000000001</v>
      </c>
      <c r="K57" s="6">
        <v>0.38431500000000002</v>
      </c>
      <c r="M57" s="6">
        <v>-2.5201000000000001E-2</v>
      </c>
      <c r="O57" s="6">
        <v>0.56677599999999995</v>
      </c>
      <c r="Q57" s="6">
        <v>-0.74683699999999997</v>
      </c>
      <c r="S57" s="6">
        <v>0.351491</v>
      </c>
      <c r="U57" s="6">
        <v>0.35492200000000002</v>
      </c>
      <c r="W57" s="6">
        <v>1.0557799999999999</v>
      </c>
      <c r="Y57" s="6">
        <v>0.78774900000000003</v>
      </c>
      <c r="AA57" s="6">
        <v>0.35555399999999998</v>
      </c>
      <c r="AC57" s="6">
        <v>-0.70229299999999995</v>
      </c>
      <c r="AE57" s="6">
        <v>0.60120399999999996</v>
      </c>
      <c r="AG57" s="6">
        <v>0.57788099999999998</v>
      </c>
      <c r="AI57" s="6">
        <v>0.38461200000000001</v>
      </c>
      <c r="AK57" s="6">
        <v>0.48366399999999998</v>
      </c>
      <c r="AM57" s="6">
        <v>0.43416399999999999</v>
      </c>
      <c r="AO57" s="6">
        <v>1.1935229999999999</v>
      </c>
      <c r="AQ57" s="6">
        <v>0.29712699999999997</v>
      </c>
      <c r="AS57" s="6">
        <v>0.46420600000000001</v>
      </c>
      <c r="AU57" s="6">
        <v>1.1487000000000001E-2</v>
      </c>
      <c r="AW57" s="6">
        <v>0.33293400000000001</v>
      </c>
      <c r="AY57" s="6">
        <v>-3.7597999999999999E-2</v>
      </c>
      <c r="BA57" s="6">
        <v>0.23979700000000001</v>
      </c>
      <c r="BC57" s="6">
        <v>-0.37146000000000001</v>
      </c>
      <c r="BE57" s="6">
        <v>-0.229938</v>
      </c>
    </row>
    <row r="58" spans="1:71" s="36" customFormat="1" ht="12.6" x14ac:dyDescent="0.2">
      <c r="A58" s="24" t="s">
        <v>275</v>
      </c>
      <c r="B58" s="6">
        <v>-0.81829499999999999</v>
      </c>
      <c r="D58" s="6">
        <v>3.4040050000000002</v>
      </c>
      <c r="F58" s="6">
        <v>2.6983519999999999</v>
      </c>
      <c r="G58" s="6">
        <v>3.4496899999999999</v>
      </c>
      <c r="I58" s="6">
        <v>2.9554779999999998</v>
      </c>
      <c r="K58" s="6">
        <v>0.17082</v>
      </c>
      <c r="M58" s="6">
        <v>-0.37608999999999998</v>
      </c>
      <c r="O58" s="6">
        <v>1.17831</v>
      </c>
      <c r="Q58" s="6">
        <v>-2.2435999999999998</v>
      </c>
      <c r="S58" s="6">
        <v>0.32962000000000002</v>
      </c>
      <c r="U58" s="6">
        <v>0.85907999999999995</v>
      </c>
      <c r="W58" s="6">
        <v>1.4698</v>
      </c>
      <c r="Y58" s="6">
        <v>1.2788900000000001</v>
      </c>
      <c r="AA58" s="6">
        <v>0.25746999999999998</v>
      </c>
      <c r="AC58" s="6">
        <v>-2.0948699999999998</v>
      </c>
      <c r="AE58" s="6">
        <v>1.2092099999999999</v>
      </c>
      <c r="AG58" s="6">
        <v>0.46110000000000001</v>
      </c>
      <c r="AI58" s="6">
        <v>0.13700999999999999</v>
      </c>
      <c r="AK58" s="6">
        <v>0.97536999999999996</v>
      </c>
      <c r="AM58" s="6">
        <v>0.13134999999999999</v>
      </c>
      <c r="AO58" s="6">
        <v>1.82334</v>
      </c>
      <c r="AQ58" s="6">
        <v>0.10315000000000001</v>
      </c>
      <c r="AS58" s="6">
        <v>0.78085000000000004</v>
      </c>
      <c r="AU58" s="6">
        <v>-8.838E-2</v>
      </c>
      <c r="AW58" s="6">
        <v>0.28548000000000001</v>
      </c>
      <c r="AY58" s="6">
        <v>0.12055</v>
      </c>
      <c r="BA58" s="6">
        <v>0.38603999999999999</v>
      </c>
      <c r="BC58" s="6">
        <v>-0.98551</v>
      </c>
      <c r="BE58" s="6">
        <v>-0.72341</v>
      </c>
    </row>
    <row r="59" spans="1:71" s="36" customFormat="1" ht="12.6" x14ac:dyDescent="0.2">
      <c r="A59" s="24" t="s">
        <v>276</v>
      </c>
      <c r="B59" s="6">
        <v>-0.66721600000000003</v>
      </c>
      <c r="D59" s="6">
        <v>3.4497930000000001</v>
      </c>
      <c r="F59" s="6">
        <v>2.444169</v>
      </c>
      <c r="G59" s="6">
        <v>3.4328959999999999</v>
      </c>
      <c r="I59" s="6">
        <v>2.8239640000000001</v>
      </c>
      <c r="K59" s="6">
        <v>4.1397000000000003E-2</v>
      </c>
      <c r="M59" s="6">
        <v>-0.39226</v>
      </c>
      <c r="O59" s="6">
        <v>1.2028540000000001</v>
      </c>
      <c r="Q59" s="6">
        <v>-2.1800540000000002</v>
      </c>
      <c r="S59" s="6">
        <v>0.23542299999999999</v>
      </c>
      <c r="U59" s="6">
        <v>0.81214600000000003</v>
      </c>
      <c r="W59" s="6">
        <v>1.51075</v>
      </c>
      <c r="Y59" s="6">
        <v>1.1724019999999999</v>
      </c>
      <c r="AA59" s="6">
        <v>0.31299300000000002</v>
      </c>
      <c r="AC59" s="6">
        <v>-2.1664210000000002</v>
      </c>
      <c r="AE59" s="6">
        <v>1.2284379999999999</v>
      </c>
      <c r="AG59" s="6">
        <v>0.353215</v>
      </c>
      <c r="AI59" s="6">
        <v>8.2392000000000007E-2</v>
      </c>
      <c r="AK59" s="6">
        <v>0.93680799999999997</v>
      </c>
      <c r="AM59" s="6">
        <v>-2.3581000000000001E-2</v>
      </c>
      <c r="AO59" s="6">
        <v>1.7330369999999999</v>
      </c>
      <c r="AQ59" s="6">
        <v>0.149003</v>
      </c>
      <c r="AS59" s="6">
        <v>0.78335299999999997</v>
      </c>
      <c r="AU59" s="6">
        <v>-7.1110000000000007E-2</v>
      </c>
      <c r="AW59" s="6">
        <v>0.36710900000000002</v>
      </c>
      <c r="AY59" s="6">
        <v>0.23868800000000001</v>
      </c>
      <c r="BA59" s="6">
        <v>0.39373399999999997</v>
      </c>
      <c r="BC59" s="6">
        <v>-0.95129200000000003</v>
      </c>
      <c r="BE59" s="6">
        <v>-0.82121100000000002</v>
      </c>
    </row>
    <row r="60" spans="1:71" s="36" customFormat="1" ht="12.6" x14ac:dyDescent="0.2">
      <c r="A60" s="24" t="s">
        <v>277</v>
      </c>
      <c r="B60" s="6">
        <v>-4.0281929999999999</v>
      </c>
      <c r="D60" s="6">
        <v>2.7993939999999999</v>
      </c>
      <c r="F60" s="6">
        <v>0.92196800000000001</v>
      </c>
      <c r="G60" s="6">
        <v>6.3627089999999997</v>
      </c>
      <c r="I60" s="6">
        <v>1.953268</v>
      </c>
      <c r="K60" s="6">
        <v>-0.42784800000000001</v>
      </c>
      <c r="M60" s="6">
        <v>-0.92603199999999997</v>
      </c>
      <c r="O60" s="6">
        <v>2.1630799999999999</v>
      </c>
      <c r="Q60" s="6">
        <v>-4.4948839999999999</v>
      </c>
      <c r="S60" s="6">
        <v>0.134108</v>
      </c>
      <c r="U60" s="6">
        <v>1.7888539999999999</v>
      </c>
      <c r="W60" s="6">
        <v>1.8144979999999999</v>
      </c>
      <c r="Y60" s="6">
        <v>2.1237889999999999</v>
      </c>
      <c r="AA60" s="6">
        <v>-0.101283</v>
      </c>
      <c r="AC60" s="6">
        <v>-4.1527310000000002</v>
      </c>
      <c r="AE60" s="6">
        <v>2.1783899999999998</v>
      </c>
      <c r="AG60" s="6">
        <v>0.10014199999999999</v>
      </c>
      <c r="AI60" s="6">
        <v>-0.51654900000000004</v>
      </c>
      <c r="AK60" s="6">
        <v>1.879262</v>
      </c>
      <c r="AM60" s="6">
        <v>-0.70441799999999999</v>
      </c>
      <c r="AO60" s="6">
        <v>2.639805</v>
      </c>
      <c r="AQ60" s="6">
        <v>-0.48582900000000001</v>
      </c>
      <c r="AS60" s="6">
        <v>1.291285</v>
      </c>
      <c r="AU60" s="6">
        <v>-0.34580499999999997</v>
      </c>
      <c r="AW60" s="6">
        <v>4.1451000000000002E-2</v>
      </c>
      <c r="AY60" s="6">
        <v>0.62056999999999995</v>
      </c>
      <c r="BA60" s="6">
        <v>0.67130299999999998</v>
      </c>
      <c r="BC60" s="6">
        <v>-1.65656</v>
      </c>
      <c r="BE60" s="6">
        <v>-1.4064859999999999</v>
      </c>
    </row>
    <row r="61" spans="1:71" s="36" customFormat="1" ht="12.6" x14ac:dyDescent="0.2">
      <c r="A61" s="24" t="s">
        <v>278</v>
      </c>
      <c r="B61" s="6">
        <v>-1.2264809999999999</v>
      </c>
      <c r="D61" s="6">
        <v>3.6610299999999998</v>
      </c>
      <c r="F61" s="6">
        <v>2.7394419999999999</v>
      </c>
      <c r="G61" s="6">
        <v>4.3019020000000001</v>
      </c>
      <c r="I61" s="6">
        <v>3.1115539999999999</v>
      </c>
      <c r="K61" s="6">
        <v>0.17455100000000001</v>
      </c>
      <c r="M61" s="6">
        <v>-0.530667</v>
      </c>
      <c r="O61" s="6">
        <v>1.436979</v>
      </c>
      <c r="Q61" s="6">
        <v>-2.8180670000000001</v>
      </c>
      <c r="S61" s="6">
        <v>0.38621699999999998</v>
      </c>
      <c r="U61" s="6">
        <v>1.0801460000000001</v>
      </c>
      <c r="W61" s="6">
        <v>1.786008</v>
      </c>
      <c r="Y61" s="6">
        <v>1.465357</v>
      </c>
      <c r="AA61" s="6">
        <v>0.29922300000000002</v>
      </c>
      <c r="AC61" s="6">
        <v>-2.731087</v>
      </c>
      <c r="AE61" s="6">
        <v>1.4423710000000001</v>
      </c>
      <c r="AG61" s="6">
        <v>0.485126</v>
      </c>
      <c r="AI61" s="6">
        <v>0.105865</v>
      </c>
      <c r="AK61" s="6">
        <v>1.1819900000000001</v>
      </c>
      <c r="AM61" s="6">
        <v>0.121281</v>
      </c>
      <c r="AO61" s="6">
        <v>2.1553680000000002</v>
      </c>
      <c r="AQ61" s="6">
        <v>0.14033399999999999</v>
      </c>
      <c r="AS61" s="6">
        <v>0.92971000000000004</v>
      </c>
      <c r="AU61" s="6">
        <v>-9.8838999999999996E-2</v>
      </c>
      <c r="AW61" s="6">
        <v>0.33770600000000001</v>
      </c>
      <c r="AY61" s="6">
        <v>8.9071999999999998E-2</v>
      </c>
      <c r="BA61" s="6">
        <v>0.43053900000000001</v>
      </c>
      <c r="BC61" s="6">
        <v>-1.325296</v>
      </c>
      <c r="BE61" s="6">
        <v>-0.95422799999999997</v>
      </c>
    </row>
    <row r="62" spans="1:71" s="36" customFormat="1" ht="12.6" x14ac:dyDescent="0.2">
      <c r="A62" s="24" t="s">
        <v>279</v>
      </c>
      <c r="B62" s="6">
        <v>2.1606000000000001</v>
      </c>
      <c r="D62" s="6">
        <v>4.5000390000000001</v>
      </c>
      <c r="F62" s="6">
        <v>2.8981810000000001</v>
      </c>
      <c r="G62" s="6">
        <v>2.2383639999999998</v>
      </c>
      <c r="I62" s="6">
        <v>3.434593</v>
      </c>
      <c r="K62" s="6">
        <v>-0.12998000000000001</v>
      </c>
      <c r="M62" s="6">
        <v>-9.6259999999999998E-2</v>
      </c>
      <c r="O62" s="6">
        <v>0.88717999999999997</v>
      </c>
      <c r="Q62" s="6">
        <v>-0.87212000000000001</v>
      </c>
      <c r="S62" s="6">
        <v>-4.5999999999999999E-2</v>
      </c>
      <c r="U62" s="6">
        <v>0.38880999999999999</v>
      </c>
      <c r="W62" s="6">
        <v>1.43065</v>
      </c>
      <c r="Y62" s="6">
        <v>0.62129999999999996</v>
      </c>
      <c r="AA62" s="6">
        <v>0.50185999999999997</v>
      </c>
      <c r="AC62" s="6">
        <v>-1.3101100000000001</v>
      </c>
      <c r="AE62" s="6">
        <v>0.77607000000000004</v>
      </c>
      <c r="AG62" s="6">
        <v>0.21947</v>
      </c>
      <c r="AI62" s="6">
        <v>0.35409000000000002</v>
      </c>
      <c r="AK62" s="6">
        <v>0.42277999999999999</v>
      </c>
      <c r="AM62" s="6">
        <v>1.2239999999999999E-2</v>
      </c>
      <c r="AO62" s="6">
        <v>0.98302</v>
      </c>
      <c r="AQ62" s="6">
        <v>0.57325999999999999</v>
      </c>
      <c r="AS62" s="6">
        <v>0.61490999999999996</v>
      </c>
      <c r="AU62" s="6">
        <v>0.13192999999999999</v>
      </c>
      <c r="AW62" s="6">
        <v>0.75541999999999998</v>
      </c>
      <c r="AY62" s="6">
        <v>0.55788000000000004</v>
      </c>
      <c r="BA62" s="6">
        <v>0.38030000000000003</v>
      </c>
      <c r="BC62" s="6">
        <v>-0.35727999999999999</v>
      </c>
      <c r="BE62" s="6">
        <v>-1.0306</v>
      </c>
    </row>
    <row r="63" spans="1:71" s="36" customFormat="1" ht="12.6" x14ac:dyDescent="0.2">
      <c r="A63" s="24" t="s">
        <v>280</v>
      </c>
      <c r="B63" s="6">
        <v>0.25715100000000002</v>
      </c>
      <c r="D63" s="6">
        <v>3.7478400000000001</v>
      </c>
      <c r="F63" s="6">
        <v>1.104905</v>
      </c>
      <c r="G63" s="6">
        <v>3.6404899999999998</v>
      </c>
      <c r="I63" s="6">
        <v>2.1181890000000001</v>
      </c>
      <c r="K63" s="6">
        <v>-0.66874</v>
      </c>
      <c r="M63" s="6">
        <v>-0.46654000000000001</v>
      </c>
      <c r="O63" s="6">
        <v>1.3334999999999999</v>
      </c>
      <c r="Q63" s="6">
        <v>-1.7791999999999999</v>
      </c>
      <c r="S63" s="6">
        <v>-0.27079999999999999</v>
      </c>
      <c r="U63" s="6">
        <v>0.55389999999999995</v>
      </c>
      <c r="W63" s="6">
        <v>1.74411</v>
      </c>
      <c r="Y63" s="6">
        <v>0.55317000000000005</v>
      </c>
      <c r="AA63" s="6">
        <v>0.64195000000000002</v>
      </c>
      <c r="AC63" s="6">
        <v>-2.5388899999999999</v>
      </c>
      <c r="AE63" s="6">
        <v>1.32803</v>
      </c>
      <c r="AG63" s="6">
        <v>-0.23838000000000001</v>
      </c>
      <c r="AI63" s="6">
        <v>-0.20685999999999999</v>
      </c>
      <c r="AK63" s="6">
        <v>0.65849999999999997</v>
      </c>
      <c r="AM63" s="6">
        <v>-0.87849999999999995</v>
      </c>
      <c r="AO63" s="6">
        <v>1.2309699999999999</v>
      </c>
      <c r="AQ63" s="6">
        <v>0.41138999999999998</v>
      </c>
      <c r="AS63" s="6">
        <v>0.79664999999999997</v>
      </c>
      <c r="AU63" s="6">
        <v>3.8210000000000001E-2</v>
      </c>
      <c r="AW63" s="6">
        <v>0.83260999999999996</v>
      </c>
      <c r="AY63" s="6">
        <v>0.89846999999999999</v>
      </c>
      <c r="BA63" s="6">
        <v>0.43643999999999999</v>
      </c>
      <c r="BC63" s="6">
        <v>-0.74080999999999997</v>
      </c>
      <c r="BE63" s="6">
        <v>-1.3429599999999999</v>
      </c>
    </row>
    <row r="64" spans="1:71" s="36" customFormat="1" ht="12.6" x14ac:dyDescent="0.2">
      <c r="A64" s="24" t="s">
        <v>281</v>
      </c>
      <c r="B64" s="6">
        <v>1.3227180000000001</v>
      </c>
      <c r="D64" s="6">
        <v>3.9108269999999998</v>
      </c>
      <c r="F64" s="6">
        <v>3.6712099999999999</v>
      </c>
      <c r="G64" s="6">
        <v>1.82559</v>
      </c>
      <c r="I64" s="6">
        <v>3.450275</v>
      </c>
      <c r="K64" s="6">
        <v>0.38769999999999999</v>
      </c>
      <c r="M64" s="6">
        <v>-8.9529999999999998E-2</v>
      </c>
      <c r="O64" s="6">
        <v>0.63251000000000002</v>
      </c>
      <c r="Q64" s="6">
        <v>-0.89407000000000003</v>
      </c>
      <c r="S64" s="6">
        <v>0.42148999999999998</v>
      </c>
      <c r="U64" s="6">
        <v>0.48571999999999999</v>
      </c>
      <c r="W64" s="6">
        <v>1.09842</v>
      </c>
      <c r="Y64" s="6">
        <v>0.89924999999999999</v>
      </c>
      <c r="AA64" s="6">
        <v>0.39179999999999998</v>
      </c>
      <c r="AC64" s="6">
        <v>-0.83857999999999999</v>
      </c>
      <c r="AE64" s="6">
        <v>0.65486</v>
      </c>
      <c r="AG64" s="6">
        <v>0.69691999999999998</v>
      </c>
      <c r="AI64" s="6">
        <v>0.40834999999999999</v>
      </c>
      <c r="AK64" s="6">
        <v>0.51088</v>
      </c>
      <c r="AM64" s="6">
        <v>0.49278</v>
      </c>
      <c r="AO64" s="6">
        <v>1.2539199999999999</v>
      </c>
      <c r="AQ64" s="6">
        <v>0.32844000000000001</v>
      </c>
      <c r="AS64" s="6">
        <v>0.46554000000000001</v>
      </c>
      <c r="AU64" s="6">
        <v>5.4460000000000001E-2</v>
      </c>
      <c r="AW64" s="6">
        <v>0.34372000000000003</v>
      </c>
      <c r="AY64" s="6">
        <v>-4.4330000000000001E-2</v>
      </c>
      <c r="BA64" s="6">
        <v>0.28133000000000002</v>
      </c>
      <c r="BC64" s="6">
        <v>-0.43335000000000001</v>
      </c>
      <c r="BE64" s="6">
        <v>-0.25462000000000001</v>
      </c>
    </row>
    <row r="65" spans="1:57" s="36" customFormat="1" ht="12.6" x14ac:dyDescent="0.2">
      <c r="A65" s="24" t="s">
        <v>282</v>
      </c>
      <c r="B65" s="6">
        <v>-1.0177419999999999</v>
      </c>
      <c r="D65" s="6">
        <v>3.0059459999999998</v>
      </c>
      <c r="F65" s="6">
        <v>2.3845420000000002</v>
      </c>
      <c r="G65" s="6">
        <v>3.3111649999999999</v>
      </c>
      <c r="I65" s="6">
        <v>2.5083839999999999</v>
      </c>
      <c r="K65" s="6">
        <v>0.158773</v>
      </c>
      <c r="M65" s="6">
        <v>-0.35814400000000002</v>
      </c>
      <c r="O65" s="6">
        <v>1.1518029999999999</v>
      </c>
      <c r="Q65" s="6">
        <v>-2.0272290000000002</v>
      </c>
      <c r="S65" s="6">
        <v>0.35203299999999998</v>
      </c>
      <c r="U65" s="6">
        <v>0.68761700000000003</v>
      </c>
      <c r="W65" s="6">
        <v>1.4757420000000001</v>
      </c>
      <c r="Y65" s="6">
        <v>1.156004</v>
      </c>
      <c r="AA65" s="6">
        <v>0.243732</v>
      </c>
      <c r="AC65" s="6">
        <v>-2.0646260000000001</v>
      </c>
      <c r="AE65" s="6">
        <v>1.1723859999999999</v>
      </c>
      <c r="AG65" s="6">
        <v>0.365541</v>
      </c>
      <c r="AI65" s="6">
        <v>0.140512</v>
      </c>
      <c r="AK65" s="6">
        <v>0.89990899999999996</v>
      </c>
      <c r="AM65" s="6">
        <v>0.116732</v>
      </c>
      <c r="AO65" s="6">
        <v>1.8178529999999999</v>
      </c>
      <c r="AQ65" s="6">
        <v>1.9553999999999998E-2</v>
      </c>
      <c r="AS65" s="6">
        <v>0.77501299999999995</v>
      </c>
      <c r="AU65" s="6">
        <v>-0.23325199999999999</v>
      </c>
      <c r="AW65" s="6">
        <v>0.294624</v>
      </c>
      <c r="AY65" s="6">
        <v>2.76E-2</v>
      </c>
      <c r="BA65" s="6">
        <v>0.34160200000000002</v>
      </c>
      <c r="BC65" s="6">
        <v>-0.93408100000000005</v>
      </c>
      <c r="BE65" s="6">
        <v>-0.75656000000000001</v>
      </c>
    </row>
    <row r="66" spans="1:57" s="36" customFormat="1" ht="12.6" x14ac:dyDescent="0.2">
      <c r="A66" s="24" t="s">
        <v>283</v>
      </c>
      <c r="B66" s="6">
        <v>-1.017752</v>
      </c>
      <c r="D66" s="6">
        <v>3.0059330000000002</v>
      </c>
      <c r="F66" s="6">
        <v>2.384528</v>
      </c>
      <c r="G66" s="6">
        <v>3.3111649999999999</v>
      </c>
      <c r="I66" s="6">
        <v>2.5083690000000001</v>
      </c>
      <c r="K66" s="6">
        <v>0.15876999999999999</v>
      </c>
      <c r="M66" s="6">
        <v>-0.35814000000000001</v>
      </c>
      <c r="O66" s="6">
        <v>1.1517999999999999</v>
      </c>
      <c r="Q66" s="6">
        <v>-2.0272299999999999</v>
      </c>
      <c r="S66" s="6">
        <v>0.35203000000000001</v>
      </c>
      <c r="U66" s="6">
        <v>0.68762000000000001</v>
      </c>
      <c r="W66" s="6">
        <v>1.4757400000000001</v>
      </c>
      <c r="Y66" s="6">
        <v>1.1559999999999999</v>
      </c>
      <c r="AA66" s="6">
        <v>0.24373</v>
      </c>
      <c r="AC66" s="6">
        <v>-2.0646300000000002</v>
      </c>
      <c r="AE66" s="6">
        <v>1.17239</v>
      </c>
      <c r="AG66" s="6">
        <v>0.36553999999999998</v>
      </c>
      <c r="AI66" s="6">
        <v>0.14051</v>
      </c>
      <c r="AK66" s="6">
        <v>0.89990999999999999</v>
      </c>
      <c r="AM66" s="6">
        <v>0.11673</v>
      </c>
      <c r="AO66" s="6">
        <v>1.81785</v>
      </c>
      <c r="AQ66" s="6">
        <v>1.9550000000000001E-2</v>
      </c>
      <c r="AS66" s="6">
        <v>0.77500999999999998</v>
      </c>
      <c r="AU66" s="6">
        <v>-0.23325000000000001</v>
      </c>
      <c r="AW66" s="6">
        <v>0.29461999999999999</v>
      </c>
      <c r="AY66" s="6">
        <v>2.76E-2</v>
      </c>
      <c r="BA66" s="6">
        <v>0.34160000000000001</v>
      </c>
      <c r="BC66" s="6">
        <v>-0.93408000000000002</v>
      </c>
      <c r="BE66" s="6">
        <v>-0.75656000000000001</v>
      </c>
    </row>
    <row r="67" spans="1:57" s="36" customFormat="1" ht="12.6" x14ac:dyDescent="0.2">
      <c r="A67" s="24" t="s">
        <v>284</v>
      </c>
      <c r="B67" s="6">
        <v>-0.42754700000000001</v>
      </c>
      <c r="D67" s="6">
        <v>5.3489040000000001</v>
      </c>
      <c r="F67" s="6">
        <v>4.5194150000000004</v>
      </c>
      <c r="G67" s="6">
        <v>3.7790210000000002</v>
      </c>
      <c r="I67" s="6">
        <v>6.6188370000000001</v>
      </c>
      <c r="K67" s="6">
        <v>-0.16063</v>
      </c>
      <c r="M67" s="6">
        <v>-1.2235199999999999</v>
      </c>
      <c r="O67" s="6">
        <v>1.1698900000000001</v>
      </c>
      <c r="Q67" s="6">
        <v>-1.9809399999999999</v>
      </c>
      <c r="S67" s="6">
        <v>1.2974000000000001</v>
      </c>
      <c r="U67" s="6">
        <v>0.61248000000000002</v>
      </c>
      <c r="W67" s="6">
        <v>2.1238700000000001</v>
      </c>
      <c r="Y67" s="6">
        <v>1.07578</v>
      </c>
      <c r="AA67" s="6">
        <v>1.47302</v>
      </c>
      <c r="AC67" s="6">
        <v>-1.7904100000000001</v>
      </c>
      <c r="AE67" s="6">
        <v>1.31932</v>
      </c>
      <c r="AG67" s="6">
        <v>-1.3671599999999999</v>
      </c>
      <c r="AI67" s="6">
        <v>0.60221999999999998</v>
      </c>
      <c r="AK67" s="6">
        <v>1.5690599999999999</v>
      </c>
      <c r="AM67" s="6">
        <v>-0.44217000000000001</v>
      </c>
      <c r="AO67" s="6">
        <v>0.33901999999999999</v>
      </c>
      <c r="AQ67" s="6">
        <v>0.18031</v>
      </c>
      <c r="AS67" s="6">
        <v>1.3469500000000001</v>
      </c>
      <c r="AU67" s="6">
        <v>0.2225</v>
      </c>
      <c r="AW67" s="6">
        <v>0.69084000000000001</v>
      </c>
      <c r="AY67" s="6">
        <v>1.11094</v>
      </c>
      <c r="BA67" s="6">
        <v>0.56140000000000001</v>
      </c>
      <c r="BC67" s="6">
        <v>0.37928000000000001</v>
      </c>
      <c r="BE67" s="6">
        <v>-0.11555</v>
      </c>
    </row>
    <row r="68" spans="1:57" s="36" customFormat="1" ht="12.6" x14ac:dyDescent="0.2">
      <c r="A68" s="24" t="s">
        <v>285</v>
      </c>
      <c r="B68" s="6">
        <v>-0.58658299999999997</v>
      </c>
      <c r="D68" s="6">
        <v>3.976369</v>
      </c>
      <c r="F68" s="6">
        <v>3.31799</v>
      </c>
      <c r="G68" s="6">
        <v>3.1223800000000002</v>
      </c>
      <c r="I68" s="6">
        <v>4.4155879999999996</v>
      </c>
      <c r="K68" s="6">
        <v>-0.31280000000000002</v>
      </c>
      <c r="M68" s="6">
        <v>-0.80464999999999998</v>
      </c>
      <c r="O68" s="6">
        <v>0.80981000000000003</v>
      </c>
      <c r="Q68" s="6">
        <v>-1.70268</v>
      </c>
      <c r="S68" s="6">
        <v>0.77422000000000002</v>
      </c>
      <c r="U68" s="6">
        <v>0.78481999999999996</v>
      </c>
      <c r="W68" s="6">
        <v>1.8821699999999999</v>
      </c>
      <c r="Y68" s="6">
        <v>0.98533999999999999</v>
      </c>
      <c r="AA68" s="6">
        <v>1.07111</v>
      </c>
      <c r="AC68" s="6">
        <v>-1.5069900000000001</v>
      </c>
      <c r="AE68" s="6">
        <v>1.1615500000000001</v>
      </c>
      <c r="AG68" s="6">
        <v>-0.85692999999999997</v>
      </c>
      <c r="AI68" s="6">
        <v>0.38307000000000002</v>
      </c>
      <c r="AK68" s="6">
        <v>1.19695</v>
      </c>
      <c r="AM68" s="6">
        <v>-0.43808999999999998</v>
      </c>
      <c r="AO68" s="6">
        <v>0.94515000000000005</v>
      </c>
      <c r="AQ68" s="6">
        <v>-0.35920999999999997</v>
      </c>
      <c r="AS68" s="6">
        <v>0.90576000000000001</v>
      </c>
      <c r="AU68" s="6">
        <v>-0.15215999999999999</v>
      </c>
      <c r="AW68" s="6">
        <v>0.49429000000000001</v>
      </c>
      <c r="AY68" s="6">
        <v>0.67974999999999997</v>
      </c>
      <c r="BA68" s="6">
        <v>0.74705999999999995</v>
      </c>
      <c r="BC68" s="6">
        <v>0.17621000000000001</v>
      </c>
      <c r="BE68" s="6">
        <v>-0.2331</v>
      </c>
    </row>
    <row r="69" spans="1:57" s="36" customFormat="1" ht="12.6" x14ac:dyDescent="0.2">
      <c r="A69" s="24" t="s">
        <v>286</v>
      </c>
      <c r="B69" s="6">
        <v>0.10016899999999999</v>
      </c>
      <c r="D69" s="6">
        <v>5.8204529999999997</v>
      </c>
      <c r="F69" s="6">
        <v>4.9542469999999996</v>
      </c>
      <c r="G69" s="6">
        <v>3.5403020000000001</v>
      </c>
      <c r="I69" s="6">
        <v>6.7634949999999998</v>
      </c>
      <c r="K69" s="6">
        <v>-0.10301</v>
      </c>
      <c r="M69" s="6">
        <v>-1.0114399999999999</v>
      </c>
      <c r="O69" s="6">
        <v>1.1466000000000001</v>
      </c>
      <c r="Q69" s="6">
        <v>-1.8201400000000001</v>
      </c>
      <c r="S69" s="6">
        <v>1.26508</v>
      </c>
      <c r="U69" s="6">
        <v>0.63177000000000005</v>
      </c>
      <c r="W69" s="6">
        <v>2.06894</v>
      </c>
      <c r="Y69" s="6">
        <v>1.12646</v>
      </c>
      <c r="AA69" s="6">
        <v>1.4604299999999999</v>
      </c>
      <c r="AC69" s="6">
        <v>-1.5942099999999999</v>
      </c>
      <c r="AE69" s="6">
        <v>1.2719100000000001</v>
      </c>
      <c r="AG69" s="6">
        <v>-1.21146</v>
      </c>
      <c r="AI69" s="6">
        <v>0.68447999999999998</v>
      </c>
      <c r="AK69" s="6">
        <v>1.4677899999999999</v>
      </c>
      <c r="AM69" s="6">
        <v>-0.50893999999999995</v>
      </c>
      <c r="AO69" s="6">
        <v>0.28587000000000001</v>
      </c>
      <c r="AQ69" s="6">
        <v>0.36135</v>
      </c>
      <c r="AS69" s="6">
        <v>1.36202</v>
      </c>
      <c r="AU69" s="6">
        <v>0.28009000000000001</v>
      </c>
      <c r="AW69" s="6">
        <v>0.73668999999999996</v>
      </c>
      <c r="AY69" s="6">
        <v>1.04437</v>
      </c>
      <c r="BA69" s="6">
        <v>0.50609999999999999</v>
      </c>
      <c r="BC69" s="6">
        <v>0.38150000000000001</v>
      </c>
      <c r="BE69" s="6">
        <v>-2.1669999999999998E-2</v>
      </c>
    </row>
    <row r="70" spans="1:57" s="36" customFormat="1" ht="12.6" x14ac:dyDescent="0.2">
      <c r="A70" s="24" t="s">
        <v>146</v>
      </c>
      <c r="B70" s="6">
        <v>3.6219839999999999</v>
      </c>
      <c r="D70" s="6">
        <v>10.191622000000001</v>
      </c>
      <c r="F70" s="6">
        <v>9.555733</v>
      </c>
      <c r="G70" s="6">
        <v>2.7110530000000002</v>
      </c>
      <c r="I70" s="6">
        <v>9.5572149999999993</v>
      </c>
      <c r="K70" s="6">
        <v>1.506E-2</v>
      </c>
      <c r="M70" s="6">
        <v>0.79920999999999998</v>
      </c>
      <c r="O70" s="6">
        <v>1.4799</v>
      </c>
      <c r="Q70" s="6">
        <v>-0.72550000000000003</v>
      </c>
      <c r="S70" s="6">
        <v>1.1112599999999999</v>
      </c>
      <c r="U70" s="6">
        <v>0.56979000000000002</v>
      </c>
      <c r="W70" s="6">
        <v>1.73315</v>
      </c>
      <c r="Y70" s="6">
        <v>1.64181</v>
      </c>
      <c r="AA70" s="6">
        <v>1.69939</v>
      </c>
      <c r="AC70" s="6">
        <v>-0.15723999999999999</v>
      </c>
      <c r="AE70" s="6">
        <v>1.2899499999999999</v>
      </c>
      <c r="AG70" s="6">
        <v>-0.25624000000000002</v>
      </c>
      <c r="AI70" s="6">
        <v>1.3345199999999999</v>
      </c>
      <c r="AK70" s="6">
        <v>0.76971999999999996</v>
      </c>
      <c r="AM70" s="6">
        <v>-0.96199000000000001</v>
      </c>
      <c r="AO70" s="6">
        <v>-3.0159999999999999E-2</v>
      </c>
      <c r="AQ70" s="6">
        <v>1.6452100000000001</v>
      </c>
      <c r="AS70" s="6">
        <v>1.6890499999999999</v>
      </c>
      <c r="AU70" s="6">
        <v>0.84724999999999995</v>
      </c>
      <c r="AW70" s="6">
        <v>1.0837000000000001</v>
      </c>
      <c r="AY70" s="6">
        <v>0.58796999999999999</v>
      </c>
      <c r="BA70" s="6">
        <v>1.0346599999999999</v>
      </c>
      <c r="BC70" s="6">
        <v>0.44207000000000002</v>
      </c>
      <c r="BE70" s="6">
        <v>0.74980999999999998</v>
      </c>
    </row>
    <row r="71" spans="1:57" s="36" customFormat="1" ht="12.6" x14ac:dyDescent="0.2">
      <c r="A71" s="24" t="s">
        <v>287</v>
      </c>
      <c r="B71" s="6">
        <v>-0.95124200000000003</v>
      </c>
      <c r="D71" s="6">
        <v>3.2892250000000001</v>
      </c>
      <c r="F71" s="6">
        <v>2.4628239999999999</v>
      </c>
      <c r="G71" s="6">
        <v>2.9347479999999999</v>
      </c>
      <c r="I71" s="6">
        <v>3.0808629999999999</v>
      </c>
      <c r="K71" s="6">
        <v>-0.38295000000000001</v>
      </c>
      <c r="M71" s="6">
        <v>-0.60851</v>
      </c>
      <c r="O71" s="6">
        <v>0.65654999999999997</v>
      </c>
      <c r="Q71" s="6">
        <v>-1.56175</v>
      </c>
      <c r="S71" s="6">
        <v>0.38921</v>
      </c>
      <c r="U71" s="6">
        <v>0.77812999999999999</v>
      </c>
      <c r="W71" s="6">
        <v>1.7500199999999999</v>
      </c>
      <c r="Y71" s="6">
        <v>0.92928999999999995</v>
      </c>
      <c r="AA71" s="6">
        <v>0.97933999999999999</v>
      </c>
      <c r="AC71" s="6">
        <v>-1.36107</v>
      </c>
      <c r="AE71" s="6">
        <v>1.09378</v>
      </c>
      <c r="AG71" s="6">
        <v>-0.76715999999999995</v>
      </c>
      <c r="AI71" s="6">
        <v>0.27733000000000002</v>
      </c>
      <c r="AK71" s="6">
        <v>0.96938999999999997</v>
      </c>
      <c r="AM71" s="6">
        <v>-0.52534999999999998</v>
      </c>
      <c r="AO71" s="6">
        <v>1.2350399999999999</v>
      </c>
      <c r="AQ71" s="6">
        <v>-0.56442000000000003</v>
      </c>
      <c r="AS71" s="6">
        <v>0.73899000000000004</v>
      </c>
      <c r="AU71" s="6">
        <v>-0.29735</v>
      </c>
      <c r="AW71" s="6">
        <v>0.26179999999999998</v>
      </c>
      <c r="AY71" s="6">
        <v>0.50270000000000004</v>
      </c>
      <c r="BA71" s="6">
        <v>0.79605000000000004</v>
      </c>
      <c r="BC71" s="6">
        <v>3.3610000000000001E-2</v>
      </c>
      <c r="BE71" s="6">
        <v>-0.36923</v>
      </c>
    </row>
    <row r="72" spans="1:57" s="36" customFormat="1" ht="12.6" x14ac:dyDescent="0.2">
      <c r="A72" s="24" t="s">
        <v>288</v>
      </c>
      <c r="B72" s="6">
        <v>-0.42310700000000001</v>
      </c>
      <c r="D72" s="6">
        <v>4.2003979999999999</v>
      </c>
      <c r="F72" s="6">
        <v>3.5505800000000001</v>
      </c>
      <c r="G72" s="6">
        <v>3.0704199999999999</v>
      </c>
      <c r="I72" s="6">
        <v>4.6314780000000004</v>
      </c>
      <c r="K72" s="6">
        <v>-0.29894999999999999</v>
      </c>
      <c r="M72" s="6">
        <v>-0.74411000000000005</v>
      </c>
      <c r="O72" s="6">
        <v>0.82372999999999996</v>
      </c>
      <c r="Q72" s="6">
        <v>-1.6631100000000001</v>
      </c>
      <c r="S72" s="6">
        <v>0.78549999999999998</v>
      </c>
      <c r="U72" s="6">
        <v>0.77954999999999997</v>
      </c>
      <c r="W72" s="6">
        <v>1.8772</v>
      </c>
      <c r="Y72" s="6">
        <v>1.00759</v>
      </c>
      <c r="AA72" s="6">
        <v>1.09667</v>
      </c>
      <c r="AC72" s="6">
        <v>-1.4596499999999999</v>
      </c>
      <c r="AE72" s="6">
        <v>1.1614</v>
      </c>
      <c r="AG72" s="6">
        <v>-0.83916000000000002</v>
      </c>
      <c r="AI72" s="6">
        <v>0.42527999999999999</v>
      </c>
      <c r="AK72" s="6">
        <v>1.17116</v>
      </c>
      <c r="AM72" s="6">
        <v>-0.45724999999999999</v>
      </c>
      <c r="AO72" s="6">
        <v>0.91129000000000004</v>
      </c>
      <c r="AQ72" s="6">
        <v>-0.27627000000000002</v>
      </c>
      <c r="AS72" s="6">
        <v>0.93167999999999995</v>
      </c>
      <c r="AU72" s="6">
        <v>-0.10630000000000001</v>
      </c>
      <c r="AW72" s="6">
        <v>0.51144000000000001</v>
      </c>
      <c r="AY72" s="6">
        <v>0.68130999999999997</v>
      </c>
      <c r="BA72" s="6">
        <v>0.75621000000000005</v>
      </c>
      <c r="BC72" s="6">
        <v>0.19420999999999999</v>
      </c>
      <c r="BE72" s="6">
        <v>-0.19087000000000001</v>
      </c>
    </row>
    <row r="73" spans="1:57" s="36" customFormat="1" ht="12.6" x14ac:dyDescent="0.2">
      <c r="A73" s="24" t="s">
        <v>289</v>
      </c>
      <c r="B73" s="6">
        <v>1.9403589999999999</v>
      </c>
      <c r="D73" s="6">
        <v>4.2036509999999998</v>
      </c>
      <c r="F73" s="6">
        <v>4.6014499999999998</v>
      </c>
      <c r="G73" s="6">
        <v>6.7311909999999999</v>
      </c>
      <c r="I73" s="6">
        <v>-1.289717</v>
      </c>
      <c r="K73" s="6">
        <v>2.9325299999999999</v>
      </c>
      <c r="M73" s="6">
        <v>0.18851999999999999</v>
      </c>
      <c r="O73" s="6">
        <v>0.44972000000000001</v>
      </c>
      <c r="Q73" s="6">
        <v>-1.86859</v>
      </c>
      <c r="S73" s="6">
        <v>-0.93806</v>
      </c>
      <c r="U73" s="6">
        <v>0.58499000000000001</v>
      </c>
      <c r="W73" s="6">
        <v>4.51152</v>
      </c>
      <c r="Y73" s="6">
        <v>-2.5268899999999999</v>
      </c>
      <c r="AA73" s="6">
        <v>-1.0224599999999999</v>
      </c>
      <c r="AC73" s="6">
        <v>3.3938100000000002</v>
      </c>
      <c r="AE73" s="6">
        <v>1.3265400000000001</v>
      </c>
      <c r="AG73" s="6">
        <v>3.5958199999999998</v>
      </c>
      <c r="AI73" s="6">
        <v>-0.22384999999999999</v>
      </c>
      <c r="AK73" s="6">
        <v>2.4680200000000001</v>
      </c>
      <c r="AM73" s="6">
        <v>2.034E-2</v>
      </c>
      <c r="AO73" s="6">
        <v>-1.9930399999999999</v>
      </c>
      <c r="AQ73" s="6">
        <v>-1.5970800000000001</v>
      </c>
      <c r="AS73" s="6">
        <v>-0.56894999999999996</v>
      </c>
      <c r="AU73" s="6">
        <v>1.3870199999999999</v>
      </c>
      <c r="AW73" s="6">
        <v>-0.58899000000000001</v>
      </c>
      <c r="AY73" s="6">
        <v>-0.40825</v>
      </c>
      <c r="BA73" s="6">
        <v>1.8620399999999999</v>
      </c>
      <c r="BC73" s="6">
        <v>0.44141999999999998</v>
      </c>
      <c r="BE73" s="6">
        <v>-1.9818199999999999</v>
      </c>
    </row>
    <row r="74" spans="1:57" s="36" customFormat="1" ht="12.6" x14ac:dyDescent="0.2">
      <c r="A74" s="24" t="s">
        <v>290</v>
      </c>
      <c r="B74" s="6">
        <v>6.298457</v>
      </c>
      <c r="D74" s="6">
        <v>5.5039480000000003</v>
      </c>
      <c r="F74" s="6">
        <v>6.0144970000000004</v>
      </c>
      <c r="G74" s="6">
        <v>8.2014870000000002</v>
      </c>
      <c r="I74" s="6">
        <v>-3.1690860000000001</v>
      </c>
      <c r="K74" s="6">
        <v>3.6724950000000001</v>
      </c>
      <c r="M74" s="6">
        <v>1.947686</v>
      </c>
      <c r="O74" s="6">
        <v>0.26478200000000002</v>
      </c>
      <c r="Q74" s="6">
        <v>0.90743799999999997</v>
      </c>
      <c r="S74" s="6">
        <v>-1.8858699999999999</v>
      </c>
      <c r="U74" s="6">
        <v>-7.6790000000000001E-3</v>
      </c>
      <c r="W74" s="6">
        <v>2.735719</v>
      </c>
      <c r="Y74" s="6">
        <v>-3.294454</v>
      </c>
      <c r="AA74" s="6">
        <v>-1.782597</v>
      </c>
      <c r="AC74" s="6">
        <v>6.3354340000000002</v>
      </c>
      <c r="AE74" s="6">
        <v>0.94027099999999997</v>
      </c>
      <c r="AG74" s="6">
        <v>5.6335790000000001</v>
      </c>
      <c r="AI74" s="6">
        <v>-0.36804599999999998</v>
      </c>
      <c r="AK74" s="6">
        <v>0.63378299999999999</v>
      </c>
      <c r="AM74" s="6">
        <v>0.13128500000000001</v>
      </c>
      <c r="AO74" s="6">
        <v>-2.2665860000000002</v>
      </c>
      <c r="AQ74" s="6">
        <v>-0.203017</v>
      </c>
      <c r="AS74" s="6">
        <v>-1.4655480000000001</v>
      </c>
      <c r="AU74" s="6">
        <v>2.1603720000000002</v>
      </c>
      <c r="AW74" s="6">
        <v>-1.249743</v>
      </c>
      <c r="AY74" s="6">
        <v>-0.90926899999999999</v>
      </c>
      <c r="BA74" s="6">
        <v>1.6069340000000001</v>
      </c>
      <c r="BC74" s="6">
        <v>0.122154</v>
      </c>
      <c r="BE74" s="6">
        <v>-1.316181</v>
      </c>
    </row>
    <row r="75" spans="1:57" s="36" customFormat="1" ht="12.6" x14ac:dyDescent="0.2">
      <c r="A75" s="24" t="s">
        <v>291</v>
      </c>
      <c r="B75" s="6">
        <v>3.732834</v>
      </c>
      <c r="D75" s="6">
        <v>5.149597</v>
      </c>
      <c r="F75" s="6">
        <v>5.2617409999999998</v>
      </c>
      <c r="G75" s="6">
        <v>0.103134</v>
      </c>
      <c r="I75" s="6">
        <v>5.0076650000000003</v>
      </c>
      <c r="K75" s="6">
        <v>0.45441199999999998</v>
      </c>
      <c r="M75" s="6">
        <v>0.42396099999999998</v>
      </c>
      <c r="O75" s="6">
        <v>0.451874</v>
      </c>
      <c r="Q75" s="6">
        <v>0.43437599999999998</v>
      </c>
      <c r="S75" s="6">
        <v>0.45949899999999999</v>
      </c>
      <c r="U75" s="6">
        <v>0.432228</v>
      </c>
      <c r="W75" s="6">
        <v>0.45850299999999999</v>
      </c>
      <c r="Y75" s="6">
        <v>0.46266600000000002</v>
      </c>
      <c r="AA75" s="6">
        <v>0.440828</v>
      </c>
      <c r="AC75" s="6">
        <v>0.45915899999999998</v>
      </c>
      <c r="AE75" s="6">
        <v>0.44278899999999999</v>
      </c>
      <c r="AG75" s="6">
        <v>0.46139599999999997</v>
      </c>
      <c r="AI75" s="6">
        <v>0.46672999999999998</v>
      </c>
      <c r="AK75" s="6">
        <v>0.41553099999999998</v>
      </c>
      <c r="AM75" s="6">
        <v>0.43178800000000001</v>
      </c>
      <c r="AO75" s="6">
        <v>0.43466399999999999</v>
      </c>
      <c r="AQ75" s="6">
        <v>0.42817100000000002</v>
      </c>
      <c r="AS75" s="6">
        <v>0.40024199999999999</v>
      </c>
      <c r="AU75" s="6">
        <v>0.38566400000000001</v>
      </c>
      <c r="AW75" s="6">
        <v>0.40518599999999999</v>
      </c>
      <c r="AY75" s="6">
        <v>0.37489600000000001</v>
      </c>
      <c r="BA75" s="6">
        <v>0.381164</v>
      </c>
      <c r="BC75" s="6">
        <v>0.37786900000000001</v>
      </c>
      <c r="BE75" s="6">
        <v>0.39441599999999999</v>
      </c>
    </row>
    <row r="76" spans="1:57" s="36" customFormat="1" ht="12.6" x14ac:dyDescent="0.2">
      <c r="A76" s="24" t="s">
        <v>292</v>
      </c>
      <c r="B76" s="6">
        <v>4.2462549999999997</v>
      </c>
      <c r="D76" s="6">
        <v>5.6702009999999996</v>
      </c>
      <c r="F76" s="6">
        <v>5.783137</v>
      </c>
      <c r="G76" s="6">
        <v>0.10416300000000001</v>
      </c>
      <c r="I76" s="6">
        <v>5.5270929999999998</v>
      </c>
      <c r="K76" s="6">
        <v>0.49651899999999999</v>
      </c>
      <c r="M76" s="6">
        <v>0.46333999999999997</v>
      </c>
      <c r="O76" s="6">
        <v>0.49397999999999997</v>
      </c>
      <c r="Q76" s="6">
        <v>0.47511599999999998</v>
      </c>
      <c r="S76" s="6">
        <v>0.50160899999999997</v>
      </c>
      <c r="U76" s="6">
        <v>0.472968</v>
      </c>
      <c r="W76" s="6">
        <v>0.50061199999999995</v>
      </c>
      <c r="Y76" s="6">
        <v>0.50477700000000003</v>
      </c>
      <c r="AA76" s="6">
        <v>0.48157100000000003</v>
      </c>
      <c r="AC76" s="6">
        <v>0.50126800000000005</v>
      </c>
      <c r="AE76" s="6">
        <v>0.48353299999999999</v>
      </c>
      <c r="AG76" s="6">
        <v>0.50350600000000001</v>
      </c>
      <c r="AI76" s="6">
        <v>0.50884200000000002</v>
      </c>
      <c r="AK76" s="6">
        <v>0.45354699999999998</v>
      </c>
      <c r="AM76" s="6">
        <v>0.47388599999999997</v>
      </c>
      <c r="AO76" s="6">
        <v>0.47540500000000002</v>
      </c>
      <c r="AQ76" s="6">
        <v>0.47026699999999999</v>
      </c>
      <c r="AS76" s="6">
        <v>0.440969</v>
      </c>
      <c r="AU76" s="6">
        <v>0.42774299999999998</v>
      </c>
      <c r="AW76" s="6">
        <v>0.44727299999999998</v>
      </c>
      <c r="AY76" s="6">
        <v>0.41561300000000001</v>
      </c>
      <c r="BA76" s="6">
        <v>0.42324200000000001</v>
      </c>
      <c r="BC76" s="6">
        <v>0.41858699999999999</v>
      </c>
      <c r="BE76" s="6">
        <v>0.436498</v>
      </c>
    </row>
    <row r="77" spans="1:57" s="36" customFormat="1" ht="12.6" x14ac:dyDescent="0.2">
      <c r="A77" s="24" t="s">
        <v>293</v>
      </c>
      <c r="B77" s="6">
        <v>4.7596749999999997</v>
      </c>
      <c r="D77" s="6">
        <v>6.1908050000000001</v>
      </c>
      <c r="F77" s="6">
        <v>6.3045340000000003</v>
      </c>
      <c r="G77" s="6">
        <v>0.105305</v>
      </c>
      <c r="I77" s="6">
        <v>6.0465179999999998</v>
      </c>
      <c r="K77" s="6">
        <v>0.53843600000000003</v>
      </c>
      <c r="M77" s="6">
        <v>0.50253899999999996</v>
      </c>
      <c r="O77" s="6">
        <v>0.53589600000000004</v>
      </c>
      <c r="Q77" s="6">
        <v>0.51567300000000005</v>
      </c>
      <c r="S77" s="6">
        <v>0.54352800000000001</v>
      </c>
      <c r="U77" s="6">
        <v>0.51352399999999998</v>
      </c>
      <c r="W77" s="6">
        <v>0.54253099999999999</v>
      </c>
      <c r="Y77" s="6">
        <v>0.54669800000000002</v>
      </c>
      <c r="AA77" s="6">
        <v>0.52212999999999998</v>
      </c>
      <c r="AC77" s="6">
        <v>0.54318699999999998</v>
      </c>
      <c r="AE77" s="6">
        <v>0.52409300000000003</v>
      </c>
      <c r="AG77" s="6">
        <v>0.54542599999999997</v>
      </c>
      <c r="AI77" s="6">
        <v>0.55076499999999995</v>
      </c>
      <c r="AK77" s="6">
        <v>0.491392</v>
      </c>
      <c r="AM77" s="6">
        <v>0.515795</v>
      </c>
      <c r="AO77" s="6">
        <v>0.51596200000000003</v>
      </c>
      <c r="AQ77" s="6">
        <v>0.51217400000000002</v>
      </c>
      <c r="AS77" s="6">
        <v>0.48151300000000002</v>
      </c>
      <c r="AU77" s="6">
        <v>0.46963300000000002</v>
      </c>
      <c r="AW77" s="6">
        <v>0.48917100000000002</v>
      </c>
      <c r="AY77" s="6">
        <v>0.456146</v>
      </c>
      <c r="BA77" s="6">
        <v>0.46512999999999999</v>
      </c>
      <c r="BC77" s="6">
        <v>0.45912199999999997</v>
      </c>
      <c r="BE77" s="6">
        <v>0.47839199999999998</v>
      </c>
    </row>
    <row r="78" spans="1:57" s="36" customFormat="1" ht="12.6" x14ac:dyDescent="0.2">
      <c r="A78" s="24" t="s">
        <v>294</v>
      </c>
      <c r="B78" s="6">
        <v>5.2730949999999996</v>
      </c>
      <c r="D78" s="6">
        <v>6.7114099999999999</v>
      </c>
      <c r="F78" s="6">
        <v>6.8259340000000002</v>
      </c>
      <c r="G78" s="6">
        <v>0.106555</v>
      </c>
      <c r="I78" s="6">
        <v>6.5659419999999997</v>
      </c>
      <c r="K78" s="6">
        <v>0.58016699999999999</v>
      </c>
      <c r="M78" s="6">
        <v>0.54156300000000002</v>
      </c>
      <c r="O78" s="6">
        <v>0.57762500000000006</v>
      </c>
      <c r="Q78" s="6">
        <v>0.55604799999999999</v>
      </c>
      <c r="S78" s="6">
        <v>0.58526</v>
      </c>
      <c r="U78" s="6">
        <v>0.553898</v>
      </c>
      <c r="W78" s="6">
        <v>0.58426299999999998</v>
      </c>
      <c r="Y78" s="6">
        <v>0.58843100000000004</v>
      </c>
      <c r="AA78" s="6">
        <v>0.56250800000000001</v>
      </c>
      <c r="AC78" s="6">
        <v>0.58491899999999997</v>
      </c>
      <c r="AE78" s="6">
        <v>0.56447099999999995</v>
      </c>
      <c r="AG78" s="6">
        <v>0.58715899999999999</v>
      </c>
      <c r="AI78" s="6">
        <v>0.59250000000000003</v>
      </c>
      <c r="AK78" s="6">
        <v>0.52906500000000001</v>
      </c>
      <c r="AM78" s="6">
        <v>0.55751600000000001</v>
      </c>
      <c r="AO78" s="6">
        <v>0.55633600000000005</v>
      </c>
      <c r="AQ78" s="6">
        <v>0.553894</v>
      </c>
      <c r="AS78" s="6">
        <v>0.52187399999999995</v>
      </c>
      <c r="AU78" s="6">
        <v>0.51133600000000001</v>
      </c>
      <c r="AW78" s="6">
        <v>0.53088199999999997</v>
      </c>
      <c r="AY78" s="6">
        <v>0.49649799999999999</v>
      </c>
      <c r="BA78" s="6">
        <v>0.50683100000000003</v>
      </c>
      <c r="BC78" s="6">
        <v>0.499475</v>
      </c>
      <c r="BE78" s="6">
        <v>0.52009799999999995</v>
      </c>
    </row>
    <row r="79" spans="1:57" s="36" customFormat="1" ht="12.6" x14ac:dyDescent="0.2">
      <c r="A79" s="24" t="s">
        <v>295</v>
      </c>
      <c r="B79" s="6">
        <v>5.7865140000000004</v>
      </c>
      <c r="D79" s="6">
        <v>7.2320149999999996</v>
      </c>
      <c r="F79" s="6">
        <v>7.347334</v>
      </c>
      <c r="G79" s="6">
        <v>0.107908</v>
      </c>
      <c r="I79" s="6">
        <v>7.0853640000000002</v>
      </c>
      <c r="K79" s="6">
        <v>0.62171100000000001</v>
      </c>
      <c r="M79" s="6">
        <v>0.58041100000000001</v>
      </c>
      <c r="O79" s="6">
        <v>0.61916899999999997</v>
      </c>
      <c r="Q79" s="6">
        <v>0.59624200000000005</v>
      </c>
      <c r="S79" s="6">
        <v>0.626807</v>
      </c>
      <c r="U79" s="6">
        <v>0.59409100000000004</v>
      </c>
      <c r="W79" s="6">
        <v>0.62580899999999995</v>
      </c>
      <c r="Y79" s="6">
        <v>0.62997899999999996</v>
      </c>
      <c r="AA79" s="6">
        <v>0.60270400000000002</v>
      </c>
      <c r="AC79" s="6">
        <v>0.62646500000000005</v>
      </c>
      <c r="AE79" s="6">
        <v>0.60466799999999998</v>
      </c>
      <c r="AG79" s="6">
        <v>0.62870599999999999</v>
      </c>
      <c r="AI79" s="6">
        <v>0.63404899999999997</v>
      </c>
      <c r="AK79" s="6">
        <v>0.56656899999999999</v>
      </c>
      <c r="AM79" s="6">
        <v>0.599051</v>
      </c>
      <c r="AO79" s="6">
        <v>0.59653100000000003</v>
      </c>
      <c r="AQ79" s="6">
        <v>0.59542700000000004</v>
      </c>
      <c r="AS79" s="6">
        <v>0.56205499999999997</v>
      </c>
      <c r="AU79" s="6">
        <v>0.55285300000000004</v>
      </c>
      <c r="AW79" s="6">
        <v>0.57240599999999997</v>
      </c>
      <c r="AY79" s="6">
        <v>0.53666899999999995</v>
      </c>
      <c r="BA79" s="6">
        <v>0.548346</v>
      </c>
      <c r="BC79" s="6">
        <v>0.53964699999999999</v>
      </c>
      <c r="BE79" s="6">
        <v>0.56161799999999995</v>
      </c>
    </row>
    <row r="80" spans="1:57" s="36" customFormat="1" ht="12.6" x14ac:dyDescent="0.2">
      <c r="A80" s="24" t="s">
        <v>296</v>
      </c>
      <c r="B80" s="6">
        <v>6.8133509999999999</v>
      </c>
      <c r="D80" s="6">
        <v>8.2732259999999993</v>
      </c>
      <c r="F80" s="6">
        <v>8.3901400000000006</v>
      </c>
      <c r="G80" s="6">
        <v>0.110902</v>
      </c>
      <c r="I80" s="6">
        <v>8.1242009999999993</v>
      </c>
      <c r="K80" s="6">
        <v>0.70424900000000001</v>
      </c>
      <c r="M80" s="6">
        <v>0.65759000000000001</v>
      </c>
      <c r="O80" s="6">
        <v>0.70170399999999999</v>
      </c>
      <c r="Q80" s="6">
        <v>0.67609600000000003</v>
      </c>
      <c r="S80" s="6">
        <v>0.70934900000000001</v>
      </c>
      <c r="U80" s="6">
        <v>0.67394399999999999</v>
      </c>
      <c r="W80" s="6">
        <v>0.70835000000000004</v>
      </c>
      <c r="Y80" s="6">
        <v>0.71252300000000002</v>
      </c>
      <c r="AA80" s="6">
        <v>0.68256300000000003</v>
      </c>
      <c r="AC80" s="6">
        <v>0.70900700000000005</v>
      </c>
      <c r="AE80" s="6">
        <v>0.68452900000000005</v>
      </c>
      <c r="AG80" s="6">
        <v>0.71125000000000005</v>
      </c>
      <c r="AI80" s="6">
        <v>0.71659700000000004</v>
      </c>
      <c r="AK80" s="6">
        <v>0.64107499999999995</v>
      </c>
      <c r="AM80" s="6">
        <v>0.68157100000000004</v>
      </c>
      <c r="AO80" s="6">
        <v>0.67638500000000001</v>
      </c>
      <c r="AQ80" s="6">
        <v>0.67794399999999999</v>
      </c>
      <c r="AS80" s="6">
        <v>0.64188299999999998</v>
      </c>
      <c r="AU80" s="6">
        <v>0.63533600000000001</v>
      </c>
      <c r="AW80" s="6">
        <v>0.65490499999999996</v>
      </c>
      <c r="AY80" s="6">
        <v>0.61647700000000005</v>
      </c>
      <c r="BA80" s="6">
        <v>0.63082499999999997</v>
      </c>
      <c r="BC80" s="6">
        <v>0.61945799999999995</v>
      </c>
      <c r="BE80" s="6">
        <v>0.64410800000000001</v>
      </c>
    </row>
    <row r="81" spans="1:72" s="36" customFormat="1" ht="12.6" x14ac:dyDescent="0.2">
      <c r="A81" s="24" t="s">
        <v>297</v>
      </c>
      <c r="B81" s="6">
        <v>7.8401860000000001</v>
      </c>
      <c r="D81" s="6">
        <v>9.3144380000000009</v>
      </c>
      <c r="F81" s="6">
        <v>9.4329509999999992</v>
      </c>
      <c r="G81" s="6">
        <v>0.114246</v>
      </c>
      <c r="I81" s="6">
        <v>9.1630299999999991</v>
      </c>
      <c r="K81" s="6">
        <v>0.78606299999999996</v>
      </c>
      <c r="M81" s="6">
        <v>0.73408899999999999</v>
      </c>
      <c r="O81" s="6">
        <v>0.78351700000000002</v>
      </c>
      <c r="Q81" s="6">
        <v>0.75524800000000003</v>
      </c>
      <c r="S81" s="6">
        <v>0.79116699999999995</v>
      </c>
      <c r="U81" s="6">
        <v>0.75309400000000004</v>
      </c>
      <c r="W81" s="6">
        <v>0.79016799999999998</v>
      </c>
      <c r="Y81" s="6">
        <v>0.79434400000000005</v>
      </c>
      <c r="AA81" s="6">
        <v>0.76172099999999998</v>
      </c>
      <c r="AC81" s="6">
        <v>0.790825</v>
      </c>
      <c r="AE81" s="6">
        <v>0.76368800000000003</v>
      </c>
      <c r="AG81" s="6">
        <v>0.79307000000000005</v>
      </c>
      <c r="AI81" s="6">
        <v>0.79842100000000005</v>
      </c>
      <c r="AK81" s="6">
        <v>0.71492299999999998</v>
      </c>
      <c r="AM81" s="6">
        <v>0.76336800000000005</v>
      </c>
      <c r="AO81" s="6">
        <v>0.75553800000000004</v>
      </c>
      <c r="AQ81" s="6">
        <v>0.75973800000000002</v>
      </c>
      <c r="AS81" s="6">
        <v>0.72100900000000001</v>
      </c>
      <c r="AU81" s="6">
        <v>0.71709599999999996</v>
      </c>
      <c r="AW81" s="6">
        <v>0.73668100000000003</v>
      </c>
      <c r="AY81" s="6">
        <v>0.69558399999999998</v>
      </c>
      <c r="BA81" s="6">
        <v>0.71258200000000005</v>
      </c>
      <c r="BC81" s="6">
        <v>0.69856700000000005</v>
      </c>
      <c r="BE81" s="6">
        <v>0.72587500000000005</v>
      </c>
    </row>
    <row r="82" spans="1:72" s="36" customFormat="1" ht="12.6" x14ac:dyDescent="0.2">
      <c r="A82" s="24" t="s">
        <v>298</v>
      </c>
      <c r="B82" s="6">
        <v>9.8938489999999994</v>
      </c>
      <c r="D82" s="6">
        <v>11.396865999999999</v>
      </c>
      <c r="F82" s="6">
        <v>11.51859</v>
      </c>
      <c r="G82" s="6">
        <v>0.121826</v>
      </c>
      <c r="I82" s="6">
        <v>11.240665999999999</v>
      </c>
      <c r="K82" s="6">
        <v>0.94757499999999995</v>
      </c>
      <c r="M82" s="6">
        <v>0.88509599999999999</v>
      </c>
      <c r="O82" s="6">
        <v>0.945025</v>
      </c>
      <c r="Q82" s="6">
        <v>0.91149899999999995</v>
      </c>
      <c r="S82" s="6">
        <v>0.95268699999999995</v>
      </c>
      <c r="U82" s="6">
        <v>0.90934199999999998</v>
      </c>
      <c r="W82" s="6">
        <v>0.95168600000000003</v>
      </c>
      <c r="Y82" s="6">
        <v>0.95586899999999997</v>
      </c>
      <c r="AA82" s="6">
        <v>0.91798100000000005</v>
      </c>
      <c r="AC82" s="6">
        <v>0.952345</v>
      </c>
      <c r="AE82" s="6">
        <v>0.91995099999999996</v>
      </c>
      <c r="AG82" s="6">
        <v>0.95459300000000002</v>
      </c>
      <c r="AI82" s="6">
        <v>0.95995200000000003</v>
      </c>
      <c r="AK82" s="6">
        <v>0.86068999999999996</v>
      </c>
      <c r="AM82" s="6">
        <v>0.92484500000000003</v>
      </c>
      <c r="AO82" s="6">
        <v>0.91178899999999996</v>
      </c>
      <c r="AQ82" s="6">
        <v>0.92120999999999997</v>
      </c>
      <c r="AS82" s="6">
        <v>0.87720799999999999</v>
      </c>
      <c r="AU82" s="6">
        <v>0.87850099999999998</v>
      </c>
      <c r="AW82" s="6">
        <v>0.89811600000000003</v>
      </c>
      <c r="AY82" s="6">
        <v>0.85174499999999997</v>
      </c>
      <c r="BA82" s="6">
        <v>0.87397999999999998</v>
      </c>
      <c r="BC82" s="6">
        <v>0.85473299999999997</v>
      </c>
      <c r="BE82" s="6">
        <v>0.88729400000000003</v>
      </c>
    </row>
    <row r="83" spans="1:72" s="36" customFormat="1" ht="12.6" x14ac:dyDescent="0.2">
      <c r="A83" s="24" t="s">
        <v>299</v>
      </c>
      <c r="B83" s="6">
        <v>2.518548</v>
      </c>
      <c r="D83" s="6">
        <v>3.9208889999999998</v>
      </c>
      <c r="F83" s="6">
        <v>4.0078100000000001</v>
      </c>
      <c r="G83" s="6">
        <v>9.1859999999999997E-2</v>
      </c>
      <c r="I83" s="6">
        <v>3.7559149999999999</v>
      </c>
      <c r="K83" s="6">
        <v>0.35399000000000003</v>
      </c>
      <c r="M83" s="6">
        <v>0.33112900000000001</v>
      </c>
      <c r="O83" s="6">
        <v>0.353993</v>
      </c>
      <c r="Q83" s="6">
        <v>0.34256399999999998</v>
      </c>
      <c r="S83" s="6">
        <v>0.353993</v>
      </c>
      <c r="U83" s="6">
        <v>0.342561</v>
      </c>
      <c r="W83" s="6">
        <v>0.35399199999999997</v>
      </c>
      <c r="Y83" s="6">
        <v>0.353991</v>
      </c>
      <c r="AA83" s="6">
        <v>0.342559</v>
      </c>
      <c r="AC83" s="6">
        <v>0.35399999999999998</v>
      </c>
      <c r="AE83" s="6">
        <v>0.34256700000000001</v>
      </c>
      <c r="AG83" s="6">
        <v>0.35398800000000002</v>
      </c>
      <c r="AI83" s="6">
        <v>0.35400100000000001</v>
      </c>
      <c r="AK83" s="6">
        <v>0.31271500000000002</v>
      </c>
      <c r="AM83" s="6">
        <v>0.33238400000000001</v>
      </c>
      <c r="AO83" s="6">
        <v>0.32166800000000001</v>
      </c>
      <c r="AQ83" s="6">
        <v>0.32473999999999997</v>
      </c>
      <c r="AS83" s="6">
        <v>0.30075600000000002</v>
      </c>
      <c r="AU83" s="6">
        <v>0.31080999999999998</v>
      </c>
      <c r="AW83" s="6">
        <v>0.29755900000000002</v>
      </c>
      <c r="AY83" s="6">
        <v>0.27987499999999998</v>
      </c>
      <c r="BA83" s="6">
        <v>0.28920299999999999</v>
      </c>
      <c r="BC83" s="6">
        <v>0.27987400000000001</v>
      </c>
      <c r="BE83" s="6">
        <v>0.28921200000000002</v>
      </c>
    </row>
    <row r="84" spans="1:72" s="36" customFormat="1" ht="12.6" x14ac:dyDescent="0.2">
      <c r="A84" s="24" t="s">
        <v>300</v>
      </c>
      <c r="B84" s="6">
        <v>3.2730489999999999</v>
      </c>
      <c r="D84" s="6">
        <v>4.5867709999999997</v>
      </c>
      <c r="F84" s="6">
        <v>4.6312300000000004</v>
      </c>
      <c r="G84" s="6">
        <v>9.9781999999999996E-2</v>
      </c>
      <c r="I84" s="6">
        <v>4.3412309999999996</v>
      </c>
      <c r="K84" s="6">
        <v>0.40478799999999998</v>
      </c>
      <c r="M84" s="6">
        <v>0.377832</v>
      </c>
      <c r="O84" s="6">
        <v>0.404026</v>
      </c>
      <c r="Q84" s="6">
        <v>0.39280500000000002</v>
      </c>
      <c r="S84" s="6">
        <v>0.40572399999999997</v>
      </c>
      <c r="U84" s="6">
        <v>0.39416000000000001</v>
      </c>
      <c r="W84" s="6">
        <v>0.41370699999999999</v>
      </c>
      <c r="Y84" s="6">
        <v>0.40683799999999998</v>
      </c>
      <c r="AA84" s="6">
        <v>0.39663500000000002</v>
      </c>
      <c r="AC84" s="6">
        <v>0.40933399999999998</v>
      </c>
      <c r="AE84" s="6">
        <v>0.39708599999999999</v>
      </c>
      <c r="AG84" s="6">
        <v>0.411439</v>
      </c>
      <c r="AI84" s="6">
        <v>0.40380700000000003</v>
      </c>
      <c r="AK84" s="6">
        <v>0.35284900000000002</v>
      </c>
      <c r="AM84" s="6">
        <v>0.38537500000000002</v>
      </c>
      <c r="AO84" s="6">
        <v>0.365678</v>
      </c>
      <c r="AQ84" s="6">
        <v>0.358041</v>
      </c>
      <c r="AS84" s="6">
        <v>0.33894299999999999</v>
      </c>
      <c r="AU84" s="6">
        <v>0.34988000000000002</v>
      </c>
      <c r="AW84" s="6">
        <v>0.34451799999999999</v>
      </c>
      <c r="AY84" s="6">
        <v>0.330343</v>
      </c>
      <c r="BA84" s="6">
        <v>0.33950399999999997</v>
      </c>
      <c r="BC84" s="6">
        <v>0.33596700000000002</v>
      </c>
      <c r="BE84" s="6">
        <v>0.35229500000000002</v>
      </c>
    </row>
    <row r="85" spans="1:72" s="36" customFormat="1" ht="12.6" x14ac:dyDescent="0.2">
      <c r="A85" s="24" t="s">
        <v>301</v>
      </c>
      <c r="B85" s="6">
        <v>3.7867359999999999</v>
      </c>
      <c r="D85" s="6">
        <v>5.1071650000000002</v>
      </c>
      <c r="F85" s="6">
        <v>5.1520830000000002</v>
      </c>
      <c r="G85" s="6">
        <v>0.100939</v>
      </c>
      <c r="I85" s="6">
        <v>4.8599319999999997</v>
      </c>
      <c r="K85" s="6">
        <v>0.44708300000000001</v>
      </c>
      <c r="M85" s="6">
        <v>0.41738700000000001</v>
      </c>
      <c r="O85" s="6">
        <v>0.44632100000000002</v>
      </c>
      <c r="Q85" s="6">
        <v>0.43373099999999998</v>
      </c>
      <c r="S85" s="6">
        <v>0.44801999999999997</v>
      </c>
      <c r="U85" s="6">
        <v>0.43508599999999997</v>
      </c>
      <c r="W85" s="6">
        <v>0.45600600000000002</v>
      </c>
      <c r="Y85" s="6">
        <v>0.44913399999999998</v>
      </c>
      <c r="AA85" s="6">
        <v>0.43756200000000001</v>
      </c>
      <c r="AC85" s="6">
        <v>0.451631</v>
      </c>
      <c r="AE85" s="6">
        <v>0.43801299999999999</v>
      </c>
      <c r="AG85" s="6">
        <v>0.453737</v>
      </c>
      <c r="AI85" s="6">
        <v>0.446102</v>
      </c>
      <c r="AK85" s="6">
        <v>0.39103100000000002</v>
      </c>
      <c r="AM85" s="6">
        <v>0.42766199999999999</v>
      </c>
      <c r="AO85" s="6">
        <v>0.40659299999999998</v>
      </c>
      <c r="AQ85" s="6">
        <v>0.40031699999999998</v>
      </c>
      <c r="AS85" s="6">
        <v>0.37984800000000002</v>
      </c>
      <c r="AU85" s="6">
        <v>0.39215299999999997</v>
      </c>
      <c r="AW85" s="6">
        <v>0.38678899999999999</v>
      </c>
      <c r="AY85" s="6">
        <v>0.37124400000000002</v>
      </c>
      <c r="BA85" s="6">
        <v>0.381772</v>
      </c>
      <c r="BC85" s="6">
        <v>0.37686999999999998</v>
      </c>
      <c r="BE85" s="6">
        <v>0.394569</v>
      </c>
    </row>
    <row r="86" spans="1:72" s="36" customFormat="1" ht="12.6" x14ac:dyDescent="0.2">
      <c r="A86" s="24" t="s">
        <v>302</v>
      </c>
      <c r="B86" s="6">
        <v>4.3004230000000003</v>
      </c>
      <c r="D86" s="6">
        <v>5.6275599999999999</v>
      </c>
      <c r="F86" s="6">
        <v>5.6729370000000001</v>
      </c>
      <c r="G86" s="6">
        <v>0.102211</v>
      </c>
      <c r="I86" s="6">
        <v>5.3786310000000004</v>
      </c>
      <c r="K86" s="6">
        <v>0.48918699999999998</v>
      </c>
      <c r="M86" s="6">
        <v>0.45676299999999997</v>
      </c>
      <c r="O86" s="6">
        <v>0.488425</v>
      </c>
      <c r="Q86" s="6">
        <v>0.47447099999999998</v>
      </c>
      <c r="S86" s="6">
        <v>0.490124</v>
      </c>
      <c r="U86" s="6">
        <v>0.475827</v>
      </c>
      <c r="W86" s="6">
        <v>0.498114</v>
      </c>
      <c r="Y86" s="6">
        <v>0.49123899999999998</v>
      </c>
      <c r="AA86" s="6">
        <v>0.47830400000000001</v>
      </c>
      <c r="AC86" s="6">
        <v>0.49373699999999998</v>
      </c>
      <c r="AE86" s="6">
        <v>0.47875499999999999</v>
      </c>
      <c r="AG86" s="6">
        <v>0.49584299999999998</v>
      </c>
      <c r="AI86" s="6">
        <v>0.48820599999999997</v>
      </c>
      <c r="AK86" s="6">
        <v>0.42903799999999997</v>
      </c>
      <c r="AM86" s="6">
        <v>0.46975899999999998</v>
      </c>
      <c r="AO86" s="6">
        <v>0.447322</v>
      </c>
      <c r="AQ86" s="6">
        <v>0.44240299999999999</v>
      </c>
      <c r="AS86" s="6">
        <v>0.42056700000000002</v>
      </c>
      <c r="AU86" s="6">
        <v>0.43423499999999998</v>
      </c>
      <c r="AW86" s="6">
        <v>0.428869</v>
      </c>
      <c r="AY86" s="6">
        <v>0.41195999999999999</v>
      </c>
      <c r="BA86" s="6">
        <v>0.42385</v>
      </c>
      <c r="BC86" s="6">
        <v>0.41758800000000001</v>
      </c>
      <c r="BE86" s="6">
        <v>0.43665199999999998</v>
      </c>
    </row>
    <row r="87" spans="1:72" s="36" customFormat="1" ht="12.6" x14ac:dyDescent="0.2">
      <c r="A87" s="24" t="s">
        <v>303</v>
      </c>
      <c r="B87" s="6">
        <v>4.8141090000000002</v>
      </c>
      <c r="D87" s="6">
        <v>6.1479540000000004</v>
      </c>
      <c r="F87" s="6">
        <v>6.1937930000000003</v>
      </c>
      <c r="G87" s="6">
        <v>0.103592</v>
      </c>
      <c r="I87" s="6">
        <v>5.8973279999999999</v>
      </c>
      <c r="K87" s="6">
        <v>0.53110199999999996</v>
      </c>
      <c r="M87" s="6">
        <v>0.49596000000000001</v>
      </c>
      <c r="O87" s="6">
        <v>0.530339</v>
      </c>
      <c r="Q87" s="6">
        <v>0.51502800000000004</v>
      </c>
      <c r="S87" s="6">
        <v>0.53203999999999996</v>
      </c>
      <c r="U87" s="6">
        <v>0.51638399999999995</v>
      </c>
      <c r="W87" s="6">
        <v>0.54003199999999996</v>
      </c>
      <c r="Y87" s="6">
        <v>0.53315500000000005</v>
      </c>
      <c r="AA87" s="6">
        <v>0.51886200000000005</v>
      </c>
      <c r="AC87" s="6">
        <v>0.53565399999999996</v>
      </c>
      <c r="AE87" s="6">
        <v>0.51931300000000002</v>
      </c>
      <c r="AG87" s="6">
        <v>0.53776100000000004</v>
      </c>
      <c r="AI87" s="6">
        <v>0.53012000000000004</v>
      </c>
      <c r="AK87" s="6">
        <v>0.46687400000000001</v>
      </c>
      <c r="AM87" s="6">
        <v>0.51166599999999995</v>
      </c>
      <c r="AO87" s="6">
        <v>0.48786800000000002</v>
      </c>
      <c r="AQ87" s="6">
        <v>0.48429800000000001</v>
      </c>
      <c r="AS87" s="6">
        <v>0.46110200000000001</v>
      </c>
      <c r="AU87" s="6">
        <v>0.476128</v>
      </c>
      <c r="AW87" s="6">
        <v>0.47075899999999998</v>
      </c>
      <c r="AY87" s="6">
        <v>0.45249200000000001</v>
      </c>
      <c r="BA87" s="6">
        <v>0.46573799999999999</v>
      </c>
      <c r="BC87" s="6">
        <v>0.45812199999999997</v>
      </c>
      <c r="BE87" s="6">
        <v>0.47854600000000003</v>
      </c>
    </row>
    <row r="88" spans="1:72" s="36" customFormat="1" ht="12.6" x14ac:dyDescent="0.2">
      <c r="A88" s="24" t="s">
        <v>304</v>
      </c>
      <c r="B88" s="6">
        <v>5.34361</v>
      </c>
      <c r="D88" s="6">
        <v>6.7855470000000002</v>
      </c>
      <c r="F88" s="6">
        <v>6.8761840000000003</v>
      </c>
      <c r="G88" s="6">
        <v>9.8763000000000004E-2</v>
      </c>
      <c r="I88" s="6">
        <v>6.6133920000000002</v>
      </c>
      <c r="K88" s="6">
        <v>0.585812</v>
      </c>
      <c r="M88" s="6">
        <v>0.54793000000000003</v>
      </c>
      <c r="O88" s="6">
        <v>0.585816</v>
      </c>
      <c r="Q88" s="6">
        <v>0.56687500000000002</v>
      </c>
      <c r="S88" s="6">
        <v>0.58581499999999997</v>
      </c>
      <c r="U88" s="6">
        <v>0.56687200000000004</v>
      </c>
      <c r="W88" s="6">
        <v>0.58581499999999997</v>
      </c>
      <c r="Y88" s="6">
        <v>0.58581399999999995</v>
      </c>
      <c r="AA88" s="6">
        <v>0.56686999999999999</v>
      </c>
      <c r="AC88" s="6">
        <v>0.58582299999999998</v>
      </c>
      <c r="AE88" s="6">
        <v>0.56687799999999999</v>
      </c>
      <c r="AG88" s="6">
        <v>0.58581099999999997</v>
      </c>
      <c r="AI88" s="6">
        <v>0.58582400000000001</v>
      </c>
      <c r="AK88" s="6">
        <v>0.52199399999999996</v>
      </c>
      <c r="AM88" s="6">
        <v>0.56415899999999997</v>
      </c>
      <c r="AO88" s="6">
        <v>0.54593400000000003</v>
      </c>
      <c r="AQ88" s="6">
        <v>0.55649700000000002</v>
      </c>
      <c r="AS88" s="6">
        <v>0.524976</v>
      </c>
      <c r="AU88" s="6">
        <v>0.54253600000000002</v>
      </c>
      <c r="AW88" s="6">
        <v>0.52925599999999995</v>
      </c>
      <c r="AY88" s="6">
        <v>0.50405</v>
      </c>
      <c r="BA88" s="6">
        <v>0.52088100000000004</v>
      </c>
      <c r="BC88" s="6">
        <v>0.50405</v>
      </c>
      <c r="BE88" s="6">
        <v>0.52088999999999996</v>
      </c>
    </row>
    <row r="89" spans="1:72" s="36" customFormat="1" ht="12.6" x14ac:dyDescent="0.2">
      <c r="A89" s="24" t="s">
        <v>305</v>
      </c>
      <c r="B89" s="6">
        <v>6.0983229999999997</v>
      </c>
      <c r="D89" s="6">
        <v>7.4489429999999999</v>
      </c>
      <c r="F89" s="6">
        <v>7.49594</v>
      </c>
      <c r="G89" s="6">
        <v>0.107484</v>
      </c>
      <c r="I89" s="6">
        <v>7.1940619999999997</v>
      </c>
      <c r="K89" s="6">
        <v>0.63507199999999997</v>
      </c>
      <c r="M89" s="6">
        <v>0.59318499999999996</v>
      </c>
      <c r="O89" s="6">
        <v>0.63430900000000001</v>
      </c>
      <c r="Q89" s="6">
        <v>0.61562600000000001</v>
      </c>
      <c r="S89" s="6">
        <v>0.63600999999999996</v>
      </c>
      <c r="U89" s="6">
        <v>0.61698399999999998</v>
      </c>
      <c r="W89" s="6">
        <v>0.644011</v>
      </c>
      <c r="Y89" s="6">
        <v>0.637127</v>
      </c>
      <c r="AA89" s="6">
        <v>0.61946400000000001</v>
      </c>
      <c r="AC89" s="6">
        <v>0.63962799999999997</v>
      </c>
      <c r="AE89" s="6">
        <v>0.61991600000000002</v>
      </c>
      <c r="AG89" s="6">
        <v>0.64173800000000003</v>
      </c>
      <c r="AI89" s="6">
        <v>0.63408900000000001</v>
      </c>
      <c r="AK89" s="6">
        <v>0.56071800000000005</v>
      </c>
      <c r="AM89" s="6">
        <v>0.61561600000000005</v>
      </c>
      <c r="AO89" s="6">
        <v>0.58843999999999996</v>
      </c>
      <c r="AQ89" s="6">
        <v>0.58822200000000002</v>
      </c>
      <c r="AS89" s="6">
        <v>0.56164899999999995</v>
      </c>
      <c r="AU89" s="6">
        <v>0.58004299999999998</v>
      </c>
      <c r="AW89" s="6">
        <v>0.57466899999999999</v>
      </c>
      <c r="AY89" s="6">
        <v>0.55303000000000002</v>
      </c>
      <c r="BA89" s="6">
        <v>0.56964300000000001</v>
      </c>
      <c r="BC89" s="6">
        <v>0.558666</v>
      </c>
      <c r="BE89" s="6">
        <v>0.58246299999999995</v>
      </c>
    </row>
    <row r="90" spans="1:72" s="36" customFormat="1" ht="12.6" x14ac:dyDescent="0.2">
      <c r="A90" s="24" t="s">
        <v>306</v>
      </c>
      <c r="B90" s="6">
        <v>6.3711339999999996</v>
      </c>
      <c r="D90" s="6">
        <v>7.8274790000000003</v>
      </c>
      <c r="F90" s="6">
        <v>7.9194750000000003</v>
      </c>
      <c r="G90" s="6">
        <v>0.102102</v>
      </c>
      <c r="I90" s="6">
        <v>7.6526949999999996</v>
      </c>
      <c r="K90" s="6">
        <v>0.66872100000000001</v>
      </c>
      <c r="M90" s="6">
        <v>0.62545799999999996</v>
      </c>
      <c r="O90" s="6">
        <v>0.66872500000000001</v>
      </c>
      <c r="Q90" s="6">
        <v>0.64709300000000003</v>
      </c>
      <c r="S90" s="6">
        <v>0.66872399999999999</v>
      </c>
      <c r="U90" s="6">
        <v>0.64709000000000005</v>
      </c>
      <c r="W90" s="6">
        <v>0.66872399999999999</v>
      </c>
      <c r="Y90" s="6">
        <v>0.66872299999999996</v>
      </c>
      <c r="AA90" s="6">
        <v>0.647088</v>
      </c>
      <c r="AC90" s="6">
        <v>0.66873199999999999</v>
      </c>
      <c r="AE90" s="6">
        <v>0.647096</v>
      </c>
      <c r="AG90" s="6">
        <v>0.66871999999999998</v>
      </c>
      <c r="AI90" s="6">
        <v>0.66873300000000002</v>
      </c>
      <c r="AK90" s="6">
        <v>0.59682900000000005</v>
      </c>
      <c r="AM90" s="6">
        <v>0.64705000000000001</v>
      </c>
      <c r="AO90" s="6">
        <v>0.62613600000000003</v>
      </c>
      <c r="AQ90" s="6">
        <v>0.63938300000000003</v>
      </c>
      <c r="AS90" s="6">
        <v>0.60516199999999998</v>
      </c>
      <c r="AU90" s="6">
        <v>0.62541000000000002</v>
      </c>
      <c r="AW90" s="6">
        <v>0.61211899999999997</v>
      </c>
      <c r="AY90" s="6">
        <v>0.58421999999999996</v>
      </c>
      <c r="BA90" s="6">
        <v>0.603738</v>
      </c>
      <c r="BC90" s="6">
        <v>0.58421900000000004</v>
      </c>
      <c r="BE90" s="6">
        <v>0.60374700000000003</v>
      </c>
    </row>
    <row r="91" spans="1:72" s="36" customFormat="1" ht="12.6" x14ac:dyDescent="0.2">
      <c r="A91" s="24" t="s">
        <v>306</v>
      </c>
      <c r="B91" s="6">
        <v>6.3711339999999996</v>
      </c>
      <c r="D91" s="6">
        <v>7.8274790000000003</v>
      </c>
      <c r="F91" s="6">
        <v>7.9194750000000003</v>
      </c>
      <c r="G91" s="6">
        <v>0.102102</v>
      </c>
      <c r="I91" s="6">
        <v>7.6526949999999996</v>
      </c>
      <c r="K91" s="6">
        <v>0.66872100000000001</v>
      </c>
      <c r="M91" s="6">
        <v>0.62545799999999996</v>
      </c>
      <c r="O91" s="6">
        <v>0.66872500000000001</v>
      </c>
      <c r="Q91" s="6">
        <v>0.64709300000000003</v>
      </c>
      <c r="S91" s="6">
        <v>0.66872399999999999</v>
      </c>
      <c r="U91" s="6">
        <v>0.64709000000000005</v>
      </c>
      <c r="W91" s="6">
        <v>0.66872399999999999</v>
      </c>
      <c r="Y91" s="6">
        <v>0.66872299999999996</v>
      </c>
      <c r="AA91" s="6">
        <v>0.647088</v>
      </c>
      <c r="AC91" s="6">
        <v>0.66873199999999999</v>
      </c>
      <c r="AE91" s="6">
        <v>0.647096</v>
      </c>
      <c r="AG91" s="6">
        <v>0.66871999999999998</v>
      </c>
      <c r="AI91" s="6">
        <v>0.66873300000000002</v>
      </c>
      <c r="AK91" s="6">
        <v>0.59682900000000005</v>
      </c>
      <c r="AM91" s="6">
        <v>0.64705000000000001</v>
      </c>
      <c r="AO91" s="6">
        <v>0.62613600000000003</v>
      </c>
      <c r="AQ91" s="6">
        <v>0.63938300000000003</v>
      </c>
      <c r="AS91" s="6">
        <v>0.60516199999999998</v>
      </c>
      <c r="AU91" s="6">
        <v>0.62541000000000002</v>
      </c>
      <c r="AW91" s="6">
        <v>0.61211899999999997</v>
      </c>
      <c r="AY91" s="6">
        <v>0.58421999999999996</v>
      </c>
      <c r="BA91" s="6">
        <v>0.603738</v>
      </c>
      <c r="BC91" s="6">
        <v>0.58421900000000004</v>
      </c>
      <c r="BE91" s="6">
        <v>0.60374700000000003</v>
      </c>
    </row>
    <row r="92" spans="1:72" s="36" customFormat="1" ht="12.6" x14ac:dyDescent="0.2">
      <c r="A92" s="24" t="s">
        <v>307</v>
      </c>
      <c r="B92" s="6">
        <v>6.868849</v>
      </c>
      <c r="D92" s="6">
        <v>8.2295370000000005</v>
      </c>
      <c r="F92" s="6">
        <v>8.2772319999999997</v>
      </c>
      <c r="G92" s="6">
        <v>0.110092</v>
      </c>
      <c r="I92" s="6">
        <v>7.9720959999999996</v>
      </c>
      <c r="K92" s="6">
        <v>0.69690200000000002</v>
      </c>
      <c r="M92" s="6">
        <v>0.65100199999999997</v>
      </c>
      <c r="O92" s="6">
        <v>0.69613899999999995</v>
      </c>
      <c r="Q92" s="6">
        <v>0.67544999999999999</v>
      </c>
      <c r="S92" s="6">
        <v>0.69784100000000004</v>
      </c>
      <c r="U92" s="6">
        <v>0.67680799999999997</v>
      </c>
      <c r="W92" s="6">
        <v>0.705847</v>
      </c>
      <c r="Y92" s="6">
        <v>0.69895799999999997</v>
      </c>
      <c r="AA92" s="6">
        <v>0.67928999999999995</v>
      </c>
      <c r="AC92" s="6">
        <v>0.701461</v>
      </c>
      <c r="AE92" s="6">
        <v>0.67974199999999996</v>
      </c>
      <c r="AG92" s="6">
        <v>0.70357199999999998</v>
      </c>
      <c r="AI92" s="6">
        <v>0.69591899999999995</v>
      </c>
      <c r="AK92" s="6">
        <v>0.61652200000000001</v>
      </c>
      <c r="AM92" s="6">
        <v>0.67743500000000001</v>
      </c>
      <c r="AO92" s="6">
        <v>0.64824800000000005</v>
      </c>
      <c r="AQ92" s="6">
        <v>0.65002400000000005</v>
      </c>
      <c r="AS92" s="6">
        <v>0.62144100000000002</v>
      </c>
      <c r="AU92" s="6">
        <v>0.64183999999999997</v>
      </c>
      <c r="AW92" s="6">
        <v>0.636463</v>
      </c>
      <c r="AY92" s="6">
        <v>0.61281699999999995</v>
      </c>
      <c r="BA92" s="6">
        <v>0.63143499999999997</v>
      </c>
      <c r="BC92" s="6">
        <v>0.61845700000000003</v>
      </c>
      <c r="BE92" s="6">
        <v>0.644262</v>
      </c>
    </row>
    <row r="93" spans="1:72" s="36" customFormat="1" ht="12.6" x14ac:dyDescent="0.2">
      <c r="A93" s="24" t="s">
        <v>308</v>
      </c>
      <c r="B93" s="6">
        <v>7.3825329999999996</v>
      </c>
      <c r="D93" s="6">
        <v>8.7499339999999997</v>
      </c>
      <c r="F93" s="6">
        <v>8.798095</v>
      </c>
      <c r="G93" s="6">
        <v>0.111932</v>
      </c>
      <c r="I93" s="6">
        <v>8.4907830000000004</v>
      </c>
      <c r="K93" s="6">
        <v>0.737896</v>
      </c>
      <c r="M93" s="6">
        <v>0.68933299999999997</v>
      </c>
      <c r="O93" s="6">
        <v>0.73713200000000001</v>
      </c>
      <c r="Q93" s="6">
        <v>0.715113</v>
      </c>
      <c r="S93" s="6">
        <v>0.73883600000000005</v>
      </c>
      <c r="U93" s="6">
        <v>0.716472</v>
      </c>
      <c r="W93" s="6">
        <v>0.74684399999999995</v>
      </c>
      <c r="Y93" s="6">
        <v>0.73995299999999997</v>
      </c>
      <c r="AA93" s="6">
        <v>0.71895399999999998</v>
      </c>
      <c r="AC93" s="6">
        <v>0.74245700000000003</v>
      </c>
      <c r="AE93" s="6">
        <v>0.71940599999999999</v>
      </c>
      <c r="AG93" s="6">
        <v>0.74456900000000004</v>
      </c>
      <c r="AI93" s="6">
        <v>0.73691300000000004</v>
      </c>
      <c r="AK93" s="6">
        <v>0.65351899999999996</v>
      </c>
      <c r="AM93" s="6">
        <v>0.71842099999999998</v>
      </c>
      <c r="AO93" s="6">
        <v>0.68790099999999998</v>
      </c>
      <c r="AQ93" s="6">
        <v>0.69099999999999995</v>
      </c>
      <c r="AS93" s="6">
        <v>0.661084</v>
      </c>
      <c r="AU93" s="6">
        <v>0.682813</v>
      </c>
      <c r="AW93" s="6">
        <v>0.67743399999999998</v>
      </c>
      <c r="AY93" s="6">
        <v>0.65245600000000004</v>
      </c>
      <c r="BA93" s="6">
        <v>0.67240299999999997</v>
      </c>
      <c r="BC93" s="6">
        <v>0.65809799999999996</v>
      </c>
      <c r="BE93" s="6">
        <v>0.68523500000000004</v>
      </c>
    </row>
    <row r="94" spans="1:72" s="36" customFormat="1" ht="12.6" x14ac:dyDescent="0.2">
      <c r="A94" s="24" t="s">
        <v>308</v>
      </c>
      <c r="B94" s="6">
        <v>7.3986559999999999</v>
      </c>
      <c r="D94" s="6">
        <v>8.8694120000000005</v>
      </c>
      <c r="F94" s="6">
        <v>8.9627730000000003</v>
      </c>
      <c r="G94" s="6">
        <v>0.10580199999999999</v>
      </c>
      <c r="I94" s="6">
        <v>8.6919900000000005</v>
      </c>
      <c r="K94" s="6">
        <v>0.75090000000000001</v>
      </c>
      <c r="M94" s="6">
        <v>0.70230000000000004</v>
      </c>
      <c r="O94" s="6">
        <v>0.75090400000000002</v>
      </c>
      <c r="Q94" s="6">
        <v>0.726603</v>
      </c>
      <c r="S94" s="6">
        <v>0.75090299999999999</v>
      </c>
      <c r="U94" s="6">
        <v>0.72660000000000002</v>
      </c>
      <c r="W94" s="6">
        <v>0.75090299999999999</v>
      </c>
      <c r="Y94" s="6">
        <v>0.75090199999999996</v>
      </c>
      <c r="AA94" s="6">
        <v>0.72659799999999997</v>
      </c>
      <c r="AC94" s="6">
        <v>0.750911</v>
      </c>
      <c r="AE94" s="6">
        <v>0.72660599999999997</v>
      </c>
      <c r="AG94" s="6">
        <v>0.75089899999999998</v>
      </c>
      <c r="AI94" s="6">
        <v>0.75091200000000002</v>
      </c>
      <c r="AK94" s="6">
        <v>0.67100000000000004</v>
      </c>
      <c r="AM94" s="6">
        <v>0.72921199999999997</v>
      </c>
      <c r="AO94" s="6">
        <v>0.70562999999999998</v>
      </c>
      <c r="AQ94" s="6">
        <v>0.72153900000000004</v>
      </c>
      <c r="AS94" s="6">
        <v>0.68464000000000003</v>
      </c>
      <c r="AU94" s="6">
        <v>0.70755500000000005</v>
      </c>
      <c r="AW94" s="6">
        <v>0.69425400000000004</v>
      </c>
      <c r="AY94" s="6">
        <v>0.66368199999999999</v>
      </c>
      <c r="BA94" s="6">
        <v>0.68586499999999995</v>
      </c>
      <c r="BC94" s="6">
        <v>0.66368099999999997</v>
      </c>
      <c r="BE94" s="6">
        <v>0.68587399999999998</v>
      </c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</row>
    <row r="95" spans="1:72" s="36" customFormat="1" ht="12.6" x14ac:dyDescent="0.2">
      <c r="A95" s="24" t="s">
        <v>309</v>
      </c>
      <c r="B95" s="6">
        <v>7.8962159999999999</v>
      </c>
      <c r="D95" s="6">
        <v>9.2703299999999995</v>
      </c>
      <c r="F95" s="6">
        <v>9.3189600000000006</v>
      </c>
      <c r="G95" s="6">
        <v>0.11384900000000001</v>
      </c>
      <c r="I95" s="6">
        <v>9.009468</v>
      </c>
      <c r="K95" s="6">
        <v>0.77871100000000004</v>
      </c>
      <c r="M95" s="6">
        <v>0.72749600000000003</v>
      </c>
      <c r="O95" s="6">
        <v>0.77794700000000006</v>
      </c>
      <c r="Q95" s="6">
        <v>0.75460199999999999</v>
      </c>
      <c r="S95" s="6">
        <v>0.77965099999999998</v>
      </c>
      <c r="U95" s="6">
        <v>0.75596099999999999</v>
      </c>
      <c r="W95" s="6">
        <v>0.787663</v>
      </c>
      <c r="Y95" s="6">
        <v>0.78076900000000005</v>
      </c>
      <c r="AA95" s="6">
        <v>0.75844400000000001</v>
      </c>
      <c r="AC95" s="6">
        <v>0.78327400000000003</v>
      </c>
      <c r="AE95" s="6">
        <v>0.75889700000000004</v>
      </c>
      <c r="AG95" s="6">
        <v>0.78538600000000003</v>
      </c>
      <c r="AI95" s="6">
        <v>0.77772699999999995</v>
      </c>
      <c r="AK95" s="6">
        <v>0.69035199999999997</v>
      </c>
      <c r="AM95" s="6">
        <v>0.75922800000000001</v>
      </c>
      <c r="AO95" s="6">
        <v>0.72738000000000003</v>
      </c>
      <c r="AQ95" s="6">
        <v>0.731796</v>
      </c>
      <c r="AS95" s="6">
        <v>0.70055199999999995</v>
      </c>
      <c r="AU95" s="6">
        <v>0.72360599999999997</v>
      </c>
      <c r="AW95" s="6">
        <v>0.718225</v>
      </c>
      <c r="AY95" s="6">
        <v>0.69192200000000004</v>
      </c>
      <c r="BA95" s="6">
        <v>0.71319200000000005</v>
      </c>
      <c r="BC95" s="6">
        <v>0.69756499999999999</v>
      </c>
      <c r="BE95" s="6">
        <v>0.72602999999999995</v>
      </c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</row>
    <row r="96" spans="1:72" s="36" customFormat="1" ht="12.6" x14ac:dyDescent="0.2">
      <c r="A96" s="24" t="s">
        <v>310</v>
      </c>
      <c r="B96" s="6">
        <v>10.994965000000001</v>
      </c>
      <c r="D96" s="6">
        <v>12.516185999999999</v>
      </c>
      <c r="F96" s="6">
        <v>12.614359</v>
      </c>
      <c r="G96" s="6">
        <v>0.120947</v>
      </c>
      <c r="I96" s="6">
        <v>12.329459</v>
      </c>
      <c r="K96" s="6">
        <v>1.0329680000000001</v>
      </c>
      <c r="M96" s="6">
        <v>0.96601899999999996</v>
      </c>
      <c r="O96" s="6">
        <v>1.032972</v>
      </c>
      <c r="Q96" s="6">
        <v>0.99949399999999999</v>
      </c>
      <c r="S96" s="6">
        <v>1.0329710000000001</v>
      </c>
      <c r="U96" s="6">
        <v>0.99949100000000002</v>
      </c>
      <c r="W96" s="6">
        <v>1.0329699999999999</v>
      </c>
      <c r="Y96" s="6">
        <v>1.0329699999999999</v>
      </c>
      <c r="AA96" s="6">
        <v>0.99948800000000004</v>
      </c>
      <c r="AC96" s="6">
        <v>1.0329790000000001</v>
      </c>
      <c r="AE96" s="6">
        <v>0.99949699999999997</v>
      </c>
      <c r="AG96" s="6">
        <v>1.032967</v>
      </c>
      <c r="AI96" s="6">
        <v>1.03298</v>
      </c>
      <c r="AK96" s="6">
        <v>0.925535</v>
      </c>
      <c r="AM96" s="6">
        <v>1.0112209999999999</v>
      </c>
      <c r="AO96" s="6">
        <v>0.97846500000000003</v>
      </c>
      <c r="AQ96" s="6">
        <v>1.0035270000000001</v>
      </c>
      <c r="AS96" s="6">
        <v>0.95742099999999997</v>
      </c>
      <c r="AU96" s="6">
        <v>0.98950499999999997</v>
      </c>
      <c r="AW96" s="6">
        <v>0.97616800000000004</v>
      </c>
      <c r="AY96" s="6">
        <v>0.93640800000000002</v>
      </c>
      <c r="BA96" s="6">
        <v>0.96775699999999998</v>
      </c>
      <c r="BC96" s="6">
        <v>0.93640699999999999</v>
      </c>
      <c r="BE96" s="6">
        <v>0.96776600000000002</v>
      </c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</row>
    <row r="97" spans="1:71" s="36" customFormat="1" x14ac:dyDescent="0.3">
      <c r="A97" s="24" t="s">
        <v>311</v>
      </c>
      <c r="B97" s="6">
        <v>4.2683790000000004</v>
      </c>
      <c r="C97"/>
      <c r="D97" s="6">
        <v>3.3604039999999999</v>
      </c>
      <c r="E97"/>
      <c r="F97" s="6">
        <v>3.0170080000000001</v>
      </c>
      <c r="G97" s="6">
        <v>1.4559329999999999</v>
      </c>
      <c r="H97"/>
      <c r="I97" s="6">
        <v>3.6256590000000002</v>
      </c>
      <c r="J97"/>
      <c r="K97" s="6">
        <v>0</v>
      </c>
      <c r="L97"/>
      <c r="M97" s="6">
        <v>0</v>
      </c>
      <c r="N97"/>
      <c r="O97" s="6">
        <v>0.930921</v>
      </c>
      <c r="P97"/>
      <c r="Q97" s="6">
        <v>0</v>
      </c>
      <c r="R97"/>
      <c r="S97" s="6">
        <v>0</v>
      </c>
      <c r="T97"/>
      <c r="U97" s="6">
        <v>1.048108</v>
      </c>
      <c r="V97"/>
      <c r="W97" s="6">
        <v>0</v>
      </c>
      <c r="X97"/>
      <c r="Y97" s="6">
        <v>0</v>
      </c>
      <c r="Z97"/>
      <c r="AA97" s="6">
        <v>0.21782000000000001</v>
      </c>
      <c r="AB97"/>
      <c r="AC97" s="6">
        <v>0</v>
      </c>
      <c r="AD97"/>
      <c r="AE97" s="6">
        <v>0</v>
      </c>
      <c r="AF97"/>
      <c r="AG97" s="6">
        <v>0.19664699999999999</v>
      </c>
      <c r="AH97"/>
      <c r="AI97" s="6">
        <v>0</v>
      </c>
      <c r="AJ97"/>
      <c r="AK97" s="6">
        <v>0</v>
      </c>
      <c r="AL97"/>
      <c r="AM97" s="6">
        <v>0.91932700000000001</v>
      </c>
      <c r="AN97"/>
      <c r="AO97" s="6">
        <v>0</v>
      </c>
      <c r="AP97"/>
      <c r="AQ97" s="6">
        <v>0</v>
      </c>
      <c r="AR97"/>
      <c r="AS97" s="6">
        <v>0.74718499999999999</v>
      </c>
      <c r="AT97"/>
      <c r="AU97" s="6">
        <v>0</v>
      </c>
      <c r="AV97"/>
      <c r="AW97" s="6">
        <v>0</v>
      </c>
      <c r="AX97"/>
      <c r="AY97" s="6">
        <v>1.3207359999999999</v>
      </c>
      <c r="AZ97"/>
      <c r="BA97" s="6">
        <v>0</v>
      </c>
      <c r="BB97"/>
      <c r="BC97" s="6">
        <v>0</v>
      </c>
      <c r="BD97"/>
      <c r="BE97" s="6">
        <v>0.59159700000000004</v>
      </c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</row>
    <row r="98" spans="1:71" s="36" customFormat="1" x14ac:dyDescent="0.3">
      <c r="A98" s="24" t="s">
        <v>312</v>
      </c>
      <c r="B98" s="6">
        <v>5.3108009999999997</v>
      </c>
      <c r="C98"/>
      <c r="D98" s="6">
        <v>4.3941509999999999</v>
      </c>
      <c r="E98"/>
      <c r="F98" s="6">
        <v>4.047803</v>
      </c>
      <c r="G98" s="6">
        <v>1.45702</v>
      </c>
      <c r="H98"/>
      <c r="I98" s="6">
        <v>4.6611010000000004</v>
      </c>
      <c r="J98"/>
      <c r="K98" s="6">
        <v>8.4487000000000007E-2</v>
      </c>
      <c r="L98"/>
      <c r="M98" s="6">
        <v>7.9034999999999994E-2</v>
      </c>
      <c r="N98"/>
      <c r="O98" s="6">
        <v>1.01617</v>
      </c>
      <c r="P98"/>
      <c r="Q98" s="6">
        <v>8.1761E-2</v>
      </c>
      <c r="R98"/>
      <c r="S98" s="6">
        <v>8.4487000000000007E-2</v>
      </c>
      <c r="T98"/>
      <c r="U98" s="6">
        <v>1.130698</v>
      </c>
      <c r="V98"/>
      <c r="W98" s="6">
        <v>8.4487000000000007E-2</v>
      </c>
      <c r="X98"/>
      <c r="Y98" s="6">
        <v>8.4487000000000007E-2</v>
      </c>
      <c r="Z98"/>
      <c r="AA98" s="6">
        <v>0.29975299999999999</v>
      </c>
      <c r="AB98"/>
      <c r="AC98" s="6">
        <v>8.4487000000000007E-2</v>
      </c>
      <c r="AD98"/>
      <c r="AE98" s="6">
        <v>8.1761E-2</v>
      </c>
      <c r="AF98"/>
      <c r="AG98" s="6">
        <v>0.28129500000000002</v>
      </c>
      <c r="AH98"/>
      <c r="AI98" s="6">
        <v>8.4487000000000007E-2</v>
      </c>
      <c r="AJ98"/>
      <c r="AK98" s="6">
        <v>7.6308000000000001E-2</v>
      </c>
      <c r="AL98"/>
      <c r="AM98" s="6">
        <v>1.0045660000000001</v>
      </c>
      <c r="AN98"/>
      <c r="AO98" s="6">
        <v>8.1761E-2</v>
      </c>
      <c r="AP98"/>
      <c r="AQ98" s="6">
        <v>8.4487000000000007E-2</v>
      </c>
      <c r="AR98"/>
      <c r="AS98" s="6">
        <v>0.82953699999999997</v>
      </c>
      <c r="AT98"/>
      <c r="AU98" s="6">
        <v>8.4487000000000007E-2</v>
      </c>
      <c r="AV98"/>
      <c r="AW98" s="6">
        <v>8.4487000000000007E-2</v>
      </c>
      <c r="AX98"/>
      <c r="AY98" s="6">
        <v>1.40354</v>
      </c>
      <c r="AZ98"/>
      <c r="BA98" s="6">
        <v>8.4487000000000007E-2</v>
      </c>
      <c r="BB98"/>
      <c r="BC98" s="6">
        <v>8.1761E-2</v>
      </c>
      <c r="BD98"/>
      <c r="BE98" s="6">
        <v>0.67656799999999995</v>
      </c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</row>
    <row r="99" spans="1:71" s="36" customFormat="1" x14ac:dyDescent="0.3">
      <c r="A99" s="24" t="s">
        <v>313</v>
      </c>
      <c r="B99" s="6">
        <v>5.5714059999999996</v>
      </c>
      <c r="C99"/>
      <c r="D99" s="6">
        <v>4.6525879999999997</v>
      </c>
      <c r="E99"/>
      <c r="F99" s="6">
        <v>4.3055029999999999</v>
      </c>
      <c r="G99" s="6">
        <v>1.457295</v>
      </c>
      <c r="H99"/>
      <c r="I99" s="6">
        <v>4.9199609999999998</v>
      </c>
      <c r="J99"/>
      <c r="K99" s="6">
        <v>0.10549</v>
      </c>
      <c r="L99"/>
      <c r="M99" s="6">
        <v>9.8681000000000005E-2</v>
      </c>
      <c r="N99"/>
      <c r="O99" s="6">
        <v>1.037361</v>
      </c>
      <c r="P99"/>
      <c r="Q99" s="6">
        <v>0.102085</v>
      </c>
      <c r="R99"/>
      <c r="S99" s="6">
        <v>0.10549</v>
      </c>
      <c r="T99"/>
      <c r="U99" s="6">
        <v>1.1512279999999999</v>
      </c>
      <c r="V99"/>
      <c r="W99" s="6">
        <v>0.10549</v>
      </c>
      <c r="X99"/>
      <c r="Y99" s="6">
        <v>0.10549</v>
      </c>
      <c r="Z99"/>
      <c r="AA99" s="6">
        <v>0.32012000000000002</v>
      </c>
      <c r="AB99"/>
      <c r="AC99" s="6">
        <v>0.10549</v>
      </c>
      <c r="AD99"/>
      <c r="AE99" s="6">
        <v>0.102085</v>
      </c>
      <c r="AF99"/>
      <c r="AG99" s="6">
        <v>0.30233700000000002</v>
      </c>
      <c r="AH99"/>
      <c r="AI99" s="6">
        <v>0.10549</v>
      </c>
      <c r="AJ99"/>
      <c r="AK99" s="6">
        <v>9.5276E-2</v>
      </c>
      <c r="AL99"/>
      <c r="AM99" s="6">
        <v>1.025755</v>
      </c>
      <c r="AN99"/>
      <c r="AO99" s="6">
        <v>0.102085</v>
      </c>
      <c r="AP99"/>
      <c r="AQ99" s="6">
        <v>0.10549</v>
      </c>
      <c r="AR99"/>
      <c r="AS99" s="6">
        <v>0.85000799999999999</v>
      </c>
      <c r="AT99"/>
      <c r="AU99" s="6">
        <v>0.10549</v>
      </c>
      <c r="AV99"/>
      <c r="AW99" s="6">
        <v>0.10549</v>
      </c>
      <c r="AX99"/>
      <c r="AY99" s="6">
        <v>1.4241239999999999</v>
      </c>
      <c r="AZ99"/>
      <c r="BA99" s="6">
        <v>0.10549</v>
      </c>
      <c r="BB99"/>
      <c r="BC99" s="6">
        <v>0.102085</v>
      </c>
      <c r="BD99"/>
      <c r="BE99" s="6">
        <v>0.69769099999999995</v>
      </c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</row>
    <row r="100" spans="1:71" s="36" customFormat="1" x14ac:dyDescent="0.3">
      <c r="A100" s="24" t="s">
        <v>314</v>
      </c>
      <c r="B100" s="6">
        <v>5.8320100000000004</v>
      </c>
      <c r="C100"/>
      <c r="D100" s="6">
        <v>4.9110259999999997</v>
      </c>
      <c r="E100"/>
      <c r="F100" s="6">
        <v>4.5632029999999997</v>
      </c>
      <c r="G100" s="6">
        <v>1.457573</v>
      </c>
      <c r="H100"/>
      <c r="I100" s="6">
        <v>5.17882</v>
      </c>
      <c r="J100"/>
      <c r="K100" s="6">
        <v>0.126445</v>
      </c>
      <c r="L100"/>
      <c r="M100" s="6">
        <v>0.118282</v>
      </c>
      <c r="N100"/>
      <c r="O100" s="6">
        <v>1.058505</v>
      </c>
      <c r="P100"/>
      <c r="Q100" s="6">
        <v>0.122363</v>
      </c>
      <c r="R100"/>
      <c r="S100" s="6">
        <v>0.126445</v>
      </c>
      <c r="T100"/>
      <c r="U100" s="6">
        <v>1.1717109999999999</v>
      </c>
      <c r="V100"/>
      <c r="W100" s="6">
        <v>0.126445</v>
      </c>
      <c r="X100"/>
      <c r="Y100" s="6">
        <v>0.126445</v>
      </c>
      <c r="Z100"/>
      <c r="AA100" s="6">
        <v>0.34044099999999999</v>
      </c>
      <c r="AB100"/>
      <c r="AC100" s="6">
        <v>0.126445</v>
      </c>
      <c r="AD100"/>
      <c r="AE100" s="6">
        <v>0.122363</v>
      </c>
      <c r="AF100"/>
      <c r="AG100" s="6">
        <v>0.32333200000000001</v>
      </c>
      <c r="AH100"/>
      <c r="AI100" s="6">
        <v>0.126445</v>
      </c>
      <c r="AJ100"/>
      <c r="AK100" s="6">
        <v>0.114201</v>
      </c>
      <c r="AL100"/>
      <c r="AM100" s="6">
        <v>1.046896</v>
      </c>
      <c r="AN100"/>
      <c r="AO100" s="6">
        <v>0.122363</v>
      </c>
      <c r="AP100"/>
      <c r="AQ100" s="6">
        <v>0.126445</v>
      </c>
      <c r="AR100"/>
      <c r="AS100" s="6">
        <v>0.87043199999999998</v>
      </c>
      <c r="AT100"/>
      <c r="AU100" s="6">
        <v>0.126445</v>
      </c>
      <c r="AV100"/>
      <c r="AW100" s="6">
        <v>0.126445</v>
      </c>
      <c r="AX100"/>
      <c r="AY100" s="6">
        <v>1.444661</v>
      </c>
      <c r="AZ100"/>
      <c r="BA100" s="6">
        <v>0.126445</v>
      </c>
      <c r="BB100"/>
      <c r="BC100" s="6">
        <v>0.122363</v>
      </c>
      <c r="BD100"/>
      <c r="BE100" s="6">
        <v>0.71876600000000002</v>
      </c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</row>
    <row r="101" spans="1:71" s="36" customFormat="1" x14ac:dyDescent="0.3">
      <c r="A101" s="24" t="s">
        <v>315</v>
      </c>
      <c r="B101" s="6">
        <v>6.0926150000000003</v>
      </c>
      <c r="C101"/>
      <c r="D101" s="6">
        <v>5.1694630000000004</v>
      </c>
      <c r="E101"/>
      <c r="F101" s="6">
        <v>4.8209030000000004</v>
      </c>
      <c r="G101" s="6">
        <v>1.4578519999999999</v>
      </c>
      <c r="H101"/>
      <c r="I101" s="6">
        <v>5.437678</v>
      </c>
      <c r="J101"/>
      <c r="K101" s="6">
        <v>0.14735200000000001</v>
      </c>
      <c r="L101"/>
      <c r="M101" s="6">
        <v>0.13783899999999999</v>
      </c>
      <c r="N101"/>
      <c r="O101" s="6">
        <v>1.079601</v>
      </c>
      <c r="P101"/>
      <c r="Q101" s="6">
        <v>0.142596</v>
      </c>
      <c r="R101"/>
      <c r="S101" s="6">
        <v>0.14735200000000001</v>
      </c>
      <c r="T101"/>
      <c r="U101" s="6">
        <v>1.192148</v>
      </c>
      <c r="V101"/>
      <c r="W101" s="6">
        <v>0.14735200000000001</v>
      </c>
      <c r="X101"/>
      <c r="Y101" s="6">
        <v>0.14735200000000001</v>
      </c>
      <c r="Z101"/>
      <c r="AA101" s="6">
        <v>0.36071500000000001</v>
      </c>
      <c r="AB101"/>
      <c r="AC101" s="6">
        <v>0.14735200000000001</v>
      </c>
      <c r="AD101"/>
      <c r="AE101" s="6">
        <v>0.142596</v>
      </c>
      <c r="AF101"/>
      <c r="AG101" s="6">
        <v>0.344279</v>
      </c>
      <c r="AH101"/>
      <c r="AI101" s="6">
        <v>0.14735200000000001</v>
      </c>
      <c r="AJ101"/>
      <c r="AK101" s="6">
        <v>0.13308300000000001</v>
      </c>
      <c r="AL101"/>
      <c r="AM101" s="6">
        <v>1.06799</v>
      </c>
      <c r="AN101"/>
      <c r="AO101" s="6">
        <v>0.142596</v>
      </c>
      <c r="AP101"/>
      <c r="AQ101" s="6">
        <v>0.14735200000000001</v>
      </c>
      <c r="AR101"/>
      <c r="AS101" s="6">
        <v>0.89081100000000002</v>
      </c>
      <c r="AT101"/>
      <c r="AU101" s="6">
        <v>0.14735200000000001</v>
      </c>
      <c r="AV101"/>
      <c r="AW101" s="6">
        <v>0.14735200000000001</v>
      </c>
      <c r="AX101"/>
      <c r="AY101" s="6">
        <v>1.465152</v>
      </c>
      <c r="AZ101"/>
      <c r="BA101" s="6">
        <v>0.14735200000000001</v>
      </c>
      <c r="BB101"/>
      <c r="BC101" s="6">
        <v>0.142596</v>
      </c>
      <c r="BD101"/>
      <c r="BE101" s="6">
        <v>0.73979300000000003</v>
      </c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</row>
    <row r="102" spans="1:71" s="36" customFormat="1" x14ac:dyDescent="0.3">
      <c r="A102" s="24" t="s">
        <v>316</v>
      </c>
      <c r="B102" s="6">
        <v>14.692477999999999</v>
      </c>
      <c r="C102"/>
      <c r="D102" s="6">
        <v>13.697941</v>
      </c>
      <c r="E102"/>
      <c r="F102" s="6">
        <v>13.325227</v>
      </c>
      <c r="G102" s="6">
        <v>1.4679139999999999</v>
      </c>
      <c r="H102"/>
      <c r="I102" s="6">
        <v>13.979734000000001</v>
      </c>
      <c r="J102"/>
      <c r="K102" s="6">
        <v>0.81220999999999999</v>
      </c>
      <c r="L102"/>
      <c r="M102" s="6">
        <v>0.75961100000000004</v>
      </c>
      <c r="N102"/>
      <c r="O102" s="6">
        <v>1.750448</v>
      </c>
      <c r="P102"/>
      <c r="Q102" s="6">
        <v>0.78590700000000002</v>
      </c>
      <c r="R102"/>
      <c r="S102" s="6">
        <v>0.81220999999999999</v>
      </c>
      <c r="T102"/>
      <c r="U102" s="6">
        <v>1.841977</v>
      </c>
      <c r="V102"/>
      <c r="W102" s="6">
        <v>0.81220999999999999</v>
      </c>
      <c r="X102"/>
      <c r="Y102" s="6">
        <v>0.81220999999999999</v>
      </c>
      <c r="Z102"/>
      <c r="AA102" s="6">
        <v>1.005382</v>
      </c>
      <c r="AB102"/>
      <c r="AC102" s="6">
        <v>0.81220999999999999</v>
      </c>
      <c r="AD102"/>
      <c r="AE102" s="6">
        <v>0.78590700000000002</v>
      </c>
      <c r="AF102"/>
      <c r="AG102" s="6">
        <v>1.010402</v>
      </c>
      <c r="AH102"/>
      <c r="AI102" s="6">
        <v>0.81220999999999999</v>
      </c>
      <c r="AJ102"/>
      <c r="AK102" s="6">
        <v>0.73332200000000003</v>
      </c>
      <c r="AL102"/>
      <c r="AM102" s="6">
        <v>1.7387619999999999</v>
      </c>
      <c r="AN102"/>
      <c r="AO102" s="6">
        <v>0.78590700000000002</v>
      </c>
      <c r="AP102"/>
      <c r="AQ102" s="6">
        <v>0.81220999999999999</v>
      </c>
      <c r="AR102"/>
      <c r="AS102" s="6">
        <v>1.5387679999999999</v>
      </c>
      <c r="AT102"/>
      <c r="AU102" s="6">
        <v>0.81220999999999999</v>
      </c>
      <c r="AV102"/>
      <c r="AW102" s="6">
        <v>0.81220999999999999</v>
      </c>
      <c r="AX102"/>
      <c r="AY102" s="6">
        <v>2.1166749999999999</v>
      </c>
      <c r="AZ102"/>
      <c r="BA102" s="6">
        <v>0.81220999999999999</v>
      </c>
      <c r="BB102"/>
      <c r="BC102" s="6">
        <v>0.78590700000000002</v>
      </c>
      <c r="BD102"/>
      <c r="BE102" s="6">
        <v>1.4084570000000001</v>
      </c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</row>
    <row r="103" spans="1:71" s="36" customFormat="1" x14ac:dyDescent="0.3">
      <c r="A103" s="24" t="s">
        <v>317</v>
      </c>
      <c r="B103" s="6">
        <v>6.3532190000000002</v>
      </c>
      <c r="C103"/>
      <c r="D103" s="6">
        <v>5.4279000000000002</v>
      </c>
      <c r="E103"/>
      <c r="F103" s="6">
        <v>5.0786040000000003</v>
      </c>
      <c r="G103" s="6">
        <v>1.4581329999999999</v>
      </c>
      <c r="H103"/>
      <c r="I103" s="6">
        <v>5.696536</v>
      </c>
      <c r="J103"/>
      <c r="K103" s="6">
        <v>0.168213</v>
      </c>
      <c r="L103"/>
      <c r="M103" s="6">
        <v>0.15735199999999999</v>
      </c>
      <c r="N103"/>
      <c r="O103" s="6">
        <v>1.1006499999999999</v>
      </c>
      <c r="P103"/>
      <c r="Q103" s="6">
        <v>0.16278200000000001</v>
      </c>
      <c r="R103"/>
      <c r="S103" s="6">
        <v>0.168213</v>
      </c>
      <c r="T103"/>
      <c r="U103" s="6">
        <v>1.21254</v>
      </c>
      <c r="V103"/>
      <c r="W103" s="6">
        <v>0.168213</v>
      </c>
      <c r="X103"/>
      <c r="Y103" s="6">
        <v>0.168213</v>
      </c>
      <c r="Z103"/>
      <c r="AA103" s="6">
        <v>0.38094499999999998</v>
      </c>
      <c r="AB103"/>
      <c r="AC103" s="6">
        <v>0.168213</v>
      </c>
      <c r="AD103"/>
      <c r="AE103" s="6">
        <v>0.16278200000000001</v>
      </c>
      <c r="AF103"/>
      <c r="AG103" s="6">
        <v>0.36518</v>
      </c>
      <c r="AH103"/>
      <c r="AI103" s="6">
        <v>0.168213</v>
      </c>
      <c r="AJ103"/>
      <c r="AK103" s="6">
        <v>0.151922</v>
      </c>
      <c r="AL103"/>
      <c r="AM103" s="6">
        <v>1.0890359999999999</v>
      </c>
      <c r="AN103"/>
      <c r="AO103" s="6">
        <v>0.16278200000000001</v>
      </c>
      <c r="AP103"/>
      <c r="AQ103" s="6">
        <v>0.168213</v>
      </c>
      <c r="AR103"/>
      <c r="AS103" s="6">
        <v>0.91114300000000004</v>
      </c>
      <c r="AT103"/>
      <c r="AU103" s="6">
        <v>0.168213</v>
      </c>
      <c r="AV103"/>
      <c r="AW103" s="6">
        <v>0.168213</v>
      </c>
      <c r="AX103"/>
      <c r="AY103" s="6">
        <v>1.4855959999999999</v>
      </c>
      <c r="AZ103"/>
      <c r="BA103" s="6">
        <v>0.168213</v>
      </c>
      <c r="BB103"/>
      <c r="BC103" s="6">
        <v>0.16278200000000001</v>
      </c>
      <c r="BD103"/>
      <c r="BE103" s="6">
        <v>0.76077300000000003</v>
      </c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</row>
    <row r="104" spans="1:71" s="36" customFormat="1" x14ac:dyDescent="0.3">
      <c r="A104" s="24" t="s">
        <v>318</v>
      </c>
      <c r="B104" s="6">
        <v>6.874428</v>
      </c>
      <c r="C104"/>
      <c r="D104" s="6">
        <v>5.9447749999999999</v>
      </c>
      <c r="E104"/>
      <c r="F104" s="6">
        <v>5.5940070000000004</v>
      </c>
      <c r="G104" s="6">
        <v>1.4587000000000001</v>
      </c>
      <c r="H104"/>
      <c r="I104" s="6">
        <v>6.2142499999999998</v>
      </c>
      <c r="J104"/>
      <c r="K104" s="6">
        <v>0.20979400000000001</v>
      </c>
      <c r="L104"/>
      <c r="M104" s="6">
        <v>0.196246</v>
      </c>
      <c r="N104"/>
      <c r="O104" s="6">
        <v>1.142606</v>
      </c>
      <c r="P104"/>
      <c r="Q104" s="6">
        <v>0.20302000000000001</v>
      </c>
      <c r="R104"/>
      <c r="S104" s="6">
        <v>0.20979400000000001</v>
      </c>
      <c r="T104"/>
      <c r="U104" s="6">
        <v>1.253185</v>
      </c>
      <c r="V104"/>
      <c r="W104" s="6">
        <v>0.20979400000000001</v>
      </c>
      <c r="X104"/>
      <c r="Y104" s="6">
        <v>0.20979400000000001</v>
      </c>
      <c r="Z104"/>
      <c r="AA104" s="6">
        <v>0.421267</v>
      </c>
      <c r="AB104"/>
      <c r="AC104" s="6">
        <v>0.20979400000000001</v>
      </c>
      <c r="AD104"/>
      <c r="AE104" s="6">
        <v>0.20302000000000001</v>
      </c>
      <c r="AF104"/>
      <c r="AG104" s="6">
        <v>0.40683999999999998</v>
      </c>
      <c r="AH104"/>
      <c r="AI104" s="6">
        <v>0.20979400000000001</v>
      </c>
      <c r="AJ104"/>
      <c r="AK104" s="6">
        <v>0.189472</v>
      </c>
      <c r="AL104"/>
      <c r="AM104" s="6">
        <v>1.130987</v>
      </c>
      <c r="AN104"/>
      <c r="AO104" s="6">
        <v>0.20302000000000001</v>
      </c>
      <c r="AP104"/>
      <c r="AQ104" s="6">
        <v>0.20979400000000001</v>
      </c>
      <c r="AR104"/>
      <c r="AS104" s="6">
        <v>0.95167100000000004</v>
      </c>
      <c r="AT104"/>
      <c r="AU104" s="6">
        <v>0.20979400000000001</v>
      </c>
      <c r="AV104"/>
      <c r="AW104" s="6">
        <v>0.20979400000000001</v>
      </c>
      <c r="AX104"/>
      <c r="AY104" s="6">
        <v>1.5263469999999999</v>
      </c>
      <c r="AZ104"/>
      <c r="BA104" s="6">
        <v>0.20979400000000001</v>
      </c>
      <c r="BB104"/>
      <c r="BC104" s="6">
        <v>0.20302000000000001</v>
      </c>
      <c r="BD104"/>
      <c r="BE104" s="6">
        <v>0.802593</v>
      </c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</row>
    <row r="105" spans="1:71" s="36" customFormat="1" x14ac:dyDescent="0.3">
      <c r="A105" s="24" t="s">
        <v>319</v>
      </c>
      <c r="B105" s="6">
        <v>7.3956350000000004</v>
      </c>
      <c r="C105"/>
      <c r="D105" s="6">
        <v>6.4616509999999998</v>
      </c>
      <c r="E105"/>
      <c r="F105" s="6">
        <v>6.1094109999999997</v>
      </c>
      <c r="G105" s="6">
        <v>1.459273</v>
      </c>
      <c r="H105"/>
      <c r="I105" s="6">
        <v>6.7319630000000004</v>
      </c>
      <c r="J105"/>
      <c r="K105" s="6">
        <v>0.25119000000000002</v>
      </c>
      <c r="L105"/>
      <c r="M105" s="6">
        <v>0.23496600000000001</v>
      </c>
      <c r="N105"/>
      <c r="O105" s="6">
        <v>1.184375</v>
      </c>
      <c r="P105"/>
      <c r="Q105" s="6">
        <v>0.24307799999999999</v>
      </c>
      <c r="R105"/>
      <c r="S105" s="6">
        <v>0.25119000000000002</v>
      </c>
      <c r="T105"/>
      <c r="U105" s="6">
        <v>1.293649</v>
      </c>
      <c r="V105"/>
      <c r="W105" s="6">
        <v>0.25119000000000002</v>
      </c>
      <c r="X105"/>
      <c r="Y105" s="6">
        <v>0.25119000000000002</v>
      </c>
      <c r="Z105"/>
      <c r="AA105" s="6">
        <v>0.46140900000000001</v>
      </c>
      <c r="AB105"/>
      <c r="AC105" s="6">
        <v>0.25119000000000002</v>
      </c>
      <c r="AD105"/>
      <c r="AE105" s="6">
        <v>0.24307799999999999</v>
      </c>
      <c r="AF105"/>
      <c r="AG105" s="6">
        <v>0.44831500000000002</v>
      </c>
      <c r="AH105"/>
      <c r="AI105" s="6">
        <v>0.25119000000000002</v>
      </c>
      <c r="AJ105"/>
      <c r="AK105" s="6">
        <v>0.226854</v>
      </c>
      <c r="AL105"/>
      <c r="AM105" s="6">
        <v>1.172752</v>
      </c>
      <c r="AN105"/>
      <c r="AO105" s="6">
        <v>0.24307799999999999</v>
      </c>
      <c r="AP105"/>
      <c r="AQ105" s="6">
        <v>0.25119000000000002</v>
      </c>
      <c r="AR105"/>
      <c r="AS105" s="6">
        <v>0.99201899999999998</v>
      </c>
      <c r="AT105"/>
      <c r="AU105" s="6">
        <v>0.25119000000000002</v>
      </c>
      <c r="AV105"/>
      <c r="AW105" s="6">
        <v>0.25119000000000002</v>
      </c>
      <c r="AX105"/>
      <c r="AY105" s="6">
        <v>1.5669169999999999</v>
      </c>
      <c r="AZ105"/>
      <c r="BA105" s="6">
        <v>0.25119000000000002</v>
      </c>
      <c r="BB105"/>
      <c r="BC105" s="6">
        <v>0.24307799999999999</v>
      </c>
      <c r="BD105"/>
      <c r="BE105" s="6">
        <v>0.84422600000000003</v>
      </c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</row>
    <row r="106" spans="1:71" s="36" customFormat="1" x14ac:dyDescent="0.3">
      <c r="A106" s="24" t="s">
        <v>320</v>
      </c>
      <c r="B106" s="6">
        <v>7.7083599999999999</v>
      </c>
      <c r="C106"/>
      <c r="D106" s="6">
        <v>6.771776</v>
      </c>
      <c r="E106"/>
      <c r="F106" s="6">
        <v>6.4186540000000001</v>
      </c>
      <c r="G106" s="6">
        <v>1.459619</v>
      </c>
      <c r="H106"/>
      <c r="I106" s="6">
        <v>7.0425890000000004</v>
      </c>
      <c r="J106"/>
      <c r="K106" s="6">
        <v>0.27594000000000002</v>
      </c>
      <c r="L106"/>
      <c r="M106" s="6">
        <v>0.25811400000000001</v>
      </c>
      <c r="N106"/>
      <c r="O106" s="6">
        <v>1.2093469999999999</v>
      </c>
      <c r="P106"/>
      <c r="Q106" s="6">
        <v>0.26702700000000001</v>
      </c>
      <c r="R106"/>
      <c r="S106" s="6">
        <v>0.27594000000000002</v>
      </c>
      <c r="T106"/>
      <c r="U106" s="6">
        <v>1.3178399999999999</v>
      </c>
      <c r="V106"/>
      <c r="W106" s="6">
        <v>0.27594000000000002</v>
      </c>
      <c r="X106"/>
      <c r="Y106" s="6">
        <v>0.27594000000000002</v>
      </c>
      <c r="Z106"/>
      <c r="AA106" s="6">
        <v>0.48540899999999998</v>
      </c>
      <c r="AB106"/>
      <c r="AC106" s="6">
        <v>0.27594000000000002</v>
      </c>
      <c r="AD106"/>
      <c r="AE106" s="6">
        <v>0.26702700000000001</v>
      </c>
      <c r="AF106"/>
      <c r="AG106" s="6">
        <v>0.47311199999999998</v>
      </c>
      <c r="AH106"/>
      <c r="AI106" s="6">
        <v>0.27594000000000002</v>
      </c>
      <c r="AJ106"/>
      <c r="AK106" s="6">
        <v>0.24920300000000001</v>
      </c>
      <c r="AL106"/>
      <c r="AM106" s="6">
        <v>1.197721</v>
      </c>
      <c r="AN106"/>
      <c r="AO106" s="6">
        <v>0.26702700000000001</v>
      </c>
      <c r="AP106"/>
      <c r="AQ106" s="6">
        <v>0.27594000000000002</v>
      </c>
      <c r="AR106"/>
      <c r="AS106" s="6">
        <v>1.016141</v>
      </c>
      <c r="AT106"/>
      <c r="AU106" s="6">
        <v>0.27594000000000002</v>
      </c>
      <c r="AV106"/>
      <c r="AW106" s="6">
        <v>0.27594000000000002</v>
      </c>
      <c r="AX106"/>
      <c r="AY106" s="6">
        <v>1.5911709999999999</v>
      </c>
      <c r="AZ106"/>
      <c r="BA106" s="6">
        <v>0.27594000000000002</v>
      </c>
      <c r="BB106"/>
      <c r="BC106" s="6">
        <v>0.26702700000000001</v>
      </c>
      <c r="BD106"/>
      <c r="BE106" s="6">
        <v>0.86911700000000003</v>
      </c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</row>
    <row r="107" spans="1:71" s="36" customFormat="1" x14ac:dyDescent="0.3">
      <c r="A107" s="24" t="s">
        <v>321</v>
      </c>
      <c r="B107" s="6">
        <v>7.9168419999999999</v>
      </c>
      <c r="C107"/>
      <c r="D107" s="6">
        <v>6.9785259999999996</v>
      </c>
      <c r="E107"/>
      <c r="F107" s="6">
        <v>6.6248170000000002</v>
      </c>
      <c r="G107" s="6">
        <v>1.4598519999999999</v>
      </c>
      <c r="H107"/>
      <c r="I107" s="6">
        <v>7.2496729999999996</v>
      </c>
      <c r="J107"/>
      <c r="K107" s="6">
        <v>0.29240300000000002</v>
      </c>
      <c r="L107"/>
      <c r="M107" s="6">
        <v>0.27351300000000001</v>
      </c>
      <c r="N107"/>
      <c r="O107" s="6">
        <v>1.225959</v>
      </c>
      <c r="P107"/>
      <c r="Q107" s="6">
        <v>0.28295700000000001</v>
      </c>
      <c r="R107"/>
      <c r="S107" s="6">
        <v>0.29240300000000002</v>
      </c>
      <c r="T107"/>
      <c r="U107" s="6">
        <v>1.3339319999999999</v>
      </c>
      <c r="V107"/>
      <c r="W107" s="6">
        <v>0.29240300000000002</v>
      </c>
      <c r="X107"/>
      <c r="Y107" s="6">
        <v>0.29240300000000002</v>
      </c>
      <c r="Z107"/>
      <c r="AA107" s="6">
        <v>0.50137299999999996</v>
      </c>
      <c r="AB107"/>
      <c r="AC107" s="6">
        <v>0.29240300000000002</v>
      </c>
      <c r="AD107"/>
      <c r="AE107" s="6">
        <v>0.28295700000000001</v>
      </c>
      <c r="AF107"/>
      <c r="AG107" s="6">
        <v>0.48960599999999999</v>
      </c>
      <c r="AH107"/>
      <c r="AI107" s="6">
        <v>0.29240300000000002</v>
      </c>
      <c r="AJ107"/>
      <c r="AK107" s="6">
        <v>0.264069</v>
      </c>
      <c r="AL107"/>
      <c r="AM107" s="6">
        <v>1.214331</v>
      </c>
      <c r="AN107"/>
      <c r="AO107" s="6">
        <v>0.28295700000000001</v>
      </c>
      <c r="AP107"/>
      <c r="AQ107" s="6">
        <v>0.29240300000000002</v>
      </c>
      <c r="AR107"/>
      <c r="AS107" s="6">
        <v>1.032186</v>
      </c>
      <c r="AT107"/>
      <c r="AU107" s="6">
        <v>0.29240300000000002</v>
      </c>
      <c r="AV107"/>
      <c r="AW107" s="6">
        <v>0.29240300000000002</v>
      </c>
      <c r="AX107"/>
      <c r="AY107" s="6">
        <v>1.607305</v>
      </c>
      <c r="AZ107"/>
      <c r="BA107" s="6">
        <v>0.29240300000000002</v>
      </c>
      <c r="BB107"/>
      <c r="BC107" s="6">
        <v>0.28295700000000001</v>
      </c>
      <c r="BD107"/>
      <c r="BE107" s="6">
        <v>0.88567399999999996</v>
      </c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</row>
    <row r="108" spans="1:71" s="36" customFormat="1" x14ac:dyDescent="0.3">
      <c r="A108" s="24" t="s">
        <v>322</v>
      </c>
      <c r="B108" s="6">
        <v>8.3338079999999994</v>
      </c>
      <c r="C108"/>
      <c r="D108" s="6">
        <v>7.3920269999999997</v>
      </c>
      <c r="E108"/>
      <c r="F108" s="6">
        <v>7.0371430000000004</v>
      </c>
      <c r="G108" s="6">
        <v>1.4603200000000001</v>
      </c>
      <c r="H108"/>
      <c r="I108" s="6">
        <v>7.6638400000000004</v>
      </c>
      <c r="J108"/>
      <c r="K108" s="6">
        <v>0.32524199999999998</v>
      </c>
      <c r="L108"/>
      <c r="M108" s="6">
        <v>0.30422700000000003</v>
      </c>
      <c r="N108"/>
      <c r="O108" s="6">
        <v>1.2590939999999999</v>
      </c>
      <c r="P108"/>
      <c r="Q108" s="6">
        <v>0.31473400000000001</v>
      </c>
      <c r="R108"/>
      <c r="S108" s="6">
        <v>0.32524199999999998</v>
      </c>
      <c r="T108"/>
      <c r="U108" s="6">
        <v>1.366031</v>
      </c>
      <c r="V108"/>
      <c r="W108" s="6">
        <v>0.32524199999999998</v>
      </c>
      <c r="X108"/>
      <c r="Y108" s="6">
        <v>0.32524199999999998</v>
      </c>
      <c r="Z108"/>
      <c r="AA108" s="6">
        <v>0.53321700000000005</v>
      </c>
      <c r="AB108"/>
      <c r="AC108" s="6">
        <v>0.32524199999999998</v>
      </c>
      <c r="AD108"/>
      <c r="AE108" s="6">
        <v>0.31473400000000001</v>
      </c>
      <c r="AF108"/>
      <c r="AG108" s="6">
        <v>0.52250799999999997</v>
      </c>
      <c r="AH108"/>
      <c r="AI108" s="6">
        <v>0.32524199999999998</v>
      </c>
      <c r="AJ108"/>
      <c r="AK108" s="6">
        <v>0.29372100000000001</v>
      </c>
      <c r="AL108"/>
      <c r="AM108" s="6">
        <v>1.2474620000000001</v>
      </c>
      <c r="AN108"/>
      <c r="AO108" s="6">
        <v>0.31473400000000001</v>
      </c>
      <c r="AP108"/>
      <c r="AQ108" s="6">
        <v>0.32524199999999998</v>
      </c>
      <c r="AR108"/>
      <c r="AS108" s="6">
        <v>1.0641929999999999</v>
      </c>
      <c r="AT108"/>
      <c r="AU108" s="6">
        <v>0.32524199999999998</v>
      </c>
      <c r="AV108"/>
      <c r="AW108" s="6">
        <v>0.32524199999999998</v>
      </c>
      <c r="AX108"/>
      <c r="AY108" s="6">
        <v>1.6394880000000001</v>
      </c>
      <c r="AZ108"/>
      <c r="BA108" s="6">
        <v>0.32524199999999998</v>
      </c>
      <c r="BB108"/>
      <c r="BC108" s="6">
        <v>0.31473400000000001</v>
      </c>
      <c r="BD108"/>
      <c r="BE108" s="6">
        <v>0.91870200000000002</v>
      </c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</row>
    <row r="109" spans="1:71" s="36" customFormat="1" x14ac:dyDescent="0.3">
      <c r="A109" s="24" t="s">
        <v>323</v>
      </c>
      <c r="B109" s="6">
        <v>8.4380489999999995</v>
      </c>
      <c r="C109"/>
      <c r="D109" s="6">
        <v>7.4954020000000003</v>
      </c>
      <c r="E109"/>
      <c r="F109" s="6">
        <v>7.1402239999999999</v>
      </c>
      <c r="G109" s="6">
        <v>1.460437</v>
      </c>
      <c r="H109"/>
      <c r="I109" s="6">
        <v>7.7673819999999996</v>
      </c>
      <c r="J109"/>
      <c r="K109" s="6">
        <v>0.33343400000000001</v>
      </c>
      <c r="L109"/>
      <c r="M109" s="6">
        <v>0.31188900000000003</v>
      </c>
      <c r="N109"/>
      <c r="O109" s="6">
        <v>1.2673589999999999</v>
      </c>
      <c r="P109"/>
      <c r="Q109" s="6">
        <v>0.32266099999999998</v>
      </c>
      <c r="R109"/>
      <c r="S109" s="6">
        <v>0.33343400000000001</v>
      </c>
      <c r="T109"/>
      <c r="U109" s="6">
        <v>1.3740380000000001</v>
      </c>
      <c r="V109"/>
      <c r="W109" s="6">
        <v>0.33343400000000001</v>
      </c>
      <c r="X109"/>
      <c r="Y109" s="6">
        <v>0.33343400000000001</v>
      </c>
      <c r="Z109"/>
      <c r="AA109" s="6">
        <v>0.54115999999999997</v>
      </c>
      <c r="AB109"/>
      <c r="AC109" s="6">
        <v>0.33343400000000001</v>
      </c>
      <c r="AD109"/>
      <c r="AE109" s="6">
        <v>0.32266099999999998</v>
      </c>
      <c r="AF109"/>
      <c r="AG109" s="6">
        <v>0.53071500000000005</v>
      </c>
      <c r="AH109"/>
      <c r="AI109" s="6">
        <v>0.33343400000000001</v>
      </c>
      <c r="AJ109"/>
      <c r="AK109" s="6">
        <v>0.301118</v>
      </c>
      <c r="AL109"/>
      <c r="AM109" s="6">
        <v>1.255727</v>
      </c>
      <c r="AN109"/>
      <c r="AO109" s="6">
        <v>0.32266099999999998</v>
      </c>
      <c r="AP109"/>
      <c r="AQ109" s="6">
        <v>0.33343400000000001</v>
      </c>
      <c r="AR109"/>
      <c r="AS109" s="6">
        <v>1.072176</v>
      </c>
      <c r="AT109"/>
      <c r="AU109" s="6">
        <v>0.33343400000000001</v>
      </c>
      <c r="AV109"/>
      <c r="AW109" s="6">
        <v>0.33343400000000001</v>
      </c>
      <c r="AX109"/>
      <c r="AY109" s="6">
        <v>1.647516</v>
      </c>
      <c r="AZ109"/>
      <c r="BA109" s="6">
        <v>0.33343400000000001</v>
      </c>
      <c r="BB109"/>
      <c r="BC109" s="6">
        <v>0.32266099999999998</v>
      </c>
      <c r="BD109"/>
      <c r="BE109" s="6">
        <v>0.92693999999999999</v>
      </c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</row>
    <row r="110" spans="1:71" s="36" customFormat="1" x14ac:dyDescent="0.3">
      <c r="A110" s="24" t="s">
        <v>324</v>
      </c>
      <c r="B110" s="6">
        <v>8.7507719999999996</v>
      </c>
      <c r="C110"/>
      <c r="D110" s="6">
        <v>7.8055279999999998</v>
      </c>
      <c r="E110"/>
      <c r="F110" s="6">
        <v>7.4494689999999997</v>
      </c>
      <c r="G110" s="6">
        <v>1.4607920000000001</v>
      </c>
      <c r="H110"/>
      <c r="I110" s="6">
        <v>8.0780060000000002</v>
      </c>
      <c r="J110"/>
      <c r="K110" s="6">
        <v>0.35796600000000001</v>
      </c>
      <c r="L110"/>
      <c r="M110" s="6">
        <v>0.33483299999999999</v>
      </c>
      <c r="N110"/>
      <c r="O110" s="6">
        <v>1.2921119999999999</v>
      </c>
      <c r="P110"/>
      <c r="Q110" s="6">
        <v>0.34639900000000001</v>
      </c>
      <c r="R110"/>
      <c r="S110" s="6">
        <v>0.35796600000000001</v>
      </c>
      <c r="T110"/>
      <c r="U110" s="6">
        <v>1.3980159999999999</v>
      </c>
      <c r="V110"/>
      <c r="W110" s="6">
        <v>0.35796600000000001</v>
      </c>
      <c r="X110"/>
      <c r="Y110" s="6">
        <v>0.35796600000000001</v>
      </c>
      <c r="Z110"/>
      <c r="AA110" s="6">
        <v>0.56494800000000001</v>
      </c>
      <c r="AB110"/>
      <c r="AC110" s="6">
        <v>0.35796600000000001</v>
      </c>
      <c r="AD110"/>
      <c r="AE110" s="6">
        <v>0.34639900000000001</v>
      </c>
      <c r="AF110"/>
      <c r="AG110" s="6">
        <v>0.55529399999999995</v>
      </c>
      <c r="AH110"/>
      <c r="AI110" s="6">
        <v>0.35796600000000001</v>
      </c>
      <c r="AJ110"/>
      <c r="AK110" s="6">
        <v>0.323268</v>
      </c>
      <c r="AL110"/>
      <c r="AM110" s="6">
        <v>1.2804770000000001</v>
      </c>
      <c r="AN110"/>
      <c r="AO110" s="6">
        <v>0.34639900000000001</v>
      </c>
      <c r="AP110"/>
      <c r="AQ110" s="6">
        <v>0.35796600000000001</v>
      </c>
      <c r="AR110"/>
      <c r="AS110" s="6">
        <v>1.0960859999999999</v>
      </c>
      <c r="AT110"/>
      <c r="AU110" s="6">
        <v>0.35796600000000001</v>
      </c>
      <c r="AV110"/>
      <c r="AW110" s="6">
        <v>0.35796600000000001</v>
      </c>
      <c r="AX110"/>
      <c r="AY110" s="6">
        <v>1.671557</v>
      </c>
      <c r="AZ110"/>
      <c r="BA110" s="6">
        <v>0.35796600000000001</v>
      </c>
      <c r="BB110"/>
      <c r="BC110" s="6">
        <v>0.34639900000000001</v>
      </c>
      <c r="BD110"/>
      <c r="BE110" s="6">
        <v>0.95161300000000004</v>
      </c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</row>
    <row r="111" spans="1:71" s="36" customFormat="1" x14ac:dyDescent="0.3">
      <c r="A111" s="24" t="s">
        <v>325</v>
      </c>
      <c r="B111" s="6">
        <v>8.8550140000000006</v>
      </c>
      <c r="C111"/>
      <c r="D111" s="6">
        <v>7.9089029999999996</v>
      </c>
      <c r="E111"/>
      <c r="F111" s="6">
        <v>7.5525510000000002</v>
      </c>
      <c r="G111" s="6">
        <v>1.4609099999999999</v>
      </c>
      <c r="H111"/>
      <c r="I111" s="6">
        <v>8.1815470000000001</v>
      </c>
      <c r="J111"/>
      <c r="K111" s="6">
        <v>0.36612899999999998</v>
      </c>
      <c r="L111"/>
      <c r="M111" s="6">
        <v>0.34246700000000002</v>
      </c>
      <c r="N111"/>
      <c r="O111" s="6">
        <v>1.300349</v>
      </c>
      <c r="P111"/>
      <c r="Q111" s="6">
        <v>0.354298</v>
      </c>
      <c r="R111"/>
      <c r="S111" s="6">
        <v>0.36612899999999998</v>
      </c>
      <c r="T111"/>
      <c r="U111" s="6">
        <v>1.4059950000000001</v>
      </c>
      <c r="V111"/>
      <c r="W111" s="6">
        <v>0.36612899999999998</v>
      </c>
      <c r="X111"/>
      <c r="Y111" s="6">
        <v>0.36612899999999998</v>
      </c>
      <c r="Z111"/>
      <c r="AA111" s="6">
        <v>0.57286300000000001</v>
      </c>
      <c r="AB111"/>
      <c r="AC111" s="6">
        <v>0.36612899999999998</v>
      </c>
      <c r="AD111"/>
      <c r="AE111" s="6">
        <v>0.354298</v>
      </c>
      <c r="AF111"/>
      <c r="AG111" s="6">
        <v>0.56347199999999997</v>
      </c>
      <c r="AH111"/>
      <c r="AI111" s="6">
        <v>0.36612899999999998</v>
      </c>
      <c r="AJ111"/>
      <c r="AK111" s="6">
        <v>0.33063900000000002</v>
      </c>
      <c r="AL111"/>
      <c r="AM111" s="6">
        <v>1.288713</v>
      </c>
      <c r="AN111"/>
      <c r="AO111" s="6">
        <v>0.354298</v>
      </c>
      <c r="AP111"/>
      <c r="AQ111" s="6">
        <v>0.36612899999999998</v>
      </c>
      <c r="AR111"/>
      <c r="AS111" s="6">
        <v>1.104042</v>
      </c>
      <c r="AT111"/>
      <c r="AU111" s="6">
        <v>0.36612899999999998</v>
      </c>
      <c r="AV111"/>
      <c r="AW111" s="6">
        <v>0.36612899999999998</v>
      </c>
      <c r="AX111"/>
      <c r="AY111" s="6">
        <v>1.679556</v>
      </c>
      <c r="AZ111"/>
      <c r="BA111" s="6">
        <v>0.36612899999999998</v>
      </c>
      <c r="BB111"/>
      <c r="BC111" s="6">
        <v>0.354298</v>
      </c>
      <c r="BD111"/>
      <c r="BE111" s="6">
        <v>0.95982199999999995</v>
      </c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</row>
    <row r="112" spans="1:71" s="36" customFormat="1" x14ac:dyDescent="0.3">
      <c r="A112" s="24" t="s">
        <v>326</v>
      </c>
      <c r="B112" s="6">
        <v>8.9592550000000006</v>
      </c>
      <c r="C112"/>
      <c r="D112" s="6">
        <v>8.0122789999999995</v>
      </c>
      <c r="E112"/>
      <c r="F112" s="6">
        <v>7.6556329999999999</v>
      </c>
      <c r="G112" s="6">
        <v>1.4610289999999999</v>
      </c>
      <c r="H112"/>
      <c r="I112" s="6">
        <v>8.285088</v>
      </c>
      <c r="J112"/>
      <c r="K112" s="6">
        <v>0.37428499999999998</v>
      </c>
      <c r="L112"/>
      <c r="M112" s="6">
        <v>0.35009499999999999</v>
      </c>
      <c r="N112"/>
      <c r="O112" s="6">
        <v>1.308578</v>
      </c>
      <c r="P112"/>
      <c r="Q112" s="6">
        <v>0.36218899999999998</v>
      </c>
      <c r="R112"/>
      <c r="S112" s="6">
        <v>0.37428499999999998</v>
      </c>
      <c r="T112"/>
      <c r="U112" s="6">
        <v>1.413967</v>
      </c>
      <c r="V112"/>
      <c r="W112" s="6">
        <v>0.37428499999999998</v>
      </c>
      <c r="X112"/>
      <c r="Y112" s="6">
        <v>0.37428499999999998</v>
      </c>
      <c r="Z112"/>
      <c r="AA112" s="6">
        <v>0.58077199999999995</v>
      </c>
      <c r="AB112"/>
      <c r="AC112" s="6">
        <v>0.37428499999999998</v>
      </c>
      <c r="AD112"/>
      <c r="AE112" s="6">
        <v>0.36218899999999998</v>
      </c>
      <c r="AF112"/>
      <c r="AG112" s="6">
        <v>0.57164400000000004</v>
      </c>
      <c r="AH112"/>
      <c r="AI112" s="6">
        <v>0.37428499999999998</v>
      </c>
      <c r="AJ112"/>
      <c r="AK112" s="6">
        <v>0.338003</v>
      </c>
      <c r="AL112"/>
      <c r="AM112" s="6">
        <v>1.2969409999999999</v>
      </c>
      <c r="AN112"/>
      <c r="AO112" s="6">
        <v>0.36218899999999998</v>
      </c>
      <c r="AP112"/>
      <c r="AQ112" s="6">
        <v>0.37428499999999998</v>
      </c>
      <c r="AR112"/>
      <c r="AS112" s="6">
        <v>1.11199</v>
      </c>
      <c r="AT112"/>
      <c r="AU112" s="6">
        <v>0.37428499999999998</v>
      </c>
      <c r="AV112"/>
      <c r="AW112" s="6">
        <v>0.37428499999999998</v>
      </c>
      <c r="AX112"/>
      <c r="AY112" s="6">
        <v>1.687549</v>
      </c>
      <c r="AZ112"/>
      <c r="BA112" s="6">
        <v>0.37428499999999998</v>
      </c>
      <c r="BB112"/>
      <c r="BC112" s="6">
        <v>0.36218899999999998</v>
      </c>
      <c r="BD112"/>
      <c r="BE112" s="6">
        <v>0.96802500000000002</v>
      </c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</row>
    <row r="113" spans="1:71" s="36" customFormat="1" x14ac:dyDescent="0.3">
      <c r="A113" s="24" t="s">
        <v>327</v>
      </c>
      <c r="B113" s="6">
        <v>9.3762190000000007</v>
      </c>
      <c r="C113"/>
      <c r="D113" s="6">
        <v>8.4257799999999996</v>
      </c>
      <c r="E113"/>
      <c r="F113" s="6">
        <v>8.0679610000000004</v>
      </c>
      <c r="G113" s="6">
        <v>1.461506</v>
      </c>
      <c r="H113"/>
      <c r="I113" s="6">
        <v>8.6992519999999995</v>
      </c>
      <c r="J113"/>
      <c r="K113" s="6">
        <v>0.406837</v>
      </c>
      <c r="L113"/>
      <c r="M113" s="6">
        <v>0.38053900000000002</v>
      </c>
      <c r="N113"/>
      <c r="O113" s="6">
        <v>1.341423</v>
      </c>
      <c r="P113"/>
      <c r="Q113" s="6">
        <v>0.39368700000000001</v>
      </c>
      <c r="R113"/>
      <c r="S113" s="6">
        <v>0.406837</v>
      </c>
      <c r="T113"/>
      <c r="U113" s="6">
        <v>1.445784</v>
      </c>
      <c r="V113"/>
      <c r="W113" s="6">
        <v>0.406837</v>
      </c>
      <c r="X113"/>
      <c r="Y113" s="6">
        <v>0.406837</v>
      </c>
      <c r="Z113"/>
      <c r="AA113" s="6">
        <v>0.61233599999999999</v>
      </c>
      <c r="AB113"/>
      <c r="AC113" s="6">
        <v>0.406837</v>
      </c>
      <c r="AD113"/>
      <c r="AE113" s="6">
        <v>0.39368700000000001</v>
      </c>
      <c r="AF113"/>
      <c r="AG113" s="6">
        <v>0.60425799999999996</v>
      </c>
      <c r="AH113"/>
      <c r="AI113" s="6">
        <v>0.406837</v>
      </c>
      <c r="AJ113"/>
      <c r="AK113" s="6">
        <v>0.36739300000000003</v>
      </c>
      <c r="AL113"/>
      <c r="AM113" s="6">
        <v>1.3297829999999999</v>
      </c>
      <c r="AN113"/>
      <c r="AO113" s="6">
        <v>0.39368700000000001</v>
      </c>
      <c r="AP113"/>
      <c r="AQ113" s="6">
        <v>0.406837</v>
      </c>
      <c r="AR113"/>
      <c r="AS113" s="6">
        <v>1.143716</v>
      </c>
      <c r="AT113"/>
      <c r="AU113" s="6">
        <v>0.406837</v>
      </c>
      <c r="AV113"/>
      <c r="AW113" s="6">
        <v>0.406837</v>
      </c>
      <c r="AX113"/>
      <c r="AY113" s="6">
        <v>1.719449</v>
      </c>
      <c r="AZ113"/>
      <c r="BA113" s="6">
        <v>0.406837</v>
      </c>
      <c r="BB113"/>
      <c r="BC113" s="6">
        <v>0.39368700000000001</v>
      </c>
      <c r="BD113"/>
      <c r="BE113" s="6">
        <v>1.0007630000000001</v>
      </c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</row>
    <row r="114" spans="1:71" s="36" customFormat="1" x14ac:dyDescent="0.3">
      <c r="A114" s="24" t="s">
        <v>328</v>
      </c>
      <c r="B114" s="6">
        <v>9.4804600000000008</v>
      </c>
      <c r="C114"/>
      <c r="D114" s="6">
        <v>8.5291549999999994</v>
      </c>
      <c r="E114"/>
      <c r="F114" s="6">
        <v>8.1710429999999992</v>
      </c>
      <c r="G114" s="6">
        <v>1.4616260000000001</v>
      </c>
      <c r="H114"/>
      <c r="I114" s="6">
        <v>8.8027929999999994</v>
      </c>
      <c r="J114"/>
      <c r="K114" s="6">
        <v>0.41495700000000002</v>
      </c>
      <c r="L114"/>
      <c r="M114" s="6">
        <v>0.38813399999999998</v>
      </c>
      <c r="N114"/>
      <c r="O114" s="6">
        <v>1.3496170000000001</v>
      </c>
      <c r="P114"/>
      <c r="Q114" s="6">
        <v>0.40154499999999999</v>
      </c>
      <c r="R114"/>
      <c r="S114" s="6">
        <v>0.41495700000000002</v>
      </c>
      <c r="T114"/>
      <c r="U114" s="6">
        <v>1.453721</v>
      </c>
      <c r="V114"/>
      <c r="W114" s="6">
        <v>0.41495700000000002</v>
      </c>
      <c r="X114"/>
      <c r="Y114" s="6">
        <v>0.41495700000000002</v>
      </c>
      <c r="Z114"/>
      <c r="AA114" s="6">
        <v>0.62021000000000004</v>
      </c>
      <c r="AB114"/>
      <c r="AC114" s="6">
        <v>0.41495700000000002</v>
      </c>
      <c r="AD114"/>
      <c r="AE114" s="6">
        <v>0.40154499999999999</v>
      </c>
      <c r="AF114"/>
      <c r="AG114" s="6">
        <v>0.61239299999999997</v>
      </c>
      <c r="AH114"/>
      <c r="AI114" s="6">
        <v>0.41495700000000002</v>
      </c>
      <c r="AJ114"/>
      <c r="AK114" s="6">
        <v>0.37472499999999997</v>
      </c>
      <c r="AL114"/>
      <c r="AM114" s="6">
        <v>1.3379749999999999</v>
      </c>
      <c r="AN114"/>
      <c r="AO114" s="6">
        <v>0.40154499999999999</v>
      </c>
      <c r="AP114"/>
      <c r="AQ114" s="6">
        <v>0.41495700000000002</v>
      </c>
      <c r="AR114"/>
      <c r="AS114" s="6">
        <v>1.1516299999999999</v>
      </c>
      <c r="AT114"/>
      <c r="AU114" s="6">
        <v>0.41495700000000002</v>
      </c>
      <c r="AV114"/>
      <c r="AW114" s="6">
        <v>0.41495700000000002</v>
      </c>
      <c r="AX114"/>
      <c r="AY114" s="6">
        <v>1.727406</v>
      </c>
      <c r="AZ114"/>
      <c r="BA114" s="6">
        <v>0.41495700000000002</v>
      </c>
      <c r="BB114"/>
      <c r="BC114" s="6">
        <v>0.40154499999999999</v>
      </c>
      <c r="BD114"/>
      <c r="BE114" s="6">
        <v>1.0089300000000001</v>
      </c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</row>
    <row r="115" spans="1:71" s="36" customFormat="1" x14ac:dyDescent="0.3">
      <c r="A115" s="24" t="s">
        <v>329</v>
      </c>
      <c r="B115" s="6">
        <v>9.6889420000000008</v>
      </c>
      <c r="C115"/>
      <c r="D115" s="6">
        <v>8.7359059999999999</v>
      </c>
      <c r="E115"/>
      <c r="F115" s="6">
        <v>8.3772079999999995</v>
      </c>
      <c r="G115" s="6">
        <v>1.461867</v>
      </c>
      <c r="H115"/>
      <c r="I115" s="6">
        <v>9.0098739999999999</v>
      </c>
      <c r="J115"/>
      <c r="K115" s="6">
        <v>0.431176</v>
      </c>
      <c r="L115"/>
      <c r="M115" s="6">
        <v>0.40330300000000002</v>
      </c>
      <c r="N115"/>
      <c r="O115" s="6">
        <v>1.365982</v>
      </c>
      <c r="P115"/>
      <c r="Q115" s="6">
        <v>0.41723900000000003</v>
      </c>
      <c r="R115"/>
      <c r="S115" s="6">
        <v>0.431176</v>
      </c>
      <c r="T115"/>
      <c r="U115" s="6">
        <v>1.4695739999999999</v>
      </c>
      <c r="V115"/>
      <c r="W115" s="6">
        <v>0.431176</v>
      </c>
      <c r="X115"/>
      <c r="Y115" s="6">
        <v>0.431176</v>
      </c>
      <c r="Z115"/>
      <c r="AA115" s="6">
        <v>0.63593699999999997</v>
      </c>
      <c r="AB115"/>
      <c r="AC115" s="6">
        <v>0.431176</v>
      </c>
      <c r="AD115"/>
      <c r="AE115" s="6">
        <v>0.41723900000000003</v>
      </c>
      <c r="AF115"/>
      <c r="AG115" s="6">
        <v>0.62864399999999998</v>
      </c>
      <c r="AH115"/>
      <c r="AI115" s="6">
        <v>0.431176</v>
      </c>
      <c r="AJ115"/>
      <c r="AK115" s="6">
        <v>0.38936900000000002</v>
      </c>
      <c r="AL115"/>
      <c r="AM115" s="6">
        <v>1.354339</v>
      </c>
      <c r="AN115"/>
      <c r="AO115" s="6">
        <v>0.41723900000000003</v>
      </c>
      <c r="AP115"/>
      <c r="AQ115" s="6">
        <v>0.431176</v>
      </c>
      <c r="AR115"/>
      <c r="AS115" s="6">
        <v>1.1674370000000001</v>
      </c>
      <c r="AT115"/>
      <c r="AU115" s="6">
        <v>0.431176</v>
      </c>
      <c r="AV115"/>
      <c r="AW115" s="6">
        <v>0.431176</v>
      </c>
      <c r="AX115"/>
      <c r="AY115" s="6">
        <v>1.743301</v>
      </c>
      <c r="AZ115"/>
      <c r="BA115" s="6">
        <v>0.431176</v>
      </c>
      <c r="BB115"/>
      <c r="BC115" s="6">
        <v>0.41723900000000003</v>
      </c>
      <c r="BD115"/>
      <c r="BE115" s="6">
        <v>1.025242</v>
      </c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</row>
    <row r="116" spans="1:71" s="36" customFormat="1" x14ac:dyDescent="0.3">
      <c r="A116" s="24" t="s">
        <v>330</v>
      </c>
      <c r="B116" s="6">
        <v>10.522868000000001</v>
      </c>
      <c r="C116"/>
      <c r="D116" s="6">
        <v>9.5629100000000005</v>
      </c>
      <c r="E116"/>
      <c r="F116" s="6">
        <v>9.2018679999999993</v>
      </c>
      <c r="G116" s="6">
        <v>1.462839</v>
      </c>
      <c r="H116"/>
      <c r="I116" s="6">
        <v>9.8381959999999999</v>
      </c>
      <c r="J116"/>
      <c r="K116" s="6">
        <v>0.49577300000000002</v>
      </c>
      <c r="L116"/>
      <c r="M116" s="6">
        <v>0.46371299999999999</v>
      </c>
      <c r="N116"/>
      <c r="O116" s="6">
        <v>1.43116</v>
      </c>
      <c r="P116"/>
      <c r="Q116" s="6">
        <v>0.479742</v>
      </c>
      <c r="R116"/>
      <c r="S116" s="6">
        <v>0.49577300000000002</v>
      </c>
      <c r="T116"/>
      <c r="U116" s="6">
        <v>1.53271</v>
      </c>
      <c r="V116"/>
      <c r="W116" s="6">
        <v>0.49577300000000002</v>
      </c>
      <c r="X116"/>
      <c r="Y116" s="6">
        <v>0.49577300000000002</v>
      </c>
      <c r="Z116"/>
      <c r="AA116" s="6">
        <v>0.69857199999999997</v>
      </c>
      <c r="AB116"/>
      <c r="AC116" s="6">
        <v>0.49577300000000002</v>
      </c>
      <c r="AD116"/>
      <c r="AE116" s="6">
        <v>0.479742</v>
      </c>
      <c r="AF116"/>
      <c r="AG116" s="6">
        <v>0.69336299999999995</v>
      </c>
      <c r="AH116"/>
      <c r="AI116" s="6">
        <v>0.49577300000000002</v>
      </c>
      <c r="AJ116"/>
      <c r="AK116" s="6">
        <v>0.44768799999999997</v>
      </c>
      <c r="AL116"/>
      <c r="AM116" s="6">
        <v>1.41951</v>
      </c>
      <c r="AN116"/>
      <c r="AO116" s="6">
        <v>0.479742</v>
      </c>
      <c r="AP116"/>
      <c r="AQ116" s="6">
        <v>0.49577300000000002</v>
      </c>
      <c r="AR116"/>
      <c r="AS116" s="6">
        <v>1.2303919999999999</v>
      </c>
      <c r="AT116"/>
      <c r="AU116" s="6">
        <v>0.49577300000000002</v>
      </c>
      <c r="AV116"/>
      <c r="AW116" s="6">
        <v>0.49577300000000002</v>
      </c>
      <c r="AX116"/>
      <c r="AY116" s="6">
        <v>1.806602</v>
      </c>
      <c r="AZ116"/>
      <c r="BA116" s="6">
        <v>0.49577300000000002</v>
      </c>
      <c r="BB116"/>
      <c r="BC116" s="6">
        <v>0.479742</v>
      </c>
      <c r="BD116"/>
      <c r="BE116" s="6">
        <v>1.0902080000000001</v>
      </c>
    </row>
    <row r="117" spans="1:71" s="36" customFormat="1" x14ac:dyDescent="0.3">
      <c r="A117" s="24" t="s">
        <v>331</v>
      </c>
      <c r="B117" s="6">
        <v>12.607678</v>
      </c>
      <c r="C117"/>
      <c r="D117" s="6">
        <v>11.630423</v>
      </c>
      <c r="E117"/>
      <c r="F117" s="6">
        <v>11.263536</v>
      </c>
      <c r="G117" s="6">
        <v>1.465333</v>
      </c>
      <c r="H117"/>
      <c r="I117" s="6">
        <v>11.90898</v>
      </c>
      <c r="J117"/>
      <c r="K117" s="6">
        <v>0.65533200000000003</v>
      </c>
      <c r="L117"/>
      <c r="M117" s="6">
        <v>0.612923</v>
      </c>
      <c r="N117"/>
      <c r="O117" s="6">
        <v>1.592157</v>
      </c>
      <c r="P117"/>
      <c r="Q117" s="6">
        <v>0.63412599999999997</v>
      </c>
      <c r="R117"/>
      <c r="S117" s="6">
        <v>0.65533200000000003</v>
      </c>
      <c r="T117"/>
      <c r="U117" s="6">
        <v>1.688658</v>
      </c>
      <c r="V117"/>
      <c r="W117" s="6">
        <v>0.65533200000000003</v>
      </c>
      <c r="X117"/>
      <c r="Y117" s="6">
        <v>0.65533200000000003</v>
      </c>
      <c r="Z117"/>
      <c r="AA117" s="6">
        <v>0.85328000000000004</v>
      </c>
      <c r="AB117"/>
      <c r="AC117" s="6">
        <v>0.65533200000000003</v>
      </c>
      <c r="AD117"/>
      <c r="AE117" s="6">
        <v>0.63412599999999997</v>
      </c>
      <c r="AF117"/>
      <c r="AG117" s="6">
        <v>0.85322600000000004</v>
      </c>
      <c r="AH117"/>
      <c r="AI117" s="6">
        <v>0.65533200000000003</v>
      </c>
      <c r="AJ117"/>
      <c r="AK117" s="6">
        <v>0.59172599999999997</v>
      </c>
      <c r="AL117"/>
      <c r="AM117" s="6">
        <v>1.5804879999999999</v>
      </c>
      <c r="AN117"/>
      <c r="AO117" s="6">
        <v>0.63412599999999997</v>
      </c>
      <c r="AP117"/>
      <c r="AQ117" s="6">
        <v>0.65533200000000003</v>
      </c>
      <c r="AR117"/>
      <c r="AS117" s="6">
        <v>1.385891</v>
      </c>
      <c r="AT117"/>
      <c r="AU117" s="6">
        <v>0.65533200000000003</v>
      </c>
      <c r="AV117"/>
      <c r="AW117" s="6">
        <v>0.65533200000000003</v>
      </c>
      <c r="AX117"/>
      <c r="AY117" s="6">
        <v>1.9629559999999999</v>
      </c>
      <c r="AZ117"/>
      <c r="BA117" s="6">
        <v>0.65533200000000003</v>
      </c>
      <c r="BB117"/>
      <c r="BC117" s="6">
        <v>0.63412599999999997</v>
      </c>
      <c r="BD117"/>
      <c r="BE117" s="6">
        <v>1.2506809999999999</v>
      </c>
    </row>
    <row r="118" spans="1:71" s="36" customFormat="1" x14ac:dyDescent="0.3">
      <c r="A118" s="24" t="s">
        <v>332</v>
      </c>
      <c r="B118" s="6">
        <v>13.128879</v>
      </c>
      <c r="C118"/>
      <c r="D118" s="6">
        <v>12.147302</v>
      </c>
      <c r="E118"/>
      <c r="F118" s="6">
        <v>11.778957</v>
      </c>
      <c r="G118" s="6">
        <v>1.4659709999999999</v>
      </c>
      <c r="H118"/>
      <c r="I118" s="6">
        <v>12.426672</v>
      </c>
      <c r="J118"/>
      <c r="K118" s="6">
        <v>0.69479900000000006</v>
      </c>
      <c r="L118"/>
      <c r="M118" s="6">
        <v>0.64982799999999996</v>
      </c>
      <c r="N118"/>
      <c r="O118" s="6">
        <v>1.63198</v>
      </c>
      <c r="P118"/>
      <c r="Q118" s="6">
        <v>0.67231099999999999</v>
      </c>
      <c r="R118"/>
      <c r="S118" s="6">
        <v>0.69479900000000006</v>
      </c>
      <c r="T118"/>
      <c r="U118" s="6">
        <v>1.72723</v>
      </c>
      <c r="V118"/>
      <c r="W118" s="6">
        <v>0.69479900000000006</v>
      </c>
      <c r="X118"/>
      <c r="Y118" s="6">
        <v>0.69479900000000006</v>
      </c>
      <c r="Z118"/>
      <c r="AA118" s="6">
        <v>0.89154699999999998</v>
      </c>
      <c r="AB118"/>
      <c r="AC118" s="6">
        <v>0.69479900000000006</v>
      </c>
      <c r="AD118"/>
      <c r="AE118" s="6">
        <v>0.67231099999999999</v>
      </c>
      <c r="AF118"/>
      <c r="AG118" s="6">
        <v>0.89276800000000001</v>
      </c>
      <c r="AH118"/>
      <c r="AI118" s="6">
        <v>0.69479900000000006</v>
      </c>
      <c r="AJ118"/>
      <c r="AK118" s="6">
        <v>0.62734999999999996</v>
      </c>
      <c r="AL118"/>
      <c r="AM118" s="6">
        <v>1.6203069999999999</v>
      </c>
      <c r="AN118"/>
      <c r="AO118" s="6">
        <v>0.67231099999999999</v>
      </c>
      <c r="AP118"/>
      <c r="AQ118" s="6">
        <v>0.69479900000000006</v>
      </c>
      <c r="AR118"/>
      <c r="AS118" s="6">
        <v>1.4243520000000001</v>
      </c>
      <c r="AT118"/>
      <c r="AU118" s="6">
        <v>0.69479900000000006</v>
      </c>
      <c r="AV118"/>
      <c r="AW118" s="6">
        <v>0.69479900000000006</v>
      </c>
      <c r="AX118"/>
      <c r="AY118" s="6">
        <v>2.0016289999999999</v>
      </c>
      <c r="AZ118"/>
      <c r="BA118" s="6">
        <v>0.69479900000000006</v>
      </c>
      <c r="BB118"/>
      <c r="BC118" s="6">
        <v>0.67231099999999999</v>
      </c>
      <c r="BD118"/>
      <c r="BE118" s="6">
        <v>1.2903739999999999</v>
      </c>
    </row>
    <row r="119" spans="1:71" s="36" customFormat="1" ht="12.6" x14ac:dyDescent="0.2">
      <c r="A119" s="24" t="s">
        <v>333</v>
      </c>
      <c r="B119" s="6">
        <v>16.429238999999999</v>
      </c>
      <c r="D119" s="6">
        <v>22.928927999999999</v>
      </c>
      <c r="F119" s="6">
        <v>21.80874</v>
      </c>
      <c r="G119" s="6">
        <v>11.931917</v>
      </c>
      <c r="I119" s="6">
        <v>8.7733240000000006</v>
      </c>
      <c r="K119" s="6">
        <v>4.3720369999999997</v>
      </c>
      <c r="M119" s="6">
        <v>7.0090130000000004</v>
      </c>
      <c r="O119" s="6">
        <v>3.018227</v>
      </c>
      <c r="Q119" s="6">
        <v>-3.9648919999999999</v>
      </c>
      <c r="S119" s="6">
        <v>2.2581319999999998</v>
      </c>
      <c r="U119" s="6">
        <v>2.7039840000000002</v>
      </c>
      <c r="W119" s="6">
        <v>4.1491160000000002</v>
      </c>
      <c r="Y119" s="6">
        <v>-1.669959</v>
      </c>
      <c r="AA119" s="6">
        <v>-0.19345499999999999</v>
      </c>
      <c r="AC119" s="6">
        <v>5.121505</v>
      </c>
      <c r="AE119" s="6">
        <v>7.2162430000000004</v>
      </c>
      <c r="AG119" s="6">
        <v>2.0346679999999999</v>
      </c>
      <c r="AI119" s="6">
        <v>2.3386520000000002</v>
      </c>
      <c r="AK119" s="6">
        <v>-1.6080179999999999</v>
      </c>
      <c r="AM119" s="6">
        <v>-6.0823859999999996</v>
      </c>
      <c r="AO119" s="6">
        <v>-3.2581129999999998</v>
      </c>
      <c r="AQ119" s="6">
        <v>5.7298349999999996</v>
      </c>
      <c r="AS119" s="6">
        <v>3.186636</v>
      </c>
      <c r="AU119" s="6">
        <v>4.1142329999999996</v>
      </c>
      <c r="AW119" s="6">
        <v>0.61030799999999996</v>
      </c>
      <c r="AY119" s="6">
        <v>2.17964</v>
      </c>
      <c r="BA119" s="6">
        <v>3.4453339999999999</v>
      </c>
      <c r="BC119" s="6">
        <v>0.114776</v>
      </c>
      <c r="BE119" s="6">
        <v>-1.686232</v>
      </c>
    </row>
    <row r="120" spans="1:71" s="36" customFormat="1" ht="12.6" x14ac:dyDescent="0.2">
      <c r="A120" s="24" t="s">
        <v>334</v>
      </c>
      <c r="B120" s="6"/>
      <c r="D120" s="6"/>
      <c r="F120" s="6"/>
      <c r="G120" s="6"/>
      <c r="I120" s="6"/>
      <c r="K120" s="6"/>
      <c r="M120" s="6"/>
      <c r="O120" s="6"/>
      <c r="Q120" s="6"/>
      <c r="S120" s="6"/>
      <c r="U120" s="6"/>
      <c r="W120" s="6"/>
      <c r="Y120" s="6"/>
      <c r="AA120" s="6"/>
      <c r="AC120" s="6"/>
      <c r="AE120" s="6"/>
      <c r="AG120" s="6"/>
      <c r="AI120" s="6"/>
      <c r="AK120" s="6"/>
      <c r="AM120" s="6"/>
      <c r="AO120" s="6"/>
      <c r="AQ120" s="6"/>
      <c r="AS120" s="6"/>
      <c r="AU120" s="6"/>
      <c r="AW120" s="6"/>
      <c r="AY120" s="6"/>
      <c r="BA120" s="6"/>
      <c r="BC120" s="6"/>
      <c r="BE120" s="6"/>
    </row>
    <row r="121" spans="1:71" s="36" customFormat="1" ht="12.6" x14ac:dyDescent="0.2">
      <c r="A121" s="24" t="s">
        <v>335</v>
      </c>
      <c r="B121" s="6">
        <v>5.0923769999999999</v>
      </c>
      <c r="D121" s="6">
        <v>6.9369209999999999</v>
      </c>
      <c r="F121" s="6">
        <v>8.4145830000000004</v>
      </c>
      <c r="G121" s="6">
        <v>9.5263960000000001</v>
      </c>
      <c r="I121" s="6">
        <v>9.5554880000000004</v>
      </c>
      <c r="K121" s="6">
        <v>-2.822168</v>
      </c>
      <c r="M121" s="6">
        <v>0.20463999999999999</v>
      </c>
      <c r="O121" s="6">
        <v>3.6478030000000001</v>
      </c>
      <c r="Q121" s="6">
        <v>-3.600257</v>
      </c>
      <c r="S121" s="6">
        <v>3.9140899999999998</v>
      </c>
      <c r="U121" s="6">
        <v>-0.90187600000000001</v>
      </c>
      <c r="W121" s="6">
        <v>5.9133259999999996</v>
      </c>
      <c r="Y121" s="6">
        <v>4.0172410000000003</v>
      </c>
      <c r="AA121" s="6">
        <v>2.2771819999999998</v>
      </c>
      <c r="AC121" s="6">
        <v>-2.266124</v>
      </c>
      <c r="AE121" s="6">
        <v>3.2720820000000002</v>
      </c>
      <c r="AG121" s="6">
        <v>-5.8440779999999997</v>
      </c>
      <c r="AI121" s="6">
        <v>1.4695</v>
      </c>
      <c r="AK121" s="6">
        <v>2.1306090000000002</v>
      </c>
      <c r="AM121" s="6">
        <v>-0.75117400000000001</v>
      </c>
      <c r="AO121" s="6">
        <v>-0.18121699999999999</v>
      </c>
      <c r="AQ121" s="6">
        <v>1.9365889999999999</v>
      </c>
      <c r="AS121" s="6">
        <v>0.23120399999999999</v>
      </c>
      <c r="AU121" s="6">
        <v>0.66205499999999995</v>
      </c>
      <c r="AW121" s="6">
        <v>2.4674459999999998</v>
      </c>
      <c r="AY121" s="6">
        <v>1.2495130000000001</v>
      </c>
      <c r="BA121" s="6">
        <v>-0.51867700000000005</v>
      </c>
      <c r="BC121" s="6">
        <v>2.4997889999999998</v>
      </c>
      <c r="BE121" s="6">
        <v>-1.9239790000000001</v>
      </c>
    </row>
    <row r="122" spans="1:71" s="36" customFormat="1" ht="12.6" x14ac:dyDescent="0.2">
      <c r="A122" s="24" t="s">
        <v>336</v>
      </c>
      <c r="B122" s="6"/>
      <c r="D122" s="6"/>
      <c r="F122" s="6"/>
      <c r="G122" s="6"/>
      <c r="I122" s="6"/>
      <c r="K122" s="6"/>
      <c r="M122" s="6"/>
      <c r="O122" s="6"/>
      <c r="Q122" s="6"/>
      <c r="S122" s="6"/>
      <c r="U122" s="6"/>
      <c r="W122" s="6"/>
      <c r="Y122" s="6"/>
      <c r="AA122" s="6"/>
      <c r="AC122" s="6"/>
      <c r="AE122" s="6"/>
      <c r="AG122" s="6"/>
      <c r="AI122" s="6"/>
      <c r="AK122" s="6"/>
      <c r="AM122" s="6"/>
      <c r="AO122" s="6"/>
      <c r="AQ122" s="6"/>
      <c r="AS122" s="6"/>
      <c r="AU122" s="6"/>
      <c r="AW122" s="6"/>
      <c r="AY122" s="6"/>
      <c r="BA122" s="6"/>
      <c r="BC122" s="6"/>
      <c r="BE122" s="6"/>
    </row>
    <row r="123" spans="1:71" s="36" customFormat="1" ht="12.6" x14ac:dyDescent="0.2">
      <c r="A123" s="24" t="s">
        <v>337</v>
      </c>
      <c r="B123" s="6">
        <v>19.479341999999999</v>
      </c>
      <c r="D123" s="6">
        <v>1.119122</v>
      </c>
      <c r="F123" s="6">
        <v>3.989045</v>
      </c>
      <c r="G123" s="6">
        <v>25.998712999999999</v>
      </c>
      <c r="I123" s="6">
        <v>-14.249753999999999</v>
      </c>
      <c r="K123" s="6">
        <v>9.6633379999999995</v>
      </c>
      <c r="M123" s="6">
        <v>5.315537</v>
      </c>
      <c r="O123" s="6">
        <v>7.1197679999999997</v>
      </c>
      <c r="Q123" s="6">
        <v>0.34229300000000001</v>
      </c>
      <c r="S123" s="6">
        <v>-7.3226589999999998</v>
      </c>
      <c r="U123" s="6">
        <v>6.3861739999999996</v>
      </c>
      <c r="W123" s="6">
        <v>-0.56681300000000001</v>
      </c>
      <c r="Y123" s="6">
        <v>-7.1766160000000001</v>
      </c>
      <c r="AA123" s="6">
        <v>-7.932626</v>
      </c>
      <c r="AC123" s="6">
        <v>9.0069859999999995</v>
      </c>
      <c r="AE123" s="6">
        <v>-0.61460599999999999</v>
      </c>
      <c r="AG123" s="6">
        <v>11.918555</v>
      </c>
      <c r="AI123" s="6">
        <v>2.0317820000000002</v>
      </c>
      <c r="AK123" s="6">
        <v>-2.912782</v>
      </c>
      <c r="AM123" s="6">
        <v>3.1006320000000001</v>
      </c>
      <c r="AO123" s="6">
        <v>-19.799033999999999</v>
      </c>
      <c r="AQ123" s="6">
        <v>4.8938649999999999</v>
      </c>
      <c r="AS123" s="6">
        <v>7.423692</v>
      </c>
      <c r="AU123" s="6">
        <v>10.805562999999999</v>
      </c>
      <c r="AW123" s="6">
        <v>-7.6148559999999996</v>
      </c>
      <c r="AY123" s="6">
        <v>-2.9361429999999999</v>
      </c>
      <c r="BA123" s="6">
        <v>5.2193000000000003E-2</v>
      </c>
      <c r="BC123" s="6">
        <v>-3.7624399999999998</v>
      </c>
      <c r="BE123" s="6">
        <v>-2.8921610000000002</v>
      </c>
    </row>
    <row r="124" spans="1:71" s="36" customFormat="1" ht="12.6" x14ac:dyDescent="0.2">
      <c r="A124" s="24" t="s">
        <v>338</v>
      </c>
      <c r="B124" s="6">
        <v>6.5174279999999998</v>
      </c>
      <c r="D124" s="6">
        <v>7.404585</v>
      </c>
      <c r="F124" s="6">
        <v>6.1300119999999998</v>
      </c>
      <c r="G124" s="6">
        <v>9.8964920000000003</v>
      </c>
      <c r="I124" s="6">
        <v>1.010745</v>
      </c>
      <c r="K124" s="6">
        <v>-0.98782000000000003</v>
      </c>
      <c r="M124" s="6">
        <v>1.3312999999999999</v>
      </c>
      <c r="O124" s="6">
        <v>2.5886100000000001</v>
      </c>
      <c r="Q124" s="6">
        <v>-5.9539</v>
      </c>
      <c r="S124" s="6">
        <v>1.04877</v>
      </c>
      <c r="U124" s="6">
        <v>0.39727000000000001</v>
      </c>
      <c r="W124" s="6">
        <v>8.3202300000000005</v>
      </c>
      <c r="Y124" s="6">
        <v>2.3200699999999999</v>
      </c>
      <c r="AA124" s="6">
        <v>0.41572999999999999</v>
      </c>
      <c r="AC124" s="6">
        <v>0.79696</v>
      </c>
      <c r="AE124" s="6">
        <v>3.3436699999999999</v>
      </c>
      <c r="AG124" s="6">
        <v>-2.05545</v>
      </c>
      <c r="AI124" s="6">
        <v>1.1002799999999999</v>
      </c>
      <c r="AK124" s="6">
        <v>3.22776</v>
      </c>
      <c r="AM124" s="6">
        <v>-2.7275299999999998</v>
      </c>
      <c r="AO124" s="6">
        <v>-2.5987</v>
      </c>
      <c r="AQ124" s="6">
        <v>1.5294300000000001</v>
      </c>
      <c r="AS124" s="6">
        <v>-1.79308</v>
      </c>
      <c r="AU124" s="6">
        <v>0.70367000000000002</v>
      </c>
      <c r="AW124" s="6">
        <v>2.85439</v>
      </c>
      <c r="AY124" s="6">
        <v>-0.35591</v>
      </c>
      <c r="BA124" s="6">
        <v>2.2499999999999998E-3</v>
      </c>
      <c r="BC124" s="6">
        <v>2.6147200000000002</v>
      </c>
      <c r="BE124" s="6">
        <v>-3.2633899999999998</v>
      </c>
    </row>
    <row r="125" spans="1:71" s="36" customFormat="1" ht="12.6" x14ac:dyDescent="0.2">
      <c r="A125" s="24" t="s">
        <v>339</v>
      </c>
      <c r="B125" s="6">
        <v>15.317520999999999</v>
      </c>
      <c r="D125" s="6">
        <v>22.548227000000001</v>
      </c>
      <c r="F125" s="6">
        <v>20.983920999999999</v>
      </c>
      <c r="G125" s="6">
        <v>9.7877749999999999</v>
      </c>
      <c r="I125" s="6">
        <v>27.632648</v>
      </c>
      <c r="K125" s="6">
        <v>4.4747570000000003</v>
      </c>
      <c r="M125" s="6">
        <v>6.2393020000000003</v>
      </c>
      <c r="O125" s="6">
        <v>3.921672</v>
      </c>
      <c r="Q125" s="6">
        <v>-2.9540190000000002</v>
      </c>
      <c r="S125" s="6">
        <v>1.232748</v>
      </c>
      <c r="U125" s="6">
        <v>-3.3971979999999999</v>
      </c>
      <c r="W125" s="6">
        <v>2.933414</v>
      </c>
      <c r="Y125" s="6">
        <v>0.21360399999999999</v>
      </c>
      <c r="AA125" s="6">
        <v>-0.49214000000000002</v>
      </c>
      <c r="AC125" s="6">
        <v>-0.41157899999999997</v>
      </c>
      <c r="AE125" s="6">
        <v>-2.5396999999999998</v>
      </c>
      <c r="AG125" s="6">
        <v>5.1539250000000001</v>
      </c>
      <c r="AI125" s="6">
        <v>7.722556</v>
      </c>
      <c r="AK125" s="6">
        <v>3.8101120000000002</v>
      </c>
      <c r="AM125" s="6">
        <v>-0.33133400000000002</v>
      </c>
      <c r="AO125" s="6">
        <v>1.2868999999999999</v>
      </c>
      <c r="AQ125" s="6">
        <v>4.3175290000000004</v>
      </c>
      <c r="AS125" s="6">
        <v>0.40110299999999999</v>
      </c>
      <c r="AU125" s="6">
        <v>-0.32339499999999999</v>
      </c>
      <c r="AW125" s="6">
        <v>1.245817</v>
      </c>
      <c r="AY125" s="6">
        <v>2.5006339999999998</v>
      </c>
      <c r="BA125" s="6">
        <v>1.9287589999999999</v>
      </c>
      <c r="BC125" s="6">
        <v>0.62457799999999997</v>
      </c>
      <c r="BE125" s="6">
        <v>1.744299</v>
      </c>
    </row>
    <row r="126" spans="1:71" s="36" customFormat="1" ht="12.6" x14ac:dyDescent="0.2">
      <c r="A126" s="24" t="s">
        <v>340</v>
      </c>
      <c r="B126" s="6">
        <v>-0.26078099999999999</v>
      </c>
      <c r="D126" s="6">
        <v>3.4805220000000001</v>
      </c>
      <c r="F126" s="6">
        <v>3.0583200000000001</v>
      </c>
      <c r="G126" s="6">
        <v>12.631462000000001</v>
      </c>
      <c r="I126" s="6">
        <v>-6.3066170000000001</v>
      </c>
      <c r="K126" s="6">
        <v>-0.46430700000000003</v>
      </c>
      <c r="M126" s="6">
        <v>3.102678</v>
      </c>
      <c r="O126" s="6">
        <v>2.067348</v>
      </c>
      <c r="Q126" s="6">
        <v>-3.5998839999999999</v>
      </c>
      <c r="S126" s="6">
        <v>-1.766154</v>
      </c>
      <c r="U126" s="6">
        <v>-2.3044039999999999</v>
      </c>
      <c r="W126" s="6">
        <v>3.9813299999999998</v>
      </c>
      <c r="Y126" s="6">
        <v>1.253039</v>
      </c>
      <c r="AA126" s="6">
        <v>3.2952129999999999</v>
      </c>
      <c r="AC126" s="6">
        <v>0.51841300000000001</v>
      </c>
      <c r="AE126" s="6">
        <v>8.1389800000000001</v>
      </c>
      <c r="AG126" s="6">
        <v>-1.045315</v>
      </c>
      <c r="AI126" s="6">
        <v>6.7786759999999999</v>
      </c>
      <c r="AK126" s="6">
        <v>-2.347521</v>
      </c>
      <c r="AM126" s="6">
        <v>-7.888846</v>
      </c>
      <c r="AO126" s="6">
        <v>0.52797799999999995</v>
      </c>
      <c r="AQ126" s="6">
        <v>3.9077440000000001</v>
      </c>
      <c r="AS126" s="6">
        <v>1.508928</v>
      </c>
      <c r="AU126" s="6">
        <v>1.206869</v>
      </c>
      <c r="AW126" s="6">
        <v>0.74639299999999997</v>
      </c>
      <c r="AY126" s="6">
        <v>-0.37036000000000002</v>
      </c>
      <c r="BA126" s="6">
        <v>-1.6659330000000001</v>
      </c>
      <c r="BC126" s="6">
        <v>-1.9858990000000001</v>
      </c>
      <c r="BE126" s="6">
        <v>-6.0343390000000001</v>
      </c>
    </row>
    <row r="127" spans="1:71" s="36" customFormat="1" ht="12.6" x14ac:dyDescent="0.2">
      <c r="A127" s="24" t="s">
        <v>341</v>
      </c>
      <c r="B127" s="6">
        <v>16.06062</v>
      </c>
      <c r="D127" s="6">
        <v>19.100149999999999</v>
      </c>
      <c r="F127" s="6">
        <v>22.181484999999999</v>
      </c>
      <c r="G127" s="6">
        <v>7.2055220000000002</v>
      </c>
      <c r="I127" s="6">
        <v>25.781269999999999</v>
      </c>
      <c r="K127" s="6">
        <v>2.1316069999999998</v>
      </c>
      <c r="M127" s="6">
        <v>1.308942</v>
      </c>
      <c r="O127" s="6">
        <v>4.5532110000000001</v>
      </c>
      <c r="Q127" s="6">
        <v>2.2806660000000001</v>
      </c>
      <c r="S127" s="6">
        <v>1.324956</v>
      </c>
      <c r="U127" s="6">
        <v>-2.1926359999999998</v>
      </c>
      <c r="W127" s="6">
        <v>6.5193430000000001</v>
      </c>
      <c r="Y127" s="6">
        <v>-0.59519100000000003</v>
      </c>
      <c r="AA127" s="6">
        <v>-1.769684</v>
      </c>
      <c r="AC127" s="6">
        <v>0.16238</v>
      </c>
      <c r="AE127" s="6">
        <v>1.890619</v>
      </c>
      <c r="AG127" s="6">
        <v>1.9642040000000001</v>
      </c>
      <c r="AI127" s="6">
        <v>4.9703109999999997</v>
      </c>
      <c r="AK127" s="6">
        <v>3.5838589999999999</v>
      </c>
      <c r="AM127" s="6">
        <v>0.30149500000000001</v>
      </c>
      <c r="AO127" s="6">
        <v>0.21545800000000001</v>
      </c>
      <c r="AQ127" s="6">
        <v>4.032146</v>
      </c>
      <c r="AS127" s="6">
        <v>-0.206091</v>
      </c>
      <c r="AU127" s="6">
        <v>2.6335090000000001</v>
      </c>
      <c r="AW127" s="6">
        <v>1.6724239999999999</v>
      </c>
      <c r="AY127" s="6">
        <v>0.22431200000000001</v>
      </c>
      <c r="BA127" s="6">
        <v>2.8272849999999998</v>
      </c>
      <c r="BC127" s="6">
        <v>1.0073080000000001</v>
      </c>
      <c r="BE127" s="6">
        <v>2.0509590000000002</v>
      </c>
    </row>
    <row r="128" spans="1:71" s="36" customFormat="1" ht="12.6" x14ac:dyDescent="0.2">
      <c r="A128" s="24" t="s">
        <v>342</v>
      </c>
      <c r="B128" s="6">
        <v>9.7345649999999999</v>
      </c>
      <c r="D128" s="6">
        <v>12.953730999999999</v>
      </c>
      <c r="F128" s="6">
        <v>13.313485999999999</v>
      </c>
      <c r="G128" s="6">
        <v>9.6617920000000002</v>
      </c>
      <c r="I128" s="6">
        <v>11.256306</v>
      </c>
      <c r="K128" s="6">
        <v>1.6683399999999999</v>
      </c>
      <c r="M128" s="6">
        <v>2.6443099999999999</v>
      </c>
      <c r="O128" s="6">
        <v>3.2865500000000001</v>
      </c>
      <c r="Q128" s="6">
        <v>-3.05186</v>
      </c>
      <c r="S128" s="6">
        <v>0.51641999999999999</v>
      </c>
      <c r="U128" s="6">
        <v>1.1086</v>
      </c>
      <c r="W128" s="6">
        <v>4.8272199999999996</v>
      </c>
      <c r="Y128" s="6">
        <v>1.17658</v>
      </c>
      <c r="AA128" s="6">
        <v>2.0994700000000002</v>
      </c>
      <c r="AC128" s="6">
        <v>-0.31173000000000001</v>
      </c>
      <c r="AE128" s="6">
        <v>4.1399100000000004</v>
      </c>
      <c r="AG128" s="6">
        <v>-3.33466</v>
      </c>
      <c r="AI128" s="6">
        <v>5.0517300000000001</v>
      </c>
      <c r="AK128" s="6">
        <v>-4.1055299999999999</v>
      </c>
      <c r="AM128" s="6">
        <v>-3.1901299999999999</v>
      </c>
      <c r="AO128" s="6">
        <v>4.91798</v>
      </c>
      <c r="AQ128" s="6">
        <v>4.8181900000000004</v>
      </c>
      <c r="AS128" s="6">
        <v>1.0809899999999999</v>
      </c>
      <c r="AU128" s="6">
        <v>1.6774199999999999</v>
      </c>
      <c r="AW128" s="6">
        <v>2.8374700000000002</v>
      </c>
      <c r="AY128" s="6">
        <v>3.2469999999999999E-2</v>
      </c>
      <c r="BA128" s="6">
        <v>-0.17978</v>
      </c>
      <c r="BC128" s="6">
        <v>-2.4013900000000001</v>
      </c>
      <c r="BE128" s="6">
        <v>0.71011999999999997</v>
      </c>
    </row>
    <row r="129" spans="1:57" s="36" customFormat="1" ht="12.6" x14ac:dyDescent="0.2">
      <c r="A129" s="24" t="s">
        <v>343</v>
      </c>
      <c r="B129" s="6">
        <v>11.225070000000001</v>
      </c>
      <c r="D129" s="6">
        <v>17.894929000000001</v>
      </c>
      <c r="F129" s="6">
        <v>19.419789999999999</v>
      </c>
      <c r="G129" s="6">
        <v>5.9025530000000002</v>
      </c>
      <c r="I129" s="6">
        <v>22.510179000000001</v>
      </c>
      <c r="K129" s="6">
        <v>2.18445</v>
      </c>
      <c r="M129" s="6">
        <v>4.0474199999999998</v>
      </c>
      <c r="O129" s="6">
        <v>2.8990300000000002</v>
      </c>
      <c r="Q129" s="6">
        <v>-1.2862499999999999</v>
      </c>
      <c r="S129" s="6">
        <v>0.36919999999999997</v>
      </c>
      <c r="U129" s="6">
        <v>-0.66122999999999998</v>
      </c>
      <c r="W129" s="6">
        <v>4.8809100000000001</v>
      </c>
      <c r="Y129" s="6">
        <v>-1.1676899999999999</v>
      </c>
      <c r="AA129" s="6">
        <v>0.64563999999999999</v>
      </c>
      <c r="AC129" s="6">
        <v>0.71316999999999997</v>
      </c>
      <c r="AE129" s="6">
        <v>-0.30664000000000002</v>
      </c>
      <c r="AG129" s="6">
        <v>3.2079800000000001</v>
      </c>
      <c r="AI129" s="6">
        <v>3.0100799999999999</v>
      </c>
      <c r="AK129" s="6">
        <v>1.5057400000000001</v>
      </c>
      <c r="AM129" s="6">
        <v>-0.29618</v>
      </c>
      <c r="AO129" s="6">
        <v>0.84626999999999997</v>
      </c>
      <c r="AQ129" s="6">
        <v>3.9434800000000001</v>
      </c>
      <c r="AS129" s="6">
        <v>1.4596</v>
      </c>
      <c r="AU129" s="6">
        <v>1.68838</v>
      </c>
      <c r="AW129" s="6">
        <v>1.8799699999999999</v>
      </c>
      <c r="AY129" s="6">
        <v>2.15984</v>
      </c>
      <c r="BA129" s="6">
        <v>3.1991800000000001</v>
      </c>
      <c r="BC129" s="6">
        <v>-0.11738</v>
      </c>
      <c r="BE129" s="6">
        <v>1.28224</v>
      </c>
    </row>
    <row r="130" spans="1:57" s="36" customFormat="1" ht="12.6" x14ac:dyDescent="0.2">
      <c r="A130" s="24" t="s">
        <v>344</v>
      </c>
      <c r="B130" s="6"/>
      <c r="D130" s="6">
        <v>75.177687000000006</v>
      </c>
      <c r="F130" s="6">
        <v>45.163581999999998</v>
      </c>
      <c r="G130" s="6">
        <v>53.929321999999999</v>
      </c>
      <c r="I130" s="6">
        <v>-13.120184</v>
      </c>
      <c r="K130" s="6">
        <v>2.8820049999999999</v>
      </c>
      <c r="M130" s="6">
        <v>46.747967000000003</v>
      </c>
      <c r="O130" s="6">
        <v>15.279055</v>
      </c>
      <c r="Q130" s="6">
        <v>-14.610562</v>
      </c>
      <c r="S130" s="6">
        <v>9.6341509999999992</v>
      </c>
      <c r="U130" s="6">
        <v>-8.8775790000000008</v>
      </c>
      <c r="W130" s="6">
        <v>7.426488</v>
      </c>
      <c r="Y130" s="6">
        <v>-12.50888</v>
      </c>
      <c r="AA130" s="6">
        <v>5.4928889999999999</v>
      </c>
      <c r="AC130" s="6">
        <v>17.079986000000002</v>
      </c>
      <c r="AE130" s="6">
        <v>39.173043999999997</v>
      </c>
      <c r="AG130" s="6">
        <v>1.116717</v>
      </c>
      <c r="AI130" s="6">
        <v>8.2352699999999999</v>
      </c>
      <c r="AK130" s="6">
        <v>-17.289031000000001</v>
      </c>
      <c r="AM130" s="6">
        <v>-2.092333</v>
      </c>
      <c r="AO130" s="6">
        <v>11.379974000000001</v>
      </c>
      <c r="AQ130" s="6">
        <v>10.137267</v>
      </c>
      <c r="AS130" s="6">
        <v>0.56029799999999996</v>
      </c>
      <c r="AU130" s="6">
        <v>10.61853</v>
      </c>
      <c r="AW130" s="6">
        <v>-7.8728199999999999</v>
      </c>
      <c r="AY130" s="6">
        <v>3.4473029999999998</v>
      </c>
      <c r="BA130" s="6">
        <v>-2.959822</v>
      </c>
      <c r="BC130" s="6">
        <v>-16.898</v>
      </c>
      <c r="BE130" s="6">
        <v>-5.4841980000000001</v>
      </c>
    </row>
    <row r="131" spans="1:57" s="36" customFormat="1" ht="12.6" x14ac:dyDescent="0.2">
      <c r="A131" s="24" t="s">
        <v>345</v>
      </c>
      <c r="B131" s="6">
        <v>2.3144619999999998</v>
      </c>
      <c r="D131" s="6">
        <v>15.057861000000001</v>
      </c>
      <c r="F131" s="6">
        <v>32.465497999999997</v>
      </c>
      <c r="G131" s="6">
        <v>21.685941</v>
      </c>
      <c r="I131" s="6">
        <v>20.242639</v>
      </c>
      <c r="K131" s="6">
        <v>-6.4891030000000001</v>
      </c>
      <c r="M131" s="6">
        <v>11.148279</v>
      </c>
      <c r="O131" s="6">
        <v>1.337286</v>
      </c>
      <c r="Q131" s="6">
        <v>8.6145060000000004</v>
      </c>
      <c r="S131" s="6">
        <v>-0.96940700000000002</v>
      </c>
      <c r="U131" s="6">
        <v>-0.62324800000000002</v>
      </c>
      <c r="W131" s="6">
        <v>1.4075979999999999</v>
      </c>
      <c r="Y131" s="6">
        <v>-0.45748</v>
      </c>
      <c r="AA131" s="6">
        <v>20.171467</v>
      </c>
      <c r="AC131" s="6">
        <v>1.746218</v>
      </c>
      <c r="AE131" s="6">
        <v>-3.9358569999999999</v>
      </c>
      <c r="AG131" s="6">
        <v>9.3227960000000003</v>
      </c>
      <c r="AI131" s="6">
        <v>1.627278</v>
      </c>
      <c r="AK131" s="6">
        <v>11.929891</v>
      </c>
      <c r="AM131" s="6">
        <v>1.6394519999999999</v>
      </c>
      <c r="AO131" s="6">
        <v>-6.953004</v>
      </c>
      <c r="AQ131" s="6">
        <v>3.5893640000000002</v>
      </c>
      <c r="AS131" s="6">
        <v>2.5144570000000002</v>
      </c>
      <c r="AU131" s="6">
        <v>4.4880529999999998</v>
      </c>
      <c r="AW131" s="6">
        <v>0.70590200000000003</v>
      </c>
      <c r="AY131" s="6">
        <v>6.8273250000000001</v>
      </c>
      <c r="BA131" s="6">
        <v>-2.9754149999999999</v>
      </c>
      <c r="BC131" s="6">
        <v>-0.920597</v>
      </c>
      <c r="BE131" s="6">
        <v>-2.5979540000000001</v>
      </c>
    </row>
    <row r="132" spans="1:57" s="36" customFormat="1" ht="12.6" x14ac:dyDescent="0.2">
      <c r="A132" s="24" t="s">
        <v>346</v>
      </c>
      <c r="B132" s="6">
        <v>1.347772</v>
      </c>
      <c r="D132" s="6">
        <v>9.2381449999999994</v>
      </c>
      <c r="F132" s="6">
        <v>21.365942</v>
      </c>
      <c r="G132" s="6">
        <v>17.309909000000001</v>
      </c>
      <c r="I132" s="6">
        <v>13.360004</v>
      </c>
      <c r="K132" s="6">
        <v>-2.041677</v>
      </c>
      <c r="M132" s="6">
        <v>9.1764890000000001</v>
      </c>
      <c r="O132" s="6">
        <v>1.247236</v>
      </c>
      <c r="Q132" s="6">
        <v>3.4809350000000001</v>
      </c>
      <c r="S132" s="6">
        <v>-2.8411550000000001</v>
      </c>
      <c r="U132" s="6">
        <v>-2.916461</v>
      </c>
      <c r="W132" s="6">
        <v>2.8887339999999999</v>
      </c>
      <c r="Y132" s="6">
        <v>-2.7541699999999998</v>
      </c>
      <c r="AA132" s="6">
        <v>17.882860999999998</v>
      </c>
      <c r="AC132" s="6">
        <v>-1.3752960000000001</v>
      </c>
      <c r="AE132" s="6">
        <v>-1.3496060000000001</v>
      </c>
      <c r="AG132" s="6">
        <v>7.1316680000000003</v>
      </c>
      <c r="AI132" s="6">
        <v>-4.0893990000000002</v>
      </c>
      <c r="AK132" s="6">
        <v>2.1980179999999998</v>
      </c>
      <c r="AM132" s="6">
        <v>1.073706</v>
      </c>
      <c r="AO132" s="6">
        <v>-4.5424360000000004</v>
      </c>
      <c r="AQ132" s="6">
        <v>2.718496</v>
      </c>
      <c r="AS132" s="6">
        <v>0.62780599999999998</v>
      </c>
      <c r="AU132" s="6">
        <v>4.2963139999999997</v>
      </c>
      <c r="AW132" s="6">
        <v>7.7895110000000001</v>
      </c>
      <c r="AY132" s="6">
        <v>0.21435199999999999</v>
      </c>
      <c r="BA132" s="6">
        <v>2.34903</v>
      </c>
      <c r="BC132" s="6">
        <v>-0.70694299999999999</v>
      </c>
      <c r="BE132" s="6">
        <v>1.287903</v>
      </c>
    </row>
    <row r="133" spans="1:57" s="36" customFormat="1" ht="12.6" x14ac:dyDescent="0.2">
      <c r="A133" s="24" t="s">
        <v>347</v>
      </c>
      <c r="B133" s="6">
        <v>14.745046</v>
      </c>
      <c r="D133" s="6">
        <v>21.199394000000002</v>
      </c>
      <c r="F133" s="6">
        <v>20.665797000000001</v>
      </c>
      <c r="G133" s="6">
        <v>9.4433520000000009</v>
      </c>
      <c r="I133" s="6">
        <v>13.071052999999999</v>
      </c>
      <c r="K133" s="6">
        <v>3.9091399999999998</v>
      </c>
      <c r="M133" s="6">
        <v>5.7945900000000004</v>
      </c>
      <c r="O133" s="6">
        <v>3.1016400000000002</v>
      </c>
      <c r="Q133" s="6">
        <v>-3.4305500000000002</v>
      </c>
      <c r="S133" s="6">
        <v>1.8708499999999999</v>
      </c>
      <c r="U133" s="6">
        <v>1.2579</v>
      </c>
      <c r="W133" s="6">
        <v>4.5253500000000004</v>
      </c>
      <c r="Y133" s="6">
        <v>-1.4495100000000001</v>
      </c>
      <c r="AA133" s="6">
        <v>-0.47783999999999999</v>
      </c>
      <c r="AC133" s="6">
        <v>3.6302699999999999</v>
      </c>
      <c r="AE133" s="6">
        <v>5.17408</v>
      </c>
      <c r="AG133" s="6">
        <v>2.0751400000000002</v>
      </c>
      <c r="AI133" s="6">
        <v>2.85588</v>
      </c>
      <c r="AK133" s="6">
        <v>-0.626</v>
      </c>
      <c r="AM133" s="6">
        <v>-4.4600999999999997</v>
      </c>
      <c r="AO133" s="6">
        <v>-1.6521300000000001</v>
      </c>
      <c r="AQ133" s="6">
        <v>5.2719199999999997</v>
      </c>
      <c r="AS133" s="6">
        <v>2.5691299999999999</v>
      </c>
      <c r="AU133" s="6">
        <v>3.1111200000000001</v>
      </c>
      <c r="AW133" s="6">
        <v>1.0957300000000001</v>
      </c>
      <c r="AY133" s="6">
        <v>1.8352200000000001</v>
      </c>
      <c r="BA133" s="6">
        <v>3.26417</v>
      </c>
      <c r="BC133" s="6">
        <v>0.16769999999999999</v>
      </c>
      <c r="BE133" s="6">
        <v>-0.69825000000000004</v>
      </c>
    </row>
    <row r="134" spans="1:57" s="36" customFormat="1" ht="12.6" x14ac:dyDescent="0.2">
      <c r="A134" s="24" t="s">
        <v>348</v>
      </c>
      <c r="B134" s="6">
        <v>9.902711</v>
      </c>
      <c r="D134" s="6">
        <v>9.1404759999999996</v>
      </c>
      <c r="F134" s="6">
        <v>13.116209</v>
      </c>
      <c r="G134" s="6">
        <v>9.1167029999999993</v>
      </c>
      <c r="I134" s="6">
        <v>6.2561520000000002</v>
      </c>
      <c r="K134" s="6">
        <v>0.18632000000000001</v>
      </c>
      <c r="M134" s="6">
        <v>1.66185</v>
      </c>
      <c r="O134" s="6">
        <v>3.3680500000000002</v>
      </c>
      <c r="Q134" s="6">
        <v>-1.88175</v>
      </c>
      <c r="S134" s="6">
        <v>3.2948400000000002</v>
      </c>
      <c r="U134" s="6">
        <v>-3.1234700000000002</v>
      </c>
      <c r="W134" s="6">
        <v>8.7535799999999995</v>
      </c>
      <c r="Y134" s="6">
        <v>0.42931999999999998</v>
      </c>
      <c r="AA134" s="6">
        <v>0.35178999999999999</v>
      </c>
      <c r="AC134" s="6">
        <v>3.5002200000000001</v>
      </c>
      <c r="AE134" s="6">
        <v>4.0415700000000001</v>
      </c>
      <c r="AG134" s="6">
        <v>-1.2997000000000001</v>
      </c>
      <c r="AI134" s="6">
        <v>0.60070000000000001</v>
      </c>
      <c r="AK134" s="6">
        <v>2.7944300000000002</v>
      </c>
      <c r="AM134" s="6">
        <v>1.63263</v>
      </c>
      <c r="AO134" s="6">
        <v>-1.03929</v>
      </c>
      <c r="AQ134" s="6">
        <v>0.81062999999999996</v>
      </c>
      <c r="AS134" s="6">
        <v>-1.0435300000000001</v>
      </c>
      <c r="AU134" s="6">
        <v>2.3896099999999998</v>
      </c>
      <c r="AW134" s="6">
        <v>0.28749000000000002</v>
      </c>
      <c r="AY134" s="6">
        <v>0.28916999999999998</v>
      </c>
      <c r="BA134" s="6">
        <v>0.34277999999999997</v>
      </c>
      <c r="BC134" s="6">
        <v>2.8479399999999999</v>
      </c>
      <c r="BE134" s="6">
        <v>-3.6396000000000002</v>
      </c>
    </row>
    <row r="135" spans="1:57" s="36" customFormat="1" ht="12.6" x14ac:dyDescent="0.2">
      <c r="A135" s="24" t="s">
        <v>349</v>
      </c>
      <c r="B135" s="6">
        <v>6.966507</v>
      </c>
      <c r="D135" s="6">
        <v>7.6742790000000003</v>
      </c>
      <c r="F135" s="6">
        <v>11.719777000000001</v>
      </c>
      <c r="G135" s="6">
        <v>9.1481080000000006</v>
      </c>
      <c r="I135" s="6">
        <v>11.573833</v>
      </c>
      <c r="K135" s="6">
        <v>-2.2175600000000002</v>
      </c>
      <c r="M135" s="6">
        <v>0.59737600000000002</v>
      </c>
      <c r="O135" s="6">
        <v>3.6527799999999999</v>
      </c>
      <c r="Q135" s="6">
        <v>-1.8487979999999999</v>
      </c>
      <c r="S135" s="6">
        <v>4.9873580000000004</v>
      </c>
      <c r="U135" s="6">
        <v>-2.4557329999999999</v>
      </c>
      <c r="W135" s="6">
        <v>6.30063</v>
      </c>
      <c r="Y135" s="6">
        <v>3.0354730000000001</v>
      </c>
      <c r="AA135" s="6">
        <v>2.1014560000000002</v>
      </c>
      <c r="AC135" s="6">
        <v>-0.791632</v>
      </c>
      <c r="AE135" s="6">
        <v>3.914161</v>
      </c>
      <c r="AG135" s="6">
        <v>-5.3201999999999998</v>
      </c>
      <c r="AI135" s="6">
        <v>1.3297829999999999</v>
      </c>
      <c r="AK135" s="6">
        <v>2.355756</v>
      </c>
      <c r="AM135" s="6">
        <v>1.283588</v>
      </c>
      <c r="AO135" s="6">
        <v>4.4770000000000001E-3</v>
      </c>
      <c r="AQ135" s="6">
        <v>1.330095</v>
      </c>
      <c r="AS135" s="6">
        <v>5.4692999999999999E-2</v>
      </c>
      <c r="AU135" s="6">
        <v>1.545906</v>
      </c>
      <c r="AW135" s="6">
        <v>1.3056570000000001</v>
      </c>
      <c r="AY135" s="6">
        <v>1.6229169999999999</v>
      </c>
      <c r="BA135" s="6">
        <v>-0.24398600000000001</v>
      </c>
      <c r="BC135" s="6">
        <v>2.9430390000000002</v>
      </c>
      <c r="BE135" s="6">
        <v>-2.4213770000000001</v>
      </c>
    </row>
    <row r="136" spans="1:57" s="36" customFormat="1" ht="12.6" x14ac:dyDescent="0.2">
      <c r="A136" s="24" t="s">
        <v>350</v>
      </c>
      <c r="B136" s="6">
        <v>6.8439680000000003</v>
      </c>
      <c r="D136" s="6">
        <v>7.2252660000000004</v>
      </c>
      <c r="F136" s="6">
        <v>11.686704000000001</v>
      </c>
      <c r="G136" s="6">
        <v>10.427426000000001</v>
      </c>
      <c r="I136" s="6">
        <v>11.662058999999999</v>
      </c>
      <c r="K136" s="6">
        <v>-2.1164000000000001</v>
      </c>
      <c r="M136" s="6">
        <v>0.99795</v>
      </c>
      <c r="O136" s="6">
        <v>3.52115</v>
      </c>
      <c r="Q136" s="6">
        <v>-2.0039600000000002</v>
      </c>
      <c r="S136" s="6">
        <v>4.6865100000000002</v>
      </c>
      <c r="U136" s="6">
        <v>-2.66486</v>
      </c>
      <c r="W136" s="6">
        <v>7.5342399999999996</v>
      </c>
      <c r="Y136" s="6">
        <v>3.2600899999999999</v>
      </c>
      <c r="AA136" s="6">
        <v>2.0520499999999999</v>
      </c>
      <c r="AC136" s="6">
        <v>-0.91873000000000005</v>
      </c>
      <c r="AE136" s="6">
        <v>4.4068399999999999</v>
      </c>
      <c r="AG136" s="6">
        <v>-6.7486100000000002</v>
      </c>
      <c r="AI136" s="6">
        <v>1.4700299999999999</v>
      </c>
      <c r="AK136" s="6">
        <v>2.9451499999999999</v>
      </c>
      <c r="AM136" s="6">
        <v>1.28437</v>
      </c>
      <c r="AO136" s="6">
        <v>-0.79108999999999996</v>
      </c>
      <c r="AQ136" s="6">
        <v>1.07819</v>
      </c>
      <c r="AS136" s="6">
        <v>0.41244999999999998</v>
      </c>
      <c r="AU136" s="6">
        <v>1.3990400000000001</v>
      </c>
      <c r="AW136" s="6">
        <v>0.79364999999999997</v>
      </c>
      <c r="AY136" s="6">
        <v>2.6311300000000002</v>
      </c>
      <c r="BA136" s="6">
        <v>-0.88907000000000003</v>
      </c>
      <c r="BC136" s="6">
        <v>3.4030200000000002</v>
      </c>
      <c r="BE136" s="6">
        <v>-2.4958900000000002</v>
      </c>
    </row>
    <row r="137" spans="1:57" s="36" customFormat="1" ht="12.6" x14ac:dyDescent="0.2">
      <c r="A137" s="24" t="s">
        <v>351</v>
      </c>
      <c r="B137" s="6">
        <v>10.321486999999999</v>
      </c>
      <c r="D137" s="6">
        <v>8.6518730000000001</v>
      </c>
      <c r="F137" s="6">
        <v>13.037744</v>
      </c>
      <c r="G137" s="6">
        <v>10.454352999999999</v>
      </c>
      <c r="I137" s="6">
        <v>5.1994249999999997</v>
      </c>
      <c r="K137" s="6">
        <v>0.634938</v>
      </c>
      <c r="M137" s="6">
        <v>2.1590950000000002</v>
      </c>
      <c r="O137" s="6">
        <v>3.3467549999999999</v>
      </c>
      <c r="Q137" s="6">
        <v>-1.985209</v>
      </c>
      <c r="S137" s="6">
        <v>2.6803819999999998</v>
      </c>
      <c r="U137" s="6">
        <v>-3.268958</v>
      </c>
      <c r="W137" s="6">
        <v>10.081232999999999</v>
      </c>
      <c r="Y137" s="6">
        <v>0.28205999999999998</v>
      </c>
      <c r="AA137" s="6">
        <v>9.4044000000000003E-2</v>
      </c>
      <c r="AC137" s="6">
        <v>3.8640720000000002</v>
      </c>
      <c r="AE137" s="6">
        <v>4.7698580000000002</v>
      </c>
      <c r="AG137" s="6">
        <v>-2.3393739999999998</v>
      </c>
      <c r="AI137" s="6">
        <v>0.65984399999999999</v>
      </c>
      <c r="AK137" s="6">
        <v>3.4458839999999999</v>
      </c>
      <c r="AM137" s="6">
        <v>1.3563130000000001</v>
      </c>
      <c r="AO137" s="6">
        <v>-2.2630819999999998</v>
      </c>
      <c r="AQ137" s="6">
        <v>0.54039199999999998</v>
      </c>
      <c r="AS137" s="6">
        <v>-1.0204599999999999</v>
      </c>
      <c r="AU137" s="6">
        <v>2.523177</v>
      </c>
      <c r="AW137" s="6">
        <v>-0.41512199999999999</v>
      </c>
      <c r="AY137" s="6">
        <v>1.1987939999999999</v>
      </c>
      <c r="BA137" s="6">
        <v>-0.14931</v>
      </c>
      <c r="BC137" s="6">
        <v>3.2808169999999999</v>
      </c>
      <c r="BE137" s="6">
        <v>-3.8195229999999998</v>
      </c>
    </row>
    <row r="138" spans="1:57" s="36" customFormat="1" ht="12.6" x14ac:dyDescent="0.2">
      <c r="A138" s="24" t="s">
        <v>352</v>
      </c>
      <c r="B138" s="6">
        <v>8.0144900000000003</v>
      </c>
      <c r="D138" s="6">
        <v>15.63575</v>
      </c>
      <c r="F138" s="6">
        <v>19.202518000000001</v>
      </c>
      <c r="G138" s="6">
        <v>8.7088699999999992</v>
      </c>
      <c r="I138" s="6">
        <v>15.548617999999999</v>
      </c>
      <c r="K138" s="6">
        <v>-0.44449</v>
      </c>
      <c r="M138" s="6">
        <v>5.6646000000000001</v>
      </c>
      <c r="O138" s="6">
        <v>1.4488700000000001</v>
      </c>
      <c r="Q138" s="6">
        <v>2.07836</v>
      </c>
      <c r="S138" s="6">
        <v>-1.42964</v>
      </c>
      <c r="U138" s="6">
        <v>2.5449000000000002</v>
      </c>
      <c r="W138" s="6">
        <v>2.8542100000000001</v>
      </c>
      <c r="Y138" s="6">
        <v>-1.90737</v>
      </c>
      <c r="AA138" s="6">
        <v>5.5127199999999998</v>
      </c>
      <c r="AC138" s="6">
        <v>1.7731699999999999</v>
      </c>
      <c r="AE138" s="6">
        <v>-2.3285399999999998</v>
      </c>
      <c r="AG138" s="6">
        <v>5.5372399999999997</v>
      </c>
      <c r="AI138" s="6">
        <v>-0.45183000000000001</v>
      </c>
      <c r="AK138" s="6">
        <v>0.39079000000000003</v>
      </c>
      <c r="AM138" s="6">
        <v>0.61338999999999999</v>
      </c>
      <c r="AO138" s="6">
        <v>-1.81088</v>
      </c>
      <c r="AQ138" s="6">
        <v>3.6251600000000002</v>
      </c>
      <c r="AS138" s="6">
        <v>2.6762199999999998</v>
      </c>
      <c r="AU138" s="6">
        <v>3.4942299999999999</v>
      </c>
      <c r="AW138" s="6">
        <v>0.56137999999999999</v>
      </c>
      <c r="AY138" s="6">
        <v>4.6421099999999997</v>
      </c>
      <c r="BA138" s="6">
        <v>3.0255700000000001</v>
      </c>
      <c r="BC138" s="6">
        <v>-1.8712599999999999</v>
      </c>
      <c r="BE138" s="6">
        <v>-9.4759999999999997E-2</v>
      </c>
    </row>
    <row r="139" spans="1:57" s="36" customFormat="1" ht="12.6" x14ac:dyDescent="0.2">
      <c r="A139" s="24" t="s">
        <v>353</v>
      </c>
      <c r="B139" s="6">
        <v>14.481385</v>
      </c>
      <c r="D139" s="6">
        <v>23.643180999999998</v>
      </c>
      <c r="F139" s="6">
        <v>22.042853999999998</v>
      </c>
      <c r="G139" s="6">
        <v>12.121638000000001</v>
      </c>
      <c r="I139" s="6">
        <v>15.733046</v>
      </c>
      <c r="K139" s="6">
        <v>0.78184299999999995</v>
      </c>
      <c r="M139" s="6">
        <v>7.7157749999999998</v>
      </c>
      <c r="O139" s="6">
        <v>2.3929040000000001</v>
      </c>
      <c r="Q139" s="6">
        <v>-3.1080890000000001</v>
      </c>
      <c r="S139" s="6">
        <v>1.125013</v>
      </c>
      <c r="U139" s="6">
        <v>1.3641970000000001</v>
      </c>
      <c r="W139" s="6">
        <v>4.9284220000000003</v>
      </c>
      <c r="Y139" s="6">
        <v>-2.8560729999999999</v>
      </c>
      <c r="AA139" s="6">
        <v>2.0541070000000001</v>
      </c>
      <c r="AC139" s="6">
        <v>2.1304759999999998</v>
      </c>
      <c r="AE139" s="6">
        <v>5.2882879999999997</v>
      </c>
      <c r="AG139" s="6">
        <v>4.2150540000000003</v>
      </c>
      <c r="AI139" s="6">
        <v>2.502634</v>
      </c>
      <c r="AK139" s="6">
        <v>-3.7173989999999999</v>
      </c>
      <c r="AM139" s="6">
        <v>-4.931101</v>
      </c>
      <c r="AO139" s="6">
        <v>3.2859999999999999E-3</v>
      </c>
      <c r="AQ139" s="6">
        <v>8.7515260000000001</v>
      </c>
      <c r="AS139" s="6">
        <v>2.4752299999999998</v>
      </c>
      <c r="AU139" s="6">
        <v>2.9992009999999998</v>
      </c>
      <c r="AW139" s="6">
        <v>-9.6257999999999996E-2</v>
      </c>
      <c r="AY139" s="6">
        <v>4.8323910000000003</v>
      </c>
      <c r="BA139" s="6">
        <v>4.7878230000000004</v>
      </c>
      <c r="BC139" s="6">
        <v>-2.3513310000000001</v>
      </c>
      <c r="BE139" s="6">
        <v>0.27191100000000001</v>
      </c>
    </row>
    <row r="140" spans="1:57" s="36" customFormat="1" ht="12.6" x14ac:dyDescent="0.2">
      <c r="A140" s="24" t="s">
        <v>354</v>
      </c>
      <c r="B140" s="6">
        <v>2.3232729999999999</v>
      </c>
      <c r="D140" s="6">
        <v>4.9673350000000003</v>
      </c>
      <c r="F140" s="6">
        <v>3.774035</v>
      </c>
      <c r="G140" s="6">
        <v>11.404071</v>
      </c>
      <c r="I140" s="6">
        <v>5.337771</v>
      </c>
      <c r="K140" s="6">
        <v>-3.8017300000000001</v>
      </c>
      <c r="M140" s="6">
        <v>-0.41821000000000003</v>
      </c>
      <c r="O140" s="6">
        <v>2.8289499999999999</v>
      </c>
      <c r="Q140" s="6">
        <v>-5.6685100000000004</v>
      </c>
      <c r="S140" s="6">
        <v>3.4990999999999999</v>
      </c>
      <c r="U140" s="6">
        <v>0.83028999999999997</v>
      </c>
      <c r="W140" s="6">
        <v>5.6888899999999998</v>
      </c>
      <c r="Y140" s="6">
        <v>5.5263</v>
      </c>
      <c r="AA140" s="6">
        <v>2.6223700000000001</v>
      </c>
      <c r="AC140" s="6">
        <v>-3.9802200000000001</v>
      </c>
      <c r="AE140" s="6">
        <v>2.95729</v>
      </c>
      <c r="AG140" s="6">
        <v>-6.8256199999999998</v>
      </c>
      <c r="AI140" s="6">
        <v>1.3807499999999999</v>
      </c>
      <c r="AK140" s="6">
        <v>2.5710999999999999</v>
      </c>
      <c r="AM140" s="6">
        <v>-3.1717900000000001</v>
      </c>
      <c r="AO140" s="6">
        <v>-0.74278999999999995</v>
      </c>
      <c r="AQ140" s="6">
        <v>2.3039999999999998</v>
      </c>
      <c r="AS140" s="6">
        <v>0.14082</v>
      </c>
      <c r="AU140" s="6">
        <v>-0.49484</v>
      </c>
      <c r="AW140" s="6">
        <v>3.4020899999999998</v>
      </c>
      <c r="AY140" s="6">
        <v>0.78918999999999995</v>
      </c>
      <c r="BA140" s="6">
        <v>-0.84996000000000005</v>
      </c>
      <c r="BC140" s="6">
        <v>1.79471</v>
      </c>
      <c r="BE140" s="6">
        <v>-1.70557</v>
      </c>
    </row>
    <row r="141" spans="1:57" s="36" customFormat="1" ht="12.6" x14ac:dyDescent="0.2">
      <c r="A141" s="24" t="s">
        <v>355</v>
      </c>
      <c r="B141" s="6">
        <v>5.8031519999999999</v>
      </c>
      <c r="D141" s="6">
        <v>7.2475870000000002</v>
      </c>
      <c r="F141" s="6">
        <v>6.3824769999999997</v>
      </c>
      <c r="G141" s="6">
        <v>9.3533530000000003</v>
      </c>
      <c r="I141" s="6">
        <v>1.737074</v>
      </c>
      <c r="K141" s="6">
        <v>-0.92478000000000005</v>
      </c>
      <c r="M141" s="6">
        <v>0.91395000000000004</v>
      </c>
      <c r="O141" s="6">
        <v>3.2507600000000001</v>
      </c>
      <c r="Q141" s="6">
        <v>-5.53139</v>
      </c>
      <c r="S141" s="6">
        <v>0.96819</v>
      </c>
      <c r="U141" s="6">
        <v>-7.7289999999999998E-2</v>
      </c>
      <c r="W141" s="6">
        <v>8.4453399999999998</v>
      </c>
      <c r="Y141" s="6">
        <v>2.26614</v>
      </c>
      <c r="AA141" s="6">
        <v>0.74853999999999998</v>
      </c>
      <c r="AC141" s="6">
        <v>0.53305000000000002</v>
      </c>
      <c r="AE141" s="6">
        <v>2.9472399999999999</v>
      </c>
      <c r="AG141" s="6">
        <v>-2.2290000000000001</v>
      </c>
      <c r="AI141" s="6">
        <v>0.99114999999999998</v>
      </c>
      <c r="AK141" s="6">
        <v>2.5345800000000001</v>
      </c>
      <c r="AM141" s="6">
        <v>-2.5196900000000002</v>
      </c>
      <c r="AO141" s="6">
        <v>-1.68292</v>
      </c>
      <c r="AQ141" s="6">
        <v>1.93113</v>
      </c>
      <c r="AS141" s="6">
        <v>-0.93700000000000006</v>
      </c>
      <c r="AU141" s="6">
        <v>0.59923000000000004</v>
      </c>
      <c r="AW141" s="6">
        <v>2.6682700000000001</v>
      </c>
      <c r="AY141" s="6">
        <v>-0.36514999999999997</v>
      </c>
      <c r="BA141" s="6">
        <v>-0.31472</v>
      </c>
      <c r="BC141" s="6">
        <v>1.83653</v>
      </c>
      <c r="BE141" s="6">
        <v>-2.8182800000000001</v>
      </c>
    </row>
    <row r="142" spans="1:57" s="36" customFormat="1" ht="12.6" x14ac:dyDescent="0.2">
      <c r="A142" s="24" t="s">
        <v>356</v>
      </c>
      <c r="B142" s="6">
        <v>3.0595479999999999</v>
      </c>
      <c r="D142" s="6">
        <v>6.030049</v>
      </c>
      <c r="F142" s="6">
        <v>5.1083160000000003</v>
      </c>
      <c r="G142" s="6">
        <v>10.754631</v>
      </c>
      <c r="I142" s="6">
        <v>7.4940280000000001</v>
      </c>
      <c r="K142" s="6">
        <v>-3.4267799999999999</v>
      </c>
      <c r="M142" s="6">
        <v>-0.18809999999999999</v>
      </c>
      <c r="O142" s="6">
        <v>3.64283</v>
      </c>
      <c r="Q142" s="6">
        <v>-5.3517200000000003</v>
      </c>
      <c r="S142" s="6">
        <v>2.8408199999999999</v>
      </c>
      <c r="U142" s="6">
        <v>0.65198</v>
      </c>
      <c r="W142" s="6">
        <v>5.5260199999999999</v>
      </c>
      <c r="Y142" s="6">
        <v>4.9990100000000002</v>
      </c>
      <c r="AA142" s="6">
        <v>2.4529100000000001</v>
      </c>
      <c r="AC142" s="6">
        <v>-3.7406199999999998</v>
      </c>
      <c r="AE142" s="6">
        <v>2.63</v>
      </c>
      <c r="AG142" s="6">
        <v>-6.3679600000000001</v>
      </c>
      <c r="AI142" s="6">
        <v>1.6092200000000001</v>
      </c>
      <c r="AK142" s="6">
        <v>1.9054599999999999</v>
      </c>
      <c r="AM142" s="6">
        <v>-2.7859400000000001</v>
      </c>
      <c r="AO142" s="6">
        <v>-0.36691000000000001</v>
      </c>
      <c r="AQ142" s="6">
        <v>2.5430799999999998</v>
      </c>
      <c r="AS142" s="6">
        <v>0.40771000000000002</v>
      </c>
      <c r="AU142" s="6">
        <v>-0.2218</v>
      </c>
      <c r="AW142" s="6">
        <v>3.6292399999999998</v>
      </c>
      <c r="AY142" s="6">
        <v>0.87611000000000006</v>
      </c>
      <c r="BA142" s="6">
        <v>-0.79337000000000002</v>
      </c>
      <c r="BC142" s="6">
        <v>2.05654</v>
      </c>
      <c r="BE142" s="6">
        <v>-1.42658</v>
      </c>
    </row>
    <row r="143" spans="1:57" s="36" customFormat="1" ht="12.6" x14ac:dyDescent="0.2">
      <c r="A143" s="24" t="s">
        <v>357</v>
      </c>
      <c r="B143" s="6">
        <v>5.4634609999999997</v>
      </c>
      <c r="D143" s="6">
        <v>6.6126379999999996</v>
      </c>
      <c r="F143" s="6">
        <v>5.4062190000000001</v>
      </c>
      <c r="G143" s="6">
        <v>9.7073119999999999</v>
      </c>
      <c r="I143" s="6">
        <v>-0.39496900000000001</v>
      </c>
      <c r="K143" s="6">
        <v>-1.1587620000000001</v>
      </c>
      <c r="M143" s="6">
        <v>0.78520900000000005</v>
      </c>
      <c r="O143" s="6">
        <v>2.5191620000000001</v>
      </c>
      <c r="Q143" s="6">
        <v>-5.6689720000000001</v>
      </c>
      <c r="S143" s="6">
        <v>1.6326989999999999</v>
      </c>
      <c r="U143" s="6">
        <v>0.17508799999999999</v>
      </c>
      <c r="W143" s="6">
        <v>8.4614580000000004</v>
      </c>
      <c r="Y143" s="6">
        <v>2.593639</v>
      </c>
      <c r="AA143" s="6">
        <v>0.82590300000000005</v>
      </c>
      <c r="AC143" s="6">
        <v>0.62378500000000003</v>
      </c>
      <c r="AE143" s="6">
        <v>3.2288060000000001</v>
      </c>
      <c r="AG143" s="6">
        <v>-2.4125730000000001</v>
      </c>
      <c r="AI143" s="6">
        <v>0.699658</v>
      </c>
      <c r="AK143" s="6">
        <v>3.1722220000000001</v>
      </c>
      <c r="AM143" s="6">
        <v>-2.8622999999999998</v>
      </c>
      <c r="AO143" s="6">
        <v>-2.2770480000000002</v>
      </c>
      <c r="AQ143" s="6">
        <v>1.730059</v>
      </c>
      <c r="AS143" s="6">
        <v>-1.289477</v>
      </c>
      <c r="AU143" s="6">
        <v>0.48106500000000002</v>
      </c>
      <c r="AW143" s="6">
        <v>2.3565680000000002</v>
      </c>
      <c r="AY143" s="6">
        <v>-0.476547</v>
      </c>
      <c r="BA143" s="6">
        <v>-0.22111800000000001</v>
      </c>
      <c r="BC143" s="6">
        <v>1.668371</v>
      </c>
      <c r="BE143" s="6">
        <v>-3.1402209999999999</v>
      </c>
    </row>
    <row r="144" spans="1:57" s="36" customFormat="1" ht="12.6" x14ac:dyDescent="0.2">
      <c r="A144" s="24" t="s">
        <v>358</v>
      </c>
      <c r="B144" s="6">
        <v>6.8513070000000003</v>
      </c>
      <c r="D144" s="6">
        <v>8.3743719999999993</v>
      </c>
      <c r="F144" s="6">
        <v>7.4884519999999997</v>
      </c>
      <c r="G144" s="6">
        <v>9.3027300000000004</v>
      </c>
      <c r="I144" s="6">
        <v>2.7850239999999999</v>
      </c>
      <c r="K144" s="6">
        <v>-0.89580000000000004</v>
      </c>
      <c r="M144" s="6">
        <v>0.97028000000000003</v>
      </c>
      <c r="O144" s="6">
        <v>3.4275099999999998</v>
      </c>
      <c r="Q144" s="6">
        <v>-5.4786000000000001</v>
      </c>
      <c r="S144" s="6">
        <v>1.0337400000000001</v>
      </c>
      <c r="U144" s="6">
        <v>9.3420000000000003E-2</v>
      </c>
      <c r="W144" s="6">
        <v>8.4938099999999999</v>
      </c>
      <c r="Y144" s="6">
        <v>2.32063</v>
      </c>
      <c r="AA144" s="6">
        <v>0.88251000000000002</v>
      </c>
      <c r="AC144" s="6">
        <v>0.59928999999999999</v>
      </c>
      <c r="AE144" s="6">
        <v>2.9876399999999999</v>
      </c>
      <c r="AG144" s="6">
        <v>-2.0722200000000002</v>
      </c>
      <c r="AI144" s="6">
        <v>1.0286900000000001</v>
      </c>
      <c r="AK144" s="6">
        <v>2.5847099999999998</v>
      </c>
      <c r="AM144" s="6">
        <v>-2.3535400000000002</v>
      </c>
      <c r="AO144" s="6">
        <v>-1.6379900000000001</v>
      </c>
      <c r="AQ144" s="6">
        <v>2.016</v>
      </c>
      <c r="AS144" s="6">
        <v>-0.76802999999999999</v>
      </c>
      <c r="AU144" s="6">
        <v>0.63719000000000003</v>
      </c>
      <c r="AW144" s="6">
        <v>2.71882</v>
      </c>
      <c r="AY144" s="6">
        <v>-0.21872</v>
      </c>
      <c r="BA144" s="6">
        <v>-0.27849000000000002</v>
      </c>
      <c r="BC144" s="6">
        <v>1.8771599999999999</v>
      </c>
      <c r="BE144" s="6">
        <v>-2.66357</v>
      </c>
    </row>
    <row r="145" spans="1:57" s="36" customFormat="1" ht="12.6" x14ac:dyDescent="0.2">
      <c r="A145" s="24" t="s">
        <v>359</v>
      </c>
      <c r="B145" s="6">
        <v>4.0820869999999996</v>
      </c>
      <c r="D145" s="6">
        <v>7.1427060000000004</v>
      </c>
      <c r="F145" s="6">
        <v>6.2005189999999999</v>
      </c>
      <c r="G145" s="6">
        <v>10.728063000000001</v>
      </c>
      <c r="I145" s="6">
        <v>8.5937260000000002</v>
      </c>
      <c r="K145" s="6">
        <v>-3.3978000000000002</v>
      </c>
      <c r="M145" s="6">
        <v>-0.13175999999999999</v>
      </c>
      <c r="O145" s="6">
        <v>3.8195700000000001</v>
      </c>
      <c r="Q145" s="6">
        <v>-5.2989300000000004</v>
      </c>
      <c r="S145" s="6">
        <v>2.9063699999999999</v>
      </c>
      <c r="U145" s="6">
        <v>0.82269000000000003</v>
      </c>
      <c r="W145" s="6">
        <v>5.5744899999999999</v>
      </c>
      <c r="Y145" s="6">
        <v>5.0534999999999997</v>
      </c>
      <c r="AA145" s="6">
        <v>2.5868799999999998</v>
      </c>
      <c r="AC145" s="6">
        <v>-3.6743800000000002</v>
      </c>
      <c r="AE145" s="6">
        <v>2.6703999999999999</v>
      </c>
      <c r="AG145" s="6">
        <v>-6.2111799999999997</v>
      </c>
      <c r="AI145" s="6">
        <v>1.64676</v>
      </c>
      <c r="AK145" s="6">
        <v>1.9555899999999999</v>
      </c>
      <c r="AM145" s="6">
        <v>-2.6197900000000001</v>
      </c>
      <c r="AO145" s="6">
        <v>-0.32197999999999999</v>
      </c>
      <c r="AQ145" s="6">
        <v>2.6279499999999998</v>
      </c>
      <c r="AS145" s="6">
        <v>0.57669000000000004</v>
      </c>
      <c r="AU145" s="6">
        <v>-0.18382999999999999</v>
      </c>
      <c r="AW145" s="6">
        <v>3.6797800000000001</v>
      </c>
      <c r="AY145" s="6">
        <v>1.0225299999999999</v>
      </c>
      <c r="BA145" s="6">
        <v>-0.75714000000000004</v>
      </c>
      <c r="BC145" s="6">
        <v>2.0971700000000002</v>
      </c>
      <c r="BE145" s="6">
        <v>-1.2718799999999999</v>
      </c>
    </row>
    <row r="146" spans="1:57" s="36" customFormat="1" ht="12.6" x14ac:dyDescent="0.2">
      <c r="A146" s="24" t="s">
        <v>360</v>
      </c>
      <c r="B146" s="6">
        <v>4.0224640000000003</v>
      </c>
      <c r="D146" s="6">
        <v>7.1121999999999996</v>
      </c>
      <c r="F146" s="6">
        <v>6.1121509999999999</v>
      </c>
      <c r="G146" s="6">
        <v>10.834395000000001</v>
      </c>
      <c r="I146" s="6">
        <v>8.6447479999999999</v>
      </c>
      <c r="K146" s="6">
        <v>-3.5742699999999998</v>
      </c>
      <c r="M146" s="6">
        <v>-8.1659999999999996E-2</v>
      </c>
      <c r="O146" s="6">
        <v>3.5391599999999999</v>
      </c>
      <c r="Q146" s="6">
        <v>-5.1423300000000003</v>
      </c>
      <c r="S146" s="6">
        <v>2.96522</v>
      </c>
      <c r="U146" s="6">
        <v>0.83082999999999996</v>
      </c>
      <c r="W146" s="6">
        <v>5.5420499999999997</v>
      </c>
      <c r="Y146" s="6">
        <v>5.3893800000000001</v>
      </c>
      <c r="AA146" s="6">
        <v>2.3199700000000001</v>
      </c>
      <c r="AC146" s="6">
        <v>-3.7486700000000002</v>
      </c>
      <c r="AE146" s="6">
        <v>2.7013400000000001</v>
      </c>
      <c r="AG146" s="6">
        <v>-6.2315500000000004</v>
      </c>
      <c r="AI146" s="6">
        <v>1.4712000000000001</v>
      </c>
      <c r="AK146" s="6">
        <v>2.5234200000000002</v>
      </c>
      <c r="AM146" s="6">
        <v>-2.45459</v>
      </c>
      <c r="AO146" s="6">
        <v>-0.72557000000000005</v>
      </c>
      <c r="AQ146" s="6">
        <v>2.47377</v>
      </c>
      <c r="AS146" s="6">
        <v>0.47484999999999999</v>
      </c>
      <c r="AU146" s="6">
        <v>-0.40725</v>
      </c>
      <c r="AW146" s="6">
        <v>3.5994999999999999</v>
      </c>
      <c r="AY146" s="6">
        <v>1.28024</v>
      </c>
      <c r="BA146" s="6">
        <v>-0.81210000000000004</v>
      </c>
      <c r="BC146" s="6">
        <v>2.5527600000000001</v>
      </c>
      <c r="BE146" s="6">
        <v>-1.46004</v>
      </c>
    </row>
    <row r="147" spans="1:57" s="36" customFormat="1" ht="12.6" x14ac:dyDescent="0.2">
      <c r="A147" s="24" t="s">
        <v>361</v>
      </c>
      <c r="B147" s="6">
        <v>3.2849940000000002</v>
      </c>
      <c r="D147" s="6">
        <v>6.0462470000000001</v>
      </c>
      <c r="F147" s="6">
        <v>4.7269779999999999</v>
      </c>
      <c r="G147" s="6">
        <v>11.409490999999999</v>
      </c>
      <c r="I147" s="6">
        <v>6.1411579999999999</v>
      </c>
      <c r="K147" s="6">
        <v>-3.9097300000000001</v>
      </c>
      <c r="M147" s="6">
        <v>-0.32042999999999999</v>
      </c>
      <c r="O147" s="6">
        <v>2.87853</v>
      </c>
      <c r="Q147" s="6">
        <v>-5.5430099999999998</v>
      </c>
      <c r="S147" s="6">
        <v>3.6974499999999999</v>
      </c>
      <c r="U147" s="6">
        <v>1.0859099999999999</v>
      </c>
      <c r="W147" s="6">
        <v>5.6094400000000002</v>
      </c>
      <c r="Y147" s="6">
        <v>5.6544499999999998</v>
      </c>
      <c r="AA147" s="6">
        <v>2.7185199999999998</v>
      </c>
      <c r="AC147" s="6">
        <v>-3.89514</v>
      </c>
      <c r="AE147" s="6">
        <v>3.0583399999999998</v>
      </c>
      <c r="AG147" s="6">
        <v>-6.7041300000000001</v>
      </c>
      <c r="AI147" s="6">
        <v>1.3278000000000001</v>
      </c>
      <c r="AK147" s="6">
        <v>2.7980999999999998</v>
      </c>
      <c r="AM147" s="6">
        <v>-2.9997099999999999</v>
      </c>
      <c r="AO147" s="6">
        <v>-0.89854000000000001</v>
      </c>
      <c r="AQ147" s="6">
        <v>2.3934000000000002</v>
      </c>
      <c r="AS147" s="6">
        <v>0.31170999999999999</v>
      </c>
      <c r="AU147" s="6">
        <v>-0.58281000000000005</v>
      </c>
      <c r="AW147" s="6">
        <v>3.2987299999999999</v>
      </c>
      <c r="AY147" s="6">
        <v>1.00837</v>
      </c>
      <c r="BA147" s="6">
        <v>-0.80140999999999996</v>
      </c>
      <c r="BC147" s="6">
        <v>1.9519</v>
      </c>
      <c r="BE147" s="6">
        <v>-1.62635</v>
      </c>
    </row>
    <row r="148" spans="1:57" s="36" customFormat="1" ht="12.6" x14ac:dyDescent="0.2">
      <c r="A148" s="24" t="s">
        <v>362</v>
      </c>
      <c r="B148" s="6"/>
      <c r="D148" s="6">
        <v>36.202482000000003</v>
      </c>
      <c r="F148" s="6">
        <v>15.483632999999999</v>
      </c>
      <c r="G148" s="6">
        <v>80.932765000000003</v>
      </c>
      <c r="I148" s="6">
        <v>-17.352176</v>
      </c>
      <c r="K148" s="6">
        <v>2.8590360000000001</v>
      </c>
      <c r="M148" s="6">
        <v>49.063809999999997</v>
      </c>
      <c r="O148" s="6">
        <v>8.2486230000000003</v>
      </c>
      <c r="Q148" s="6">
        <v>-17.277169000000001</v>
      </c>
      <c r="S148" s="6">
        <v>23.840845000000002</v>
      </c>
      <c r="U148" s="6">
        <v>-10.254122000000001</v>
      </c>
      <c r="W148" s="6">
        <v>-2.9677380000000002</v>
      </c>
      <c r="Y148" s="6">
        <v>-25.106045000000002</v>
      </c>
      <c r="AA148" s="6">
        <v>1.3578159999999999</v>
      </c>
      <c r="AC148" s="6">
        <v>2.4519709999999999</v>
      </c>
      <c r="AE148" s="6">
        <v>43.075800999999998</v>
      </c>
      <c r="AG148" s="6">
        <v>-2.0595870000000001</v>
      </c>
      <c r="AI148" s="6">
        <v>-1.6325400000000001</v>
      </c>
      <c r="AK148" s="6">
        <v>-32.683472999999999</v>
      </c>
      <c r="AM148" s="6">
        <v>-18.098071000000001</v>
      </c>
      <c r="AO148" s="6">
        <v>-4.2261850000000001</v>
      </c>
      <c r="AQ148" s="6">
        <v>42.385792000000002</v>
      </c>
      <c r="AS148" s="6">
        <v>-4.9026430000000003</v>
      </c>
      <c r="AU148" s="6">
        <v>52.430078999999999</v>
      </c>
      <c r="AW148" s="6">
        <v>17.968855999999999</v>
      </c>
      <c r="AY148" s="6">
        <v>-8.0595289999999995</v>
      </c>
      <c r="BA148" s="6">
        <v>-6.1716150000000001</v>
      </c>
      <c r="BC148" s="6">
        <v>-21.761348000000002</v>
      </c>
      <c r="BE148" s="6">
        <v>-3.1762549999999998</v>
      </c>
    </row>
    <row r="149" spans="1:57" s="36" customFormat="1" ht="12.6" x14ac:dyDescent="0.2">
      <c r="A149" s="24" t="s">
        <v>363</v>
      </c>
      <c r="B149" s="6">
        <v>10.114471</v>
      </c>
      <c r="D149" s="6">
        <v>9.1914630000000006</v>
      </c>
      <c r="F149" s="6">
        <v>13.208608999999999</v>
      </c>
      <c r="G149" s="6">
        <v>8.6064860000000003</v>
      </c>
      <c r="I149" s="6">
        <v>6.1768289999999997</v>
      </c>
      <c r="K149" s="6">
        <v>0.70164000000000004</v>
      </c>
      <c r="M149" s="6">
        <v>2.1900599999999999</v>
      </c>
      <c r="O149" s="6">
        <v>3.2120899999999999</v>
      </c>
      <c r="Q149" s="6">
        <v>-0.88295000000000001</v>
      </c>
      <c r="S149" s="6">
        <v>2.4384399999999999</v>
      </c>
      <c r="U149" s="6">
        <v>-3.0863800000000001</v>
      </c>
      <c r="W149" s="6">
        <v>8.8093000000000004</v>
      </c>
      <c r="Y149" s="6">
        <v>6.0000000000000001E-3</v>
      </c>
      <c r="AA149" s="6">
        <v>0.49368000000000001</v>
      </c>
      <c r="AC149" s="6">
        <v>3.1075699999999999</v>
      </c>
      <c r="AE149" s="6">
        <v>3.3980999999999999</v>
      </c>
      <c r="AG149" s="6">
        <v>-0.93430000000000002</v>
      </c>
      <c r="AI149" s="6">
        <v>2.0379999999999999E-2</v>
      </c>
      <c r="AK149" s="6">
        <v>2.2228300000000001</v>
      </c>
      <c r="AM149" s="6">
        <v>1.85484</v>
      </c>
      <c r="AO149" s="6">
        <v>-0.98745000000000005</v>
      </c>
      <c r="AQ149" s="6">
        <v>1.0777099999999999</v>
      </c>
      <c r="AS149" s="6">
        <v>-0.91734000000000004</v>
      </c>
      <c r="AU149" s="6">
        <v>2.1022400000000001</v>
      </c>
      <c r="AW149" s="6">
        <v>-0.15964999999999999</v>
      </c>
      <c r="AY149" s="6">
        <v>0.68552999999999997</v>
      </c>
      <c r="BA149" s="6">
        <v>0.49606</v>
      </c>
      <c r="BC149" s="6">
        <v>3.1350699999999998</v>
      </c>
      <c r="BE149" s="6">
        <v>-3.3494000000000002</v>
      </c>
    </row>
    <row r="150" spans="1:57" s="36" customFormat="1" ht="12.6" x14ac:dyDescent="0.2">
      <c r="A150" s="24" t="s">
        <v>364</v>
      </c>
      <c r="B150" s="6">
        <v>6.6916849999999997</v>
      </c>
      <c r="D150" s="6">
        <v>7.4088450000000003</v>
      </c>
      <c r="F150" s="6">
        <v>11.745006999999999</v>
      </c>
      <c r="G150" s="6">
        <v>8.5277550000000009</v>
      </c>
      <c r="I150" s="6">
        <v>11.41836</v>
      </c>
      <c r="K150" s="6">
        <v>-1.7920499999999999</v>
      </c>
      <c r="M150" s="6">
        <v>0.99314000000000002</v>
      </c>
      <c r="O150" s="6">
        <v>3.3832499999999999</v>
      </c>
      <c r="Q150" s="6">
        <v>-0.80442999999999998</v>
      </c>
      <c r="S150" s="6">
        <v>4.3482500000000002</v>
      </c>
      <c r="U150" s="6">
        <v>-2.2371500000000002</v>
      </c>
      <c r="W150" s="6">
        <v>6.3933799999999996</v>
      </c>
      <c r="Y150" s="6">
        <v>2.883</v>
      </c>
      <c r="AA150" s="6">
        <v>2.1051000000000002</v>
      </c>
      <c r="AC150" s="6">
        <v>-1.29077</v>
      </c>
      <c r="AE150" s="6">
        <v>3.2132000000000001</v>
      </c>
      <c r="AG150" s="6">
        <v>-5.1448700000000001</v>
      </c>
      <c r="AI150" s="6">
        <v>0.67144999999999999</v>
      </c>
      <c r="AK150" s="6">
        <v>1.7843100000000001</v>
      </c>
      <c r="AM150" s="6">
        <v>1.5562100000000001</v>
      </c>
      <c r="AO150" s="6">
        <v>0.22216</v>
      </c>
      <c r="AQ150" s="6">
        <v>1.6166</v>
      </c>
      <c r="AS150" s="6">
        <v>0.22517999999999999</v>
      </c>
      <c r="AU150" s="6">
        <v>1.1596500000000001</v>
      </c>
      <c r="AW150" s="6">
        <v>0.87068999999999996</v>
      </c>
      <c r="AY150" s="6">
        <v>1.9460299999999999</v>
      </c>
      <c r="BA150" s="6">
        <v>-0.22514999999999999</v>
      </c>
      <c r="BC150" s="6">
        <v>3.1922700000000002</v>
      </c>
      <c r="BE150" s="6">
        <v>-2.0629599999999999</v>
      </c>
    </row>
    <row r="151" spans="1:57" s="36" customFormat="1" ht="12.6" x14ac:dyDescent="0.2">
      <c r="A151" s="24" t="s">
        <v>365</v>
      </c>
      <c r="B151" s="6">
        <v>-1.6448929999999999</v>
      </c>
      <c r="D151" s="6">
        <v>3.0533079999999999</v>
      </c>
      <c r="F151" s="6">
        <v>2.2799719999999999</v>
      </c>
      <c r="G151" s="6">
        <v>3.2149380000000001</v>
      </c>
      <c r="I151" s="6">
        <v>3.345269</v>
      </c>
      <c r="K151" s="6">
        <v>-0.44929000000000002</v>
      </c>
      <c r="M151" s="6">
        <v>-0.84447000000000005</v>
      </c>
      <c r="O151" s="6">
        <v>0.66513</v>
      </c>
      <c r="Q151" s="6">
        <v>-1.7386600000000001</v>
      </c>
      <c r="S151" s="6">
        <v>0.47813</v>
      </c>
      <c r="U151" s="6">
        <v>0.72536</v>
      </c>
      <c r="W151" s="6">
        <v>1.8938900000000001</v>
      </c>
      <c r="Y151" s="6">
        <v>0.91669999999999996</v>
      </c>
      <c r="AA151" s="6">
        <v>0.99431999999999998</v>
      </c>
      <c r="AC151" s="6">
        <v>-1.5487500000000001</v>
      </c>
      <c r="AE151" s="6">
        <v>1.17855</v>
      </c>
      <c r="AG151" s="6">
        <v>-0.97624999999999995</v>
      </c>
      <c r="AI151" s="6">
        <v>0.26216</v>
      </c>
      <c r="AK151" s="6">
        <v>1.1407099999999999</v>
      </c>
      <c r="AM151" s="6">
        <v>-0.54134000000000004</v>
      </c>
      <c r="AO151" s="6">
        <v>1.1579600000000001</v>
      </c>
      <c r="AQ151" s="6">
        <v>-0.60472000000000004</v>
      </c>
      <c r="AS151" s="6">
        <v>0.76373999999999997</v>
      </c>
      <c r="AU151" s="6">
        <v>-0.34861999999999999</v>
      </c>
      <c r="AW151" s="6">
        <v>0.29414000000000001</v>
      </c>
      <c r="AY151" s="6">
        <v>0.60268999999999995</v>
      </c>
      <c r="BA151" s="6">
        <v>0.83977000000000002</v>
      </c>
      <c r="BC151" s="6">
        <v>0.14444000000000001</v>
      </c>
      <c r="BE151" s="6">
        <v>-0.39350000000000002</v>
      </c>
    </row>
    <row r="152" spans="1:57" s="36" customFormat="1" ht="12.6" x14ac:dyDescent="0.2">
      <c r="A152" s="24" t="s">
        <v>366</v>
      </c>
      <c r="B152" s="6">
        <v>17.676912999999999</v>
      </c>
      <c r="D152" s="6">
        <v>38.065645000000004</v>
      </c>
      <c r="F152" s="6">
        <v>30.360759999999999</v>
      </c>
      <c r="G152" s="6">
        <v>16.388452999999998</v>
      </c>
      <c r="I152" s="6">
        <v>23.334109999999999</v>
      </c>
      <c r="K152" s="6">
        <v>3.7088199999999998</v>
      </c>
      <c r="M152" s="6">
        <v>8.2433949999999996</v>
      </c>
      <c r="O152" s="6">
        <v>1.8472120000000001</v>
      </c>
      <c r="Q152" s="6">
        <v>-5.0663280000000004</v>
      </c>
      <c r="S152" s="6">
        <v>1.348808</v>
      </c>
      <c r="U152" s="6">
        <v>6.5683239999999996</v>
      </c>
      <c r="W152" s="6">
        <v>0.600101</v>
      </c>
      <c r="Y152" s="6">
        <v>-2.613896</v>
      </c>
      <c r="AA152" s="6">
        <v>2.8551099999999998</v>
      </c>
      <c r="AC152" s="6">
        <v>4.3204359999999999</v>
      </c>
      <c r="AE152" s="6">
        <v>6.5274000000000001</v>
      </c>
      <c r="AG152" s="6">
        <v>4.9603479999999998</v>
      </c>
      <c r="AI152" s="6">
        <v>3.9374889999999998</v>
      </c>
      <c r="AK152" s="6">
        <v>-2.9778280000000001</v>
      </c>
      <c r="AM152" s="6">
        <v>-7.2896380000000001</v>
      </c>
      <c r="AO152" s="6">
        <v>-0.75027999999999995</v>
      </c>
      <c r="AQ152" s="6">
        <v>8.483606</v>
      </c>
      <c r="AS152" s="6">
        <v>6.4602930000000001</v>
      </c>
      <c r="AU152" s="6">
        <v>4.0818130000000004</v>
      </c>
      <c r="AW152" s="6">
        <v>-0.57820300000000002</v>
      </c>
      <c r="AY152" s="6">
        <v>8.2091709999999996</v>
      </c>
      <c r="BA152" s="6">
        <v>8.9533480000000001</v>
      </c>
      <c r="BC152" s="6">
        <v>-5.7381250000000001</v>
      </c>
      <c r="BE152" s="6">
        <v>7.6813000000000006E-2</v>
      </c>
    </row>
    <row r="153" spans="1:57" s="36" customFormat="1" ht="12.6" x14ac:dyDescent="0.2">
      <c r="A153" s="24" t="s">
        <v>367</v>
      </c>
      <c r="B153" s="6">
        <v>-0.28832600000000003</v>
      </c>
      <c r="D153" s="6">
        <v>13.484416</v>
      </c>
      <c r="F153" s="6">
        <v>1.7382679999999999</v>
      </c>
      <c r="G153" s="6">
        <v>20.846854</v>
      </c>
      <c r="I153" s="6">
        <v>-11.906995</v>
      </c>
      <c r="K153" s="6">
        <v>2.4410910000000001</v>
      </c>
      <c r="M153" s="6">
        <v>-0.43741400000000003</v>
      </c>
      <c r="O153" s="6">
        <v>-1.092306</v>
      </c>
      <c r="Q153" s="6">
        <v>-7.0277310000000002</v>
      </c>
      <c r="S153" s="6">
        <v>-5.4405479999999997</v>
      </c>
      <c r="U153" s="6">
        <v>0.49158099999999999</v>
      </c>
      <c r="W153" s="6">
        <v>4.2354050000000001</v>
      </c>
      <c r="Y153" s="6">
        <v>-3.0995089999999998</v>
      </c>
      <c r="AA153" s="6">
        <v>-0.22495499999999999</v>
      </c>
      <c r="AC153" s="6">
        <v>7.9547970000000001</v>
      </c>
      <c r="AE153" s="6">
        <v>18.286304999999999</v>
      </c>
      <c r="AG153" s="6">
        <v>2.446984</v>
      </c>
      <c r="AI153" s="6">
        <v>6.0811349999999997</v>
      </c>
      <c r="AK153" s="6">
        <v>-7.7103320000000002</v>
      </c>
      <c r="AM153" s="6">
        <v>-11.160268</v>
      </c>
      <c r="AO153" s="6">
        <v>0.43088799999999999</v>
      </c>
      <c r="AQ153" s="6">
        <v>5.6121639999999999</v>
      </c>
      <c r="AS153" s="6">
        <v>-1.3269E-2</v>
      </c>
      <c r="AU153" s="6">
        <v>-1.0665990000000001</v>
      </c>
      <c r="AW153" s="6">
        <v>-0.553234</v>
      </c>
      <c r="AY153" s="6">
        <v>0.50569699999999995</v>
      </c>
      <c r="BA153" s="6">
        <v>4.8456330000000003</v>
      </c>
      <c r="BC153" s="6">
        <v>-5.9527720000000004</v>
      </c>
      <c r="BE153" s="6">
        <v>-2.051294</v>
      </c>
    </row>
    <row r="154" spans="1:57" s="36" customFormat="1" ht="12.6" x14ac:dyDescent="0.2">
      <c r="A154" s="24" t="s">
        <v>368</v>
      </c>
      <c r="B154" s="6">
        <v>5.817787</v>
      </c>
      <c r="D154" s="6">
        <v>22.393516999999999</v>
      </c>
      <c r="F154" s="6">
        <v>15.085108</v>
      </c>
      <c r="G154" s="6">
        <v>16.782829</v>
      </c>
      <c r="I154" s="6">
        <v>6.0219649999999998</v>
      </c>
      <c r="K154" s="6">
        <v>4.2754250000000003</v>
      </c>
      <c r="M154" s="6">
        <v>9.7531680000000005</v>
      </c>
      <c r="O154" s="6">
        <v>2.026767</v>
      </c>
      <c r="Q154" s="6">
        <v>-4.9529240000000003</v>
      </c>
      <c r="S154" s="6">
        <v>-2.3073E-2</v>
      </c>
      <c r="U154" s="6">
        <v>-3.4429000000000001E-2</v>
      </c>
      <c r="W154" s="6">
        <v>2.574411</v>
      </c>
      <c r="Y154" s="6">
        <v>-1.627294</v>
      </c>
      <c r="AA154" s="6">
        <v>-0.114264</v>
      </c>
      <c r="AC154" s="6">
        <v>4.8950820000000004</v>
      </c>
      <c r="AE154" s="6">
        <v>4.9433179999999997</v>
      </c>
      <c r="AG154" s="6">
        <v>1.5110239999999999</v>
      </c>
      <c r="AI154" s="6">
        <v>3.0119400000000001</v>
      </c>
      <c r="AK154" s="6">
        <v>-3.460407</v>
      </c>
      <c r="AM154" s="6">
        <v>-11.440912000000001</v>
      </c>
      <c r="AO154" s="6">
        <v>-1.936377</v>
      </c>
      <c r="AQ154" s="6">
        <v>7.8115050000000004</v>
      </c>
      <c r="AS154" s="6">
        <v>3.6869809999999998</v>
      </c>
      <c r="AU154" s="6">
        <v>4.7991429999999999</v>
      </c>
      <c r="AW154" s="6">
        <v>-1.2738240000000001</v>
      </c>
      <c r="AY154" s="6">
        <v>4.0912329999999999</v>
      </c>
      <c r="BA154" s="6">
        <v>7.5866210000000001</v>
      </c>
      <c r="BC154" s="6">
        <v>-6.7712820000000002</v>
      </c>
      <c r="BE154" s="6">
        <v>1.6623699999999999</v>
      </c>
    </row>
    <row r="155" spans="1:57" s="36" customFormat="1" ht="12.6" x14ac:dyDescent="0.2">
      <c r="A155" s="24" t="s">
        <v>368</v>
      </c>
      <c r="B155" s="6">
        <v>5.81778</v>
      </c>
      <c r="D155" s="6">
        <v>22.393502000000002</v>
      </c>
      <c r="F155" s="6">
        <v>15.085093000000001</v>
      </c>
      <c r="G155" s="6">
        <v>16.782827000000001</v>
      </c>
      <c r="I155" s="6">
        <v>6.0219509999999996</v>
      </c>
      <c r="K155" s="6">
        <v>4.2754219999999998</v>
      </c>
      <c r="M155" s="6">
        <v>9.753171</v>
      </c>
      <c r="O155" s="6">
        <v>2.026767</v>
      </c>
      <c r="Q155" s="6">
        <v>-4.952922</v>
      </c>
      <c r="S155" s="6">
        <v>-2.3074999999999998E-2</v>
      </c>
      <c r="U155" s="6">
        <v>-3.4432999999999998E-2</v>
      </c>
      <c r="W155" s="6">
        <v>2.5744129999999998</v>
      </c>
      <c r="Y155" s="6">
        <v>-1.6272960000000001</v>
      </c>
      <c r="AA155" s="6">
        <v>-0.11426699999999999</v>
      </c>
      <c r="AC155" s="6">
        <v>4.895079</v>
      </c>
      <c r="AE155" s="6">
        <v>4.9433150000000001</v>
      </c>
      <c r="AG155" s="6">
        <v>1.511026</v>
      </c>
      <c r="AI155" s="6">
        <v>3.0119440000000002</v>
      </c>
      <c r="AK155" s="6">
        <v>-3.4604029999999999</v>
      </c>
      <c r="AM155" s="6">
        <v>-11.440910000000001</v>
      </c>
      <c r="AO155" s="6">
        <v>-1.936377</v>
      </c>
      <c r="AQ155" s="6">
        <v>7.8114999999999997</v>
      </c>
      <c r="AS155" s="6">
        <v>3.6869770000000002</v>
      </c>
      <c r="AU155" s="6">
        <v>4.7991419999999998</v>
      </c>
      <c r="AW155" s="6">
        <v>-1.2738259999999999</v>
      </c>
      <c r="AY155" s="6">
        <v>4.0912280000000001</v>
      </c>
      <c r="BA155" s="6">
        <v>7.5866199999999999</v>
      </c>
      <c r="BC155" s="6">
        <v>-6.7712859999999999</v>
      </c>
      <c r="BE155" s="6">
        <v>1.662369</v>
      </c>
    </row>
    <row r="156" spans="1:57" s="36" customFormat="1" ht="12.6" x14ac:dyDescent="0.2">
      <c r="A156" s="24" t="s">
        <v>369</v>
      </c>
      <c r="B156" s="6">
        <v>4.1181450000000002</v>
      </c>
      <c r="D156" s="6">
        <v>10.091099</v>
      </c>
      <c r="F156" s="6">
        <v>9.1454319999999996</v>
      </c>
      <c r="G156" s="6">
        <v>4.699954</v>
      </c>
      <c r="I156" s="6">
        <v>10.730432</v>
      </c>
      <c r="K156" s="6">
        <v>1.6500809999999999</v>
      </c>
      <c r="M156" s="6">
        <v>0.93803599999999998</v>
      </c>
      <c r="O156" s="6">
        <v>-0.21964900000000001</v>
      </c>
      <c r="Q156" s="6">
        <v>-1.6771510000000001</v>
      </c>
      <c r="S156" s="6">
        <v>-0.78517800000000004</v>
      </c>
      <c r="U156" s="6">
        <v>-1.495285</v>
      </c>
      <c r="W156" s="6">
        <v>4.6004259999999997</v>
      </c>
      <c r="Y156" s="6">
        <v>-0.80307799999999996</v>
      </c>
      <c r="AA156" s="6">
        <v>1.1218269999999999</v>
      </c>
      <c r="AC156" s="6">
        <v>1.0286139999999999</v>
      </c>
      <c r="AE156" s="6">
        <v>-2.5499999999999998E-2</v>
      </c>
      <c r="AG156" s="6">
        <v>3.1901640000000002</v>
      </c>
      <c r="AI156" s="6">
        <v>1.298937</v>
      </c>
      <c r="AK156" s="6">
        <v>0.96499000000000001</v>
      </c>
      <c r="AM156" s="6">
        <v>1.3341719999999999</v>
      </c>
      <c r="AO156" s="6">
        <v>0.551454</v>
      </c>
      <c r="AQ156" s="6">
        <v>0.83037399999999995</v>
      </c>
      <c r="AS156" s="6">
        <v>0.93472100000000002</v>
      </c>
      <c r="AU156" s="6">
        <v>1.022888</v>
      </c>
      <c r="AW156" s="6">
        <v>0.49142999999999998</v>
      </c>
      <c r="AY156" s="6">
        <v>0.135185</v>
      </c>
      <c r="BA156" s="6">
        <v>1.7040029999999999</v>
      </c>
      <c r="BC156" s="6">
        <v>1.1717040000000001</v>
      </c>
      <c r="BE156" s="6">
        <v>-0.18807299999999999</v>
      </c>
    </row>
    <row r="157" spans="1:57" s="36" customFormat="1" ht="12.6" x14ac:dyDescent="0.2">
      <c r="A157" s="24" t="s">
        <v>370</v>
      </c>
      <c r="B157" s="6">
        <v>21.772546999999999</v>
      </c>
      <c r="D157" s="6">
        <v>34.791079000000003</v>
      </c>
      <c r="F157" s="6">
        <v>46.641587999999999</v>
      </c>
      <c r="G157" s="6">
        <v>13.143165</v>
      </c>
      <c r="I157" s="6">
        <v>55.431735000000003</v>
      </c>
      <c r="K157" s="6">
        <v>1.9730049999999999</v>
      </c>
      <c r="M157" s="6">
        <v>1.263309</v>
      </c>
      <c r="O157" s="6">
        <v>7.9129370000000003</v>
      </c>
      <c r="Q157" s="6">
        <v>4.6734520000000002</v>
      </c>
      <c r="S157" s="6">
        <v>-0.61455400000000004</v>
      </c>
      <c r="U157" s="6">
        <v>-1.1553949999999999</v>
      </c>
      <c r="W157" s="6">
        <v>6.4599450000000003</v>
      </c>
      <c r="Y157" s="6">
        <v>-0.30508299999999999</v>
      </c>
      <c r="AA157" s="6">
        <v>2.338905</v>
      </c>
      <c r="AC157" s="6">
        <v>10.112762999999999</v>
      </c>
      <c r="AE157" s="6">
        <v>-2.5109439999999998</v>
      </c>
      <c r="AG157" s="6">
        <v>3.5518619999999999</v>
      </c>
      <c r="AI157" s="6">
        <v>6.9837740000000004</v>
      </c>
      <c r="AK157" s="6">
        <v>1.1075839999999999</v>
      </c>
      <c r="AM157" s="6">
        <v>9.668571</v>
      </c>
      <c r="AO157" s="6">
        <v>3.235036</v>
      </c>
      <c r="AQ157" s="6">
        <v>-1.312916</v>
      </c>
      <c r="AS157" s="6">
        <v>-1.504043</v>
      </c>
      <c r="AU157" s="6">
        <v>2.1394519999999999</v>
      </c>
      <c r="AW157" s="6">
        <v>2.2579210000000001</v>
      </c>
      <c r="AY157" s="6">
        <v>10.163755999999999</v>
      </c>
      <c r="BA157" s="6">
        <v>6.165178</v>
      </c>
      <c r="BC157" s="6">
        <v>4.2932649999999999</v>
      </c>
      <c r="BE157" s="6">
        <v>2.4902289999999998</v>
      </c>
    </row>
    <row r="158" spans="1:57" s="36" customFormat="1" ht="12.6" x14ac:dyDescent="0.2">
      <c r="A158" s="24" t="s">
        <v>371</v>
      </c>
      <c r="B158" s="6">
        <v>28.653995999999999</v>
      </c>
      <c r="D158" s="6">
        <v>75.030878999999999</v>
      </c>
      <c r="F158" s="6">
        <v>44.880322999999997</v>
      </c>
      <c r="G158" s="6">
        <v>54.141731</v>
      </c>
      <c r="I158" s="6">
        <v>-13.515193</v>
      </c>
      <c r="K158" s="6">
        <v>3.9457399999999998</v>
      </c>
      <c r="M158" s="6">
        <v>47.036113</v>
      </c>
      <c r="O158" s="6">
        <v>14.107530000000001</v>
      </c>
      <c r="Q158" s="6">
        <v>-15.109871999999999</v>
      </c>
      <c r="S158" s="6">
        <v>9.8863869999999991</v>
      </c>
      <c r="U158" s="6">
        <v>-8.6534089999999999</v>
      </c>
      <c r="W158" s="6">
        <v>8.8177660000000007</v>
      </c>
      <c r="Y158" s="6">
        <v>-13.951331</v>
      </c>
      <c r="AA158" s="6">
        <v>5.303458</v>
      </c>
      <c r="AC158" s="6">
        <v>17.633223999999998</v>
      </c>
      <c r="AE158" s="6">
        <v>38.499133</v>
      </c>
      <c r="AG158" s="6">
        <v>1.6662729999999999</v>
      </c>
      <c r="AI158" s="6">
        <v>7.9325659999999996</v>
      </c>
      <c r="AK158" s="6">
        <v>-17.289641</v>
      </c>
      <c r="AM158" s="6">
        <v>-1.4604509999999999</v>
      </c>
      <c r="AO158" s="6">
        <v>10.310927</v>
      </c>
      <c r="AQ158" s="6">
        <v>10.787591000000001</v>
      </c>
      <c r="AS158" s="6">
        <v>0.77478400000000003</v>
      </c>
      <c r="AU158" s="6">
        <v>10.933168</v>
      </c>
      <c r="AW158" s="6">
        <v>-8.4416159999999998</v>
      </c>
      <c r="AY158" s="6">
        <v>3.3216389999999998</v>
      </c>
      <c r="BA158" s="6">
        <v>-2.697057</v>
      </c>
      <c r="BC158" s="6">
        <v>-16.797546000000001</v>
      </c>
      <c r="BE158" s="6">
        <v>-6.0401350000000003</v>
      </c>
    </row>
    <row r="159" spans="1:57" s="36" customFormat="1" ht="12.6" x14ac:dyDescent="0.2">
      <c r="A159" s="24" t="s">
        <v>372</v>
      </c>
      <c r="B159" s="6"/>
      <c r="D159" s="6"/>
      <c r="F159" s="6"/>
      <c r="G159" s="6"/>
      <c r="I159" s="6"/>
      <c r="K159" s="6"/>
      <c r="M159" s="6"/>
      <c r="O159" s="6"/>
      <c r="Q159" s="6"/>
      <c r="S159" s="6"/>
      <c r="U159" s="6"/>
      <c r="W159" s="6"/>
      <c r="Y159" s="6"/>
      <c r="AA159" s="6"/>
      <c r="AC159" s="6"/>
      <c r="AE159" s="6"/>
      <c r="AG159" s="6"/>
      <c r="AI159" s="6"/>
      <c r="AK159" s="6"/>
      <c r="AM159" s="6"/>
      <c r="AO159" s="6"/>
      <c r="AQ159" s="6"/>
      <c r="AS159" s="6"/>
      <c r="AU159" s="6"/>
      <c r="AW159" s="6"/>
      <c r="AY159" s="6"/>
      <c r="BA159" s="6"/>
      <c r="BC159" s="6"/>
      <c r="BE159" s="6"/>
    </row>
    <row r="160" spans="1:57" s="36" customFormat="1" ht="12.6" x14ac:dyDescent="0.2">
      <c r="A160" s="24" t="s">
        <v>373</v>
      </c>
      <c r="B160" s="6">
        <v>7.8044969999999996</v>
      </c>
      <c r="D160" s="6">
        <v>15.523225999999999</v>
      </c>
      <c r="F160" s="6">
        <v>19.291487</v>
      </c>
      <c r="G160" s="6">
        <v>8.6093510000000002</v>
      </c>
      <c r="I160" s="6">
        <v>19.020727999999998</v>
      </c>
      <c r="K160" s="6">
        <v>-1.14514</v>
      </c>
      <c r="M160" s="6">
        <v>5.5981500000000004</v>
      </c>
      <c r="O160" s="6">
        <v>2.0523099999999999</v>
      </c>
      <c r="Q160" s="6">
        <v>1.0271699999999999</v>
      </c>
      <c r="S160" s="6">
        <v>-0.58067999999999997</v>
      </c>
      <c r="U160" s="6">
        <v>3.14316</v>
      </c>
      <c r="W160" s="6">
        <v>2.5581200000000002</v>
      </c>
      <c r="Y160" s="6">
        <v>-1.71617</v>
      </c>
      <c r="AA160" s="6">
        <v>4.8421500000000002</v>
      </c>
      <c r="AC160" s="6">
        <v>0.63239999999999996</v>
      </c>
      <c r="AE160" s="6">
        <v>-1.6897899999999999</v>
      </c>
      <c r="AG160" s="6">
        <v>3.62039</v>
      </c>
      <c r="AI160" s="6">
        <v>-3.6609999999999997E-2</v>
      </c>
      <c r="AK160" s="6">
        <v>-7.4060000000000001E-2</v>
      </c>
      <c r="AM160" s="6">
        <v>-0.60797000000000001</v>
      </c>
      <c r="AO160" s="6">
        <v>-0.94803000000000004</v>
      </c>
      <c r="AQ160" s="6">
        <v>4.9011300000000002</v>
      </c>
      <c r="AS160" s="6">
        <v>3.6747899999999998</v>
      </c>
      <c r="AU160" s="6">
        <v>3.8186900000000001</v>
      </c>
      <c r="AW160" s="6">
        <v>0.2858</v>
      </c>
      <c r="AY160" s="6">
        <v>3.84036</v>
      </c>
      <c r="BA160" s="6">
        <v>4.8118699999999999</v>
      </c>
      <c r="BC160" s="6">
        <v>-2.67632</v>
      </c>
      <c r="BE160" s="6">
        <v>0.90790999999999999</v>
      </c>
    </row>
    <row r="161" spans="1:57" s="36" customFormat="1" ht="12.6" x14ac:dyDescent="0.2">
      <c r="A161" s="24" t="s">
        <v>51</v>
      </c>
      <c r="B161" s="6">
        <v>10.446274000000001</v>
      </c>
      <c r="D161" s="6">
        <v>14.801448000000001</v>
      </c>
      <c r="F161" s="6">
        <v>14.472671</v>
      </c>
      <c r="G161" s="6">
        <v>6.8813300000000002</v>
      </c>
      <c r="I161" s="6">
        <v>12.667579999999999</v>
      </c>
      <c r="K161" s="6">
        <v>1.7376100000000001</v>
      </c>
      <c r="M161" s="6">
        <v>2.9386000000000001</v>
      </c>
      <c r="O161" s="6">
        <v>2.9077500000000001</v>
      </c>
      <c r="Q161" s="6">
        <v>-3.04582</v>
      </c>
      <c r="S161" s="6">
        <v>1.5485500000000001</v>
      </c>
      <c r="U161" s="6">
        <v>1.25282</v>
      </c>
      <c r="W161" s="6">
        <v>3.6353800000000001</v>
      </c>
      <c r="Y161" s="6">
        <v>0.31520999999999999</v>
      </c>
      <c r="AA161" s="6">
        <v>1.68849</v>
      </c>
      <c r="AC161" s="6">
        <v>-3.2499999999999999E-3</v>
      </c>
      <c r="AE161" s="6">
        <v>3.5765199999999999</v>
      </c>
      <c r="AG161" s="6">
        <v>-1.1320399999999999</v>
      </c>
      <c r="AI161" s="6">
        <v>3.1525699999999999</v>
      </c>
      <c r="AK161" s="6">
        <v>-1.4912099999999999</v>
      </c>
      <c r="AM161" s="6">
        <v>-3.2700999999999998</v>
      </c>
      <c r="AO161" s="6">
        <v>0.94484000000000001</v>
      </c>
      <c r="AQ161" s="6">
        <v>4.0476700000000001</v>
      </c>
      <c r="AS161" s="6">
        <v>1.9953399999999999</v>
      </c>
      <c r="AU161" s="6">
        <v>2.2421000000000002</v>
      </c>
      <c r="AW161" s="6">
        <v>2.2101199999999999</v>
      </c>
      <c r="AY161" s="6">
        <v>0.96924999999999994</v>
      </c>
      <c r="BA161" s="6">
        <v>1.79837</v>
      </c>
      <c r="BC161" s="6">
        <v>-0.79166000000000003</v>
      </c>
      <c r="BE161" s="6">
        <v>0.41176000000000001</v>
      </c>
    </row>
    <row r="162" spans="1:57" s="36" customFormat="1" ht="12.6" x14ac:dyDescent="0.2">
      <c r="A162" s="24" t="s">
        <v>106</v>
      </c>
      <c r="B162" s="6">
        <v>5.6074140000000003</v>
      </c>
      <c r="D162" s="6">
        <v>9.7224900000000005</v>
      </c>
      <c r="F162" s="6">
        <v>9.3565319999999996</v>
      </c>
      <c r="G162" s="6">
        <v>4.4455970000000002</v>
      </c>
      <c r="I162" s="6">
        <v>8.5996140000000008</v>
      </c>
      <c r="K162" s="6">
        <v>0.97441999999999995</v>
      </c>
      <c r="M162" s="6">
        <v>1.46685</v>
      </c>
      <c r="O162" s="6">
        <v>2.0131700000000001</v>
      </c>
      <c r="Q162" s="6">
        <v>-2.38612</v>
      </c>
      <c r="S162" s="6">
        <v>1.09816</v>
      </c>
      <c r="U162" s="6">
        <v>0.99443999999999999</v>
      </c>
      <c r="W162" s="6">
        <v>2.7149299999999998</v>
      </c>
      <c r="Y162" s="6">
        <v>0.66696</v>
      </c>
      <c r="AA162" s="6">
        <v>1.18405</v>
      </c>
      <c r="AC162" s="6">
        <v>-0.67898999999999998</v>
      </c>
      <c r="AE162" s="6">
        <v>2.41574</v>
      </c>
      <c r="AG162" s="6">
        <v>-0.67086000000000001</v>
      </c>
      <c r="AI162" s="6">
        <v>1.8748400000000001</v>
      </c>
      <c r="AK162" s="6">
        <v>-0.37670999999999999</v>
      </c>
      <c r="AM162" s="6">
        <v>-1.7859499999999999</v>
      </c>
      <c r="AO162" s="6">
        <v>1.0821099999999999</v>
      </c>
      <c r="AQ162" s="6">
        <v>2.2064499999999998</v>
      </c>
      <c r="AS162" s="6">
        <v>1.4093500000000001</v>
      </c>
      <c r="AU162" s="6">
        <v>1.21245</v>
      </c>
      <c r="AW162" s="6">
        <v>1.4222900000000001</v>
      </c>
      <c r="AY162" s="6">
        <v>0.66659000000000002</v>
      </c>
      <c r="BA162" s="6">
        <v>1.1884399999999999</v>
      </c>
      <c r="BC162" s="6">
        <v>-0.60468</v>
      </c>
      <c r="BE162" s="6">
        <v>5.6820000000000002E-2</v>
      </c>
    </row>
    <row r="163" spans="1:57" s="36" customFormat="1" ht="12.6" x14ac:dyDescent="0.2">
      <c r="A163" s="24" t="s">
        <v>48</v>
      </c>
      <c r="B163" s="6">
        <v>1.405189</v>
      </c>
      <c r="D163" s="6">
        <v>4.702102</v>
      </c>
      <c r="F163" s="6">
        <v>4.2478389999999999</v>
      </c>
      <c r="G163" s="6">
        <v>2.4479289999999998</v>
      </c>
      <c r="I163" s="6">
        <v>4.1688830000000001</v>
      </c>
      <c r="K163" s="6">
        <v>0.38495000000000001</v>
      </c>
      <c r="M163" s="6">
        <v>1.435E-2</v>
      </c>
      <c r="O163" s="6">
        <v>1.0906400000000001</v>
      </c>
      <c r="Q163" s="6">
        <v>-1.4620599999999999</v>
      </c>
      <c r="S163" s="6">
        <v>0.45840999999999998</v>
      </c>
      <c r="U163" s="6">
        <v>0.69933999999999996</v>
      </c>
      <c r="W163" s="6">
        <v>1.50224</v>
      </c>
      <c r="Y163" s="6">
        <v>0.82809999999999995</v>
      </c>
      <c r="AA163" s="6">
        <v>0.59372000000000003</v>
      </c>
      <c r="AC163" s="6">
        <v>-1.10531</v>
      </c>
      <c r="AE163" s="6">
        <v>1.1900200000000001</v>
      </c>
      <c r="AG163" s="6">
        <v>9.1939999999999994E-2</v>
      </c>
      <c r="AI163" s="6">
        <v>0.65690000000000004</v>
      </c>
      <c r="AK163" s="6">
        <v>0.40382000000000001</v>
      </c>
      <c r="AM163" s="6">
        <v>-0.20477999999999999</v>
      </c>
      <c r="AO163" s="6">
        <v>1.3081100000000001</v>
      </c>
      <c r="AQ163" s="6">
        <v>0.53146000000000004</v>
      </c>
      <c r="AS163" s="6">
        <v>0.75914999999999999</v>
      </c>
      <c r="AU163" s="6">
        <v>0.26567000000000002</v>
      </c>
      <c r="AW163" s="6">
        <v>0.58848</v>
      </c>
      <c r="AY163" s="6">
        <v>0.16577</v>
      </c>
      <c r="BA163" s="6">
        <v>0.45345000000000002</v>
      </c>
      <c r="BC163" s="6">
        <v>-0.64490999999999998</v>
      </c>
      <c r="BE163" s="6">
        <v>-0.17738000000000001</v>
      </c>
    </row>
    <row r="164" spans="1:57" s="36" customFormat="1" ht="12.6" x14ac:dyDescent="0.2">
      <c r="A164" s="24" t="s">
        <v>374</v>
      </c>
      <c r="B164" s="6">
        <v>7.9784610000000002</v>
      </c>
      <c r="D164" s="6">
        <v>12.08488</v>
      </c>
      <c r="F164" s="6">
        <v>11.746620999999999</v>
      </c>
      <c r="G164" s="6">
        <v>5.6898020000000002</v>
      </c>
      <c r="I164" s="6">
        <v>10.699037000000001</v>
      </c>
      <c r="K164" s="6">
        <v>1.2935399999999999</v>
      </c>
      <c r="M164" s="6">
        <v>2.0737100000000002</v>
      </c>
      <c r="O164" s="6">
        <v>2.5001099999999998</v>
      </c>
      <c r="Q164" s="6">
        <v>-2.79026</v>
      </c>
      <c r="S164" s="6">
        <v>1.2926599999999999</v>
      </c>
      <c r="U164" s="6">
        <v>1.07962</v>
      </c>
      <c r="W164" s="6">
        <v>3.24376</v>
      </c>
      <c r="Y164" s="6">
        <v>0.52381</v>
      </c>
      <c r="AA164" s="6">
        <v>1.4862500000000001</v>
      </c>
      <c r="AC164" s="6">
        <v>-0.42542999999999997</v>
      </c>
      <c r="AE164" s="6">
        <v>2.9813900000000002</v>
      </c>
      <c r="AG164" s="6">
        <v>-0.98375000000000001</v>
      </c>
      <c r="AI164" s="6">
        <v>2.5733199999999998</v>
      </c>
      <c r="AK164" s="6">
        <v>-0.99321000000000004</v>
      </c>
      <c r="AM164" s="6">
        <v>-2.5129800000000002</v>
      </c>
      <c r="AO164" s="6">
        <v>1.1591800000000001</v>
      </c>
      <c r="AQ164" s="6">
        <v>3.09158</v>
      </c>
      <c r="AS164" s="6">
        <v>1.6715800000000001</v>
      </c>
      <c r="AU164" s="6">
        <v>1.7222</v>
      </c>
      <c r="AW164" s="6">
        <v>1.9005700000000001</v>
      </c>
      <c r="AY164" s="6">
        <v>0.74633000000000005</v>
      </c>
      <c r="BA164" s="6">
        <v>1.4592499999999999</v>
      </c>
      <c r="BC164" s="6">
        <v>-0.73275000000000001</v>
      </c>
      <c r="BE164" s="6">
        <v>0.26523000000000002</v>
      </c>
    </row>
    <row r="165" spans="1:57" s="36" customFormat="1" ht="12.6" x14ac:dyDescent="0.2">
      <c r="A165" s="24" t="s">
        <v>143</v>
      </c>
      <c r="B165" s="6">
        <v>3.3825120000000002</v>
      </c>
      <c r="D165" s="6">
        <v>7.2013670000000003</v>
      </c>
      <c r="F165" s="6">
        <v>6.771503</v>
      </c>
      <c r="G165" s="6">
        <v>3.3818619999999999</v>
      </c>
      <c r="I165" s="6">
        <v>6.5667400000000002</v>
      </c>
      <c r="K165" s="6">
        <v>0.59675</v>
      </c>
      <c r="M165" s="6">
        <v>0.67652000000000001</v>
      </c>
      <c r="O165" s="6">
        <v>1.5872900000000001</v>
      </c>
      <c r="Q165" s="6">
        <v>-2.0118999999999998</v>
      </c>
      <c r="S165" s="6">
        <v>0.81376000000000004</v>
      </c>
      <c r="U165" s="6">
        <v>0.80347999999999997</v>
      </c>
      <c r="W165" s="6">
        <v>2.2288199999999998</v>
      </c>
      <c r="Y165" s="6">
        <v>0.82533999999999996</v>
      </c>
      <c r="AA165" s="6">
        <v>0.94076000000000004</v>
      </c>
      <c r="AC165" s="6">
        <v>-0.94335999999999998</v>
      </c>
      <c r="AE165" s="6">
        <v>1.7757400000000001</v>
      </c>
      <c r="AG165" s="6">
        <v>-0.45227000000000001</v>
      </c>
      <c r="AI165" s="6">
        <v>1.2810699999999999</v>
      </c>
      <c r="AK165" s="6">
        <v>0.10692</v>
      </c>
      <c r="AM165" s="6">
        <v>-1.0080199999999999</v>
      </c>
      <c r="AO165" s="6">
        <v>1.18781</v>
      </c>
      <c r="AQ165" s="6">
        <v>1.2941</v>
      </c>
      <c r="AS165" s="6">
        <v>1.07077</v>
      </c>
      <c r="AU165" s="6">
        <v>0.71494999999999997</v>
      </c>
      <c r="AW165" s="6">
        <v>1.0607800000000001</v>
      </c>
      <c r="AY165" s="6">
        <v>0.46655000000000002</v>
      </c>
      <c r="BA165" s="6">
        <v>0.85045999999999999</v>
      </c>
      <c r="BC165" s="6">
        <v>-0.52841000000000005</v>
      </c>
      <c r="BE165" s="6">
        <v>-8.8300000000000003E-2</v>
      </c>
    </row>
    <row r="166" spans="1:57" s="36" customFormat="1" ht="12.6" x14ac:dyDescent="0.2">
      <c r="A166" s="24" t="s">
        <v>375</v>
      </c>
      <c r="B166" s="6">
        <v>-0.17575199999999999</v>
      </c>
      <c r="D166" s="6">
        <v>11.687374999999999</v>
      </c>
      <c r="F166" s="6">
        <v>25.178840000000001</v>
      </c>
      <c r="G166" s="6">
        <v>22.405303</v>
      </c>
      <c r="I166" s="6">
        <v>22.041367000000001</v>
      </c>
      <c r="K166" s="6">
        <v>-7.5370799999999996</v>
      </c>
      <c r="M166" s="6">
        <v>9.9285599999999992</v>
      </c>
      <c r="O166" s="6">
        <v>0.42530000000000001</v>
      </c>
      <c r="Q166" s="6">
        <v>6.6734799999999996</v>
      </c>
      <c r="S166" s="6">
        <v>4.829E-2</v>
      </c>
      <c r="U166" s="6">
        <v>-2.72702</v>
      </c>
      <c r="W166" s="6">
        <v>0.72870000000000001</v>
      </c>
      <c r="Y166" s="6">
        <v>-3.3986999999999998</v>
      </c>
      <c r="AA166" s="6">
        <v>21.26435</v>
      </c>
      <c r="AC166" s="6">
        <v>-0.40858</v>
      </c>
      <c r="AE166" s="6">
        <v>-3.9702899999999999</v>
      </c>
      <c r="AG166" s="6">
        <v>7.3688399999999996</v>
      </c>
      <c r="AI166" s="6">
        <v>-0.10417</v>
      </c>
      <c r="AK166" s="6">
        <v>11.65903</v>
      </c>
      <c r="AM166" s="6">
        <v>1.66801</v>
      </c>
      <c r="AO166" s="6">
        <v>-6.4977999999999998</v>
      </c>
      <c r="AQ166" s="6">
        <v>2.4478599999999999</v>
      </c>
      <c r="AS166" s="6">
        <v>2.2172800000000001</v>
      </c>
      <c r="AU166" s="6">
        <v>6.73698</v>
      </c>
      <c r="AW166" s="6">
        <v>3.5591300000000001</v>
      </c>
      <c r="AY166" s="6">
        <v>7.3859899999999996</v>
      </c>
      <c r="BA166" s="6">
        <v>-2.4128599999999998</v>
      </c>
      <c r="BC166" s="6">
        <v>-2.7490600000000001</v>
      </c>
      <c r="BE166" s="6">
        <v>-2.4347500000000002</v>
      </c>
    </row>
    <row r="167" spans="1:57" s="36" customFormat="1" ht="12.6" x14ac:dyDescent="0.2">
      <c r="A167" s="24" t="s">
        <v>376</v>
      </c>
      <c r="B167" s="6">
        <v>8.95486</v>
      </c>
      <c r="D167" s="6">
        <v>20.453959000000001</v>
      </c>
      <c r="F167" s="6">
        <v>12.082651</v>
      </c>
      <c r="G167" s="6">
        <v>16.758841</v>
      </c>
      <c r="I167" s="6">
        <v>1.478591</v>
      </c>
      <c r="K167" s="6">
        <v>1.566125</v>
      </c>
      <c r="M167" s="6">
        <v>9.7811869999999992</v>
      </c>
      <c r="O167" s="6">
        <v>0.30297299999999999</v>
      </c>
      <c r="Q167" s="6">
        <v>-6.8317579999999998</v>
      </c>
      <c r="S167" s="6">
        <v>-2.0330330000000001</v>
      </c>
      <c r="U167" s="6">
        <v>2.5407489999999999</v>
      </c>
      <c r="W167" s="6">
        <v>3.2007379999999999</v>
      </c>
      <c r="Y167" s="6">
        <v>0.76069100000000001</v>
      </c>
      <c r="AA167" s="6">
        <v>-1.943233</v>
      </c>
      <c r="AC167" s="6">
        <v>4.2927679999999997</v>
      </c>
      <c r="AE167" s="6">
        <v>10.171526</v>
      </c>
      <c r="AG167" s="6">
        <v>0.94681999999999999</v>
      </c>
      <c r="AI167" s="6">
        <v>3.9459019999999998</v>
      </c>
      <c r="AK167" s="6">
        <v>-0.60786300000000004</v>
      </c>
      <c r="AM167" s="6">
        <v>-9.6022800000000004</v>
      </c>
      <c r="AO167" s="6">
        <v>-2.891473</v>
      </c>
      <c r="AQ167" s="6">
        <v>9.0595339999999993</v>
      </c>
      <c r="AS167" s="6">
        <v>5.0125440000000001</v>
      </c>
      <c r="AU167" s="6">
        <v>2.5625779999999998</v>
      </c>
      <c r="AW167" s="6">
        <v>-1.8030379999999999</v>
      </c>
      <c r="AY167" s="6">
        <v>-0.214254</v>
      </c>
      <c r="BA167" s="6">
        <v>2.7528510000000002</v>
      </c>
      <c r="BC167" s="6">
        <v>-5.6163340000000002</v>
      </c>
      <c r="BE167" s="6">
        <v>0.241867</v>
      </c>
    </row>
    <row r="168" spans="1:57" s="36" customFormat="1" ht="12.6" x14ac:dyDescent="0.2">
      <c r="A168" s="24" t="s">
        <v>377</v>
      </c>
      <c r="B168" s="6">
        <v>19.874435999999999</v>
      </c>
      <c r="D168" s="6">
        <v>35.651589999999999</v>
      </c>
      <c r="F168" s="6">
        <v>28.462267000000001</v>
      </c>
      <c r="G168" s="6">
        <v>17.092154000000001</v>
      </c>
      <c r="I168" s="6">
        <v>15.965525</v>
      </c>
      <c r="K168" s="6">
        <v>6.1431300000000002</v>
      </c>
      <c r="M168" s="6">
        <v>7.8129</v>
      </c>
      <c r="O168" s="6">
        <v>1.96041</v>
      </c>
      <c r="Q168" s="6">
        <v>-5.2750899999999996</v>
      </c>
      <c r="S168" s="6">
        <v>4.8906799999999997</v>
      </c>
      <c r="U168" s="6">
        <v>8.1039399999999997</v>
      </c>
      <c r="W168" s="6">
        <v>0.21453</v>
      </c>
      <c r="Y168" s="6">
        <v>-2.2488199999999998</v>
      </c>
      <c r="AA168" s="6">
        <v>-0.38755000000000001</v>
      </c>
      <c r="AC168" s="6">
        <v>4.7814800000000002</v>
      </c>
      <c r="AE168" s="6">
        <v>4.9402400000000002</v>
      </c>
      <c r="AG168" s="6">
        <v>5.8260399999999999</v>
      </c>
      <c r="AI168" s="6">
        <v>-1.3339099999999999</v>
      </c>
      <c r="AK168" s="6">
        <v>-1.6756599999999999</v>
      </c>
      <c r="AM168" s="6">
        <v>-8.7555599999999991</v>
      </c>
      <c r="AO168" s="6">
        <v>-0.80276999999999998</v>
      </c>
      <c r="AQ168" s="6">
        <v>9.4271600000000007</v>
      </c>
      <c r="AS168" s="6">
        <v>7.0127499999999996</v>
      </c>
      <c r="AU168" s="6">
        <v>5.5003099999999998</v>
      </c>
      <c r="AW168" s="6">
        <v>-0.95255999999999996</v>
      </c>
      <c r="AY168" s="6">
        <v>5.9119000000000002</v>
      </c>
      <c r="BA168" s="6">
        <v>7.93445</v>
      </c>
      <c r="BC168" s="6">
        <v>-4.7366200000000003</v>
      </c>
      <c r="BE168" s="6">
        <v>-0.89273000000000002</v>
      </c>
    </row>
    <row r="169" spans="1:57" s="36" customFormat="1" ht="12.6" x14ac:dyDescent="0.2">
      <c r="A169" s="24" t="s">
        <v>378</v>
      </c>
      <c r="B169" s="6">
        <v>14.713733</v>
      </c>
      <c r="D169" s="6">
        <v>13.431979</v>
      </c>
      <c r="F169" s="6">
        <v>8.3919479999999993</v>
      </c>
      <c r="G169" s="6">
        <v>14.900071000000001</v>
      </c>
      <c r="I169" s="6">
        <v>-5.2040949999999997</v>
      </c>
      <c r="K169" s="6">
        <v>6.1355599999999999</v>
      </c>
      <c r="M169" s="6">
        <v>3.5516999999999999</v>
      </c>
      <c r="O169" s="6">
        <v>-0.16153999999999999</v>
      </c>
      <c r="Q169" s="6">
        <v>3.8451399999999998</v>
      </c>
      <c r="S169" s="6">
        <v>-1.70862</v>
      </c>
      <c r="U169" s="6">
        <v>6.8911300000000004</v>
      </c>
      <c r="W169" s="6">
        <v>6.4072500000000003</v>
      </c>
      <c r="Y169" s="6">
        <v>-3.0815199999999998</v>
      </c>
      <c r="AA169" s="6">
        <v>-0.10989</v>
      </c>
      <c r="AC169" s="6">
        <v>-1.6420999999999999</v>
      </c>
      <c r="AE169" s="6">
        <v>-9.7059999999999994E-2</v>
      </c>
      <c r="AG169" s="6">
        <v>2.2721399999999998</v>
      </c>
      <c r="AI169" s="6">
        <v>-5.2715899999999998</v>
      </c>
      <c r="AK169" s="6">
        <v>-8.7368900000000007</v>
      </c>
      <c r="AM169" s="6">
        <v>9.5401500000000006</v>
      </c>
      <c r="AO169" s="6">
        <v>1.5812900000000001</v>
      </c>
      <c r="AQ169" s="6">
        <v>1.8239700000000001</v>
      </c>
      <c r="AS169" s="6">
        <v>1.66883</v>
      </c>
      <c r="AU169" s="6">
        <v>-3.1835300000000002</v>
      </c>
      <c r="AW169" s="6">
        <v>-3.99349</v>
      </c>
      <c r="AY169" s="6">
        <v>-0.65063000000000004</v>
      </c>
      <c r="BA169" s="6">
        <v>5.4990199999999998</v>
      </c>
      <c r="BC169" s="6">
        <v>-4.6809999999999997E-2</v>
      </c>
      <c r="BE169" s="6">
        <v>-2.2472400000000001</v>
      </c>
    </row>
    <row r="170" spans="1:57" s="36" customFormat="1" ht="12.6" x14ac:dyDescent="0.2">
      <c r="A170" s="24" t="s">
        <v>379</v>
      </c>
      <c r="B170" s="6">
        <v>6.8072189999999999</v>
      </c>
      <c r="D170" s="6">
        <v>16.862283999999999</v>
      </c>
      <c r="F170" s="6">
        <v>23.094045999999999</v>
      </c>
      <c r="G170" s="6">
        <v>10.815588</v>
      </c>
      <c r="I170" s="6">
        <v>22.801511000000001</v>
      </c>
      <c r="K170" s="6">
        <v>-2.4057050000000002</v>
      </c>
      <c r="M170" s="6">
        <v>7.2029110000000003</v>
      </c>
      <c r="O170" s="6">
        <v>2.3436810000000001</v>
      </c>
      <c r="Q170" s="6">
        <v>1.721203</v>
      </c>
      <c r="S170" s="6">
        <v>-0.83898200000000001</v>
      </c>
      <c r="U170" s="6">
        <v>3.817593</v>
      </c>
      <c r="W170" s="6">
        <v>2.1382659999999998</v>
      </c>
      <c r="Y170" s="6">
        <v>-1.881826</v>
      </c>
      <c r="AA170" s="6">
        <v>6.0481100000000003</v>
      </c>
      <c r="AC170" s="6">
        <v>1.049175</v>
      </c>
      <c r="AE170" s="6">
        <v>-2.7579660000000001</v>
      </c>
      <c r="AG170" s="6">
        <v>5.3724879999999997</v>
      </c>
      <c r="AI170" s="6">
        <v>8.8900000000000003E-4</v>
      </c>
      <c r="AK170" s="6">
        <v>1.3428370000000001</v>
      </c>
      <c r="AM170" s="6">
        <v>-0.180337</v>
      </c>
      <c r="AO170" s="6">
        <v>-1.889896</v>
      </c>
      <c r="AQ170" s="6">
        <v>4.6543700000000001</v>
      </c>
      <c r="AS170" s="6">
        <v>4.1501700000000001</v>
      </c>
      <c r="AU170" s="6">
        <v>4.3916599999999999</v>
      </c>
      <c r="AW170" s="6">
        <v>-0.54753200000000002</v>
      </c>
      <c r="AY170" s="6">
        <v>5.4901030000000004</v>
      </c>
      <c r="BA170" s="6">
        <v>5.7893210000000002</v>
      </c>
      <c r="BC170" s="6">
        <v>-3.0115210000000001</v>
      </c>
      <c r="BE170" s="6">
        <v>1.0193460000000001</v>
      </c>
    </row>
    <row r="171" spans="1:57" s="36" customFormat="1" ht="12.6" x14ac:dyDescent="0.2">
      <c r="A171" s="24" t="s">
        <v>379</v>
      </c>
      <c r="B171" s="6">
        <v>6.8072239999999997</v>
      </c>
      <c r="D171" s="6">
        <v>16.862292</v>
      </c>
      <c r="F171" s="6">
        <v>23.094052999999999</v>
      </c>
      <c r="G171" s="6">
        <v>10.815588</v>
      </c>
      <c r="I171" s="6">
        <v>22.801511999999999</v>
      </c>
      <c r="K171" s="6">
        <v>-2.4057059999999999</v>
      </c>
      <c r="M171" s="6">
        <v>7.2029139999999998</v>
      </c>
      <c r="O171" s="6">
        <v>2.3436789999999998</v>
      </c>
      <c r="Q171" s="6">
        <v>1.7212000000000001</v>
      </c>
      <c r="S171" s="6">
        <v>-0.83897900000000003</v>
      </c>
      <c r="U171" s="6">
        <v>3.8175979999999998</v>
      </c>
      <c r="W171" s="6">
        <v>2.1382639999999999</v>
      </c>
      <c r="Y171" s="6">
        <v>-1.8818250000000001</v>
      </c>
      <c r="AA171" s="6">
        <v>6.0481109999999996</v>
      </c>
      <c r="AC171" s="6">
        <v>1.0491760000000001</v>
      </c>
      <c r="AE171" s="6">
        <v>-2.7579630000000002</v>
      </c>
      <c r="AG171" s="6">
        <v>5.3724910000000001</v>
      </c>
      <c r="AI171" s="6">
        <v>8.8900000000000003E-4</v>
      </c>
      <c r="AK171" s="6">
        <v>1.3428389999999999</v>
      </c>
      <c r="AM171" s="6">
        <v>-0.18034900000000001</v>
      </c>
      <c r="AO171" s="6">
        <v>-1.889883</v>
      </c>
      <c r="AQ171" s="6">
        <v>4.6543700000000001</v>
      </c>
      <c r="AS171" s="6">
        <v>4.1501679999999999</v>
      </c>
      <c r="AU171" s="6">
        <v>4.391661</v>
      </c>
      <c r="AW171" s="6">
        <v>-0.54753099999999999</v>
      </c>
      <c r="AY171" s="6">
        <v>5.4901</v>
      </c>
      <c r="BA171" s="6">
        <v>5.7893239999999997</v>
      </c>
      <c r="BC171" s="6">
        <v>-3.0115249999999998</v>
      </c>
      <c r="BE171" s="6">
        <v>1.0193449999999999</v>
      </c>
    </row>
    <row r="172" spans="1:57" s="36" customFormat="1" ht="12.6" x14ac:dyDescent="0.2">
      <c r="A172" s="24" t="s">
        <v>380</v>
      </c>
      <c r="B172" s="6">
        <v>13.122698</v>
      </c>
      <c r="D172" s="6">
        <v>19.056719000000001</v>
      </c>
      <c r="F172" s="6">
        <v>18.937037</v>
      </c>
      <c r="G172" s="6">
        <v>7.6068340000000001</v>
      </c>
      <c r="I172" s="6">
        <v>26.035882999999998</v>
      </c>
      <c r="K172" s="6">
        <v>3.1418819999999998</v>
      </c>
      <c r="M172" s="6">
        <v>3.136371</v>
      </c>
      <c r="O172" s="6">
        <v>3.4719150000000001</v>
      </c>
      <c r="Q172" s="6">
        <v>-1.3154680000000001</v>
      </c>
      <c r="S172" s="6">
        <v>2.3447269999999998</v>
      </c>
      <c r="U172" s="6">
        <v>-2.6157810000000001</v>
      </c>
      <c r="W172" s="6">
        <v>4.4355840000000004</v>
      </c>
      <c r="Y172" s="6">
        <v>-6.9241999999999998E-2</v>
      </c>
      <c r="AA172" s="6">
        <v>-1.8343020000000001</v>
      </c>
      <c r="AC172" s="6">
        <v>-0.36677599999999999</v>
      </c>
      <c r="AE172" s="6">
        <v>-1.103807</v>
      </c>
      <c r="AG172" s="6">
        <v>2.701384</v>
      </c>
      <c r="AI172" s="6">
        <v>6.1228600000000002</v>
      </c>
      <c r="AK172" s="6">
        <v>3.9768080000000001</v>
      </c>
      <c r="AM172" s="6">
        <v>-0.42569699999999999</v>
      </c>
      <c r="AO172" s="6">
        <v>1.6270640000000001</v>
      </c>
      <c r="AQ172" s="6">
        <v>3.9628009999999998</v>
      </c>
      <c r="AS172" s="6">
        <v>0.32193500000000003</v>
      </c>
      <c r="AU172" s="6">
        <v>6.8584999999999993E-2</v>
      </c>
      <c r="AW172" s="6">
        <v>1.7078420000000001</v>
      </c>
      <c r="AY172" s="6">
        <v>0.70481099999999997</v>
      </c>
      <c r="BA172" s="6">
        <v>1.9927809999999999</v>
      </c>
      <c r="BC172" s="6">
        <v>1.3036490000000001</v>
      </c>
      <c r="BE172" s="6">
        <v>2.1930369999999999</v>
      </c>
    </row>
    <row r="173" spans="1:57" s="36" customFormat="1" ht="12.6" x14ac:dyDescent="0.2">
      <c r="A173" s="24" t="s">
        <v>381</v>
      </c>
      <c r="B173" s="6">
        <v>11.171671</v>
      </c>
      <c r="D173" s="6">
        <v>19.868248999999999</v>
      </c>
      <c r="F173" s="6">
        <v>19.806498000000001</v>
      </c>
      <c r="G173" s="6">
        <v>8.6119199999999996</v>
      </c>
      <c r="I173" s="6">
        <v>19.895824000000001</v>
      </c>
      <c r="K173" s="6">
        <v>1.1856</v>
      </c>
      <c r="M173" s="6">
        <v>4.7169600000000003</v>
      </c>
      <c r="O173" s="6">
        <v>3.2999000000000001</v>
      </c>
      <c r="Q173" s="6">
        <v>-2.7972600000000001</v>
      </c>
      <c r="S173" s="6">
        <v>3.6595300000000002</v>
      </c>
      <c r="U173" s="6">
        <v>2.4830199999999998</v>
      </c>
      <c r="W173" s="6">
        <v>1.13585</v>
      </c>
      <c r="Y173" s="6">
        <v>1.59579</v>
      </c>
      <c r="AA173" s="6">
        <v>1.8265</v>
      </c>
      <c r="AC173" s="6">
        <v>-1.1559600000000001</v>
      </c>
      <c r="AE173" s="6">
        <v>4.1146799999999999</v>
      </c>
      <c r="AG173" s="6">
        <v>-1.62669</v>
      </c>
      <c r="AI173" s="6">
        <v>3.26098</v>
      </c>
      <c r="AK173" s="6">
        <v>-0.72924</v>
      </c>
      <c r="AM173" s="6">
        <v>-4.5058600000000002</v>
      </c>
      <c r="AO173" s="6">
        <v>-0.42215000000000003</v>
      </c>
      <c r="AQ173" s="6">
        <v>5.6513799999999996</v>
      </c>
      <c r="AS173" s="6">
        <v>3.8851200000000001</v>
      </c>
      <c r="AU173" s="6">
        <v>2.206</v>
      </c>
      <c r="AW173" s="6">
        <v>1.97323</v>
      </c>
      <c r="AY173" s="6">
        <v>3.6647599999999998</v>
      </c>
      <c r="BA173" s="6">
        <v>2.8500800000000002</v>
      </c>
      <c r="BC173" s="6">
        <v>0.10649</v>
      </c>
      <c r="BE173" s="6">
        <v>0.74370000000000003</v>
      </c>
    </row>
    <row r="174" spans="1:57" s="36" customFormat="1" ht="12.6" x14ac:dyDescent="0.2">
      <c r="A174" s="24" t="s">
        <v>382</v>
      </c>
      <c r="B174" s="6">
        <v>15.094344</v>
      </c>
      <c r="D174" s="6">
        <v>22.091028000000001</v>
      </c>
      <c r="F174" s="6">
        <v>22.030232000000002</v>
      </c>
      <c r="G174" s="6">
        <v>8.9477890000000002</v>
      </c>
      <c r="I174" s="6">
        <v>14.197352</v>
      </c>
      <c r="K174" s="6">
        <v>3.8915000000000002</v>
      </c>
      <c r="M174" s="6">
        <v>6.0048599999999999</v>
      </c>
      <c r="O174" s="6">
        <v>3.0006599999999999</v>
      </c>
      <c r="Q174" s="6">
        <v>-2.7933699999999999</v>
      </c>
      <c r="S174" s="6">
        <v>1.67608</v>
      </c>
      <c r="U174" s="6">
        <v>1.8388500000000001</v>
      </c>
      <c r="W174" s="6">
        <v>3.9512700000000001</v>
      </c>
      <c r="Y174" s="6">
        <v>-1.3096699999999999</v>
      </c>
      <c r="AA174" s="6">
        <v>6.3219999999999998E-2</v>
      </c>
      <c r="AC174" s="6">
        <v>3.6628799999999999</v>
      </c>
      <c r="AE174" s="6">
        <v>4.3440099999999999</v>
      </c>
      <c r="AG174" s="6">
        <v>2.8573200000000001</v>
      </c>
      <c r="AI174" s="6">
        <v>2.5900699999999999</v>
      </c>
      <c r="AK174" s="6">
        <v>-0.21326999999999999</v>
      </c>
      <c r="AM174" s="6">
        <v>-4.1066500000000001</v>
      </c>
      <c r="AO174" s="6">
        <v>-1.74244</v>
      </c>
      <c r="AQ174" s="6">
        <v>5.2302200000000001</v>
      </c>
      <c r="AS174" s="6">
        <v>2.6680299999999999</v>
      </c>
      <c r="AU174" s="6">
        <v>3.2129799999999999</v>
      </c>
      <c r="AW174" s="6">
        <v>0.82855000000000001</v>
      </c>
      <c r="AY174" s="6">
        <v>2.4316200000000001</v>
      </c>
      <c r="BA174" s="6">
        <v>3.5707900000000001</v>
      </c>
      <c r="BC174" s="6">
        <v>-0.10902000000000001</v>
      </c>
      <c r="BE174" s="6">
        <v>-0.63526000000000005</v>
      </c>
    </row>
    <row r="175" spans="1:57" s="36" customFormat="1" ht="12.6" x14ac:dyDescent="0.2">
      <c r="A175" s="24" t="s">
        <v>383</v>
      </c>
      <c r="B175" s="6">
        <v>14.561642000000001</v>
      </c>
      <c r="D175" s="6">
        <v>21.524940000000001</v>
      </c>
      <c r="F175" s="6">
        <v>21.486695999999998</v>
      </c>
      <c r="G175" s="6">
        <v>8.9535309999999999</v>
      </c>
      <c r="I175" s="6">
        <v>13.696135</v>
      </c>
      <c r="K175" s="6">
        <v>3.86877</v>
      </c>
      <c r="M175" s="6">
        <v>5.9671000000000003</v>
      </c>
      <c r="O175" s="6">
        <v>2.9445600000000001</v>
      </c>
      <c r="Q175" s="6">
        <v>-2.83704</v>
      </c>
      <c r="S175" s="6">
        <v>1.6132599999999999</v>
      </c>
      <c r="U175" s="6">
        <v>1.8030299999999999</v>
      </c>
      <c r="W175" s="6">
        <v>3.9225699999999999</v>
      </c>
      <c r="Y175" s="6">
        <v>-1.34293</v>
      </c>
      <c r="AA175" s="6">
        <v>2.5690000000000001E-2</v>
      </c>
      <c r="AC175" s="6">
        <v>3.62724</v>
      </c>
      <c r="AE175" s="6">
        <v>4.3105799999999999</v>
      </c>
      <c r="AG175" s="6">
        <v>2.8225899999999999</v>
      </c>
      <c r="AI175" s="6">
        <v>2.56759</v>
      </c>
      <c r="AK175" s="6">
        <v>-0.24171000000000001</v>
      </c>
      <c r="AM175" s="6">
        <v>-4.1612</v>
      </c>
      <c r="AO175" s="6">
        <v>-1.7868200000000001</v>
      </c>
      <c r="AQ175" s="6">
        <v>5.1640199999999998</v>
      </c>
      <c r="AS175" s="6">
        <v>2.6257299999999999</v>
      </c>
      <c r="AU175" s="6">
        <v>3.1868500000000002</v>
      </c>
      <c r="AW175" s="6">
        <v>0.78315000000000001</v>
      </c>
      <c r="AY175" s="6">
        <v>2.3949799999999999</v>
      </c>
      <c r="BA175" s="6">
        <v>3.5512899999999998</v>
      </c>
      <c r="BC175" s="6">
        <v>-0.13732</v>
      </c>
      <c r="BE175" s="6">
        <v>-0.66500000000000004</v>
      </c>
    </row>
    <row r="176" spans="1:57" s="36" customFormat="1" ht="12.6" x14ac:dyDescent="0.2">
      <c r="A176" s="24" t="s">
        <v>384</v>
      </c>
      <c r="B176" s="6">
        <v>14.561724999999999</v>
      </c>
      <c r="D176" s="6">
        <v>21.52497</v>
      </c>
      <c r="F176" s="6">
        <v>21.48696</v>
      </c>
      <c r="G176" s="6">
        <v>8.9533959999999997</v>
      </c>
      <c r="I176" s="6">
        <v>13.696262000000001</v>
      </c>
      <c r="K176" s="6">
        <v>3.868811</v>
      </c>
      <c r="M176" s="6">
        <v>5.9671029999999998</v>
      </c>
      <c r="O176" s="6">
        <v>2.9446759999999998</v>
      </c>
      <c r="Q176" s="6">
        <v>-2.836948</v>
      </c>
      <c r="S176" s="6">
        <v>1.61344</v>
      </c>
      <c r="U176" s="6">
        <v>1.802689</v>
      </c>
      <c r="W176" s="6">
        <v>3.9224459999999999</v>
      </c>
      <c r="Y176" s="6">
        <v>-1.342627</v>
      </c>
      <c r="AA176" s="6">
        <v>2.5593000000000001E-2</v>
      </c>
      <c r="AC176" s="6">
        <v>3.6273970000000002</v>
      </c>
      <c r="AE176" s="6">
        <v>4.3106660000000003</v>
      </c>
      <c r="AG176" s="6">
        <v>2.8224930000000001</v>
      </c>
      <c r="AI176" s="6">
        <v>2.5676869999999998</v>
      </c>
      <c r="AK176" s="6">
        <v>-0.242058</v>
      </c>
      <c r="AM176" s="6">
        <v>-4.1611039999999999</v>
      </c>
      <c r="AO176" s="6">
        <v>-1.786494</v>
      </c>
      <c r="AQ176" s="6">
        <v>5.1636509999999998</v>
      </c>
      <c r="AS176" s="6">
        <v>2.625629</v>
      </c>
      <c r="AU176" s="6">
        <v>3.18737</v>
      </c>
      <c r="AW176" s="6">
        <v>0.78255799999999998</v>
      </c>
      <c r="AY176" s="6">
        <v>2.3949229999999999</v>
      </c>
      <c r="BA176" s="6">
        <v>3.5514019999999999</v>
      </c>
      <c r="BC176" s="6">
        <v>-0.136714</v>
      </c>
      <c r="BE176" s="6">
        <v>-0.66519200000000001</v>
      </c>
    </row>
    <row r="177" spans="1:57" s="36" customFormat="1" ht="12.6" x14ac:dyDescent="0.2">
      <c r="A177" s="24" t="s">
        <v>384</v>
      </c>
      <c r="B177" s="6">
        <v>14.561729</v>
      </c>
      <c r="D177" s="6">
        <v>21.524981</v>
      </c>
      <c r="F177" s="6">
        <v>21.486969999999999</v>
      </c>
      <c r="G177" s="6">
        <v>8.9534000000000002</v>
      </c>
      <c r="I177" s="6">
        <v>13.696287</v>
      </c>
      <c r="K177" s="6">
        <v>3.8688129999999998</v>
      </c>
      <c r="M177" s="6">
        <v>5.9671060000000002</v>
      </c>
      <c r="O177" s="6">
        <v>2.9446759999999998</v>
      </c>
      <c r="Q177" s="6">
        <v>-2.836951</v>
      </c>
      <c r="S177" s="6">
        <v>1.613445</v>
      </c>
      <c r="U177" s="6">
        <v>1.802689</v>
      </c>
      <c r="W177" s="6">
        <v>3.9224450000000002</v>
      </c>
      <c r="Y177" s="6">
        <v>-1.3426290000000001</v>
      </c>
      <c r="AA177" s="6">
        <v>2.5592E-2</v>
      </c>
      <c r="AC177" s="6">
        <v>3.6273909999999998</v>
      </c>
      <c r="AE177" s="6">
        <v>4.3106689999999999</v>
      </c>
      <c r="AG177" s="6">
        <v>2.822489</v>
      </c>
      <c r="AI177" s="6">
        <v>2.5676899999999998</v>
      </c>
      <c r="AK177" s="6">
        <v>-0.242061</v>
      </c>
      <c r="AM177" s="6">
        <v>-4.1611089999999997</v>
      </c>
      <c r="AO177" s="6">
        <v>-1.7864930000000001</v>
      </c>
      <c r="AQ177" s="6">
        <v>5.1636540000000002</v>
      </c>
      <c r="AS177" s="6">
        <v>2.6256330000000001</v>
      </c>
      <c r="AU177" s="6">
        <v>3.1873740000000002</v>
      </c>
      <c r="AW177" s="6">
        <v>0.78256199999999998</v>
      </c>
      <c r="AY177" s="6">
        <v>2.3949259999999999</v>
      </c>
      <c r="BA177" s="6">
        <v>3.5514009999999998</v>
      </c>
      <c r="BC177" s="6">
        <v>-0.136709</v>
      </c>
      <c r="BE177" s="6">
        <v>-0.665188</v>
      </c>
    </row>
    <row r="178" spans="1:57" s="36" customFormat="1" ht="12.6" x14ac:dyDescent="0.2">
      <c r="A178" s="24" t="s">
        <v>385</v>
      </c>
      <c r="B178" s="6">
        <v>11.102976999999999</v>
      </c>
      <c r="D178" s="6">
        <v>17.991731999999999</v>
      </c>
      <c r="F178" s="6">
        <v>19.566389999999998</v>
      </c>
      <c r="G178" s="6">
        <v>5.9058830000000002</v>
      </c>
      <c r="I178" s="6">
        <v>22.917304999999999</v>
      </c>
      <c r="K178" s="6">
        <v>2.1966670000000001</v>
      </c>
      <c r="M178" s="6">
        <v>4.090668</v>
      </c>
      <c r="O178" s="6">
        <v>2.9284469999999998</v>
      </c>
      <c r="Q178" s="6">
        <v>-1.334279</v>
      </c>
      <c r="S178" s="6">
        <v>0.47388000000000002</v>
      </c>
      <c r="U178" s="6">
        <v>-0.51434599999999997</v>
      </c>
      <c r="W178" s="6">
        <v>4.6421330000000003</v>
      </c>
      <c r="Y178" s="6">
        <v>-1.0171140000000001</v>
      </c>
      <c r="AA178" s="6">
        <v>0.43529499999999999</v>
      </c>
      <c r="AC178" s="6">
        <v>0.71932600000000002</v>
      </c>
      <c r="AE178" s="6">
        <v>-0.36514600000000003</v>
      </c>
      <c r="AG178" s="6">
        <v>3.1725530000000002</v>
      </c>
      <c r="AI178" s="6">
        <v>3.2620909999999999</v>
      </c>
      <c r="AK178" s="6">
        <v>1.6973290000000001</v>
      </c>
      <c r="AM178" s="6">
        <v>-0.43470700000000001</v>
      </c>
      <c r="AO178" s="6">
        <v>0.90624400000000005</v>
      </c>
      <c r="AQ178" s="6">
        <v>3.979676</v>
      </c>
      <c r="AS178" s="6">
        <v>1.5306010000000001</v>
      </c>
      <c r="AU178" s="6">
        <v>1.495336</v>
      </c>
      <c r="AW178" s="6">
        <v>1.785547</v>
      </c>
      <c r="AY178" s="6">
        <v>2.3134429999999999</v>
      </c>
      <c r="BA178" s="6">
        <v>3.2833389999999998</v>
      </c>
      <c r="BC178" s="6">
        <v>-0.20028399999999999</v>
      </c>
      <c r="BE178" s="6">
        <v>1.2900210000000001</v>
      </c>
    </row>
    <row r="179" spans="1:57" s="36" customFormat="1" ht="12.6" x14ac:dyDescent="0.2">
      <c r="A179" s="24" t="s">
        <v>386</v>
      </c>
      <c r="B179" s="6">
        <v>11.502075</v>
      </c>
      <c r="D179" s="6">
        <v>12.735855000000001</v>
      </c>
      <c r="F179" s="6">
        <v>14.836459</v>
      </c>
      <c r="G179" s="6">
        <v>7.2697139999999996</v>
      </c>
      <c r="I179" s="6">
        <v>11.453464</v>
      </c>
      <c r="K179" s="6">
        <v>3.4022510000000001</v>
      </c>
      <c r="M179" s="6">
        <v>2.5226060000000001</v>
      </c>
      <c r="O179" s="6">
        <v>3.6322739999999998</v>
      </c>
      <c r="Q179" s="6">
        <v>-2.2403360000000001</v>
      </c>
      <c r="S179" s="6">
        <v>0.15990099999999999</v>
      </c>
      <c r="U179" s="6">
        <v>-1.2028669999999999</v>
      </c>
      <c r="W179" s="6">
        <v>6.5907080000000002</v>
      </c>
      <c r="Y179" s="6">
        <v>-0.58175399999999999</v>
      </c>
      <c r="AA179" s="6">
        <v>-0.37432500000000002</v>
      </c>
      <c r="AC179" s="6">
        <v>2.8138580000000002</v>
      </c>
      <c r="AE179" s="6">
        <v>1.6518649999999999</v>
      </c>
      <c r="AG179" s="6">
        <v>0.90198199999999995</v>
      </c>
      <c r="AI179" s="6">
        <v>2.1337280000000001</v>
      </c>
      <c r="AK179" s="6">
        <v>3.011412</v>
      </c>
      <c r="AM179" s="6">
        <v>1.6022000000000002E-2</v>
      </c>
      <c r="AO179" s="6">
        <v>-3.1422330000000001</v>
      </c>
      <c r="AQ179" s="6">
        <v>1.766114</v>
      </c>
      <c r="AS179" s="6">
        <v>0.23924000000000001</v>
      </c>
      <c r="AU179" s="6">
        <v>1.482318</v>
      </c>
      <c r="AW179" s="6">
        <v>2.4874999999999998</v>
      </c>
      <c r="AY179" s="6">
        <v>-0.18427199999999999</v>
      </c>
      <c r="BA179" s="6">
        <v>1.551804</v>
      </c>
      <c r="BC179" s="6">
        <v>2.028419</v>
      </c>
      <c r="BE179" s="6">
        <v>-0.33905400000000002</v>
      </c>
    </row>
    <row r="180" spans="1:57" s="36" customFormat="1" ht="12.6" x14ac:dyDescent="0.2">
      <c r="A180" s="24" t="s">
        <v>387</v>
      </c>
      <c r="B180" s="6">
        <v>14.486131</v>
      </c>
      <c r="D180" s="6">
        <v>21.332438</v>
      </c>
      <c r="F180" s="6">
        <v>21.274055000000001</v>
      </c>
      <c r="G180" s="6">
        <v>8.8724170000000004</v>
      </c>
      <c r="I180" s="6">
        <v>13.586575</v>
      </c>
      <c r="K180" s="6">
        <v>3.8271109999999999</v>
      </c>
      <c r="M180" s="6">
        <v>5.8770350000000002</v>
      </c>
      <c r="O180" s="6">
        <v>2.9422419999999998</v>
      </c>
      <c r="Q180" s="6">
        <v>-2.8451680000000001</v>
      </c>
      <c r="S180" s="6">
        <v>1.605173</v>
      </c>
      <c r="U180" s="6">
        <v>1.7982229999999999</v>
      </c>
      <c r="W180" s="6">
        <v>3.9234559999999998</v>
      </c>
      <c r="Y180" s="6">
        <v>-1.3138160000000001</v>
      </c>
      <c r="AA180" s="6">
        <v>7.3736999999999997E-2</v>
      </c>
      <c r="AC180" s="6">
        <v>3.538764</v>
      </c>
      <c r="AE180" s="6">
        <v>4.3056299999999998</v>
      </c>
      <c r="AG180" s="6">
        <v>2.7262499999999998</v>
      </c>
      <c r="AI180" s="6">
        <v>2.5943369999999999</v>
      </c>
      <c r="AK180" s="6">
        <v>-0.29916199999999998</v>
      </c>
      <c r="AM180" s="6">
        <v>-4.1505559999999999</v>
      </c>
      <c r="AO180" s="6">
        <v>-1.701435</v>
      </c>
      <c r="AQ180" s="6">
        <v>5.1395980000000003</v>
      </c>
      <c r="AS180" s="6">
        <v>2.608603</v>
      </c>
      <c r="AU180" s="6">
        <v>3.1669019999999999</v>
      </c>
      <c r="AW180" s="6">
        <v>0.80124700000000004</v>
      </c>
      <c r="AY180" s="6">
        <v>2.3341460000000001</v>
      </c>
      <c r="BA180" s="6">
        <v>3.501611</v>
      </c>
      <c r="BC180" s="6">
        <v>-0.18578800000000001</v>
      </c>
      <c r="BE180" s="6">
        <v>-0.63084799999999996</v>
      </c>
    </row>
    <row r="181" spans="1:57" s="36" customFormat="1" ht="12.6" x14ac:dyDescent="0.2">
      <c r="A181" s="24" t="s">
        <v>387</v>
      </c>
      <c r="B181" s="6">
        <v>14.486132</v>
      </c>
      <c r="D181" s="6">
        <v>21.332438</v>
      </c>
      <c r="F181" s="6">
        <v>21.274059999999999</v>
      </c>
      <c r="G181" s="6">
        <v>8.8724190000000007</v>
      </c>
      <c r="I181" s="6">
        <v>13.586574000000001</v>
      </c>
      <c r="K181" s="6">
        <v>3.8271109999999999</v>
      </c>
      <c r="M181" s="6">
        <v>5.8770369999999996</v>
      </c>
      <c r="O181" s="6">
        <v>2.9422410000000001</v>
      </c>
      <c r="Q181" s="6">
        <v>-2.84517</v>
      </c>
      <c r="S181" s="6">
        <v>1.605175</v>
      </c>
      <c r="U181" s="6">
        <v>1.7982279999999999</v>
      </c>
      <c r="W181" s="6">
        <v>3.923457</v>
      </c>
      <c r="Y181" s="6">
        <v>-1.313814</v>
      </c>
      <c r="AA181" s="6">
        <v>7.374E-2</v>
      </c>
      <c r="AC181" s="6">
        <v>3.5387599999999999</v>
      </c>
      <c r="AE181" s="6">
        <v>4.3056320000000001</v>
      </c>
      <c r="AG181" s="6">
        <v>2.7262469999999999</v>
      </c>
      <c r="AI181" s="6">
        <v>2.5943329999999998</v>
      </c>
      <c r="AK181" s="6">
        <v>-0.29916399999999999</v>
      </c>
      <c r="AM181" s="6">
        <v>-4.1505609999999997</v>
      </c>
      <c r="AO181" s="6">
        <v>-1.7014320000000001</v>
      </c>
      <c r="AQ181" s="6">
        <v>5.1396030000000001</v>
      </c>
      <c r="AS181" s="6">
        <v>2.6086049999999998</v>
      </c>
      <c r="AU181" s="6">
        <v>3.1669049999999999</v>
      </c>
      <c r="AW181" s="6">
        <v>0.80125199999999996</v>
      </c>
      <c r="AY181" s="6">
        <v>2.3341430000000001</v>
      </c>
      <c r="BA181" s="6">
        <v>3.5016129999999999</v>
      </c>
      <c r="BC181" s="6">
        <v>-0.18579300000000001</v>
      </c>
      <c r="BE181" s="6">
        <v>-0.63084700000000005</v>
      </c>
    </row>
    <row r="182" spans="1:57" s="36" customFormat="1" ht="12.6" x14ac:dyDescent="0.2">
      <c r="A182" s="24" t="s">
        <v>388</v>
      </c>
      <c r="B182" s="6">
        <v>6.1882539999999997</v>
      </c>
      <c r="D182" s="6">
        <v>-0.74386399999999997</v>
      </c>
      <c r="F182" s="6">
        <v>3.0997059999999999</v>
      </c>
      <c r="G182" s="6">
        <v>12.101127</v>
      </c>
      <c r="I182" s="6">
        <v>9.1401079999999997</v>
      </c>
      <c r="K182" s="6">
        <v>-4.9401900000000003</v>
      </c>
      <c r="M182" s="6">
        <v>0.52302000000000004</v>
      </c>
      <c r="O182" s="6">
        <v>6.8671800000000003</v>
      </c>
      <c r="Q182" s="6">
        <v>-3.5174099999999999</v>
      </c>
      <c r="S182" s="6">
        <v>-0.63729000000000002</v>
      </c>
      <c r="U182" s="6">
        <v>-1.69777</v>
      </c>
      <c r="W182" s="6">
        <v>1.30711</v>
      </c>
      <c r="Y182" s="6">
        <v>0.71657999999999999</v>
      </c>
      <c r="AA182" s="6">
        <v>2.8661799999999999</v>
      </c>
      <c r="AC182" s="6">
        <v>-1.5569</v>
      </c>
      <c r="AE182" s="6">
        <v>4.4096700000000002</v>
      </c>
      <c r="AG182" s="6">
        <v>-6.1901599999999997</v>
      </c>
      <c r="AI182" s="6">
        <v>7.7704700000000004</v>
      </c>
      <c r="AK182" s="6">
        <v>-3.40265</v>
      </c>
      <c r="AM182" s="6">
        <v>-0.56249000000000005</v>
      </c>
      <c r="AO182" s="6">
        <v>0.56750999999999996</v>
      </c>
      <c r="AQ182" s="6">
        <v>5.7275999999999998</v>
      </c>
      <c r="AS182" s="6">
        <v>2.0053299999999998</v>
      </c>
      <c r="AU182" s="6">
        <v>1.4495100000000001</v>
      </c>
      <c r="AW182" s="6">
        <v>-1.23864</v>
      </c>
      <c r="AY182" s="6">
        <v>-2.59646</v>
      </c>
      <c r="BA182" s="6">
        <v>-1.7916099999999999</v>
      </c>
      <c r="BC182" s="6">
        <v>1.37157</v>
      </c>
      <c r="BE182" s="6">
        <v>5.1520000000000003E-2</v>
      </c>
    </row>
    <row r="183" spans="1:57" s="36" customFormat="1" ht="12.6" x14ac:dyDescent="0.2">
      <c r="A183" s="24" t="s">
        <v>389</v>
      </c>
      <c r="B183" s="6">
        <v>24.109449000000001</v>
      </c>
      <c r="D183" s="6">
        <v>51.532201000000001</v>
      </c>
      <c r="F183" s="6">
        <v>75.031440000000003</v>
      </c>
      <c r="G183" s="6">
        <v>31.242967</v>
      </c>
      <c r="I183" s="6">
        <v>154.12799999999999</v>
      </c>
      <c r="K183" s="6">
        <v>-9.2627000000000006</v>
      </c>
      <c r="M183" s="6">
        <v>-4.907</v>
      </c>
      <c r="O183" s="6">
        <v>19.773879999999998</v>
      </c>
      <c r="Q183" s="6">
        <v>6.8139399999999997</v>
      </c>
      <c r="S183" s="6">
        <v>5.2604100000000003</v>
      </c>
      <c r="U183" s="6">
        <v>-1.9811099999999999</v>
      </c>
      <c r="W183" s="6">
        <v>12.65156</v>
      </c>
      <c r="Y183" s="6">
        <v>2.5968200000000001</v>
      </c>
      <c r="AA183" s="6">
        <v>2.3033999999999999</v>
      </c>
      <c r="AC183" s="6">
        <v>1.34626</v>
      </c>
      <c r="AE183" s="6">
        <v>-5.9878999999999998</v>
      </c>
      <c r="AG183" s="6">
        <v>-6.0433199999999996</v>
      </c>
      <c r="AI183" s="6">
        <v>16.218959999999999</v>
      </c>
      <c r="AK183" s="6">
        <v>0.83367000000000002</v>
      </c>
      <c r="AM183" s="6">
        <v>16.24287</v>
      </c>
      <c r="AO183" s="6">
        <v>4.6760700000000002</v>
      </c>
      <c r="AQ183" s="6">
        <v>2.3320099999999999</v>
      </c>
      <c r="AS183" s="6">
        <v>3.2669100000000002</v>
      </c>
      <c r="AU183" s="6">
        <v>1.53586</v>
      </c>
      <c r="AW183" s="6">
        <v>21.525030000000001</v>
      </c>
      <c r="AY183" s="6">
        <v>20.944880000000001</v>
      </c>
      <c r="BA183" s="6">
        <v>-4.09734</v>
      </c>
      <c r="BC183" s="6">
        <v>13.29949</v>
      </c>
      <c r="BE183" s="6">
        <v>4.0045299999999999</v>
      </c>
    </row>
    <row r="184" spans="1:57" s="36" customFormat="1" ht="12.6" x14ac:dyDescent="0.2">
      <c r="A184" s="24" t="s">
        <v>390</v>
      </c>
      <c r="B184" s="6">
        <v>25.379881000000001</v>
      </c>
      <c r="D184" s="6">
        <v>51.713141999999998</v>
      </c>
      <c r="F184" s="6">
        <v>76.160993000000005</v>
      </c>
      <c r="G184" s="6">
        <v>29.745201000000002</v>
      </c>
      <c r="I184" s="6">
        <v>147.37329099999999</v>
      </c>
      <c r="K184" s="6">
        <v>-7.3185700000000002</v>
      </c>
      <c r="M184" s="6">
        <v>-4.7009540000000003</v>
      </c>
      <c r="O184" s="6">
        <v>19.847705000000001</v>
      </c>
      <c r="Q184" s="6">
        <v>6.4769139999999998</v>
      </c>
      <c r="S184" s="6">
        <v>3.352563</v>
      </c>
      <c r="U184" s="6">
        <v>-2.254712</v>
      </c>
      <c r="W184" s="6">
        <v>14.614366</v>
      </c>
      <c r="Y184" s="6">
        <v>0.56430899999999995</v>
      </c>
      <c r="AA184" s="6">
        <v>0.44793899999999998</v>
      </c>
      <c r="AC184" s="6">
        <v>4.8487970000000002</v>
      </c>
      <c r="AE184" s="6">
        <v>-6.0190080000000004</v>
      </c>
      <c r="AG184" s="6">
        <v>-3.427</v>
      </c>
      <c r="AI184" s="6">
        <v>15.082311000000001</v>
      </c>
      <c r="AK184" s="6">
        <v>1.4919420000000001</v>
      </c>
      <c r="AM184" s="6">
        <v>16.225563000000001</v>
      </c>
      <c r="AO184" s="6">
        <v>4.3044200000000004</v>
      </c>
      <c r="AQ184" s="6">
        <v>2.4273549999999999</v>
      </c>
      <c r="AS184" s="6">
        <v>2.1824789999999998</v>
      </c>
      <c r="AU184" s="6">
        <v>2.2039330000000001</v>
      </c>
      <c r="AW184" s="6">
        <v>20.567326999999999</v>
      </c>
      <c r="AY184" s="6">
        <v>18.969968999999999</v>
      </c>
      <c r="BA184" s="6">
        <v>-3.4362240000000002</v>
      </c>
      <c r="BC184" s="6">
        <v>13.620991999999999</v>
      </c>
      <c r="BE184" s="6">
        <v>3.7787660000000001</v>
      </c>
    </row>
    <row r="185" spans="1:57" s="36" customFormat="1" ht="12.6" x14ac:dyDescent="0.2">
      <c r="A185" s="24" t="s">
        <v>391</v>
      </c>
      <c r="B185" s="6">
        <v>10.456859</v>
      </c>
      <c r="D185" s="6">
        <v>15.217423999999999</v>
      </c>
      <c r="F185" s="6">
        <v>15.174702</v>
      </c>
      <c r="G185" s="6">
        <v>9.7798210000000001</v>
      </c>
      <c r="I185" s="6">
        <v>10.754922000000001</v>
      </c>
      <c r="K185" s="6">
        <v>1.0784579999999999</v>
      </c>
      <c r="M185" s="6">
        <v>5.1783229999999998</v>
      </c>
      <c r="O185" s="6">
        <v>3.2886380000000002</v>
      </c>
      <c r="Q185" s="6">
        <v>-3.5523630000000002</v>
      </c>
      <c r="S185" s="6">
        <v>0.76495100000000005</v>
      </c>
      <c r="U185" s="6">
        <v>-1.5500890000000001</v>
      </c>
      <c r="W185" s="6">
        <v>7.272386</v>
      </c>
      <c r="Y185" s="6">
        <v>-2.1231439999999999</v>
      </c>
      <c r="AA185" s="6">
        <v>0.27956700000000001</v>
      </c>
      <c r="AC185" s="6">
        <v>2.8199209999999999</v>
      </c>
      <c r="AE185" s="6">
        <v>5.528435</v>
      </c>
      <c r="AG185" s="6">
        <v>-0.213869</v>
      </c>
      <c r="AI185" s="6">
        <v>2.5188000000000001</v>
      </c>
      <c r="AK185" s="6">
        <v>-1.7402260000000001</v>
      </c>
      <c r="AM185" s="6">
        <v>-3.057458</v>
      </c>
      <c r="AO185" s="6">
        <v>-1.3828849999999999</v>
      </c>
      <c r="AQ185" s="6">
        <v>5.1115180000000002</v>
      </c>
      <c r="AS185" s="6">
        <v>2.5883980000000002</v>
      </c>
      <c r="AU185" s="6">
        <v>2.8277350000000001</v>
      </c>
      <c r="AW185" s="6">
        <v>1.909454</v>
      </c>
      <c r="AY185" s="6">
        <v>0.31949100000000002</v>
      </c>
      <c r="BA185" s="6">
        <v>1.575132</v>
      </c>
      <c r="BC185" s="6">
        <v>0.65647</v>
      </c>
      <c r="BE185" s="6">
        <v>-0.77311600000000003</v>
      </c>
    </row>
    <row r="186" spans="1:57" s="36" customFormat="1" ht="12.6" x14ac:dyDescent="0.2">
      <c r="A186" s="24" t="s">
        <v>392</v>
      </c>
      <c r="B186" s="6">
        <v>20.156981999999999</v>
      </c>
      <c r="D186" s="6">
        <v>27.100085</v>
      </c>
      <c r="F186" s="6">
        <v>34.315337999999997</v>
      </c>
      <c r="G186" s="6">
        <v>8.7666280000000008</v>
      </c>
      <c r="I186" s="6">
        <v>39.584130000000002</v>
      </c>
      <c r="K186" s="6">
        <v>1.4616</v>
      </c>
      <c r="M186" s="6">
        <v>3.4879600000000002</v>
      </c>
      <c r="O186" s="6">
        <v>5.8513999999999999</v>
      </c>
      <c r="Q186" s="6">
        <v>-0.12558</v>
      </c>
      <c r="S186" s="6">
        <v>3.2126399999999999</v>
      </c>
      <c r="U186" s="6">
        <v>0.17268</v>
      </c>
      <c r="W186" s="6">
        <v>4.8091900000000001</v>
      </c>
      <c r="Y186" s="6">
        <v>0.50039</v>
      </c>
      <c r="AA186" s="6">
        <v>-0.23647000000000001</v>
      </c>
      <c r="AC186" s="6">
        <v>2.6111200000000001</v>
      </c>
      <c r="AE186" s="6">
        <v>5.7471100000000002</v>
      </c>
      <c r="AG186" s="6">
        <v>-1.2382599999999999</v>
      </c>
      <c r="AI186" s="6">
        <v>6.6671899999999997</v>
      </c>
      <c r="AK186" s="6">
        <v>1.5177700000000001</v>
      </c>
      <c r="AM186" s="6">
        <v>-2.30491</v>
      </c>
      <c r="AO186" s="6">
        <v>-0.21121999999999999</v>
      </c>
      <c r="AQ186" s="6">
        <v>6.9441600000000001</v>
      </c>
      <c r="AS186" s="6">
        <v>4.1448999999999998</v>
      </c>
      <c r="AU186" s="6">
        <v>2.9110999999999998</v>
      </c>
      <c r="AW186" s="6">
        <v>2.7110799999999999</v>
      </c>
      <c r="AY186" s="6">
        <v>3.1476000000000002</v>
      </c>
      <c r="BA186" s="6">
        <v>1.2125699999999999</v>
      </c>
      <c r="BC186" s="6">
        <v>2.44184</v>
      </c>
      <c r="BE186" s="6">
        <v>5.0178500000000001</v>
      </c>
    </row>
    <row r="187" spans="1:57" s="36" customFormat="1" ht="12.6" x14ac:dyDescent="0.2">
      <c r="A187" s="24" t="s">
        <v>393</v>
      </c>
      <c r="B187" s="6">
        <v>12.155607</v>
      </c>
      <c r="D187" s="6">
        <v>34.141164000000003</v>
      </c>
      <c r="F187" s="6">
        <v>32.352271999999999</v>
      </c>
      <c r="G187" s="6">
        <v>12.499414</v>
      </c>
      <c r="I187" s="6">
        <v>31.551227000000001</v>
      </c>
      <c r="K187" s="6">
        <v>3.41675</v>
      </c>
      <c r="M187" s="6">
        <v>4.5506599999999997</v>
      </c>
      <c r="O187" s="6">
        <v>3.7567499999999998</v>
      </c>
      <c r="Q187" s="6">
        <v>-1.2479100000000001</v>
      </c>
      <c r="S187" s="6">
        <v>5.5467300000000002</v>
      </c>
      <c r="U187" s="6">
        <v>4.0505500000000003</v>
      </c>
      <c r="W187" s="6">
        <v>-3.1857199999999999</v>
      </c>
      <c r="Y187" s="6">
        <v>1.5698300000000001</v>
      </c>
      <c r="AA187" s="6">
        <v>4.9891899999999998</v>
      </c>
      <c r="AC187" s="6">
        <v>0.71841999999999995</v>
      </c>
      <c r="AE187" s="6">
        <v>2.6422500000000002</v>
      </c>
      <c r="AG187" s="6">
        <v>2.5450300000000001</v>
      </c>
      <c r="AI187" s="6">
        <v>7.78667</v>
      </c>
      <c r="AK187" s="6">
        <v>-3.7771400000000002</v>
      </c>
      <c r="AM187" s="6">
        <v>-6.4252200000000004</v>
      </c>
      <c r="AO187" s="6">
        <v>1.1412800000000001</v>
      </c>
      <c r="AQ187" s="6">
        <v>8.2724799999999998</v>
      </c>
      <c r="AS187" s="6">
        <v>6.6750800000000003</v>
      </c>
      <c r="AU187" s="6">
        <v>2.2711299999999999</v>
      </c>
      <c r="AW187" s="6">
        <v>4.0137600000000004</v>
      </c>
      <c r="AY187" s="6">
        <v>5.2279499999999999</v>
      </c>
      <c r="BA187" s="6">
        <v>1.45329</v>
      </c>
      <c r="BC187" s="6">
        <v>3.37263</v>
      </c>
      <c r="BE187" s="6">
        <v>-1.1591199999999999</v>
      </c>
    </row>
    <row r="188" spans="1:57" s="36" customFormat="1" ht="12.6" x14ac:dyDescent="0.2">
      <c r="A188" s="24" t="s">
        <v>394</v>
      </c>
      <c r="B188" s="6">
        <v>5.9243410000000001</v>
      </c>
      <c r="D188" s="6">
        <v>19.570774</v>
      </c>
      <c r="F188" s="6">
        <v>15.069232</v>
      </c>
      <c r="G188" s="6">
        <v>13.69089</v>
      </c>
      <c r="I188" s="6">
        <v>7.7739000000000003</v>
      </c>
      <c r="K188" s="6">
        <v>-1.8419700000000001</v>
      </c>
      <c r="M188" s="6">
        <v>8.2360799999999994</v>
      </c>
      <c r="O188" s="6">
        <v>0.93598000000000003</v>
      </c>
      <c r="Q188" s="6">
        <v>-3.26471</v>
      </c>
      <c r="S188" s="6">
        <v>0.18659000000000001</v>
      </c>
      <c r="U188" s="6">
        <v>2.29901</v>
      </c>
      <c r="W188" s="6">
        <v>0.3574</v>
      </c>
      <c r="Y188" s="6">
        <v>-5.8979999999999998E-2</v>
      </c>
      <c r="AA188" s="6">
        <v>7.0034799999999997</v>
      </c>
      <c r="AC188" s="6">
        <v>-2.51668</v>
      </c>
      <c r="AE188" s="6">
        <v>7.6172000000000004</v>
      </c>
      <c r="AG188" s="6">
        <v>2.63415</v>
      </c>
      <c r="AI188" s="6">
        <v>4.1649099999999999</v>
      </c>
      <c r="AK188" s="6">
        <v>-5.133</v>
      </c>
      <c r="AM188" s="6">
        <v>-7.3314000000000004</v>
      </c>
      <c r="AO188" s="6">
        <v>-0.69452999999999998</v>
      </c>
      <c r="AQ188" s="6">
        <v>7.0434000000000001</v>
      </c>
      <c r="AS188" s="6">
        <v>0.80562999999999996</v>
      </c>
      <c r="AU188" s="6">
        <v>1.94174</v>
      </c>
      <c r="AW188" s="6">
        <v>3.4225400000000001</v>
      </c>
      <c r="AY188" s="6">
        <v>4.2444300000000004</v>
      </c>
      <c r="BA188" s="6">
        <v>1.49366</v>
      </c>
      <c r="BC188" s="6">
        <v>-2.02217</v>
      </c>
      <c r="BE188" s="6">
        <v>0.49390000000000001</v>
      </c>
    </row>
    <row r="189" spans="1:57" s="36" customFormat="1" ht="12.6" x14ac:dyDescent="0.2">
      <c r="A189" s="24" t="s">
        <v>395</v>
      </c>
      <c r="B189" s="6">
        <v>18.387394</v>
      </c>
      <c r="D189" s="6">
        <v>6.3165069999999996</v>
      </c>
      <c r="F189" s="6">
        <v>7.6752320000000003</v>
      </c>
      <c r="G189" s="6">
        <v>13.199998000000001</v>
      </c>
      <c r="I189" s="6">
        <v>10.950943000000001</v>
      </c>
      <c r="K189" s="6">
        <v>0.18790000000000001</v>
      </c>
      <c r="M189" s="6">
        <v>2.1194999999999999</v>
      </c>
      <c r="O189" s="6">
        <v>8.0154999999999994</v>
      </c>
      <c r="Q189" s="6">
        <v>1.1108</v>
      </c>
      <c r="S189" s="6">
        <v>-0.29488999999999999</v>
      </c>
      <c r="U189" s="6">
        <v>-1.1687799999999999</v>
      </c>
      <c r="W189" s="6">
        <v>1.3317399999999999</v>
      </c>
      <c r="Y189" s="6">
        <v>-1.3311299999999999</v>
      </c>
      <c r="AA189" s="6">
        <v>-3.5178500000000001</v>
      </c>
      <c r="AC189" s="6">
        <v>0.24559</v>
      </c>
      <c r="AE189" s="6">
        <v>4.6527900000000004</v>
      </c>
      <c r="AG189" s="6">
        <v>-6.22377</v>
      </c>
      <c r="AI189" s="6">
        <v>2.5756999999999999</v>
      </c>
      <c r="AK189" s="6">
        <v>1.4684900000000001</v>
      </c>
      <c r="AM189" s="6">
        <v>3.9870100000000002</v>
      </c>
      <c r="AO189" s="6">
        <v>-11.291539999999999</v>
      </c>
      <c r="AQ189" s="6">
        <v>1.86513</v>
      </c>
      <c r="AS189" s="6">
        <v>4.30152</v>
      </c>
      <c r="AU189" s="6">
        <v>3.0406900000000001</v>
      </c>
      <c r="AW189" s="6">
        <v>2.7269399999999999</v>
      </c>
      <c r="AY189" s="6">
        <v>0.17035</v>
      </c>
      <c r="BA189" s="6">
        <v>0.83101999999999998</v>
      </c>
      <c r="BC189" s="6">
        <v>2.36599</v>
      </c>
      <c r="BE189" s="6">
        <v>-0.61682999999999999</v>
      </c>
    </row>
    <row r="190" spans="1:57" s="36" customFormat="1" ht="12.6" x14ac:dyDescent="0.2">
      <c r="A190" s="24" t="s">
        <v>396</v>
      </c>
      <c r="B190" s="6">
        <v>6.2499669999999998</v>
      </c>
      <c r="D190" s="6">
        <v>5.7152019999999997</v>
      </c>
      <c r="F190" s="6">
        <v>7.2955100000000002</v>
      </c>
      <c r="G190" s="6">
        <v>12.053309</v>
      </c>
      <c r="I190" s="6">
        <v>11.678356000000001</v>
      </c>
      <c r="K190" s="6">
        <v>2.8677299999999999</v>
      </c>
      <c r="M190" s="6">
        <v>2.73292</v>
      </c>
      <c r="O190" s="6">
        <v>2.4754499999999999</v>
      </c>
      <c r="Q190" s="6">
        <v>-3.4622999999999999</v>
      </c>
      <c r="S190" s="6">
        <v>2.0132699999999999</v>
      </c>
      <c r="U190" s="6">
        <v>2.1501399999999999</v>
      </c>
      <c r="W190" s="6">
        <v>2.8734000000000002</v>
      </c>
      <c r="Y190" s="6">
        <v>4.6273999999999997</v>
      </c>
      <c r="AA190" s="6">
        <v>-3.0113799999999999</v>
      </c>
      <c r="AC190" s="6">
        <v>-3.89256</v>
      </c>
      <c r="AE190" s="6">
        <v>-0.55989999999999995</v>
      </c>
      <c r="AG190" s="6">
        <v>-5.1570600000000004</v>
      </c>
      <c r="AI190" s="6">
        <v>6.0895900000000003</v>
      </c>
      <c r="AK190" s="6">
        <v>0.91015000000000001</v>
      </c>
      <c r="AM190" s="6">
        <v>-2.8827600000000002</v>
      </c>
      <c r="AO190" s="6">
        <v>-3.10697</v>
      </c>
      <c r="AQ190" s="6">
        <v>-3.50515</v>
      </c>
      <c r="AS190" s="6">
        <v>0.82720000000000005</v>
      </c>
      <c r="AU190" s="6">
        <v>-1.68397</v>
      </c>
      <c r="AW190" s="6">
        <v>4.2658399999999999</v>
      </c>
      <c r="AY190" s="6">
        <v>0.97643999999999997</v>
      </c>
      <c r="BA190" s="6">
        <v>3.43038</v>
      </c>
      <c r="BC190" s="6">
        <v>7.8074399999999997</v>
      </c>
      <c r="BE190" s="6">
        <v>-1.27949</v>
      </c>
    </row>
    <row r="191" spans="1:57" s="36" customFormat="1" ht="12.6" x14ac:dyDescent="0.2">
      <c r="A191" s="24" t="s">
        <v>397</v>
      </c>
      <c r="B191" s="6">
        <v>8.9066240000000008</v>
      </c>
      <c r="D191" s="6">
        <v>6.8769859999999996</v>
      </c>
      <c r="F191" s="6">
        <v>8.9006109999999996</v>
      </c>
      <c r="G191" s="6">
        <v>11.984545000000001</v>
      </c>
      <c r="I191" s="6">
        <v>6.4710099999999997</v>
      </c>
      <c r="K191" s="6">
        <v>5.6046360000000002</v>
      </c>
      <c r="M191" s="6">
        <v>3.9152870000000002</v>
      </c>
      <c r="O191" s="6">
        <v>2.0279240000000001</v>
      </c>
      <c r="Q191" s="6">
        <v>-3.4343539999999999</v>
      </c>
      <c r="S191" s="6">
        <v>3.5040000000000002E-3</v>
      </c>
      <c r="U191" s="6">
        <v>1.4914210000000001</v>
      </c>
      <c r="W191" s="6">
        <v>5.7772350000000001</v>
      </c>
      <c r="Y191" s="6">
        <v>1.5367090000000001</v>
      </c>
      <c r="AA191" s="6">
        <v>-4.7971539999999999</v>
      </c>
      <c r="AC191" s="6">
        <v>0.72406599999999999</v>
      </c>
      <c r="AE191" s="6">
        <v>-0.45674999999999999</v>
      </c>
      <c r="AG191" s="6">
        <v>-0.99199899999999996</v>
      </c>
      <c r="AI191" s="6">
        <v>5.3657240000000002</v>
      </c>
      <c r="AK191" s="6">
        <v>1.4114070000000001</v>
      </c>
      <c r="AM191" s="6">
        <v>-2.4118499999999998</v>
      </c>
      <c r="AO191" s="6">
        <v>-4.2906589999999998</v>
      </c>
      <c r="AQ191" s="6">
        <v>-4.041569</v>
      </c>
      <c r="AS191" s="6">
        <v>-0.283611</v>
      </c>
      <c r="AU191" s="6">
        <v>-0.74039299999999997</v>
      </c>
      <c r="AW191" s="6">
        <v>3.147335</v>
      </c>
      <c r="AY191" s="6">
        <v>-0.242784</v>
      </c>
      <c r="BA191" s="6">
        <v>4.14283</v>
      </c>
      <c r="BC191" s="6">
        <v>7.6316389999999998</v>
      </c>
      <c r="BE191" s="6">
        <v>-2.6132409999999999</v>
      </c>
    </row>
    <row r="192" spans="1:57" s="36" customFormat="1" ht="12.6" x14ac:dyDescent="0.2">
      <c r="A192" s="24" t="s">
        <v>398</v>
      </c>
      <c r="B192" s="6">
        <v>20.601420999999998</v>
      </c>
      <c r="D192" s="6">
        <v>36.692286000000003</v>
      </c>
      <c r="F192" s="6">
        <v>30.446860999999998</v>
      </c>
      <c r="G192" s="6">
        <v>17.929673999999999</v>
      </c>
      <c r="I192" s="6">
        <v>17.335158</v>
      </c>
      <c r="K192" s="6">
        <v>6.5154569999999996</v>
      </c>
      <c r="M192" s="6">
        <v>7.766464</v>
      </c>
      <c r="O192" s="6">
        <v>2.0992679999999999</v>
      </c>
      <c r="Q192" s="6">
        <v>-5.0814849999999998</v>
      </c>
      <c r="S192" s="6">
        <v>5.4738910000000001</v>
      </c>
      <c r="U192" s="6">
        <v>8.675198</v>
      </c>
      <c r="W192" s="6">
        <v>7.8229999999999994E-2</v>
      </c>
      <c r="Y192" s="6">
        <v>-2.4060549999999998</v>
      </c>
      <c r="AA192" s="6">
        <v>-0.33651799999999998</v>
      </c>
      <c r="AC192" s="6">
        <v>4.9003569999999996</v>
      </c>
      <c r="AE192" s="6">
        <v>4.8191249999999997</v>
      </c>
      <c r="AG192" s="6">
        <v>6.2619629999999997</v>
      </c>
      <c r="AI192" s="6">
        <v>-1.796181</v>
      </c>
      <c r="AK192" s="6">
        <v>-1.704337</v>
      </c>
      <c r="AM192" s="6">
        <v>-9.054074</v>
      </c>
      <c r="AO192" s="6">
        <v>-0.66962200000000005</v>
      </c>
      <c r="AQ192" s="6">
        <v>9.7847980000000003</v>
      </c>
      <c r="AS192" s="6">
        <v>7.4999830000000003</v>
      </c>
      <c r="AU192" s="6">
        <v>6.0213749999999999</v>
      </c>
      <c r="AW192" s="6">
        <v>-1.2169650000000001</v>
      </c>
      <c r="AY192" s="6">
        <v>6.465198</v>
      </c>
      <c r="BA192" s="6">
        <v>8.6033580000000001</v>
      </c>
      <c r="BC192" s="6">
        <v>-5.0161449999999999</v>
      </c>
      <c r="BE192" s="6">
        <v>-0.87733300000000003</v>
      </c>
    </row>
    <row r="193" spans="1:57" s="36" customFormat="1" ht="12.6" x14ac:dyDescent="0.2">
      <c r="A193" s="24" t="s">
        <v>399</v>
      </c>
      <c r="B193" s="6">
        <v>8.5107680000000006</v>
      </c>
      <c r="D193" s="6">
        <v>10.853056</v>
      </c>
      <c r="F193" s="6">
        <v>17.086445000000001</v>
      </c>
      <c r="G193" s="6">
        <v>10.805369000000001</v>
      </c>
      <c r="I193" s="6">
        <v>19.606033</v>
      </c>
      <c r="K193" s="6">
        <v>-2.2995899999999998</v>
      </c>
      <c r="M193" s="6">
        <v>-0.21351000000000001</v>
      </c>
      <c r="O193" s="6">
        <v>5.1794700000000002</v>
      </c>
      <c r="Q193" s="6">
        <v>1.53694</v>
      </c>
      <c r="S193" s="6">
        <v>6.5730599999999999</v>
      </c>
      <c r="U193" s="6">
        <v>-3.8311999999999999</v>
      </c>
      <c r="W193" s="6">
        <v>5.8407900000000001</v>
      </c>
      <c r="Y193" s="6">
        <v>3.3017699999999999</v>
      </c>
      <c r="AA193" s="6">
        <v>4.8870800000000001</v>
      </c>
      <c r="AC193" s="6">
        <v>-2.2411400000000001</v>
      </c>
      <c r="AE193" s="6">
        <v>1.56877</v>
      </c>
      <c r="AG193" s="6">
        <v>-5.6686199999999998</v>
      </c>
      <c r="AI193" s="6">
        <v>1.88063</v>
      </c>
      <c r="AK193" s="6">
        <v>1.3758999999999999</v>
      </c>
      <c r="AM193" s="6">
        <v>2.01824</v>
      </c>
      <c r="AO193" s="6">
        <v>2.1440299999999999</v>
      </c>
      <c r="AQ193" s="6">
        <v>2.5322200000000001</v>
      </c>
      <c r="AS193" s="6">
        <v>0.77132000000000001</v>
      </c>
      <c r="AU193" s="6">
        <v>2.79555</v>
      </c>
      <c r="AW193" s="6">
        <v>-1.0721799999999999</v>
      </c>
      <c r="AY193" s="6">
        <v>3.3461799999999999</v>
      </c>
      <c r="BA193" s="6">
        <v>3.66364</v>
      </c>
      <c r="BC193" s="6">
        <v>1.8868</v>
      </c>
      <c r="BE193" s="6">
        <v>-3.1037300000000001</v>
      </c>
    </row>
    <row r="194" spans="1:57" s="36" customFormat="1" ht="12.6" x14ac:dyDescent="0.2">
      <c r="A194" s="24" t="s">
        <v>400</v>
      </c>
      <c r="B194" s="6">
        <v>34.932324000000001</v>
      </c>
      <c r="D194" s="6">
        <v>62.402301000000001</v>
      </c>
      <c r="F194" s="6">
        <v>55.452227000000001</v>
      </c>
      <c r="G194" s="6">
        <v>28.373694</v>
      </c>
      <c r="I194" s="6">
        <v>37.162475000000001</v>
      </c>
      <c r="K194" s="6">
        <v>11.165297000000001</v>
      </c>
      <c r="M194" s="6">
        <v>17.321093999999999</v>
      </c>
      <c r="O194" s="6">
        <v>7.2849310000000003</v>
      </c>
      <c r="Q194" s="6">
        <v>-4.8389249999999997</v>
      </c>
      <c r="S194" s="6">
        <v>11.541807</v>
      </c>
      <c r="U194" s="6">
        <v>9.5569609999999994</v>
      </c>
      <c r="W194" s="6">
        <v>-3.325142</v>
      </c>
      <c r="Y194" s="6">
        <v>-3.5571510000000002</v>
      </c>
      <c r="AA194" s="6">
        <v>-1.0077480000000001</v>
      </c>
      <c r="AC194" s="6">
        <v>7.6752409999999998</v>
      </c>
      <c r="AE194" s="6">
        <v>0.78314700000000004</v>
      </c>
      <c r="AG194" s="6">
        <v>8.1057970000000008</v>
      </c>
      <c r="AI194" s="6">
        <v>-4.1572649999999998</v>
      </c>
      <c r="AK194" s="6">
        <v>-1.548473</v>
      </c>
      <c r="AM194" s="6">
        <v>-12.151636999999999</v>
      </c>
      <c r="AO194" s="6">
        <v>-1.057086</v>
      </c>
      <c r="AQ194" s="6">
        <v>17.764714000000001</v>
      </c>
      <c r="AS194" s="6">
        <v>14.040901</v>
      </c>
      <c r="AU194" s="6">
        <v>8.2896809999999999</v>
      </c>
      <c r="AW194" s="6">
        <v>-2.0690170000000001</v>
      </c>
      <c r="AY194" s="6">
        <v>9.2473620000000007</v>
      </c>
      <c r="BA194" s="6">
        <v>13.676710999999999</v>
      </c>
      <c r="BC194" s="6">
        <v>-5.9177470000000003</v>
      </c>
      <c r="BE194" s="6">
        <v>0.499087</v>
      </c>
    </row>
    <row r="195" spans="1:57" s="36" customFormat="1" ht="12.6" x14ac:dyDescent="0.2">
      <c r="A195" s="24" t="s">
        <v>401</v>
      </c>
      <c r="B195" s="6">
        <v>9.1054670000000009</v>
      </c>
      <c r="D195" s="6">
        <v>12.797075</v>
      </c>
      <c r="F195" s="6">
        <v>15.927286</v>
      </c>
      <c r="G195" s="6">
        <v>10.980786999999999</v>
      </c>
      <c r="I195" s="6">
        <v>23.696431</v>
      </c>
      <c r="K195" s="6">
        <v>-4.9750000000000003E-2</v>
      </c>
      <c r="M195" s="6">
        <v>2.0940599999999998</v>
      </c>
      <c r="O195" s="6">
        <v>4.4588599999999996</v>
      </c>
      <c r="Q195" s="6">
        <v>-2.2432799999999999</v>
      </c>
      <c r="S195" s="6">
        <v>0.34569</v>
      </c>
      <c r="U195" s="6">
        <v>-1.3994599999999999</v>
      </c>
      <c r="W195" s="6">
        <v>4.27515</v>
      </c>
      <c r="Y195" s="6">
        <v>-0.15984999999999999</v>
      </c>
      <c r="AA195" s="6">
        <v>4.60717</v>
      </c>
      <c r="AC195" s="6">
        <v>-1.6747099999999999</v>
      </c>
      <c r="AE195" s="6">
        <v>1.96949</v>
      </c>
      <c r="AG195" s="6">
        <v>-3.4889800000000002</v>
      </c>
      <c r="AI195" s="6">
        <v>5.6697800000000003</v>
      </c>
      <c r="AK195" s="6">
        <v>-3.6718899999999999</v>
      </c>
      <c r="AM195" s="6">
        <v>-3.1006300000000002</v>
      </c>
      <c r="AO195" s="6">
        <v>2.3728600000000002</v>
      </c>
      <c r="AQ195" s="6">
        <v>6.02461</v>
      </c>
      <c r="AS195" s="6">
        <v>0.52254</v>
      </c>
      <c r="AU195" s="6">
        <v>3.4064100000000002</v>
      </c>
      <c r="AW195" s="6">
        <v>7.9179599999999999</v>
      </c>
      <c r="AY195" s="6">
        <v>2.1993200000000002</v>
      </c>
      <c r="BA195" s="6">
        <v>1.7347699999999999</v>
      </c>
      <c r="BC195" s="6">
        <v>-1.19017</v>
      </c>
      <c r="BE195" s="6">
        <v>0.25790999999999997</v>
      </c>
    </row>
    <row r="196" spans="1:57" s="36" customFormat="1" ht="12.6" x14ac:dyDescent="0.2">
      <c r="A196" s="24" t="s">
        <v>402</v>
      </c>
      <c r="B196" s="6">
        <v>-0.32762999999999998</v>
      </c>
      <c r="D196" s="6">
        <v>12.257151</v>
      </c>
      <c r="F196" s="6">
        <v>26.604582000000001</v>
      </c>
      <c r="G196" s="6">
        <v>22.742342000000001</v>
      </c>
      <c r="I196" s="6">
        <v>21.789850000000001</v>
      </c>
      <c r="K196" s="6">
        <v>-7.7319129999999996</v>
      </c>
      <c r="M196" s="6">
        <v>10.04242</v>
      </c>
      <c r="O196" s="6">
        <v>0.74986600000000003</v>
      </c>
      <c r="Q196" s="6">
        <v>7.0966209999999998</v>
      </c>
      <c r="S196" s="6">
        <v>-1.8464000000000001E-2</v>
      </c>
      <c r="U196" s="6">
        <v>-2.3010769999999998</v>
      </c>
      <c r="W196" s="6">
        <v>0.91528100000000001</v>
      </c>
      <c r="Y196" s="6">
        <v>-2.7911380000000001</v>
      </c>
      <c r="AA196" s="6">
        <v>21.180904000000002</v>
      </c>
      <c r="AC196" s="6">
        <v>-0.34800799999999998</v>
      </c>
      <c r="AE196" s="6">
        <v>-3.9158689999999998</v>
      </c>
      <c r="AG196" s="6">
        <v>8.0467340000000007</v>
      </c>
      <c r="AI196" s="6">
        <v>0.176484</v>
      </c>
      <c r="AK196" s="6">
        <v>12.103491</v>
      </c>
      <c r="AM196" s="6">
        <v>1.7670760000000001</v>
      </c>
      <c r="AO196" s="6">
        <v>-6.7683739999999997</v>
      </c>
      <c r="AQ196" s="6">
        <v>2.1496810000000002</v>
      </c>
      <c r="AS196" s="6">
        <v>1.8474219999999999</v>
      </c>
      <c r="AU196" s="6">
        <v>6.6762379999999997</v>
      </c>
      <c r="AW196" s="6">
        <v>3.2287569999999999</v>
      </c>
      <c r="AY196" s="6">
        <v>8.3851560000000003</v>
      </c>
      <c r="BA196" s="6">
        <v>-2.626204</v>
      </c>
      <c r="BC196" s="6">
        <v>-2.6698230000000001</v>
      </c>
      <c r="BE196" s="6">
        <v>-2.8728259999999999</v>
      </c>
    </row>
    <row r="197" spans="1:57" s="36" customFormat="1" ht="12.6" x14ac:dyDescent="0.2">
      <c r="A197" s="24" t="s">
        <v>403</v>
      </c>
      <c r="B197" s="6">
        <v>12.150866000000001</v>
      </c>
      <c r="D197" s="6">
        <v>17.882984</v>
      </c>
      <c r="F197" s="6">
        <v>18.069986</v>
      </c>
      <c r="G197" s="6">
        <v>7.068765</v>
      </c>
      <c r="I197" s="6">
        <v>21.834893999999998</v>
      </c>
      <c r="K197" s="6">
        <v>3.8160970000000001</v>
      </c>
      <c r="M197" s="6">
        <v>3.378711</v>
      </c>
      <c r="O197" s="6">
        <v>3.0912250000000001</v>
      </c>
      <c r="Q197" s="6">
        <v>-2.1031810000000002</v>
      </c>
      <c r="S197" s="6">
        <v>1.421681</v>
      </c>
      <c r="U197" s="6">
        <v>-2.0272610000000002</v>
      </c>
      <c r="W197" s="6">
        <v>5.2744049999999998</v>
      </c>
      <c r="Y197" s="6">
        <v>-0.62861</v>
      </c>
      <c r="AA197" s="6">
        <v>-1.295199</v>
      </c>
      <c r="AC197" s="6">
        <v>0.156471</v>
      </c>
      <c r="AE197" s="6">
        <v>-2.5472999999999999E-2</v>
      </c>
      <c r="AG197" s="6">
        <v>2.8239719999999999</v>
      </c>
      <c r="AI197" s="6">
        <v>4.479012</v>
      </c>
      <c r="AK197" s="6">
        <v>2.250248</v>
      </c>
      <c r="AM197" s="6">
        <v>-0.61090999999999995</v>
      </c>
      <c r="AO197" s="6">
        <v>1.8512470000000001</v>
      </c>
      <c r="AQ197" s="6">
        <v>3.973738</v>
      </c>
      <c r="AS197" s="6">
        <v>0.36305100000000001</v>
      </c>
      <c r="AU197" s="6">
        <v>0.35770999999999997</v>
      </c>
      <c r="AW197" s="6">
        <v>2.5661999999999998</v>
      </c>
      <c r="AY197" s="6">
        <v>0.64516300000000004</v>
      </c>
      <c r="BA197" s="6">
        <v>2.4282940000000002</v>
      </c>
      <c r="BC197" s="6">
        <v>0.44503300000000001</v>
      </c>
      <c r="BE197" s="6">
        <v>1.2929839999999999</v>
      </c>
    </row>
    <row r="198" spans="1:57" s="36" customFormat="1" ht="12.6" x14ac:dyDescent="0.2">
      <c r="A198" s="24" t="s">
        <v>404</v>
      </c>
      <c r="B198" s="6">
        <v>7.2822290000000001</v>
      </c>
      <c r="D198" s="6">
        <v>17.051625999999999</v>
      </c>
      <c r="F198" s="6">
        <v>21.213255</v>
      </c>
      <c r="G198" s="6">
        <v>9.8480290000000004</v>
      </c>
      <c r="I198" s="6">
        <v>24.012048</v>
      </c>
      <c r="K198" s="6">
        <v>-1.5708299999999999</v>
      </c>
      <c r="M198" s="6">
        <v>6.3499600000000003</v>
      </c>
      <c r="O198" s="6">
        <v>2.2816100000000001</v>
      </c>
      <c r="Q198" s="6">
        <v>0.91922999999999999</v>
      </c>
      <c r="S198" s="6">
        <v>-1.80924</v>
      </c>
      <c r="U198" s="6">
        <v>3.5085700000000002</v>
      </c>
      <c r="W198" s="6">
        <v>2.5784899999999999</v>
      </c>
      <c r="Y198" s="6">
        <v>-2.2044299999999999</v>
      </c>
      <c r="AA198" s="6">
        <v>4.3325199999999997</v>
      </c>
      <c r="AC198" s="6">
        <v>1.2056</v>
      </c>
      <c r="AE198" s="6">
        <v>-3.0676700000000001</v>
      </c>
      <c r="AG198" s="6">
        <v>5.0723399999999996</v>
      </c>
      <c r="AI198" s="6">
        <v>1.03637</v>
      </c>
      <c r="AK198" s="6">
        <v>0.79149000000000003</v>
      </c>
      <c r="AM198" s="6">
        <v>0.42309999999999998</v>
      </c>
      <c r="AO198" s="6">
        <v>-1.3301799999999999</v>
      </c>
      <c r="AQ198" s="6">
        <v>3.6667700000000001</v>
      </c>
      <c r="AS198" s="6">
        <v>4.1038899999999998</v>
      </c>
      <c r="AU198" s="6">
        <v>3.7698299999999998</v>
      </c>
      <c r="AW198" s="6">
        <v>-0.36538999999999999</v>
      </c>
      <c r="AY198" s="6">
        <v>5.8195899999999998</v>
      </c>
      <c r="BA198" s="6">
        <v>5.4680900000000001</v>
      </c>
      <c r="BC198" s="6">
        <v>-2.5626500000000001</v>
      </c>
      <c r="BE198" s="6">
        <v>1.2847</v>
      </c>
    </row>
    <row r="199" spans="1:57" s="36" customFormat="1" ht="12.6" x14ac:dyDescent="0.2">
      <c r="A199" s="24" t="s">
        <v>405</v>
      </c>
      <c r="B199" s="6">
        <v>6.5805360000000004</v>
      </c>
      <c r="D199" s="6">
        <v>17.721136999999999</v>
      </c>
      <c r="F199" s="6">
        <v>21.8642</v>
      </c>
      <c r="G199" s="6">
        <v>9.6220090000000003</v>
      </c>
      <c r="I199" s="6">
        <v>31.280169000000001</v>
      </c>
      <c r="K199" s="6">
        <v>-3.4860899999999999</v>
      </c>
      <c r="M199" s="6">
        <v>5.0960599999999996</v>
      </c>
      <c r="O199" s="6">
        <v>3.0179800000000001</v>
      </c>
      <c r="Q199" s="6">
        <v>1.4016900000000001</v>
      </c>
      <c r="S199" s="6">
        <v>0.47670000000000001</v>
      </c>
      <c r="U199" s="6">
        <v>4.25915</v>
      </c>
      <c r="W199" s="6">
        <v>0.60429999999999995</v>
      </c>
      <c r="Y199" s="6">
        <v>0.4027</v>
      </c>
      <c r="AA199" s="6">
        <v>5.5571900000000003</v>
      </c>
      <c r="AC199" s="6">
        <v>-2.87378</v>
      </c>
      <c r="AE199" s="6">
        <v>-2.7407400000000002</v>
      </c>
      <c r="AG199" s="6">
        <v>1.1863300000000001</v>
      </c>
      <c r="AI199" s="6">
        <v>1.59802</v>
      </c>
      <c r="AK199" s="6">
        <v>0.73582999999999998</v>
      </c>
      <c r="AM199" s="6">
        <v>0.29844999999999999</v>
      </c>
      <c r="AO199" s="6">
        <v>-0.21335999999999999</v>
      </c>
      <c r="AQ199" s="6">
        <v>3.1288</v>
      </c>
      <c r="AS199" s="6">
        <v>4.8814200000000003</v>
      </c>
      <c r="AU199" s="6">
        <v>3.3743799999999999</v>
      </c>
      <c r="AW199" s="6">
        <v>1.37253</v>
      </c>
      <c r="AY199" s="6">
        <v>7.0508300000000004</v>
      </c>
      <c r="BA199" s="6">
        <v>4.6133899999999999</v>
      </c>
      <c r="BC199" s="6">
        <v>-1.60161</v>
      </c>
      <c r="BE199" s="6">
        <v>2.6091899999999999</v>
      </c>
    </row>
    <row r="200" spans="1:57" s="36" customFormat="1" ht="12.6" x14ac:dyDescent="0.2">
      <c r="A200" s="24" t="s">
        <v>406</v>
      </c>
      <c r="B200" s="6">
        <v>13.564155</v>
      </c>
      <c r="D200" s="6">
        <v>18.888867999999999</v>
      </c>
      <c r="F200" s="6">
        <v>18.757686</v>
      </c>
      <c r="G200" s="6">
        <v>7.6570669999999996</v>
      </c>
      <c r="I200" s="6">
        <v>25.721969999999999</v>
      </c>
      <c r="K200" s="6">
        <v>3.1013899999999999</v>
      </c>
      <c r="M200" s="6">
        <v>3.1007799999999999</v>
      </c>
      <c r="O200" s="6">
        <v>3.5392800000000002</v>
      </c>
      <c r="Q200" s="6">
        <v>-1.43296</v>
      </c>
      <c r="S200" s="6">
        <v>2.3686099999999999</v>
      </c>
      <c r="U200" s="6">
        <v>-2.6565300000000001</v>
      </c>
      <c r="W200" s="6">
        <v>4.4700699999999998</v>
      </c>
      <c r="Y200" s="6">
        <v>3.5619999999999999E-2</v>
      </c>
      <c r="AA200" s="6">
        <v>-1.82063</v>
      </c>
      <c r="AC200" s="6">
        <v>-0.32443</v>
      </c>
      <c r="AE200" s="6">
        <v>-1.1487400000000001</v>
      </c>
      <c r="AG200" s="6">
        <v>2.6449500000000001</v>
      </c>
      <c r="AI200" s="6">
        <v>6.0970599999999999</v>
      </c>
      <c r="AK200" s="6">
        <v>3.9904700000000002</v>
      </c>
      <c r="AM200" s="6">
        <v>-0.50915999999999995</v>
      </c>
      <c r="AO200" s="6">
        <v>1.6489</v>
      </c>
      <c r="AQ200" s="6">
        <v>3.9594399999999998</v>
      </c>
      <c r="AS200" s="6">
        <v>0.22009999999999999</v>
      </c>
      <c r="AU200" s="6">
        <v>-2.5819999999999999E-2</v>
      </c>
      <c r="AW200" s="6">
        <v>1.75895</v>
      </c>
      <c r="AY200" s="6">
        <v>0.71411000000000002</v>
      </c>
      <c r="BA200" s="6">
        <v>1.98614</v>
      </c>
      <c r="BC200" s="6">
        <v>1.2876099999999999</v>
      </c>
      <c r="BE200" s="6">
        <v>2.17896</v>
      </c>
    </row>
    <row r="201" spans="1:57" s="36" customFormat="1" ht="12.6" x14ac:dyDescent="0.2">
      <c r="A201" s="24" t="s">
        <v>407</v>
      </c>
      <c r="B201" s="6">
        <v>10.736164</v>
      </c>
      <c r="D201" s="6">
        <v>14.086266</v>
      </c>
      <c r="F201" s="6">
        <v>13.978358999999999</v>
      </c>
      <c r="G201" s="6">
        <v>8.1918520000000008</v>
      </c>
      <c r="I201" s="6">
        <v>20.565729000000001</v>
      </c>
      <c r="K201" s="6">
        <v>1.30115</v>
      </c>
      <c r="M201" s="6">
        <v>2.3454100000000002</v>
      </c>
      <c r="O201" s="6">
        <v>4.4240300000000001</v>
      </c>
      <c r="Q201" s="6">
        <v>-0.74146999999999996</v>
      </c>
      <c r="S201" s="6">
        <v>3.04664</v>
      </c>
      <c r="U201" s="6">
        <v>-1.38314</v>
      </c>
      <c r="W201" s="6">
        <v>1.00075</v>
      </c>
      <c r="Y201" s="6">
        <v>1.27712</v>
      </c>
      <c r="AA201" s="6">
        <v>-0.68274000000000001</v>
      </c>
      <c r="AC201" s="6">
        <v>-2.83101</v>
      </c>
      <c r="AE201" s="6">
        <v>0.48935000000000001</v>
      </c>
      <c r="AG201" s="6">
        <v>-0.53358000000000005</v>
      </c>
      <c r="AI201" s="6">
        <v>6.8813399999999998</v>
      </c>
      <c r="AK201" s="6">
        <v>3.0815100000000002</v>
      </c>
      <c r="AM201" s="6">
        <v>-3.5832000000000002</v>
      </c>
      <c r="AO201" s="6">
        <v>-0.64012999999999998</v>
      </c>
      <c r="AQ201" s="6">
        <v>4.3773400000000002</v>
      </c>
      <c r="AS201" s="6">
        <v>-0.70889000000000002</v>
      </c>
      <c r="AU201" s="6">
        <v>0.82882</v>
      </c>
      <c r="AW201" s="6">
        <v>1.26627</v>
      </c>
      <c r="AY201" s="6">
        <v>1.7424500000000001</v>
      </c>
      <c r="BA201" s="6">
        <v>2.50752</v>
      </c>
      <c r="BC201" s="6">
        <v>0.93494999999999995</v>
      </c>
      <c r="BE201" s="6">
        <v>2.5443899999999999</v>
      </c>
    </row>
    <row r="202" spans="1:57" s="36" customFormat="1" ht="12.6" x14ac:dyDescent="0.2">
      <c r="A202" s="24" t="s">
        <v>408</v>
      </c>
      <c r="B202" s="6">
        <v>13.138363</v>
      </c>
      <c r="D202" s="6">
        <v>11.924618000000001</v>
      </c>
      <c r="F202" s="6">
        <v>8.0654039999999991</v>
      </c>
      <c r="G202" s="6">
        <v>14.296156</v>
      </c>
      <c r="I202" s="6">
        <v>-4.7211179999999997</v>
      </c>
      <c r="K202" s="6">
        <v>5.7108410000000003</v>
      </c>
      <c r="M202" s="6">
        <v>4.3017240000000001</v>
      </c>
      <c r="O202" s="6">
        <v>0.61755000000000004</v>
      </c>
      <c r="Q202" s="6">
        <v>2.797723</v>
      </c>
      <c r="S202" s="6">
        <v>-1.6677930000000001</v>
      </c>
      <c r="U202" s="6">
        <v>6.5038879999999999</v>
      </c>
      <c r="W202" s="6">
        <v>6.338965</v>
      </c>
      <c r="Y202" s="6">
        <v>-2.745914</v>
      </c>
      <c r="AA202" s="6">
        <v>-0.132739</v>
      </c>
      <c r="AC202" s="6">
        <v>-2.8349859999999998</v>
      </c>
      <c r="AE202" s="6">
        <v>0.12701399999999999</v>
      </c>
      <c r="AG202" s="6">
        <v>2.1321819999999998</v>
      </c>
      <c r="AI202" s="6">
        <v>-4.266648</v>
      </c>
      <c r="AK202" s="6">
        <v>-7.7374830000000001</v>
      </c>
      <c r="AM202" s="6">
        <v>9.1681659999999994</v>
      </c>
      <c r="AO202" s="6">
        <v>2.077553</v>
      </c>
      <c r="AQ202" s="6">
        <v>0.540551</v>
      </c>
      <c r="AS202" s="6">
        <v>1.1958800000000001</v>
      </c>
      <c r="AU202" s="6">
        <v>-3.4034740000000001</v>
      </c>
      <c r="AW202" s="6">
        <v>-4.7053070000000004</v>
      </c>
      <c r="AY202" s="6">
        <v>-0.74926000000000004</v>
      </c>
      <c r="BA202" s="6">
        <v>5.6793089999999999</v>
      </c>
      <c r="BC202" s="6">
        <v>0.69298899999999997</v>
      </c>
      <c r="BE202" s="6">
        <v>-2.1356389999999998</v>
      </c>
    </row>
    <row r="203" spans="1:57" s="36" customFormat="1" ht="12.6" x14ac:dyDescent="0.2">
      <c r="A203" s="24" t="s">
        <v>409</v>
      </c>
      <c r="B203" s="6">
        <v>9.7582810000000002</v>
      </c>
      <c r="D203" s="6">
        <v>18.195674</v>
      </c>
      <c r="F203" s="6">
        <v>17.510587999999998</v>
      </c>
      <c r="G203" s="6">
        <v>11.494634</v>
      </c>
      <c r="I203" s="6">
        <v>15.686954999999999</v>
      </c>
      <c r="K203" s="6">
        <v>7.9889799999999997</v>
      </c>
      <c r="M203" s="6">
        <v>4.5622999999999996</v>
      </c>
      <c r="O203" s="6">
        <v>2.8213699999999999</v>
      </c>
      <c r="Q203" s="6">
        <v>-4.4102300000000003</v>
      </c>
      <c r="S203" s="6">
        <v>-1.0503199999999999</v>
      </c>
      <c r="U203" s="6">
        <v>-1.1288499999999999</v>
      </c>
      <c r="W203" s="6">
        <v>8.2040400000000009</v>
      </c>
      <c r="Y203" s="6">
        <v>-3.2704800000000001</v>
      </c>
      <c r="AA203" s="6">
        <v>-2.7606600000000001</v>
      </c>
      <c r="AC203" s="6">
        <v>1.7898099999999999</v>
      </c>
      <c r="AE203" s="6">
        <v>1.2039899999999999</v>
      </c>
      <c r="AG203" s="6">
        <v>4.8551599999999997</v>
      </c>
      <c r="AI203" s="6">
        <v>0.81535000000000002</v>
      </c>
      <c r="AK203" s="6">
        <v>-1.0548200000000001</v>
      </c>
      <c r="AM203" s="6">
        <v>-6.0229999999999999E-2</v>
      </c>
      <c r="AO203" s="6">
        <v>2.4836200000000002</v>
      </c>
      <c r="AQ203" s="6">
        <v>3.4492099999999999</v>
      </c>
      <c r="AS203" s="6">
        <v>-0.122</v>
      </c>
      <c r="AU203" s="6">
        <v>0.36025000000000001</v>
      </c>
      <c r="AW203" s="6">
        <v>5.2120100000000003</v>
      </c>
      <c r="AY203" s="6">
        <v>1.1601300000000001</v>
      </c>
      <c r="BA203" s="6">
        <v>4.6739800000000002</v>
      </c>
      <c r="BC203" s="6">
        <v>-0.86568999999999996</v>
      </c>
      <c r="BE203" s="6">
        <v>-1.12782</v>
      </c>
    </row>
    <row r="204" spans="1:57" s="36" customFormat="1" ht="12.6" x14ac:dyDescent="0.2">
      <c r="A204" s="24" t="s">
        <v>410</v>
      </c>
      <c r="B204" s="6">
        <v>15.884067</v>
      </c>
      <c r="D204" s="6">
        <v>24.480861999999998</v>
      </c>
      <c r="F204" s="6">
        <v>22.491399999999999</v>
      </c>
      <c r="G204" s="6">
        <v>11.071463</v>
      </c>
      <c r="I204" s="6">
        <v>24.270585000000001</v>
      </c>
      <c r="K204" s="6">
        <v>8.4731400000000008</v>
      </c>
      <c r="M204" s="6">
        <v>5.4589800000000004</v>
      </c>
      <c r="O204" s="6">
        <v>4.1716600000000001</v>
      </c>
      <c r="Q204" s="6">
        <v>-1.0726500000000001</v>
      </c>
      <c r="S204" s="6">
        <v>1.20041</v>
      </c>
      <c r="U204" s="6">
        <v>1.63463</v>
      </c>
      <c r="W204" s="6">
        <v>-1.0420400000000001</v>
      </c>
      <c r="Y204" s="6">
        <v>-2.7362700000000002</v>
      </c>
      <c r="AA204" s="6">
        <v>-2.3265799999999999</v>
      </c>
      <c r="AC204" s="6">
        <v>2.3425600000000002</v>
      </c>
      <c r="AE204" s="6">
        <v>-0.75861000000000001</v>
      </c>
      <c r="AG204" s="6">
        <v>4.2845500000000003</v>
      </c>
      <c r="AI204" s="6">
        <v>7.152E-2</v>
      </c>
      <c r="AK204" s="6">
        <v>-4.0030599999999996</v>
      </c>
      <c r="AM204" s="6">
        <v>-0.61890000000000001</v>
      </c>
      <c r="AO204" s="6">
        <v>0.37463999999999997</v>
      </c>
      <c r="AQ204" s="6">
        <v>5.2546499999999998</v>
      </c>
      <c r="AS204" s="6">
        <v>1.8150599999999999</v>
      </c>
      <c r="AU204" s="6">
        <v>2.7289300000000001</v>
      </c>
      <c r="AW204" s="6">
        <v>4.3441599999999996</v>
      </c>
      <c r="AY204" s="6">
        <v>3.0352399999999999</v>
      </c>
      <c r="BA204" s="6">
        <v>7.8543399999999997</v>
      </c>
      <c r="BC204" s="6">
        <v>0.59450000000000003</v>
      </c>
      <c r="BE204" s="6">
        <v>0.98590999999999995</v>
      </c>
    </row>
    <row r="205" spans="1:57" s="36" customFormat="1" ht="12.6" x14ac:dyDescent="0.2">
      <c r="A205" s="24" t="s">
        <v>411</v>
      </c>
      <c r="B205" s="6">
        <v>8.2931919999999995</v>
      </c>
      <c r="D205" s="6">
        <v>24.449048000000001</v>
      </c>
      <c r="F205" s="6">
        <v>26.650124999999999</v>
      </c>
      <c r="G205" s="6">
        <v>26.765273000000001</v>
      </c>
      <c r="I205" s="6">
        <v>81.649202000000002</v>
      </c>
      <c r="K205" s="6">
        <v>-6.7049770000000004</v>
      </c>
      <c r="M205" s="6">
        <v>9.8299679999999992</v>
      </c>
      <c r="O205" s="6">
        <v>3.9142459999999999</v>
      </c>
      <c r="Q205" s="6">
        <v>-4.7711139999999999</v>
      </c>
      <c r="S205" s="6">
        <v>-5.4254920000000002</v>
      </c>
      <c r="U205" s="6">
        <v>7.7830570000000003</v>
      </c>
      <c r="W205" s="6">
        <v>1.5413209999999999</v>
      </c>
      <c r="Y205" s="6">
        <v>-4.670763</v>
      </c>
      <c r="AA205" s="6">
        <v>-3.0253890000000001</v>
      </c>
      <c r="AC205" s="6">
        <v>-1.7723180000000001</v>
      </c>
      <c r="AE205" s="6">
        <v>-4.9504760000000001</v>
      </c>
      <c r="AG205" s="6">
        <v>-2.5191690000000002</v>
      </c>
      <c r="AI205" s="6">
        <v>5.838552</v>
      </c>
      <c r="AK205" s="6">
        <v>-0.29494100000000001</v>
      </c>
      <c r="AM205" s="6">
        <v>-1.7964850000000001</v>
      </c>
      <c r="AO205" s="6">
        <v>2.3941979999999998</v>
      </c>
      <c r="AQ205" s="6">
        <v>7.5537159999999997</v>
      </c>
      <c r="AS205" s="6">
        <v>15.827484</v>
      </c>
      <c r="AU205" s="6">
        <v>5.0402750000000003</v>
      </c>
      <c r="AW205" s="6">
        <v>-3.416039</v>
      </c>
      <c r="AY205" s="6">
        <v>8.3010169999999999</v>
      </c>
      <c r="BA205" s="6">
        <v>23.425469</v>
      </c>
      <c r="BC205" s="6">
        <v>-7.6455609999999998</v>
      </c>
      <c r="BE205" s="6">
        <v>9.7177860000000003</v>
      </c>
    </row>
    <row r="206" spans="1:57" s="36" customFormat="1" ht="12.6" x14ac:dyDescent="0.2">
      <c r="A206" s="24" t="s">
        <v>412</v>
      </c>
      <c r="B206" s="6">
        <v>10.774718</v>
      </c>
      <c r="D206" s="6">
        <v>14.285935</v>
      </c>
      <c r="F206" s="6">
        <v>12.887637</v>
      </c>
      <c r="G206" s="6">
        <v>16.450386000000002</v>
      </c>
      <c r="I206" s="6">
        <v>3.6436099999999998</v>
      </c>
      <c r="K206" s="6">
        <v>-0.34187600000000001</v>
      </c>
      <c r="M206" s="6">
        <v>6.9427979999999998</v>
      </c>
      <c r="O206" s="6">
        <v>3.5938020000000002</v>
      </c>
      <c r="Q206" s="6">
        <v>-6.1706120000000002</v>
      </c>
      <c r="S206" s="6">
        <v>2.197273</v>
      </c>
      <c r="U206" s="6">
        <v>-1.7479929999999999</v>
      </c>
      <c r="W206" s="6">
        <v>10.128742000000001</v>
      </c>
      <c r="Y206" s="6">
        <v>-4.1176560000000002</v>
      </c>
      <c r="AA206" s="6">
        <v>-0.88872399999999996</v>
      </c>
      <c r="AC206" s="6">
        <v>5.1142120000000002</v>
      </c>
      <c r="AE206" s="6">
        <v>10.759871</v>
      </c>
      <c r="AG206" s="6">
        <v>-2.9878070000000001</v>
      </c>
      <c r="AI206" s="6">
        <v>2.868042</v>
      </c>
      <c r="AK206" s="6">
        <v>-4.6927810000000001</v>
      </c>
      <c r="AM206" s="6">
        <v>-6.6084350000000001</v>
      </c>
      <c r="AO206" s="6">
        <v>-4.9758170000000002</v>
      </c>
      <c r="AQ206" s="6">
        <v>5.1449800000000003</v>
      </c>
      <c r="AS206" s="6">
        <v>2.9561039999999998</v>
      </c>
      <c r="AU206" s="6">
        <v>3.828112</v>
      </c>
      <c r="AW206" s="6">
        <v>3.5671200000000001</v>
      </c>
      <c r="AY206" s="6">
        <v>0.56763300000000005</v>
      </c>
      <c r="BA206" s="6">
        <v>1.949875</v>
      </c>
      <c r="BC206" s="6">
        <v>1.512175</v>
      </c>
      <c r="BE206" s="6">
        <v>-1.677276</v>
      </c>
    </row>
    <row r="207" spans="1:57" s="36" customFormat="1" ht="12.6" x14ac:dyDescent="0.2">
      <c r="A207" s="24" t="s">
        <v>413</v>
      </c>
      <c r="B207" s="6">
        <v>8.4303209999999993</v>
      </c>
      <c r="D207" s="6">
        <v>11.513938</v>
      </c>
      <c r="F207" s="6">
        <v>13.877649999999999</v>
      </c>
      <c r="G207" s="6">
        <v>7.0502510000000003</v>
      </c>
      <c r="I207" s="6">
        <v>14.987999</v>
      </c>
      <c r="K207" s="6">
        <v>1.4390810000000001</v>
      </c>
      <c r="M207" s="6">
        <v>1.259574</v>
      </c>
      <c r="O207" s="6">
        <v>3.6910029999999998</v>
      </c>
      <c r="Q207" s="6">
        <v>-1.8675360000000001</v>
      </c>
      <c r="S207" s="6">
        <v>2.01336</v>
      </c>
      <c r="U207" s="6">
        <v>0.528281</v>
      </c>
      <c r="W207" s="6">
        <v>3.8341639999999999</v>
      </c>
      <c r="Y207" s="6">
        <v>3.38069</v>
      </c>
      <c r="AA207" s="6">
        <v>0.42241499999999998</v>
      </c>
      <c r="AC207" s="6">
        <v>-1.034014</v>
      </c>
      <c r="AE207" s="6">
        <v>3.0251199999999998</v>
      </c>
      <c r="AG207" s="6">
        <v>-4.2707759999999997</v>
      </c>
      <c r="AI207" s="6">
        <v>3.8428819999999999</v>
      </c>
      <c r="AK207" s="6">
        <v>2.3396379999999999</v>
      </c>
      <c r="AM207" s="6">
        <v>-0.34163300000000002</v>
      </c>
      <c r="AO207" s="6">
        <v>-0.72144600000000003</v>
      </c>
      <c r="AQ207" s="6">
        <v>1.7206109999999999</v>
      </c>
      <c r="AS207" s="6">
        <v>0.95230499999999996</v>
      </c>
      <c r="AU207" s="6">
        <v>-0.34701199999999999</v>
      </c>
      <c r="AW207" s="6">
        <v>2.806279</v>
      </c>
      <c r="AY207" s="6">
        <v>1.9766520000000001</v>
      </c>
      <c r="BA207" s="6">
        <v>-0.58262800000000003</v>
      </c>
      <c r="BC207" s="6">
        <v>2.8004250000000002</v>
      </c>
      <c r="BE207" s="6">
        <v>-0.25994899999999999</v>
      </c>
    </row>
    <row r="208" spans="1:57" s="36" customFormat="1" ht="12.6" x14ac:dyDescent="0.2">
      <c r="A208" s="24" t="s">
        <v>414</v>
      </c>
      <c r="B208" s="6">
        <v>10.540006999999999</v>
      </c>
      <c r="D208" s="6">
        <v>12.038276</v>
      </c>
      <c r="F208" s="6">
        <v>14.986611</v>
      </c>
      <c r="G208" s="6">
        <v>7.8022280000000004</v>
      </c>
      <c r="I208" s="6">
        <v>8.9787130000000008</v>
      </c>
      <c r="K208" s="6">
        <v>3.963673</v>
      </c>
      <c r="M208" s="6">
        <v>2.3201329999999998</v>
      </c>
      <c r="O208" s="6">
        <v>3.2419989999999999</v>
      </c>
      <c r="Q208" s="6">
        <v>-2.0776279999999998</v>
      </c>
      <c r="S208" s="6">
        <v>-7.0906999999999998E-2</v>
      </c>
      <c r="U208" s="6">
        <v>-0.28218399999999999</v>
      </c>
      <c r="W208" s="6">
        <v>7.1349340000000003</v>
      </c>
      <c r="Y208" s="6">
        <v>0.35975800000000002</v>
      </c>
      <c r="AA208" s="6">
        <v>-1.439206</v>
      </c>
      <c r="AC208" s="6">
        <v>3.4740730000000002</v>
      </c>
      <c r="AE208" s="6">
        <v>3.3872239999999998</v>
      </c>
      <c r="AG208" s="6">
        <v>-0.134884</v>
      </c>
      <c r="AI208" s="6">
        <v>3.2321089999999999</v>
      </c>
      <c r="AK208" s="6">
        <v>3.0375909999999999</v>
      </c>
      <c r="AM208" s="6">
        <v>8.9990000000000001E-3</v>
      </c>
      <c r="AO208" s="6">
        <v>-1.964968</v>
      </c>
      <c r="AQ208" s="6">
        <v>1.0664739999999999</v>
      </c>
      <c r="AS208" s="6">
        <v>-0.36732900000000002</v>
      </c>
      <c r="AU208" s="6">
        <v>0.53460200000000002</v>
      </c>
      <c r="AW208" s="6">
        <v>1.787822</v>
      </c>
      <c r="AY208" s="6">
        <v>0.64384699999999995</v>
      </c>
      <c r="BA208" s="6">
        <v>-6.2463999999999999E-2</v>
      </c>
      <c r="BC208" s="6">
        <v>2.574173</v>
      </c>
      <c r="BE208" s="6">
        <v>-1.7038199999999999</v>
      </c>
    </row>
    <row r="209" spans="1:57" s="36" customFormat="1" ht="12.6" x14ac:dyDescent="0.2">
      <c r="A209" s="24" t="s">
        <v>415</v>
      </c>
      <c r="B209" s="6">
        <v>10.356431000000001</v>
      </c>
      <c r="D209" s="6">
        <v>15.219606000000001</v>
      </c>
      <c r="F209" s="6">
        <v>15.139272</v>
      </c>
      <c r="G209" s="6">
        <v>12.431863999999999</v>
      </c>
      <c r="I209" s="6">
        <v>10.874052000000001</v>
      </c>
      <c r="K209" s="6">
        <v>0.37947999999999998</v>
      </c>
      <c r="M209" s="6">
        <v>5.0072799999999997</v>
      </c>
      <c r="O209" s="6">
        <v>3.6717599999999999</v>
      </c>
      <c r="Q209" s="6">
        <v>-4.8029700000000002</v>
      </c>
      <c r="S209" s="6">
        <v>2.1451099999999999</v>
      </c>
      <c r="U209" s="6">
        <v>-2.3875799999999998</v>
      </c>
      <c r="W209" s="6">
        <v>9.4504800000000007</v>
      </c>
      <c r="Y209" s="6">
        <v>-3.3831600000000002</v>
      </c>
      <c r="AA209" s="6">
        <v>-0.53161000000000003</v>
      </c>
      <c r="AC209" s="6">
        <v>3.23306</v>
      </c>
      <c r="AE209" s="6">
        <v>7.2093499999999997</v>
      </c>
      <c r="AG209" s="6">
        <v>-0.97631000000000001</v>
      </c>
      <c r="AI209" s="6">
        <v>2.60446</v>
      </c>
      <c r="AK209" s="6">
        <v>-2.9949699999999999</v>
      </c>
      <c r="AM209" s="6">
        <v>-3.9982500000000001</v>
      </c>
      <c r="AO209" s="6">
        <v>-2.0887500000000001</v>
      </c>
      <c r="AQ209" s="6">
        <v>5.16493</v>
      </c>
      <c r="AS209" s="6">
        <v>2.9354399999999998</v>
      </c>
      <c r="AU209" s="6">
        <v>2.9940899999999999</v>
      </c>
      <c r="AW209" s="6">
        <v>3.2784800000000001</v>
      </c>
      <c r="AY209" s="6">
        <v>0.65385000000000004</v>
      </c>
      <c r="BA209" s="6">
        <v>1.3964099999999999</v>
      </c>
      <c r="BC209" s="6">
        <v>1.6371800000000001</v>
      </c>
      <c r="BE209" s="6">
        <v>-0.78117000000000003</v>
      </c>
    </row>
    <row r="210" spans="1:57" s="36" customFormat="1" ht="12.6" x14ac:dyDescent="0.2">
      <c r="A210" s="24" t="s">
        <v>416</v>
      </c>
      <c r="B210" s="6">
        <v>15.574919</v>
      </c>
      <c r="D210" s="6">
        <v>22.075164000000001</v>
      </c>
      <c r="F210" s="6">
        <v>21.500643</v>
      </c>
      <c r="G210" s="6">
        <v>9.5766810000000007</v>
      </c>
      <c r="I210" s="6">
        <v>12.534452</v>
      </c>
      <c r="K210" s="6">
        <v>4.5205900000000003</v>
      </c>
      <c r="M210" s="6">
        <v>5.9238400000000002</v>
      </c>
      <c r="O210" s="6">
        <v>3.01993</v>
      </c>
      <c r="Q210" s="6">
        <v>-3.2612899999999998</v>
      </c>
      <c r="S210" s="6">
        <v>2.0161500000000001</v>
      </c>
      <c r="U210" s="6">
        <v>1.60825</v>
      </c>
      <c r="W210" s="6">
        <v>4.0782800000000003</v>
      </c>
      <c r="Y210" s="6">
        <v>-1.24481</v>
      </c>
      <c r="AA210" s="6">
        <v>-0.46997</v>
      </c>
      <c r="AC210" s="6">
        <v>3.9198599999999999</v>
      </c>
      <c r="AE210" s="6">
        <v>5.1800300000000004</v>
      </c>
      <c r="AG210" s="6">
        <v>2.5771500000000001</v>
      </c>
      <c r="AI210" s="6">
        <v>2.73855</v>
      </c>
      <c r="AK210" s="6">
        <v>-0.35518</v>
      </c>
      <c r="AM210" s="6">
        <v>-4.6711999999999998</v>
      </c>
      <c r="AO210" s="6">
        <v>-1.8403</v>
      </c>
      <c r="AQ210" s="6">
        <v>5.3402000000000003</v>
      </c>
      <c r="AS210" s="6">
        <v>2.45302</v>
      </c>
      <c r="AU210" s="6">
        <v>3.1178599999999999</v>
      </c>
      <c r="AW210" s="6">
        <v>0.92049999999999998</v>
      </c>
      <c r="AY210" s="6">
        <v>1.9905900000000001</v>
      </c>
      <c r="BA210" s="6">
        <v>3.3164400000000001</v>
      </c>
      <c r="BC210" s="6">
        <v>0.16664000000000001</v>
      </c>
      <c r="BE210" s="6">
        <v>-0.90422000000000002</v>
      </c>
    </row>
    <row r="211" spans="1:57" s="36" customFormat="1" ht="12.6" x14ac:dyDescent="0.2">
      <c r="A211" s="24" t="s">
        <v>417</v>
      </c>
      <c r="B211" s="6">
        <v>13.013427999999999</v>
      </c>
      <c r="D211" s="6">
        <v>21.048131000000001</v>
      </c>
      <c r="F211" s="6">
        <v>19.929932000000001</v>
      </c>
      <c r="G211" s="6">
        <v>9.1903140000000008</v>
      </c>
      <c r="I211" s="6">
        <v>18.650862</v>
      </c>
      <c r="K211" s="6">
        <v>1.7909170000000001</v>
      </c>
      <c r="M211" s="6">
        <v>4.6825000000000001</v>
      </c>
      <c r="O211" s="6">
        <v>3.4034339999999998</v>
      </c>
      <c r="Q211" s="6">
        <v>-3.2368760000000001</v>
      </c>
      <c r="S211" s="6">
        <v>4.1236680000000003</v>
      </c>
      <c r="U211" s="6">
        <v>2.3357220000000001</v>
      </c>
      <c r="W211" s="6">
        <v>1.194248</v>
      </c>
      <c r="Y211" s="6">
        <v>1.894388</v>
      </c>
      <c r="AA211" s="6">
        <v>1.4769749999999999</v>
      </c>
      <c r="AC211" s="6">
        <v>-0.90708900000000003</v>
      </c>
      <c r="AE211" s="6">
        <v>4.8974169999999999</v>
      </c>
      <c r="AG211" s="6">
        <v>-1.89331</v>
      </c>
      <c r="AI211" s="6">
        <v>3.4418519999999999</v>
      </c>
      <c r="AK211" s="6">
        <v>-0.90419099999999997</v>
      </c>
      <c r="AM211" s="6">
        <v>-5.0430760000000001</v>
      </c>
      <c r="AO211" s="6">
        <v>-0.44987300000000002</v>
      </c>
      <c r="AQ211" s="6">
        <v>5.9694339999999997</v>
      </c>
      <c r="AS211" s="6">
        <v>3.8144369999999999</v>
      </c>
      <c r="AU211" s="6">
        <v>2.0295909999999999</v>
      </c>
      <c r="AW211" s="6">
        <v>2.0623710000000002</v>
      </c>
      <c r="AY211" s="6">
        <v>3.3163589999999998</v>
      </c>
      <c r="BA211" s="6">
        <v>2.6091350000000002</v>
      </c>
      <c r="BC211" s="6">
        <v>0.31030000000000002</v>
      </c>
      <c r="BE211" s="6">
        <v>0.51249500000000003</v>
      </c>
    </row>
    <row r="212" spans="1:57" s="36" customFormat="1" ht="12.6" x14ac:dyDescent="0.2">
      <c r="A212" s="24" t="s">
        <v>418</v>
      </c>
      <c r="B212" s="6">
        <v>14.298742000000001</v>
      </c>
      <c r="D212" s="6">
        <v>17.877088000000001</v>
      </c>
      <c r="F212" s="6">
        <v>17.386161000000001</v>
      </c>
      <c r="G212" s="6">
        <v>7.9230020000000003</v>
      </c>
      <c r="I212" s="6">
        <v>9.8076179999999997</v>
      </c>
      <c r="K212" s="6">
        <v>5.1070120000000001</v>
      </c>
      <c r="M212" s="6">
        <v>4.6630149999999997</v>
      </c>
      <c r="O212" s="6">
        <v>3.0346000000000002</v>
      </c>
      <c r="Q212" s="6">
        <v>-3.0891999999999999</v>
      </c>
      <c r="S212" s="6">
        <v>1.6399250000000001</v>
      </c>
      <c r="U212" s="6">
        <v>0.602877</v>
      </c>
      <c r="W212" s="6">
        <v>4.9981520000000002</v>
      </c>
      <c r="Y212" s="6">
        <v>-0.29452899999999999</v>
      </c>
      <c r="AA212" s="6">
        <v>-1.608798</v>
      </c>
      <c r="AC212" s="6">
        <v>3.1514099999999998</v>
      </c>
      <c r="AE212" s="6">
        <v>3.967482</v>
      </c>
      <c r="AG212" s="6">
        <v>1.138565</v>
      </c>
      <c r="AI212" s="6">
        <v>3.2223630000000001</v>
      </c>
      <c r="AK212" s="6">
        <v>1.6147480000000001</v>
      </c>
      <c r="AM212" s="6">
        <v>-2.2963580000000001</v>
      </c>
      <c r="AO212" s="6">
        <v>-2.0239690000000001</v>
      </c>
      <c r="AQ212" s="6">
        <v>2.7256860000000001</v>
      </c>
      <c r="AS212" s="6">
        <v>0.59678900000000001</v>
      </c>
      <c r="AU212" s="6">
        <v>1.226369</v>
      </c>
      <c r="AW212" s="6">
        <v>1.476205</v>
      </c>
      <c r="AY212" s="6">
        <v>0.58812299999999995</v>
      </c>
      <c r="BA212" s="6">
        <v>1.4903409999999999</v>
      </c>
      <c r="BC212" s="6">
        <v>1.926169</v>
      </c>
      <c r="BE212" s="6">
        <v>-0.98678399999999999</v>
      </c>
    </row>
    <row r="213" spans="1:57" s="36" customFormat="1" ht="12.6" x14ac:dyDescent="0.2">
      <c r="A213" s="24" t="s">
        <v>419</v>
      </c>
      <c r="B213" s="6">
        <v>15.999305</v>
      </c>
      <c r="D213" s="6">
        <v>22.401654000000001</v>
      </c>
      <c r="F213" s="6">
        <v>21.782166</v>
      </c>
      <c r="G213" s="6">
        <v>9.4701129999999996</v>
      </c>
      <c r="I213" s="6">
        <v>12.902017000000001</v>
      </c>
      <c r="K213" s="6">
        <v>4.4839580000000003</v>
      </c>
      <c r="M213" s="6">
        <v>5.8638589999999997</v>
      </c>
      <c r="O213" s="6">
        <v>3.072435</v>
      </c>
      <c r="Q213" s="6">
        <v>-3.2159930000000001</v>
      </c>
      <c r="S213" s="6">
        <v>2.06453</v>
      </c>
      <c r="U213" s="6">
        <v>1.639942</v>
      </c>
      <c r="W213" s="6">
        <v>4.0990970000000004</v>
      </c>
      <c r="Y213" s="6">
        <v>-1.1808000000000001</v>
      </c>
      <c r="AA213" s="6">
        <v>-0.371394</v>
      </c>
      <c r="AC213" s="6">
        <v>3.838937</v>
      </c>
      <c r="AE213" s="6">
        <v>5.1946719999999997</v>
      </c>
      <c r="AG213" s="6">
        <v>2.5077340000000001</v>
      </c>
      <c r="AI213" s="6">
        <v>2.7885789999999999</v>
      </c>
      <c r="AK213" s="6">
        <v>-0.38838800000000001</v>
      </c>
      <c r="AM213" s="6">
        <v>-4.5949359999999997</v>
      </c>
      <c r="AO213" s="6">
        <v>-1.6991689999999999</v>
      </c>
      <c r="AQ213" s="6">
        <v>5.3782930000000002</v>
      </c>
      <c r="AS213" s="6">
        <v>2.469049</v>
      </c>
      <c r="AU213" s="6">
        <v>3.1173709999999999</v>
      </c>
      <c r="AW213" s="6">
        <v>0.96718899999999997</v>
      </c>
      <c r="AY213" s="6">
        <v>1.9675940000000001</v>
      </c>
      <c r="BA213" s="6">
        <v>3.2846920000000002</v>
      </c>
      <c r="BC213" s="6">
        <v>0.137133</v>
      </c>
      <c r="BE213" s="6">
        <v>-0.83257999999999999</v>
      </c>
    </row>
    <row r="214" spans="1:57" s="36" customFormat="1" ht="12.6" x14ac:dyDescent="0.2">
      <c r="A214" s="24" t="s">
        <v>420</v>
      </c>
      <c r="B214" s="6">
        <v>13.201855</v>
      </c>
      <c r="D214" s="6">
        <v>27.511977000000002</v>
      </c>
      <c r="F214" s="6">
        <v>23.390349000000001</v>
      </c>
      <c r="G214" s="6">
        <v>12.779579999999999</v>
      </c>
      <c r="I214" s="6">
        <v>18.550853</v>
      </c>
      <c r="K214" s="6">
        <v>2.72925</v>
      </c>
      <c r="M214" s="6">
        <v>6.3624000000000001</v>
      </c>
      <c r="O214" s="6">
        <v>2.03403</v>
      </c>
      <c r="Q214" s="6">
        <v>-3.54054</v>
      </c>
      <c r="S214" s="6">
        <v>5.2891000000000004</v>
      </c>
      <c r="U214" s="6">
        <v>5.1095800000000002</v>
      </c>
      <c r="W214" s="6">
        <v>-1.44079</v>
      </c>
      <c r="Y214" s="6">
        <v>1.70492</v>
      </c>
      <c r="AA214" s="6">
        <v>1.64361</v>
      </c>
      <c r="AC214" s="6">
        <v>-0.77102000000000004</v>
      </c>
      <c r="AE214" s="6">
        <v>5.5922499999999999</v>
      </c>
      <c r="AG214" s="6">
        <v>1.0811200000000001</v>
      </c>
      <c r="AI214" s="6">
        <v>2.5762200000000002</v>
      </c>
      <c r="AK214" s="6">
        <v>-3.04393</v>
      </c>
      <c r="AM214" s="6">
        <v>-8.0427900000000001</v>
      </c>
      <c r="AO214" s="6">
        <v>1.94198</v>
      </c>
      <c r="AQ214" s="6">
        <v>8.7178799999999992</v>
      </c>
      <c r="AS214" s="6">
        <v>4.3871799999999999</v>
      </c>
      <c r="AU214" s="6">
        <v>2.7851699999999999</v>
      </c>
      <c r="AW214" s="6">
        <v>1.2155100000000001</v>
      </c>
      <c r="AY214" s="6">
        <v>4.5763100000000003</v>
      </c>
      <c r="BA214" s="6">
        <v>4.7439600000000004</v>
      </c>
      <c r="BC214" s="6">
        <v>-1.32667</v>
      </c>
      <c r="BE214" s="6">
        <v>-0.3548</v>
      </c>
    </row>
    <row r="215" spans="1:57" s="36" customFormat="1" ht="12.6" x14ac:dyDescent="0.2">
      <c r="A215" s="24" t="s">
        <v>421</v>
      </c>
      <c r="B215" s="6">
        <v>15.710523999999999</v>
      </c>
      <c r="D215" s="6">
        <v>28.565496</v>
      </c>
      <c r="F215" s="6">
        <v>24.932092000000001</v>
      </c>
      <c r="G215" s="6">
        <v>13.174365999999999</v>
      </c>
      <c r="I215" s="6">
        <v>12.471382</v>
      </c>
      <c r="K215" s="6">
        <v>5.4089580000000002</v>
      </c>
      <c r="M215" s="6">
        <v>7.5991580000000001</v>
      </c>
      <c r="O215" s="6">
        <v>1.656677</v>
      </c>
      <c r="Q215" s="6">
        <v>-3.5628350000000002</v>
      </c>
      <c r="S215" s="6">
        <v>3.2021190000000002</v>
      </c>
      <c r="U215" s="6">
        <v>4.38192</v>
      </c>
      <c r="W215" s="6">
        <v>1.2901560000000001</v>
      </c>
      <c r="Y215" s="6">
        <v>-1.3882380000000001</v>
      </c>
      <c r="AA215" s="6">
        <v>-0.280028</v>
      </c>
      <c r="AC215" s="6">
        <v>3.9947300000000001</v>
      </c>
      <c r="AE215" s="6">
        <v>5.8787390000000004</v>
      </c>
      <c r="AG215" s="6">
        <v>5.6397000000000004</v>
      </c>
      <c r="AI215" s="6">
        <v>1.8884559999999999</v>
      </c>
      <c r="AK215" s="6">
        <v>-2.5366879999999998</v>
      </c>
      <c r="AM215" s="6">
        <v>-7.7021769999999998</v>
      </c>
      <c r="AO215" s="6">
        <v>0.49142599999999997</v>
      </c>
      <c r="AQ215" s="6">
        <v>8.0739070000000002</v>
      </c>
      <c r="AS215" s="6">
        <v>3.0255399999999999</v>
      </c>
      <c r="AU215" s="6">
        <v>3.9057019999999998</v>
      </c>
      <c r="AW215" s="6">
        <v>7.0669999999999997E-2</v>
      </c>
      <c r="AY215" s="6">
        <v>3.2608899999999998</v>
      </c>
      <c r="BA215" s="6">
        <v>5.4987620000000001</v>
      </c>
      <c r="BC215" s="6">
        <v>-1.4591430000000001</v>
      </c>
      <c r="BE215" s="6">
        <v>-1.747431</v>
      </c>
    </row>
    <row r="216" spans="1:57" s="36" customFormat="1" ht="12.6" x14ac:dyDescent="0.2">
      <c r="A216" s="24" t="s">
        <v>422</v>
      </c>
      <c r="B216" s="6">
        <v>15.467924999999999</v>
      </c>
      <c r="D216" s="6">
        <v>21.846606999999999</v>
      </c>
      <c r="F216" s="6">
        <v>21.261541000000001</v>
      </c>
      <c r="G216" s="6">
        <v>9.47818</v>
      </c>
      <c r="I216" s="6">
        <v>12.432176</v>
      </c>
      <c r="K216" s="6">
        <v>4.4608600000000003</v>
      </c>
      <c r="M216" s="6">
        <v>5.8246200000000004</v>
      </c>
      <c r="O216" s="6">
        <v>3.01572</v>
      </c>
      <c r="Q216" s="6">
        <v>-3.2622200000000001</v>
      </c>
      <c r="S216" s="6">
        <v>1.9990600000000001</v>
      </c>
      <c r="U216" s="6">
        <v>1.607</v>
      </c>
      <c r="W216" s="6">
        <v>4.0764399999999998</v>
      </c>
      <c r="Y216" s="6">
        <v>-1.21458</v>
      </c>
      <c r="AA216" s="6">
        <v>-0.40705999999999998</v>
      </c>
      <c r="AC216" s="6">
        <v>3.8149799999999998</v>
      </c>
      <c r="AE216" s="6">
        <v>5.1585999999999999</v>
      </c>
      <c r="AG216" s="6">
        <v>2.4748199999999998</v>
      </c>
      <c r="AI216" s="6">
        <v>2.7653599999999998</v>
      </c>
      <c r="AK216" s="6">
        <v>-0.41637999999999997</v>
      </c>
      <c r="AM216" s="6">
        <v>-4.6513900000000001</v>
      </c>
      <c r="AO216" s="6">
        <v>-1.74448</v>
      </c>
      <c r="AQ216" s="6">
        <v>5.3102200000000002</v>
      </c>
      <c r="AS216" s="6">
        <v>2.4370400000000001</v>
      </c>
      <c r="AU216" s="6">
        <v>3.09639</v>
      </c>
      <c r="AW216" s="6">
        <v>0.93889999999999996</v>
      </c>
      <c r="AY216" s="6">
        <v>1.9297599999999999</v>
      </c>
      <c r="BA216" s="6">
        <v>3.2646199999999999</v>
      </c>
      <c r="BC216" s="6">
        <v>0.10662000000000001</v>
      </c>
      <c r="BE216" s="6">
        <v>-0.86209999999999998</v>
      </c>
    </row>
    <row r="217" spans="1:57" s="36" customFormat="1" ht="12.6" x14ac:dyDescent="0.2">
      <c r="A217" s="24" t="s">
        <v>423</v>
      </c>
      <c r="B217" s="6">
        <v>15.468048</v>
      </c>
      <c r="D217" s="6">
        <v>21.846671000000001</v>
      </c>
      <c r="F217" s="6">
        <v>21.261790999999999</v>
      </c>
      <c r="G217" s="6">
        <v>9.478059</v>
      </c>
      <c r="I217" s="6">
        <v>12.432181999999999</v>
      </c>
      <c r="K217" s="6">
        <v>4.4607760000000001</v>
      </c>
      <c r="M217" s="6">
        <v>5.8246460000000004</v>
      </c>
      <c r="O217" s="6">
        <v>3.0158939999999999</v>
      </c>
      <c r="Q217" s="6">
        <v>-3.2621929999999999</v>
      </c>
      <c r="S217" s="6">
        <v>1.9994209999999999</v>
      </c>
      <c r="U217" s="6">
        <v>1.6066</v>
      </c>
      <c r="W217" s="6">
        <v>4.0763509999999998</v>
      </c>
      <c r="Y217" s="6">
        <v>-1.2143029999999999</v>
      </c>
      <c r="AA217" s="6">
        <v>-0.40720699999999999</v>
      </c>
      <c r="AC217" s="6">
        <v>3.8152590000000002</v>
      </c>
      <c r="AE217" s="6">
        <v>5.1586230000000004</v>
      </c>
      <c r="AG217" s="6">
        <v>2.4747870000000001</v>
      </c>
      <c r="AI217" s="6">
        <v>2.7654350000000001</v>
      </c>
      <c r="AK217" s="6">
        <v>-0.41690199999999999</v>
      </c>
      <c r="AM217" s="6">
        <v>-4.6511009999999997</v>
      </c>
      <c r="AO217" s="6">
        <v>-1.74424</v>
      </c>
      <c r="AQ217" s="6">
        <v>5.3099129999999999</v>
      </c>
      <c r="AS217" s="6">
        <v>2.4369429999999999</v>
      </c>
      <c r="AU217" s="6">
        <v>3.0967479999999998</v>
      </c>
      <c r="AW217" s="6">
        <v>0.93843799999999999</v>
      </c>
      <c r="AY217" s="6">
        <v>1.9297089999999999</v>
      </c>
      <c r="BA217" s="6">
        <v>3.2646660000000001</v>
      </c>
      <c r="BC217" s="6">
        <v>0.10719099999999999</v>
      </c>
      <c r="BE217" s="6">
        <v>-0.86225700000000005</v>
      </c>
    </row>
    <row r="218" spans="1:57" s="36" customFormat="1" ht="12.6" x14ac:dyDescent="0.2">
      <c r="A218" s="24" t="s">
        <v>424</v>
      </c>
      <c r="B218" s="6">
        <v>12.705263</v>
      </c>
      <c r="D218" s="6">
        <v>21.699407999999998</v>
      </c>
      <c r="F218" s="6">
        <v>17.134719</v>
      </c>
      <c r="G218" s="6">
        <v>10.449384</v>
      </c>
      <c r="I218" s="6">
        <v>14.069645</v>
      </c>
      <c r="K218" s="6">
        <v>3.3313169999999999</v>
      </c>
      <c r="M218" s="6">
        <v>6.0955820000000003</v>
      </c>
      <c r="O218" s="6">
        <v>2.7518660000000001</v>
      </c>
      <c r="Q218" s="6">
        <v>-3.5021369999999998</v>
      </c>
      <c r="S218" s="6">
        <v>5.6853629999999997</v>
      </c>
      <c r="U218" s="6">
        <v>3.812932</v>
      </c>
      <c r="W218" s="6">
        <v>-0.76713600000000004</v>
      </c>
      <c r="Y218" s="6">
        <v>3.0332919999999999</v>
      </c>
      <c r="AA218" s="6">
        <v>0.173676</v>
      </c>
      <c r="AC218" s="6">
        <v>-2.1837620000000002</v>
      </c>
      <c r="AE218" s="6">
        <v>3.2459829999999998</v>
      </c>
      <c r="AG218" s="6">
        <v>-2.4948890000000001</v>
      </c>
      <c r="AI218" s="6">
        <v>3.850409</v>
      </c>
      <c r="AK218" s="6">
        <v>-1.0285</v>
      </c>
      <c r="AM218" s="6">
        <v>-6.1698469999999999</v>
      </c>
      <c r="AO218" s="6">
        <v>-0.47851199999999999</v>
      </c>
      <c r="AQ218" s="6">
        <v>4.5929520000000004</v>
      </c>
      <c r="AS218" s="6">
        <v>3.2620110000000002</v>
      </c>
      <c r="AU218" s="6">
        <v>0.39471099999999998</v>
      </c>
      <c r="AW218" s="6">
        <v>1.9669030000000001</v>
      </c>
      <c r="AY218" s="6">
        <v>3.2042860000000002</v>
      </c>
      <c r="BA218" s="6">
        <v>2.4390499999999999</v>
      </c>
      <c r="BC218" s="6">
        <v>1.329747</v>
      </c>
      <c r="BE218" s="6">
        <v>0.34116600000000002</v>
      </c>
    </row>
    <row r="219" spans="1:57" s="36" customFormat="1" ht="12.6" x14ac:dyDescent="0.2">
      <c r="A219" s="24" t="s">
        <v>425</v>
      </c>
      <c r="B219" s="6">
        <v>15.629921</v>
      </c>
      <c r="D219" s="6">
        <v>22.943591000000001</v>
      </c>
      <c r="F219" s="6">
        <v>18.842565</v>
      </c>
      <c r="G219" s="6">
        <v>10.145751000000001</v>
      </c>
      <c r="I219" s="6">
        <v>8.1997169999999997</v>
      </c>
      <c r="K219" s="6">
        <v>6.1670090000000002</v>
      </c>
      <c r="M219" s="6">
        <v>7.381202</v>
      </c>
      <c r="O219" s="6">
        <v>2.360779</v>
      </c>
      <c r="Q219" s="6">
        <v>-3.4035280000000001</v>
      </c>
      <c r="S219" s="6">
        <v>3.5829520000000001</v>
      </c>
      <c r="U219" s="6">
        <v>3.1731630000000002</v>
      </c>
      <c r="W219" s="6">
        <v>1.8751869999999999</v>
      </c>
      <c r="Y219" s="6">
        <v>-0.16181100000000001</v>
      </c>
      <c r="AA219" s="6">
        <v>-1.7592300000000001</v>
      </c>
      <c r="AC219" s="6">
        <v>2.7170670000000001</v>
      </c>
      <c r="AE219" s="6">
        <v>3.4929730000000001</v>
      </c>
      <c r="AG219" s="6">
        <v>2.0093179999999999</v>
      </c>
      <c r="AI219" s="6">
        <v>3.1205829999999999</v>
      </c>
      <c r="AK219" s="6">
        <v>-0.53889799999999999</v>
      </c>
      <c r="AM219" s="6">
        <v>-5.8307019999999996</v>
      </c>
      <c r="AO219" s="6">
        <v>-1.9789490000000001</v>
      </c>
      <c r="AQ219" s="6">
        <v>3.999339</v>
      </c>
      <c r="AS219" s="6">
        <v>1.853569</v>
      </c>
      <c r="AU219" s="6">
        <v>1.623373</v>
      </c>
      <c r="AW219" s="6">
        <v>0.710704</v>
      </c>
      <c r="AY219" s="6">
        <v>1.9414</v>
      </c>
      <c r="BA219" s="6">
        <v>3.2934519999999998</v>
      </c>
      <c r="BC219" s="6">
        <v>1.203082</v>
      </c>
      <c r="BE219" s="6">
        <v>-1.0751010000000001</v>
      </c>
    </row>
    <row r="220" spans="1:57" s="36" customFormat="1" ht="12.6" x14ac:dyDescent="0.2">
      <c r="A220" s="24" t="s">
        <v>426</v>
      </c>
      <c r="B220" s="6">
        <v>10.309067000000001</v>
      </c>
      <c r="D220" s="6">
        <v>15.135763000000001</v>
      </c>
      <c r="F220" s="6">
        <v>15.179997</v>
      </c>
      <c r="G220" s="6">
        <v>12.244740999999999</v>
      </c>
      <c r="I220" s="6">
        <v>11.302701000000001</v>
      </c>
      <c r="K220" s="6">
        <v>0.36495</v>
      </c>
      <c r="M220" s="6">
        <v>4.9070799999999997</v>
      </c>
      <c r="O220" s="6">
        <v>3.69556</v>
      </c>
      <c r="Q220" s="6">
        <v>-4.7179500000000001</v>
      </c>
      <c r="S220" s="6">
        <v>2.0834899999999998</v>
      </c>
      <c r="U220" s="6">
        <v>-2.3559899999999998</v>
      </c>
      <c r="W220" s="6">
        <v>9.2806899999999999</v>
      </c>
      <c r="Y220" s="6">
        <v>-3.2841200000000002</v>
      </c>
      <c r="AA220" s="6">
        <v>-0.36792999999999998</v>
      </c>
      <c r="AC220" s="6">
        <v>3.0677099999999999</v>
      </c>
      <c r="AE220" s="6">
        <v>7.0424800000000003</v>
      </c>
      <c r="AG220" s="6">
        <v>-1.06043</v>
      </c>
      <c r="AI220" s="6">
        <v>2.7024400000000002</v>
      </c>
      <c r="AK220" s="6">
        <v>-3.01749</v>
      </c>
      <c r="AM220" s="6">
        <v>-3.9679199999999999</v>
      </c>
      <c r="AO220" s="6">
        <v>-1.9295899999999999</v>
      </c>
      <c r="AQ220" s="6">
        <v>5.1968399999999999</v>
      </c>
      <c r="AS220" s="6">
        <v>2.8451499999999998</v>
      </c>
      <c r="AU220" s="6">
        <v>3.00874</v>
      </c>
      <c r="AW220" s="6">
        <v>3.4449100000000001</v>
      </c>
      <c r="AY220" s="6">
        <v>0.71081000000000005</v>
      </c>
      <c r="BA220" s="6">
        <v>1.4094199999999999</v>
      </c>
      <c r="BC220" s="6">
        <v>1.52982</v>
      </c>
      <c r="BE220" s="6">
        <v>-0.74338000000000004</v>
      </c>
    </row>
    <row r="221" spans="1:57" s="36" customFormat="1" ht="12.6" x14ac:dyDescent="0.2">
      <c r="A221" s="24" t="s">
        <v>426</v>
      </c>
      <c r="B221" s="6">
        <v>10.309054</v>
      </c>
      <c r="D221" s="6">
        <v>15.135747</v>
      </c>
      <c r="F221" s="6">
        <v>15.179986</v>
      </c>
      <c r="G221" s="6">
        <v>12.244740999999999</v>
      </c>
      <c r="I221" s="6">
        <v>11.302694000000001</v>
      </c>
      <c r="K221" s="6">
        <v>0.36494500000000002</v>
      </c>
      <c r="M221" s="6">
        <v>4.9070780000000003</v>
      </c>
      <c r="O221" s="6">
        <v>3.6955589999999998</v>
      </c>
      <c r="Q221" s="6">
        <v>-4.7179510000000002</v>
      </c>
      <c r="S221" s="6">
        <v>2.083488</v>
      </c>
      <c r="U221" s="6">
        <v>-2.3559869999999998</v>
      </c>
      <c r="W221" s="6">
        <v>9.2806920000000002</v>
      </c>
      <c r="Y221" s="6">
        <v>-3.2841239999999998</v>
      </c>
      <c r="AA221" s="6">
        <v>-0.36793399999999998</v>
      </c>
      <c r="AC221" s="6">
        <v>3.0677129999999999</v>
      </c>
      <c r="AE221" s="6">
        <v>7.042478</v>
      </c>
      <c r="AG221" s="6">
        <v>-1.0604290000000001</v>
      </c>
      <c r="AI221" s="6">
        <v>2.7024360000000001</v>
      </c>
      <c r="AK221" s="6">
        <v>-3.0174910000000001</v>
      </c>
      <c r="AM221" s="6">
        <v>-3.967924</v>
      </c>
      <c r="AO221" s="6">
        <v>-1.9295869999999999</v>
      </c>
      <c r="AQ221" s="6">
        <v>5.1968350000000001</v>
      </c>
      <c r="AS221" s="6">
        <v>2.845151</v>
      </c>
      <c r="AU221" s="6">
        <v>3.0087419999999998</v>
      </c>
      <c r="AW221" s="6">
        <v>3.4449070000000002</v>
      </c>
      <c r="AY221" s="6">
        <v>0.71080500000000002</v>
      </c>
      <c r="BA221" s="6">
        <v>1.409424</v>
      </c>
      <c r="BC221" s="6">
        <v>1.5298210000000001</v>
      </c>
      <c r="BE221" s="6">
        <v>-0.74337699999999995</v>
      </c>
    </row>
    <row r="222" spans="1:57" s="36" customFormat="1" ht="12.6" x14ac:dyDescent="0.2">
      <c r="A222" s="24" t="s">
        <v>427</v>
      </c>
      <c r="B222" s="6">
        <v>10.309184999999999</v>
      </c>
      <c r="D222" s="6">
        <v>15.135821</v>
      </c>
      <c r="F222" s="6">
        <v>15.180210000000001</v>
      </c>
      <c r="G222" s="6">
        <v>12.244702</v>
      </c>
      <c r="I222" s="6">
        <v>11.30273</v>
      </c>
      <c r="K222" s="6">
        <v>0.36479499999999998</v>
      </c>
      <c r="M222" s="6">
        <v>4.9071210000000001</v>
      </c>
      <c r="O222" s="6">
        <v>3.6957650000000002</v>
      </c>
      <c r="Q222" s="6">
        <v>-4.7179250000000001</v>
      </c>
      <c r="S222" s="6">
        <v>2.0838920000000001</v>
      </c>
      <c r="U222" s="6">
        <v>-2.3563939999999999</v>
      </c>
      <c r="W222" s="6">
        <v>9.2805199999999992</v>
      </c>
      <c r="Y222" s="6">
        <v>-3.2838780000000001</v>
      </c>
      <c r="AA222" s="6">
        <v>-0.36800100000000002</v>
      </c>
      <c r="AC222" s="6">
        <v>3.06792</v>
      </c>
      <c r="AE222" s="6">
        <v>7.0425459999999998</v>
      </c>
      <c r="AG222" s="6">
        <v>-1.0604640000000001</v>
      </c>
      <c r="AI222" s="6">
        <v>2.7024590000000002</v>
      </c>
      <c r="AK222" s="6">
        <v>-3.0179619999999998</v>
      </c>
      <c r="AM222" s="6">
        <v>-3.9676429999999998</v>
      </c>
      <c r="AO222" s="6">
        <v>-1.9292769999999999</v>
      </c>
      <c r="AQ222" s="6">
        <v>5.196434</v>
      </c>
      <c r="AS222" s="6">
        <v>2.8451469999999999</v>
      </c>
      <c r="AU222" s="6">
        <v>3.0091049999999999</v>
      </c>
      <c r="AW222" s="6">
        <v>3.4444189999999999</v>
      </c>
      <c r="AY222" s="6">
        <v>0.71070699999999998</v>
      </c>
      <c r="BA222" s="6">
        <v>1.4095629999999999</v>
      </c>
      <c r="BC222" s="6">
        <v>1.530362</v>
      </c>
      <c r="BE222" s="6">
        <v>-0.74355700000000002</v>
      </c>
    </row>
    <row r="223" spans="1:57" s="36" customFormat="1" ht="12.6" x14ac:dyDescent="0.2">
      <c r="A223" s="24" t="s">
        <v>428</v>
      </c>
      <c r="B223" s="6">
        <v>10.429171999999999</v>
      </c>
      <c r="D223" s="6">
        <v>15.100606000000001</v>
      </c>
      <c r="F223" s="6">
        <v>15.197668999999999</v>
      </c>
      <c r="G223" s="6">
        <v>10.974041</v>
      </c>
      <c r="I223" s="6">
        <v>9.9063770000000009</v>
      </c>
      <c r="K223" s="6">
        <v>1.262497</v>
      </c>
      <c r="M223" s="6">
        <v>5.1551549999999997</v>
      </c>
      <c r="O223" s="6">
        <v>3.8221430000000001</v>
      </c>
      <c r="Q223" s="6">
        <v>-4.3009659999999998</v>
      </c>
      <c r="S223" s="6">
        <v>1.1819949999999999</v>
      </c>
      <c r="U223" s="6">
        <v>-2.1441479999999999</v>
      </c>
      <c r="W223" s="6">
        <v>8.0101329999999997</v>
      </c>
      <c r="Y223" s="6">
        <v>-2.143796</v>
      </c>
      <c r="AA223" s="6">
        <v>-7.4801000000000006E-2</v>
      </c>
      <c r="AC223" s="6">
        <v>3.1431200000000001</v>
      </c>
      <c r="AE223" s="6">
        <v>6.774343</v>
      </c>
      <c r="AG223" s="6">
        <v>-0.90251199999999998</v>
      </c>
      <c r="AI223" s="6">
        <v>3.091072</v>
      </c>
      <c r="AK223" s="6">
        <v>-1.870312</v>
      </c>
      <c r="AM223" s="6">
        <v>-3.5369320000000002</v>
      </c>
      <c r="AO223" s="6">
        <v>-1.7197899999999999</v>
      </c>
      <c r="AQ223" s="6">
        <v>5.0013930000000002</v>
      </c>
      <c r="AS223" s="6">
        <v>2.2992970000000001</v>
      </c>
      <c r="AU223" s="6">
        <v>2.8148460000000002</v>
      </c>
      <c r="AW223" s="6">
        <v>2.1446450000000001</v>
      </c>
      <c r="AY223" s="6">
        <v>0.111234</v>
      </c>
      <c r="BA223" s="6">
        <v>1.291085</v>
      </c>
      <c r="BC223" s="6">
        <v>1.00621</v>
      </c>
      <c r="BE223" s="6">
        <v>-0.81796400000000002</v>
      </c>
    </row>
    <row r="224" spans="1:57" s="36" customFormat="1" ht="12.6" x14ac:dyDescent="0.2">
      <c r="A224" s="24" t="s">
        <v>429</v>
      </c>
      <c r="B224" s="6">
        <v>12.172587</v>
      </c>
      <c r="D224" s="6">
        <v>14.216201999999999</v>
      </c>
      <c r="F224" s="6">
        <v>15.866121</v>
      </c>
      <c r="G224" s="6">
        <v>8.7908779999999993</v>
      </c>
      <c r="I224" s="6">
        <v>18.083552999999998</v>
      </c>
      <c r="K224" s="6">
        <v>0.82101999999999997</v>
      </c>
      <c r="M224" s="6">
        <v>2.7768199999999998</v>
      </c>
      <c r="O224" s="6">
        <v>4.8599100000000002</v>
      </c>
      <c r="Q224" s="6">
        <v>-2.9185500000000002</v>
      </c>
      <c r="S224" s="6">
        <v>2.7850100000000002</v>
      </c>
      <c r="U224" s="6">
        <v>-0.58828999999999998</v>
      </c>
      <c r="W224" s="6">
        <v>4.2149799999999997</v>
      </c>
      <c r="Y224" s="6">
        <v>2.0344600000000002</v>
      </c>
      <c r="AA224" s="6">
        <v>1.3583400000000001</v>
      </c>
      <c r="AC224" s="6">
        <v>-1.07239</v>
      </c>
      <c r="AE224" s="6">
        <v>4.1476499999999996</v>
      </c>
      <c r="AG224" s="6">
        <v>-5.0137600000000004</v>
      </c>
      <c r="AI224" s="6">
        <v>4.4288999999999996</v>
      </c>
      <c r="AK224" s="6">
        <v>1.30484</v>
      </c>
      <c r="AM224" s="6">
        <v>-1.85168</v>
      </c>
      <c r="AO224" s="6">
        <v>-2.6498900000000001</v>
      </c>
      <c r="AQ224" s="6">
        <v>3.0565500000000001</v>
      </c>
      <c r="AS224" s="6">
        <v>3.1148099999999999</v>
      </c>
      <c r="AU224" s="6">
        <v>1.19868</v>
      </c>
      <c r="AW224" s="6">
        <v>3.0005299999999999</v>
      </c>
      <c r="AY224" s="6">
        <v>1.75589</v>
      </c>
      <c r="BA224" s="6">
        <v>0.11252</v>
      </c>
      <c r="BC224" s="6">
        <v>2.0873300000000001</v>
      </c>
      <c r="BE224" s="6">
        <v>1.4117900000000001</v>
      </c>
    </row>
    <row r="225" spans="1:57" s="36" customFormat="1" ht="12.6" x14ac:dyDescent="0.2">
      <c r="A225" s="24" t="s">
        <v>430</v>
      </c>
      <c r="B225" s="6">
        <v>14.645837</v>
      </c>
      <c r="D225" s="6">
        <v>15.151983</v>
      </c>
      <c r="F225" s="6">
        <v>17.377652000000001</v>
      </c>
      <c r="G225" s="6">
        <v>9.0456459999999996</v>
      </c>
      <c r="I225" s="6">
        <v>12.152367</v>
      </c>
      <c r="K225" s="6">
        <v>3.4882849999999999</v>
      </c>
      <c r="M225" s="6">
        <v>3.9710109999999998</v>
      </c>
      <c r="O225" s="6">
        <v>4.4861389999999997</v>
      </c>
      <c r="Q225" s="6">
        <v>-2.9449360000000002</v>
      </c>
      <c r="S225" s="6">
        <v>0.738506</v>
      </c>
      <c r="U225" s="6">
        <v>-1.2894399999999999</v>
      </c>
      <c r="W225" s="6">
        <v>7.1564420000000002</v>
      </c>
      <c r="Y225" s="6">
        <v>-1.032162</v>
      </c>
      <c r="AA225" s="6">
        <v>-0.539906</v>
      </c>
      <c r="AC225" s="6">
        <v>3.627815</v>
      </c>
      <c r="AE225" s="6">
        <v>4.4162220000000003</v>
      </c>
      <c r="AG225" s="6">
        <v>-0.79869500000000004</v>
      </c>
      <c r="AI225" s="6">
        <v>3.7326860000000002</v>
      </c>
      <c r="AK225" s="6">
        <v>1.8799619999999999</v>
      </c>
      <c r="AM225" s="6">
        <v>-1.4587000000000001</v>
      </c>
      <c r="AO225" s="6">
        <v>-3.9404729999999999</v>
      </c>
      <c r="AQ225" s="6">
        <v>2.4658220000000002</v>
      </c>
      <c r="AS225" s="6">
        <v>1.8028299999999999</v>
      </c>
      <c r="AU225" s="6">
        <v>2.2141829999999998</v>
      </c>
      <c r="AW225" s="6">
        <v>1.9022950000000001</v>
      </c>
      <c r="AY225" s="6">
        <v>0.46803600000000001</v>
      </c>
      <c r="BA225" s="6">
        <v>0.74129500000000004</v>
      </c>
      <c r="BC225" s="6">
        <v>1.9335260000000001</v>
      </c>
      <c r="BE225" s="6">
        <v>1.3544E-2</v>
      </c>
    </row>
    <row r="226" spans="1:57" s="36" customFormat="1" ht="12.6" x14ac:dyDescent="0.2">
      <c r="A226" s="24" t="s">
        <v>431</v>
      </c>
      <c r="B226" s="6">
        <v>8.6766950000000005</v>
      </c>
      <c r="D226" s="6">
        <v>13.941293999999999</v>
      </c>
      <c r="F226" s="6">
        <v>15.674118999999999</v>
      </c>
      <c r="G226" s="6">
        <v>15.266874</v>
      </c>
      <c r="I226" s="6">
        <v>22.979901000000002</v>
      </c>
      <c r="K226" s="6">
        <v>1.46421</v>
      </c>
      <c r="M226" s="6">
        <v>0.76363000000000003</v>
      </c>
      <c r="O226" s="6">
        <v>7.9681600000000001</v>
      </c>
      <c r="Q226" s="6">
        <v>-8.6925699999999999</v>
      </c>
      <c r="S226" s="6">
        <v>0.10279000000000001</v>
      </c>
      <c r="U226" s="6">
        <v>-1.57359</v>
      </c>
      <c r="W226" s="6">
        <v>10.1091</v>
      </c>
      <c r="Y226" s="6">
        <v>2.8243</v>
      </c>
      <c r="AA226" s="6">
        <v>4.4999399999999996</v>
      </c>
      <c r="AC226" s="6">
        <v>-3.0093000000000001</v>
      </c>
      <c r="AE226" s="6">
        <v>1.5058800000000001</v>
      </c>
      <c r="AG226" s="6">
        <v>-5.9398600000000004</v>
      </c>
      <c r="AI226" s="6">
        <v>5.5724400000000003</v>
      </c>
      <c r="AK226" s="6">
        <v>-1.2257800000000001</v>
      </c>
      <c r="AM226" s="6">
        <v>-2.5266799999999998</v>
      </c>
      <c r="AO226" s="6">
        <v>6.8541600000000003</v>
      </c>
      <c r="AQ226" s="6">
        <v>2.5667300000000002</v>
      </c>
      <c r="AS226" s="6">
        <v>0.89710999999999996</v>
      </c>
      <c r="AU226" s="6">
        <v>3.72763</v>
      </c>
      <c r="AW226" s="6">
        <v>7.26593</v>
      </c>
      <c r="AY226" s="6">
        <v>-2.2824499999999999</v>
      </c>
      <c r="BA226" s="6">
        <v>0.5151</v>
      </c>
      <c r="BC226" s="6">
        <v>-0.75387999999999999</v>
      </c>
      <c r="BE226" s="6">
        <v>0.87971999999999995</v>
      </c>
    </row>
    <row r="227" spans="1:57" s="36" customFormat="1" ht="12.6" x14ac:dyDescent="0.2">
      <c r="A227" s="24" t="s">
        <v>432</v>
      </c>
      <c r="B227" s="6">
        <v>13.919822</v>
      </c>
      <c r="D227" s="6">
        <v>37.033755999999997</v>
      </c>
      <c r="F227" s="6">
        <v>39.091475000000003</v>
      </c>
      <c r="G227" s="6">
        <v>16.460999999999999</v>
      </c>
      <c r="I227" s="6">
        <v>18.263030000000001</v>
      </c>
      <c r="K227" s="6">
        <v>4.3096160000000001</v>
      </c>
      <c r="M227" s="6">
        <v>9.1935099999999998</v>
      </c>
      <c r="O227" s="6">
        <v>0.95628899999999994</v>
      </c>
      <c r="Q227" s="6">
        <v>-2.6778230000000001</v>
      </c>
      <c r="S227" s="6">
        <v>4.924912</v>
      </c>
      <c r="U227" s="6">
        <v>2.5285769999999999</v>
      </c>
      <c r="W227" s="6">
        <v>4.4017499999999998</v>
      </c>
      <c r="Y227" s="6">
        <v>-0.18052099999999999</v>
      </c>
      <c r="AA227" s="6">
        <v>5.9633099999999999</v>
      </c>
      <c r="AC227" s="6">
        <v>3.441281</v>
      </c>
      <c r="AE227" s="6">
        <v>13.32193</v>
      </c>
      <c r="AG227" s="6">
        <v>4.9725289999999998</v>
      </c>
      <c r="AI227" s="6">
        <v>3.1113019999999998</v>
      </c>
      <c r="AK227" s="6">
        <v>4.5592249999999996</v>
      </c>
      <c r="AM227" s="6">
        <v>-4.8913929999999999</v>
      </c>
      <c r="AO227" s="6">
        <v>6.862571</v>
      </c>
      <c r="AQ227" s="6">
        <v>6.8469179999999996</v>
      </c>
      <c r="AS227" s="6">
        <v>5.3362780000000001</v>
      </c>
      <c r="AU227" s="6">
        <v>0.68971400000000005</v>
      </c>
      <c r="AW227" s="6">
        <v>4.6565120000000002</v>
      </c>
      <c r="AY227" s="6">
        <v>5.7144550000000001</v>
      </c>
      <c r="BA227" s="6">
        <v>-5.2057390000000003</v>
      </c>
      <c r="BC227" s="6">
        <v>-2.8439700000000001</v>
      </c>
      <c r="BE227" s="6">
        <v>-6.5331900000000003</v>
      </c>
    </row>
    <row r="228" spans="1:57" s="36" customFormat="1" ht="12.6" x14ac:dyDescent="0.2">
      <c r="A228" s="24" t="s">
        <v>433</v>
      </c>
      <c r="B228" s="6">
        <v>18.428626000000001</v>
      </c>
      <c r="D228" s="6">
        <v>33.625678000000001</v>
      </c>
      <c r="F228" s="6">
        <v>24.574665</v>
      </c>
      <c r="G228" s="6">
        <v>14.335217</v>
      </c>
      <c r="I228" s="6">
        <v>12.127133000000001</v>
      </c>
      <c r="K228" s="6">
        <v>5.1604229999999998</v>
      </c>
      <c r="M228" s="6">
        <v>6.9747890000000003</v>
      </c>
      <c r="O228" s="6">
        <v>1.017981</v>
      </c>
      <c r="Q228" s="6">
        <v>-3.9898470000000001</v>
      </c>
      <c r="S228" s="6">
        <v>3.8479800000000002</v>
      </c>
      <c r="U228" s="6">
        <v>5.8005870000000002</v>
      </c>
      <c r="W228" s="6">
        <v>0.63434800000000002</v>
      </c>
      <c r="Y228" s="6">
        <v>-2.6469399999999998</v>
      </c>
      <c r="AA228" s="6">
        <v>0.28753499999999999</v>
      </c>
      <c r="AC228" s="6">
        <v>5.0416759999999998</v>
      </c>
      <c r="AE228" s="6">
        <v>5.8619539999999999</v>
      </c>
      <c r="AG228" s="6">
        <v>5.6741229999999998</v>
      </c>
      <c r="AI228" s="6">
        <v>1.487193</v>
      </c>
      <c r="AK228" s="6">
        <v>-2.4149569999999998</v>
      </c>
      <c r="AM228" s="6">
        <v>-7.8283160000000001</v>
      </c>
      <c r="AO228" s="6">
        <v>-1.107572</v>
      </c>
      <c r="AQ228" s="6">
        <v>8.4799299999999995</v>
      </c>
      <c r="AS228" s="6">
        <v>4.4073479999999998</v>
      </c>
      <c r="AU228" s="6">
        <v>4.2291410000000003</v>
      </c>
      <c r="AW228" s="6">
        <v>-0.74087400000000003</v>
      </c>
      <c r="AY228" s="6">
        <v>4.1347880000000004</v>
      </c>
      <c r="BA228" s="6">
        <v>6.092428</v>
      </c>
      <c r="BC228" s="6">
        <v>-1.758678</v>
      </c>
      <c r="BE228" s="6">
        <v>-2.3345039999999999</v>
      </c>
    </row>
    <row r="229" spans="1:57" s="36" customFormat="1" ht="12.6" x14ac:dyDescent="0.2">
      <c r="A229" s="24" t="s">
        <v>433</v>
      </c>
      <c r="B229" s="6">
        <v>18.428622000000001</v>
      </c>
      <c r="D229" s="6">
        <v>33.625672999999999</v>
      </c>
      <c r="F229" s="6">
        <v>24.574662</v>
      </c>
      <c r="G229" s="6">
        <v>14.335217999999999</v>
      </c>
      <c r="I229" s="6">
        <v>12.127126000000001</v>
      </c>
      <c r="K229" s="6">
        <v>5.1604200000000002</v>
      </c>
      <c r="M229" s="6">
        <v>6.9747870000000001</v>
      </c>
      <c r="O229" s="6">
        <v>1.0179819999999999</v>
      </c>
      <c r="Q229" s="6">
        <v>-3.9898509999999998</v>
      </c>
      <c r="S229" s="6">
        <v>3.8479760000000001</v>
      </c>
      <c r="U229" s="6">
        <v>5.800592</v>
      </c>
      <c r="W229" s="6">
        <v>0.63434500000000005</v>
      </c>
      <c r="Y229" s="6">
        <v>-2.6469390000000002</v>
      </c>
      <c r="AA229" s="6">
        <v>0.28753499999999999</v>
      </c>
      <c r="AC229" s="6">
        <v>5.0416809999999996</v>
      </c>
      <c r="AE229" s="6">
        <v>5.8619579999999996</v>
      </c>
      <c r="AG229" s="6">
        <v>5.6741270000000004</v>
      </c>
      <c r="AI229" s="6">
        <v>1.4871970000000001</v>
      </c>
      <c r="AK229" s="6">
        <v>-2.4149579999999999</v>
      </c>
      <c r="AM229" s="6">
        <v>-7.8283129999999996</v>
      </c>
      <c r="AO229" s="6">
        <v>-1.1075759999999999</v>
      </c>
      <c r="AQ229" s="6">
        <v>8.479927</v>
      </c>
      <c r="AS229" s="6">
        <v>4.4073520000000004</v>
      </c>
      <c r="AU229" s="6">
        <v>4.2291379999999998</v>
      </c>
      <c r="AW229" s="6">
        <v>-0.74087199999999998</v>
      </c>
      <c r="AY229" s="6">
        <v>4.1347839999999998</v>
      </c>
      <c r="BA229" s="6">
        <v>6.092428</v>
      </c>
      <c r="BC229" s="6">
        <v>-1.7586790000000001</v>
      </c>
      <c r="BE229" s="6">
        <v>-2.334508</v>
      </c>
    </row>
    <row r="230" spans="1:57" s="36" customFormat="1" ht="12.6" x14ac:dyDescent="0.2">
      <c r="A230" s="24" t="s">
        <v>434</v>
      </c>
      <c r="B230" s="6">
        <v>14.457356000000001</v>
      </c>
      <c r="D230" s="6">
        <v>24.602315000000001</v>
      </c>
      <c r="F230" s="6">
        <v>17.607178999999999</v>
      </c>
      <c r="G230" s="6">
        <v>14.760662999999999</v>
      </c>
      <c r="I230" s="6">
        <v>5.4637630000000001</v>
      </c>
      <c r="K230" s="6">
        <v>7.3183550000000004</v>
      </c>
      <c r="M230" s="6">
        <v>4.9753369999999997</v>
      </c>
      <c r="O230" s="6">
        <v>-2.4063490000000001</v>
      </c>
      <c r="Q230" s="6">
        <v>-3.7032560000000001</v>
      </c>
      <c r="S230" s="6">
        <v>-3.3077570000000001</v>
      </c>
      <c r="U230" s="6">
        <v>5.1388680000000004</v>
      </c>
      <c r="W230" s="6">
        <v>1.2934460000000001</v>
      </c>
      <c r="Y230" s="6">
        <v>2.3526470000000002</v>
      </c>
      <c r="AA230" s="6">
        <v>-2.2062849999999998</v>
      </c>
      <c r="AC230" s="6">
        <v>7.5276699999999996</v>
      </c>
      <c r="AE230" s="6">
        <v>5.5807849999999997</v>
      </c>
      <c r="AG230" s="6">
        <v>5.8567410000000004</v>
      </c>
      <c r="AI230" s="6">
        <v>5.8195009999999998</v>
      </c>
      <c r="AK230" s="6">
        <v>-1.832776</v>
      </c>
      <c r="AM230" s="6">
        <v>-4.8262229999999997</v>
      </c>
      <c r="AO230" s="6">
        <v>2.8894790000000001</v>
      </c>
      <c r="AQ230" s="6">
        <v>7.330794</v>
      </c>
      <c r="AS230" s="6">
        <v>3.5309119999999998</v>
      </c>
      <c r="AU230" s="6">
        <v>-2.0198469999999999</v>
      </c>
      <c r="AW230" s="6">
        <v>-0.93166599999999999</v>
      </c>
      <c r="AY230" s="6">
        <v>2.6428020000000001</v>
      </c>
      <c r="BA230" s="6">
        <v>2.9464130000000002</v>
      </c>
      <c r="BC230" s="6">
        <v>-4.7238090000000001</v>
      </c>
      <c r="BE230" s="6">
        <v>-4.5246380000000004</v>
      </c>
    </row>
    <row r="231" spans="1:57" s="36" customFormat="1" ht="12.6" x14ac:dyDescent="0.2">
      <c r="A231" s="24" t="s">
        <v>435</v>
      </c>
      <c r="B231" s="6">
        <v>5.8042990000000003</v>
      </c>
      <c r="D231" s="6">
        <v>10.010802</v>
      </c>
      <c r="F231" s="6">
        <v>8.1894950000000009</v>
      </c>
      <c r="G231" s="6">
        <v>12.065497000000001</v>
      </c>
      <c r="I231" s="6">
        <v>0.43763099999999999</v>
      </c>
      <c r="K231" s="6">
        <v>2.0577749999999999</v>
      </c>
      <c r="M231" s="6">
        <v>4.4969260000000002</v>
      </c>
      <c r="O231" s="6">
        <v>2.6514690000000001</v>
      </c>
      <c r="Q231" s="6">
        <v>-3.584876</v>
      </c>
      <c r="S231" s="6">
        <v>-0.96079099999999995</v>
      </c>
      <c r="U231" s="6">
        <v>1.187994</v>
      </c>
      <c r="W231" s="6">
        <v>4.667643</v>
      </c>
      <c r="Y231" s="6">
        <v>2.6008749999999998</v>
      </c>
      <c r="AA231" s="6">
        <v>2.0530330000000001</v>
      </c>
      <c r="AC231" s="6">
        <v>-1.939257</v>
      </c>
      <c r="AE231" s="6">
        <v>6.3572170000000003</v>
      </c>
      <c r="AG231" s="6">
        <v>-3.6113119999999999</v>
      </c>
      <c r="AI231" s="6">
        <v>4.9243300000000003</v>
      </c>
      <c r="AK231" s="6">
        <v>-4.5901550000000002</v>
      </c>
      <c r="AM231" s="6">
        <v>-4.7333449999999999</v>
      </c>
      <c r="AO231" s="6">
        <v>4.9584820000000001</v>
      </c>
      <c r="AQ231" s="6">
        <v>5.209822</v>
      </c>
      <c r="AS231" s="6">
        <v>1.114552</v>
      </c>
      <c r="AU231" s="6">
        <v>2.9138130000000002</v>
      </c>
      <c r="AW231" s="6">
        <v>0.82025300000000001</v>
      </c>
      <c r="AY231" s="6">
        <v>-2.8092980000000001</v>
      </c>
      <c r="BA231" s="6">
        <v>-0.97975999999999996</v>
      </c>
      <c r="BC231" s="6">
        <v>-2.5356079999999999</v>
      </c>
      <c r="BE231" s="6">
        <v>-3.0868890000000002</v>
      </c>
    </row>
    <row r="232" spans="1:57" s="36" customFormat="1" ht="12.6" x14ac:dyDescent="0.2">
      <c r="A232" s="24" t="s">
        <v>436</v>
      </c>
      <c r="B232" s="6">
        <v>13.255770999999999</v>
      </c>
      <c r="D232" s="6">
        <v>18.670922999999998</v>
      </c>
      <c r="F232" s="6">
        <v>16.095911999999998</v>
      </c>
      <c r="G232" s="6">
        <v>11.184658000000001</v>
      </c>
      <c r="I232" s="6">
        <v>4.5394779999999999</v>
      </c>
      <c r="K232" s="6">
        <v>6.8092389999999998</v>
      </c>
      <c r="M232" s="6">
        <v>7.0882769999999997</v>
      </c>
      <c r="O232" s="6">
        <v>2.571637</v>
      </c>
      <c r="Q232" s="6">
        <v>-4.9983009999999997</v>
      </c>
      <c r="S232" s="6">
        <v>1.1896899999999999</v>
      </c>
      <c r="U232" s="6">
        <v>2.3881920000000001</v>
      </c>
      <c r="W232" s="6">
        <v>3.596409</v>
      </c>
      <c r="Y232" s="6">
        <v>-1.3679779999999999</v>
      </c>
      <c r="AA232" s="6">
        <v>-1.67923</v>
      </c>
      <c r="AC232" s="6">
        <v>4.2291220000000003</v>
      </c>
      <c r="AE232" s="6">
        <v>5.4390710000000002</v>
      </c>
      <c r="AG232" s="6">
        <v>1.1252040000000001</v>
      </c>
      <c r="AI232" s="6">
        <v>2.0908699999999998</v>
      </c>
      <c r="AK232" s="6">
        <v>-0.37971500000000002</v>
      </c>
      <c r="AM232" s="6">
        <v>-5.3590140000000002</v>
      </c>
      <c r="AO232" s="6">
        <v>-2.5708329999999999</v>
      </c>
      <c r="AQ232" s="6">
        <v>4.5915999999999997</v>
      </c>
      <c r="AS232" s="6">
        <v>0.98319400000000001</v>
      </c>
      <c r="AU232" s="6">
        <v>1.1599189999999999</v>
      </c>
      <c r="AW232" s="6">
        <v>1.9898990000000001</v>
      </c>
      <c r="AY232" s="6">
        <v>0.970248</v>
      </c>
      <c r="BA232" s="6">
        <v>3.0287160000000002</v>
      </c>
      <c r="BC232" s="6">
        <v>-0.80876099999999995</v>
      </c>
      <c r="BE232" s="6">
        <v>-0.86184499999999997</v>
      </c>
    </row>
    <row r="233" spans="1:57" s="36" customFormat="1" ht="12.6" x14ac:dyDescent="0.2">
      <c r="A233" s="24" t="s">
        <v>437</v>
      </c>
      <c r="B233" s="6">
        <v>9.5564520000000002</v>
      </c>
      <c r="D233" s="6">
        <v>22.532081999999999</v>
      </c>
      <c r="F233" s="6">
        <v>14.686982</v>
      </c>
      <c r="G233" s="6">
        <v>17.035948000000001</v>
      </c>
      <c r="I233" s="6">
        <v>0.71466799999999997</v>
      </c>
      <c r="K233" s="6">
        <v>6.3557509999999997</v>
      </c>
      <c r="M233" s="6">
        <v>1.204566</v>
      </c>
      <c r="O233" s="6">
        <v>-0.71003799999999995</v>
      </c>
      <c r="Q233" s="6">
        <v>-4.2054220000000004</v>
      </c>
      <c r="S233" s="6">
        <v>-5.3004319999999998</v>
      </c>
      <c r="U233" s="6">
        <v>4.8559289999999997</v>
      </c>
      <c r="W233" s="6">
        <v>2.3880249999999998</v>
      </c>
      <c r="Y233" s="6">
        <v>1.1407149999999999</v>
      </c>
      <c r="AA233" s="6">
        <v>-0.43045899999999998</v>
      </c>
      <c r="AC233" s="6">
        <v>5.2860050000000003</v>
      </c>
      <c r="AE233" s="6">
        <v>10.509496</v>
      </c>
      <c r="AG233" s="6">
        <v>7.0816929999999996</v>
      </c>
      <c r="AI233" s="6">
        <v>6.8422400000000003</v>
      </c>
      <c r="AK233" s="6">
        <v>-3.2774549999999998</v>
      </c>
      <c r="AM233" s="6">
        <v>-8.2023399999999995</v>
      </c>
      <c r="AO233" s="6">
        <v>0.458397</v>
      </c>
      <c r="AQ233" s="6">
        <v>9.6387300000000007</v>
      </c>
      <c r="AS233" s="6">
        <v>3.670585</v>
      </c>
      <c r="AU233" s="6">
        <v>-2.9050799999999999</v>
      </c>
      <c r="AW233" s="6">
        <v>-0.27952399999999999</v>
      </c>
      <c r="AY233" s="6">
        <v>2.0648200000000001</v>
      </c>
      <c r="BA233" s="6">
        <v>2.47634</v>
      </c>
      <c r="BC233" s="6">
        <v>-3.2053280000000002</v>
      </c>
      <c r="BE233" s="6">
        <v>-5.1466570000000003</v>
      </c>
    </row>
    <row r="234" spans="1:57" s="36" customFormat="1" ht="12.6" x14ac:dyDescent="0.2">
      <c r="A234" s="24" t="s">
        <v>438</v>
      </c>
      <c r="B234" s="6">
        <v>13.283281000000001</v>
      </c>
      <c r="D234" s="6">
        <v>11.829863</v>
      </c>
      <c r="F234" s="6">
        <v>8.0222610000000003</v>
      </c>
      <c r="G234" s="6">
        <v>12.452258</v>
      </c>
      <c r="I234" s="6">
        <v>-1.0495669999999999</v>
      </c>
      <c r="K234" s="6">
        <v>3.4517000000000002</v>
      </c>
      <c r="M234" s="6">
        <v>3.0156580000000002</v>
      </c>
      <c r="O234" s="6">
        <v>0.78122599999999998</v>
      </c>
      <c r="Q234" s="6">
        <v>1.6793800000000001</v>
      </c>
      <c r="S234" s="6">
        <v>-2.3734950000000001</v>
      </c>
      <c r="U234" s="6">
        <v>6.42814</v>
      </c>
      <c r="W234" s="6">
        <v>5.9279109999999999</v>
      </c>
      <c r="Y234" s="6">
        <v>-2.6159129999999999</v>
      </c>
      <c r="AA234" s="6">
        <v>0.113403</v>
      </c>
      <c r="AC234" s="6">
        <v>-0.90053300000000003</v>
      </c>
      <c r="AE234" s="6">
        <v>-0.19971</v>
      </c>
      <c r="AG234" s="6">
        <v>1.750712</v>
      </c>
      <c r="AI234" s="6">
        <v>-2.3265609999999999</v>
      </c>
      <c r="AK234" s="6">
        <v>-6.4561549999999999</v>
      </c>
      <c r="AM234" s="6">
        <v>8.6100399999999997</v>
      </c>
      <c r="AO234" s="6">
        <v>1.961446</v>
      </c>
      <c r="AQ234" s="6">
        <v>4.4648E-2</v>
      </c>
      <c r="AS234" s="6">
        <v>1.2866340000000001</v>
      </c>
      <c r="AU234" s="6">
        <v>-3.1099070000000002</v>
      </c>
      <c r="AW234" s="6">
        <v>-3.5064350000000002</v>
      </c>
      <c r="AY234" s="6">
        <v>-1.1155919999999999</v>
      </c>
      <c r="BA234" s="6">
        <v>5.9322239999999997</v>
      </c>
      <c r="BC234" s="6">
        <v>0.97331699999999999</v>
      </c>
      <c r="BE234" s="6">
        <v>-2.4036019999999998</v>
      </c>
    </row>
    <row r="235" spans="1:57" s="36" customFormat="1" ht="12.6" x14ac:dyDescent="0.2">
      <c r="A235" s="24" t="s">
        <v>439</v>
      </c>
      <c r="B235" s="6">
        <v>24.808426999999998</v>
      </c>
      <c r="D235" s="6">
        <v>47.576898</v>
      </c>
      <c r="F235" s="6">
        <v>70.996542000000005</v>
      </c>
      <c r="G235" s="6">
        <v>29.963979999999999</v>
      </c>
      <c r="I235" s="6">
        <v>139.806085</v>
      </c>
      <c r="K235" s="6">
        <v>-6.9241089999999996</v>
      </c>
      <c r="M235" s="6">
        <v>-4.6751079999999998</v>
      </c>
      <c r="O235" s="6">
        <v>19.382218999999999</v>
      </c>
      <c r="Q235" s="6">
        <v>6.6132270000000002</v>
      </c>
      <c r="S235" s="6">
        <v>3.4821219999999999</v>
      </c>
      <c r="U235" s="6">
        <v>-4.1098939999999997</v>
      </c>
      <c r="W235" s="6">
        <v>13.431089</v>
      </c>
      <c r="Y235" s="6">
        <v>-1.408099</v>
      </c>
      <c r="AA235" s="6">
        <v>0.80754599999999999</v>
      </c>
      <c r="AC235" s="6">
        <v>7.4179950000000003</v>
      </c>
      <c r="AE235" s="6">
        <v>-6.5832360000000003</v>
      </c>
      <c r="AG235" s="6">
        <v>-3.8137880000000002</v>
      </c>
      <c r="AI235" s="6">
        <v>14.065467999999999</v>
      </c>
      <c r="AK235" s="6">
        <v>2.3207399999999998</v>
      </c>
      <c r="AM235" s="6">
        <v>15.16412</v>
      </c>
      <c r="AO235" s="6">
        <v>4.1485450000000004</v>
      </c>
      <c r="AQ235" s="6">
        <v>2.4234049999999998</v>
      </c>
      <c r="AS235" s="6">
        <v>1.171969</v>
      </c>
      <c r="AU235" s="6">
        <v>1.192358</v>
      </c>
      <c r="AW235" s="6">
        <v>19.747776000000002</v>
      </c>
      <c r="AY235" s="6">
        <v>19.486125000000001</v>
      </c>
      <c r="BA235" s="6">
        <v>-4.2297169999999999</v>
      </c>
      <c r="BC235" s="6">
        <v>14.982815</v>
      </c>
      <c r="BE235" s="6">
        <v>3.685057</v>
      </c>
    </row>
    <row r="236" spans="1:57" s="36" customFormat="1" ht="12.6" x14ac:dyDescent="0.2">
      <c r="A236" s="24" t="s">
        <v>440</v>
      </c>
      <c r="B236" s="6">
        <v>23.989989000000001</v>
      </c>
      <c r="D236" s="6">
        <v>53.906972000000003</v>
      </c>
      <c r="F236" s="6">
        <v>36.649839999999998</v>
      </c>
      <c r="G236" s="6">
        <v>20.4298</v>
      </c>
      <c r="I236" s="6">
        <v>12.20107</v>
      </c>
      <c r="K236" s="6">
        <v>6.7116619999999996</v>
      </c>
      <c r="M236" s="6">
        <v>11.515886999999999</v>
      </c>
      <c r="O236" s="6">
        <v>0.89940900000000001</v>
      </c>
      <c r="Q236" s="6">
        <v>-2.4098440000000001</v>
      </c>
      <c r="S236" s="6">
        <v>3.8118099999999999</v>
      </c>
      <c r="U236" s="6">
        <v>9.1616379999999999</v>
      </c>
      <c r="W236" s="6">
        <v>0.92957900000000004</v>
      </c>
      <c r="Y236" s="6">
        <v>-4.2987209999999996</v>
      </c>
      <c r="AA236" s="6">
        <v>0.59999100000000005</v>
      </c>
      <c r="AC236" s="6">
        <v>7.8759269999999999</v>
      </c>
      <c r="AE236" s="6">
        <v>7.3349409999999997</v>
      </c>
      <c r="AG236" s="6">
        <v>11.393891</v>
      </c>
      <c r="AI236" s="6">
        <v>2.4454189999999998</v>
      </c>
      <c r="AK236" s="6">
        <v>-4.6242960000000002</v>
      </c>
      <c r="AM236" s="6">
        <v>-10.61308</v>
      </c>
      <c r="AO236" s="6">
        <v>4.4060949999999997</v>
      </c>
      <c r="AQ236" s="6">
        <v>11.145087999999999</v>
      </c>
      <c r="AS236" s="6">
        <v>6.6301040000000002</v>
      </c>
      <c r="AU236" s="6">
        <v>3.3656730000000001</v>
      </c>
      <c r="AW236" s="6">
        <v>-1.0817220000000001</v>
      </c>
      <c r="AY236" s="6">
        <v>4.3477399999999999</v>
      </c>
      <c r="BA236" s="6">
        <v>6.0135540000000001</v>
      </c>
      <c r="BC236" s="6">
        <v>-1.8908469999999999</v>
      </c>
      <c r="BE236" s="6">
        <v>-6.4400639999999996</v>
      </c>
    </row>
    <row r="237" spans="1:57" s="36" customFormat="1" ht="12.6" x14ac:dyDescent="0.2">
      <c r="A237" s="24" t="s">
        <v>441</v>
      </c>
      <c r="B237" s="6"/>
      <c r="D237" s="6"/>
      <c r="F237" s="6"/>
      <c r="G237" s="6"/>
      <c r="I237" s="6"/>
      <c r="K237" s="6">
        <v>0.69622300000000004</v>
      </c>
      <c r="M237" s="6">
        <v>0.66889699999999996</v>
      </c>
      <c r="O237" s="6">
        <v>0.70879400000000004</v>
      </c>
      <c r="Q237" s="6">
        <v>0.680226</v>
      </c>
      <c r="S237" s="6">
        <v>0.694268</v>
      </c>
      <c r="U237" s="6">
        <v>0.66331799999999996</v>
      </c>
      <c r="W237" s="6">
        <v>0.67773000000000005</v>
      </c>
      <c r="Y237" s="6">
        <v>0.65467699999999995</v>
      </c>
      <c r="AA237" s="6">
        <v>0.62054699999999996</v>
      </c>
      <c r="AC237" s="6">
        <v>0.64951999999999999</v>
      </c>
      <c r="AE237" s="6">
        <v>0.65249900000000005</v>
      </c>
      <c r="AG237" s="6">
        <v>0.68275699999999995</v>
      </c>
      <c r="AI237" s="6">
        <v>0.69428800000000002</v>
      </c>
      <c r="AK237" s="6">
        <v>0.63554699999999997</v>
      </c>
      <c r="AM237" s="6">
        <v>0.65737000000000001</v>
      </c>
      <c r="AO237" s="6">
        <v>0.64010800000000001</v>
      </c>
      <c r="AQ237" s="6">
        <v>0.65265700000000004</v>
      </c>
      <c r="AS237" s="6">
        <v>0.653478</v>
      </c>
      <c r="AU237" s="6">
        <v>0.668937</v>
      </c>
      <c r="AW237" s="6">
        <v>0.67704200000000003</v>
      </c>
      <c r="AY237" s="6">
        <v>0.67213000000000001</v>
      </c>
      <c r="BA237" s="6"/>
      <c r="BC237" s="6"/>
      <c r="BE237" s="6"/>
    </row>
    <row r="238" spans="1:57" s="36" customFormat="1" ht="12.6" x14ac:dyDescent="0.2">
      <c r="A238" s="24" t="s">
        <v>442</v>
      </c>
      <c r="B238" s="6">
        <v>2.7593610000000002</v>
      </c>
      <c r="D238" s="6">
        <v>4.0663770000000001</v>
      </c>
      <c r="F238" s="6">
        <v>4.1103779999999999</v>
      </c>
      <c r="G238" s="6">
        <v>9.8744999999999999E-2</v>
      </c>
      <c r="I238" s="6">
        <v>3.8225280000000001</v>
      </c>
      <c r="K238" s="6">
        <v>0.36229899999999998</v>
      </c>
      <c r="M238" s="6">
        <v>0.33809499999999998</v>
      </c>
      <c r="O238" s="6">
        <v>0.36153800000000003</v>
      </c>
      <c r="Q238" s="6">
        <v>0.351692</v>
      </c>
      <c r="S238" s="6">
        <v>0.36323499999999997</v>
      </c>
      <c r="U238" s="6">
        <v>0.35304600000000003</v>
      </c>
      <c r="W238" s="6">
        <v>0.37121500000000002</v>
      </c>
      <c r="Y238" s="6">
        <v>0.36434899999999998</v>
      </c>
      <c r="AA238" s="6">
        <v>0.35552</v>
      </c>
      <c r="AC238" s="6">
        <v>0.366844</v>
      </c>
      <c r="AE238" s="6">
        <v>0.35597099999999998</v>
      </c>
      <c r="AG238" s="6">
        <v>0.36894700000000002</v>
      </c>
      <c r="AI238" s="6">
        <v>0.361319</v>
      </c>
      <c r="AK238" s="6">
        <v>0.31449100000000002</v>
      </c>
      <c r="AM238" s="6">
        <v>0.34289399999999998</v>
      </c>
      <c r="AO238" s="6">
        <v>0.324575</v>
      </c>
      <c r="AQ238" s="6">
        <v>0.31557200000000002</v>
      </c>
      <c r="AS238" s="6">
        <v>0.29785200000000001</v>
      </c>
      <c r="AU238" s="6">
        <v>0.30741400000000002</v>
      </c>
      <c r="AW238" s="6">
        <v>0.30205500000000002</v>
      </c>
      <c r="AY238" s="6">
        <v>0.28925400000000001</v>
      </c>
      <c r="BA238" s="6">
        <v>0.29704199999999997</v>
      </c>
      <c r="BC238" s="6">
        <v>0.29487600000000003</v>
      </c>
      <c r="BE238" s="6">
        <v>0.30982799999999999</v>
      </c>
    </row>
    <row r="239" spans="1:57" s="36" customFormat="1" ht="12.6" x14ac:dyDescent="0.2">
      <c r="A239" s="24" t="s">
        <v>443</v>
      </c>
      <c r="B239" s="6">
        <v>3.7867359999999999</v>
      </c>
      <c r="D239" s="6">
        <v>5.1071650000000002</v>
      </c>
      <c r="F239" s="6">
        <v>5.1520830000000002</v>
      </c>
      <c r="G239" s="6">
        <v>0.100939</v>
      </c>
      <c r="I239" s="6">
        <v>4.8599319999999997</v>
      </c>
      <c r="K239" s="6">
        <v>0.44708300000000001</v>
      </c>
      <c r="M239" s="6">
        <v>0.41738700000000001</v>
      </c>
      <c r="O239" s="6">
        <v>0.44632100000000002</v>
      </c>
      <c r="Q239" s="6">
        <v>0.43373099999999998</v>
      </c>
      <c r="S239" s="6">
        <v>0.44801999999999997</v>
      </c>
      <c r="U239" s="6">
        <v>0.43508599999999997</v>
      </c>
      <c r="W239" s="6">
        <v>0.45600600000000002</v>
      </c>
      <c r="Y239" s="6">
        <v>0.44913399999999998</v>
      </c>
      <c r="AA239" s="6">
        <v>0.43756200000000001</v>
      </c>
      <c r="AC239" s="6">
        <v>0.451631</v>
      </c>
      <c r="AE239" s="6">
        <v>0.43801299999999999</v>
      </c>
      <c r="AG239" s="6">
        <v>0.453737</v>
      </c>
      <c r="AI239" s="6">
        <v>0.446102</v>
      </c>
      <c r="AK239" s="6">
        <v>0.39103100000000002</v>
      </c>
      <c r="AM239" s="6">
        <v>0.42766199999999999</v>
      </c>
      <c r="AO239" s="6">
        <v>0.40659299999999998</v>
      </c>
      <c r="AQ239" s="6">
        <v>0.40031699999999998</v>
      </c>
      <c r="AS239" s="6">
        <v>0.37984800000000002</v>
      </c>
      <c r="AU239" s="6">
        <v>0.39215299999999997</v>
      </c>
      <c r="AW239" s="6">
        <v>0.38678899999999999</v>
      </c>
      <c r="AY239" s="6">
        <v>0.37124400000000002</v>
      </c>
      <c r="BA239" s="6">
        <v>0.381772</v>
      </c>
      <c r="BC239" s="6">
        <v>0.37686999999999998</v>
      </c>
      <c r="BE239" s="6">
        <v>0.394569</v>
      </c>
    </row>
    <row r="240" spans="1:57" s="36" customFormat="1" ht="12.6" x14ac:dyDescent="0.2">
      <c r="A240" s="24" t="s">
        <v>444</v>
      </c>
      <c r="B240" s="6">
        <v>4.3004230000000003</v>
      </c>
      <c r="D240" s="6">
        <v>5.6275599999999999</v>
      </c>
      <c r="F240" s="6">
        <v>5.6729370000000001</v>
      </c>
      <c r="G240" s="6">
        <v>0.102211</v>
      </c>
      <c r="I240" s="6">
        <v>5.3786310000000004</v>
      </c>
      <c r="K240" s="6">
        <v>0.48918699999999998</v>
      </c>
      <c r="M240" s="6">
        <v>0.45676299999999997</v>
      </c>
      <c r="O240" s="6">
        <v>0.488425</v>
      </c>
      <c r="Q240" s="6">
        <v>0.47447099999999998</v>
      </c>
      <c r="S240" s="6">
        <v>0.490124</v>
      </c>
      <c r="U240" s="6">
        <v>0.475827</v>
      </c>
      <c r="W240" s="6">
        <v>0.498114</v>
      </c>
      <c r="Y240" s="6">
        <v>0.49123899999999998</v>
      </c>
      <c r="AA240" s="6">
        <v>0.47830400000000001</v>
      </c>
      <c r="AC240" s="6">
        <v>0.49373699999999998</v>
      </c>
      <c r="AE240" s="6">
        <v>0.47875499999999999</v>
      </c>
      <c r="AG240" s="6">
        <v>0.49584299999999998</v>
      </c>
      <c r="AI240" s="6">
        <v>0.48820599999999997</v>
      </c>
      <c r="AK240" s="6">
        <v>0.42903799999999997</v>
      </c>
      <c r="AM240" s="6">
        <v>0.46975899999999998</v>
      </c>
      <c r="AO240" s="6">
        <v>0.447322</v>
      </c>
      <c r="AQ240" s="6">
        <v>0.44240299999999999</v>
      </c>
      <c r="AS240" s="6">
        <v>0.42056700000000002</v>
      </c>
      <c r="AU240" s="6">
        <v>0.43423499999999998</v>
      </c>
      <c r="AW240" s="6">
        <v>0.428869</v>
      </c>
      <c r="AY240" s="6">
        <v>0.41195999999999999</v>
      </c>
      <c r="BA240" s="6">
        <v>0.42385</v>
      </c>
      <c r="BC240" s="6">
        <v>0.41758800000000001</v>
      </c>
      <c r="BE240" s="6">
        <v>0.43665199999999998</v>
      </c>
    </row>
    <row r="241" spans="1:57" s="36" customFormat="1" ht="12.6" x14ac:dyDescent="0.2">
      <c r="A241" s="24" t="s">
        <v>445</v>
      </c>
      <c r="B241" s="6">
        <v>4.4031599999999997</v>
      </c>
      <c r="D241" s="6">
        <v>5.7316390000000004</v>
      </c>
      <c r="F241" s="6">
        <v>5.7771080000000001</v>
      </c>
      <c r="G241" s="6">
        <v>0.102479</v>
      </c>
      <c r="I241" s="6">
        <v>5.4823709999999997</v>
      </c>
      <c r="K241" s="6">
        <v>0.497585</v>
      </c>
      <c r="M241" s="6">
        <v>0.464617</v>
      </c>
      <c r="O241" s="6">
        <v>0.49682300000000001</v>
      </c>
      <c r="Q241" s="6">
        <v>0.482597</v>
      </c>
      <c r="S241" s="6">
        <v>0.49852299999999999</v>
      </c>
      <c r="U241" s="6">
        <v>0.48395300000000002</v>
      </c>
      <c r="W241" s="6">
        <v>0.50651299999999999</v>
      </c>
      <c r="Y241" s="6">
        <v>0.499637</v>
      </c>
      <c r="AA241" s="6">
        <v>0.48642999999999997</v>
      </c>
      <c r="AC241" s="6">
        <v>0.502135</v>
      </c>
      <c r="AE241" s="6">
        <v>0.48688100000000001</v>
      </c>
      <c r="AG241" s="6">
        <v>0.50424199999999997</v>
      </c>
      <c r="AI241" s="6">
        <v>0.49660399999999999</v>
      </c>
      <c r="AK241" s="6">
        <v>0.43661899999999998</v>
      </c>
      <c r="AM241" s="6">
        <v>0.478155</v>
      </c>
      <c r="AO241" s="6">
        <v>0.45544600000000002</v>
      </c>
      <c r="AQ241" s="6">
        <v>0.450797</v>
      </c>
      <c r="AS241" s="6">
        <v>0.42868899999999999</v>
      </c>
      <c r="AU241" s="6">
        <v>0.44262899999999999</v>
      </c>
      <c r="AW241" s="6">
        <v>0.43726199999999998</v>
      </c>
      <c r="AY241" s="6">
        <v>0.42008099999999998</v>
      </c>
      <c r="BA241" s="6">
        <v>0.43224299999999999</v>
      </c>
      <c r="BC241" s="6">
        <v>0.42570999999999998</v>
      </c>
      <c r="BE241" s="6">
        <v>0.445046</v>
      </c>
    </row>
    <row r="242" spans="1:57" s="36" customFormat="1" ht="12.6" x14ac:dyDescent="0.2">
      <c r="A242" s="24" t="s">
        <v>446</v>
      </c>
      <c r="B242" s="6">
        <v>4.8141090000000002</v>
      </c>
      <c r="D242" s="6">
        <v>6.1479540000000004</v>
      </c>
      <c r="F242" s="6">
        <v>6.1937930000000003</v>
      </c>
      <c r="G242" s="6">
        <v>0.103592</v>
      </c>
      <c r="I242" s="6">
        <v>5.8973279999999999</v>
      </c>
      <c r="K242" s="6">
        <v>0.53110199999999996</v>
      </c>
      <c r="M242" s="6">
        <v>0.49596000000000001</v>
      </c>
      <c r="O242" s="6">
        <v>0.530339</v>
      </c>
      <c r="Q242" s="6">
        <v>0.51502800000000004</v>
      </c>
      <c r="S242" s="6">
        <v>0.53203999999999996</v>
      </c>
      <c r="U242" s="6">
        <v>0.51638399999999995</v>
      </c>
      <c r="W242" s="6">
        <v>0.54003199999999996</v>
      </c>
      <c r="Y242" s="6">
        <v>0.53315500000000005</v>
      </c>
      <c r="AA242" s="6">
        <v>0.51886200000000005</v>
      </c>
      <c r="AC242" s="6">
        <v>0.53565399999999996</v>
      </c>
      <c r="AE242" s="6">
        <v>0.51931300000000002</v>
      </c>
      <c r="AG242" s="6">
        <v>0.53776100000000004</v>
      </c>
      <c r="AI242" s="6">
        <v>0.53012000000000004</v>
      </c>
      <c r="AK242" s="6">
        <v>0.46687400000000001</v>
      </c>
      <c r="AM242" s="6">
        <v>0.51166599999999995</v>
      </c>
      <c r="AO242" s="6">
        <v>0.48786800000000002</v>
      </c>
      <c r="AQ242" s="6">
        <v>0.48429800000000001</v>
      </c>
      <c r="AS242" s="6">
        <v>0.46110200000000001</v>
      </c>
      <c r="AU242" s="6">
        <v>0.476128</v>
      </c>
      <c r="AW242" s="6">
        <v>0.47075899999999998</v>
      </c>
      <c r="AY242" s="6">
        <v>0.45249200000000001</v>
      </c>
      <c r="BA242" s="6">
        <v>0.46573799999999999</v>
      </c>
      <c r="BC242" s="6">
        <v>0.45812199999999997</v>
      </c>
      <c r="BE242" s="6">
        <v>0.47854600000000003</v>
      </c>
    </row>
    <row r="243" spans="1:57" s="36" customFormat="1" ht="12.6" x14ac:dyDescent="0.2">
      <c r="A243" s="24" t="s">
        <v>447</v>
      </c>
      <c r="B243" s="6">
        <v>5.2250579999999998</v>
      </c>
      <c r="D243" s="6">
        <v>6.5642709999999997</v>
      </c>
      <c r="F243" s="6">
        <v>6.6104789999999998</v>
      </c>
      <c r="G243" s="6">
        <v>0.104772</v>
      </c>
      <c r="I243" s="6">
        <v>6.312284</v>
      </c>
      <c r="K243" s="6">
        <v>0.56449899999999997</v>
      </c>
      <c r="M243" s="6">
        <v>0.52719099999999997</v>
      </c>
      <c r="O243" s="6">
        <v>0.56373600000000001</v>
      </c>
      <c r="Q243" s="6">
        <v>0.547342</v>
      </c>
      <c r="S243" s="6">
        <v>0.56543699999999997</v>
      </c>
      <c r="U243" s="6">
        <v>0.54869900000000005</v>
      </c>
      <c r="W243" s="6">
        <v>0.57343200000000005</v>
      </c>
      <c r="Y243" s="6">
        <v>0.56655199999999994</v>
      </c>
      <c r="AA243" s="6">
        <v>0.55117700000000003</v>
      </c>
      <c r="AC243" s="6">
        <v>0.569052</v>
      </c>
      <c r="AE243" s="6">
        <v>0.55162900000000004</v>
      </c>
      <c r="AG243" s="6">
        <v>0.57116</v>
      </c>
      <c r="AI243" s="6">
        <v>0.56351700000000005</v>
      </c>
      <c r="AK243" s="6">
        <v>0.49701899999999999</v>
      </c>
      <c r="AM243" s="6">
        <v>0.54505599999999998</v>
      </c>
      <c r="AO243" s="6">
        <v>0.52017400000000003</v>
      </c>
      <c r="AQ243" s="6">
        <v>0.51768000000000003</v>
      </c>
      <c r="AS243" s="6">
        <v>0.49340000000000001</v>
      </c>
      <c r="AU243" s="6">
        <v>0.50950700000000004</v>
      </c>
      <c r="AW243" s="6">
        <v>0.50413699999999995</v>
      </c>
      <c r="AY243" s="6">
        <v>0.48478599999999999</v>
      </c>
      <c r="BA243" s="6">
        <v>0.499114</v>
      </c>
      <c r="BC243" s="6">
        <v>0.49041899999999999</v>
      </c>
      <c r="BE243" s="6">
        <v>0.51192499999999996</v>
      </c>
    </row>
    <row r="244" spans="1:57" s="36" customFormat="1" ht="12.6" x14ac:dyDescent="0.2">
      <c r="A244" s="24" t="s">
        <v>448</v>
      </c>
      <c r="B244" s="6">
        <v>5.3277950000000001</v>
      </c>
      <c r="D244" s="6">
        <v>6.6683500000000002</v>
      </c>
      <c r="F244" s="6">
        <v>6.7146509999999999</v>
      </c>
      <c r="G244" s="6">
        <v>0.105076</v>
      </c>
      <c r="I244" s="6">
        <v>6.416023</v>
      </c>
      <c r="K244" s="6">
        <v>0.57282900000000003</v>
      </c>
      <c r="M244" s="6">
        <v>0.53498100000000004</v>
      </c>
      <c r="O244" s="6">
        <v>0.57206599999999996</v>
      </c>
      <c r="Q244" s="6">
        <v>0.55540199999999995</v>
      </c>
      <c r="S244" s="6">
        <v>0.57376700000000003</v>
      </c>
      <c r="U244" s="6">
        <v>0.556759</v>
      </c>
      <c r="W244" s="6">
        <v>0.58176300000000003</v>
      </c>
      <c r="Y244" s="6">
        <v>0.57488300000000003</v>
      </c>
      <c r="AA244" s="6">
        <v>0.55923800000000001</v>
      </c>
      <c r="AC244" s="6">
        <v>0.57738299999999998</v>
      </c>
      <c r="AE244" s="6">
        <v>0.55968899999999999</v>
      </c>
      <c r="AG244" s="6">
        <v>0.57949099999999998</v>
      </c>
      <c r="AI244" s="6">
        <v>0.57184699999999999</v>
      </c>
      <c r="AK244" s="6">
        <v>0.50453800000000004</v>
      </c>
      <c r="AM244" s="6">
        <v>0.55338500000000002</v>
      </c>
      <c r="AO244" s="6">
        <v>0.52823200000000003</v>
      </c>
      <c r="AQ244" s="6">
        <v>0.526007</v>
      </c>
      <c r="AS244" s="6">
        <v>0.50145600000000001</v>
      </c>
      <c r="AU244" s="6">
        <v>0.51783299999999999</v>
      </c>
      <c r="AW244" s="6">
        <v>0.51246199999999997</v>
      </c>
      <c r="AY244" s="6">
        <v>0.492842</v>
      </c>
      <c r="BA244" s="6">
        <v>0.50743899999999997</v>
      </c>
      <c r="BC244" s="6">
        <v>0.498475</v>
      </c>
      <c r="BE244" s="6">
        <v>0.52025200000000005</v>
      </c>
    </row>
    <row r="245" spans="1:57" s="36" customFormat="1" ht="12.6" x14ac:dyDescent="0.2">
      <c r="A245" s="24" t="s">
        <v>449</v>
      </c>
      <c r="B245" s="6">
        <v>5.8414799999999998</v>
      </c>
      <c r="D245" s="6">
        <v>7.1887449999999999</v>
      </c>
      <c r="F245" s="6">
        <v>7.2355099999999997</v>
      </c>
      <c r="G245" s="6">
        <v>0.106658</v>
      </c>
      <c r="I245" s="6">
        <v>6.9347159999999999</v>
      </c>
      <c r="K245" s="6">
        <v>0.61436999999999997</v>
      </c>
      <c r="M245" s="6">
        <v>0.57382699999999998</v>
      </c>
      <c r="O245" s="6">
        <v>0.61360700000000001</v>
      </c>
      <c r="Q245" s="6">
        <v>0.59559600000000001</v>
      </c>
      <c r="S245" s="6">
        <v>0.61530899999999999</v>
      </c>
      <c r="U245" s="6">
        <v>0.59695399999999998</v>
      </c>
      <c r="W245" s="6">
        <v>0.62330799999999997</v>
      </c>
      <c r="Y245" s="6">
        <v>0.616425</v>
      </c>
      <c r="AA245" s="6">
        <v>0.59943299999999999</v>
      </c>
      <c r="AC245" s="6">
        <v>0.61892599999999998</v>
      </c>
      <c r="AE245" s="6">
        <v>0.599885</v>
      </c>
      <c r="AG245" s="6">
        <v>0.621035</v>
      </c>
      <c r="AI245" s="6">
        <v>0.61338800000000004</v>
      </c>
      <c r="AK245" s="6">
        <v>0.54203299999999999</v>
      </c>
      <c r="AM245" s="6">
        <v>0.59491799999999995</v>
      </c>
      <c r="AO245" s="6">
        <v>0.56841600000000003</v>
      </c>
      <c r="AQ245" s="6">
        <v>0.56752899999999995</v>
      </c>
      <c r="AS245" s="6">
        <v>0.54162900000000003</v>
      </c>
      <c r="AU245" s="6">
        <v>0.55935199999999996</v>
      </c>
      <c r="AW245" s="6">
        <v>0.553979</v>
      </c>
      <c r="AY245" s="6">
        <v>0.53301200000000004</v>
      </c>
      <c r="BA245" s="6">
        <v>0.54895499999999997</v>
      </c>
      <c r="BC245" s="6">
        <v>0.53864699999999999</v>
      </c>
      <c r="BE245" s="6">
        <v>0.56177200000000005</v>
      </c>
    </row>
    <row r="246" spans="1:57" s="36" customFormat="1" ht="12.6" x14ac:dyDescent="0.2">
      <c r="A246" s="24" t="s">
        <v>450</v>
      </c>
      <c r="B246" s="6">
        <v>6.0469540000000004</v>
      </c>
      <c r="D246" s="6">
        <v>7.396903</v>
      </c>
      <c r="F246" s="6">
        <v>7.443854</v>
      </c>
      <c r="G246" s="6">
        <v>0.107317</v>
      </c>
      <c r="I246" s="6">
        <v>7.1421929999999998</v>
      </c>
      <c r="K246" s="6">
        <v>0.63093500000000002</v>
      </c>
      <c r="M246" s="6">
        <v>0.58931699999999998</v>
      </c>
      <c r="O246" s="6">
        <v>0.63017199999999995</v>
      </c>
      <c r="Q246" s="6">
        <v>0.61162399999999995</v>
      </c>
      <c r="S246" s="6">
        <v>0.63187400000000005</v>
      </c>
      <c r="U246" s="6">
        <v>0.612981</v>
      </c>
      <c r="W246" s="6">
        <v>0.63987400000000005</v>
      </c>
      <c r="Y246" s="6">
        <v>0.63299000000000005</v>
      </c>
      <c r="AA246" s="6">
        <v>0.61546100000000004</v>
      </c>
      <c r="AC246" s="6">
        <v>0.63549100000000003</v>
      </c>
      <c r="AE246" s="6">
        <v>0.61591300000000004</v>
      </c>
      <c r="AG246" s="6">
        <v>0.63760099999999997</v>
      </c>
      <c r="AI246" s="6">
        <v>0.62995299999999999</v>
      </c>
      <c r="AK246" s="6">
        <v>0.55698400000000003</v>
      </c>
      <c r="AM246" s="6">
        <v>0.61148000000000002</v>
      </c>
      <c r="AO246" s="6">
        <v>0.58443900000000004</v>
      </c>
      <c r="AQ246" s="6">
        <v>0.58408700000000002</v>
      </c>
      <c r="AS246" s="6">
        <v>0.55764800000000003</v>
      </c>
      <c r="AU246" s="6">
        <v>0.57590799999999998</v>
      </c>
      <c r="AW246" s="6">
        <v>0.57053500000000001</v>
      </c>
      <c r="AY246" s="6">
        <v>0.54903000000000002</v>
      </c>
      <c r="BA246" s="6">
        <v>0.56550900000000004</v>
      </c>
      <c r="BC246" s="6">
        <v>0.55466499999999996</v>
      </c>
      <c r="BE246" s="6">
        <v>0.57832799999999995</v>
      </c>
    </row>
    <row r="247" spans="1:57" s="36" customFormat="1" ht="12.6" x14ac:dyDescent="0.2">
      <c r="A247" s="24" t="s">
        <v>451</v>
      </c>
      <c r="B247" s="6">
        <v>6.3551650000000004</v>
      </c>
      <c r="D247" s="6">
        <v>7.7091409999999998</v>
      </c>
      <c r="F247" s="6">
        <v>7.7563700000000004</v>
      </c>
      <c r="G247" s="6">
        <v>0.108332</v>
      </c>
      <c r="I247" s="6">
        <v>7.4534070000000003</v>
      </c>
      <c r="K247" s="6">
        <v>0.65572799999999998</v>
      </c>
      <c r="M247" s="6">
        <v>0.61250000000000004</v>
      </c>
      <c r="O247" s="6">
        <v>0.65496399999999999</v>
      </c>
      <c r="Q247" s="6">
        <v>0.63561199999999995</v>
      </c>
      <c r="S247" s="6">
        <v>0.65666599999999997</v>
      </c>
      <c r="U247" s="6">
        <v>0.63696900000000001</v>
      </c>
      <c r="W247" s="6">
        <v>0.66466899999999995</v>
      </c>
      <c r="Y247" s="6">
        <v>0.65778300000000001</v>
      </c>
      <c r="AA247" s="6">
        <v>0.63944999999999996</v>
      </c>
      <c r="AC247" s="6">
        <v>0.66028500000000001</v>
      </c>
      <c r="AE247" s="6">
        <v>0.63990199999999997</v>
      </c>
      <c r="AG247" s="6">
        <v>0.66239499999999996</v>
      </c>
      <c r="AI247" s="6">
        <v>0.65474500000000002</v>
      </c>
      <c r="AK247" s="6">
        <v>0.57936100000000001</v>
      </c>
      <c r="AM247" s="6">
        <v>0.63626799999999994</v>
      </c>
      <c r="AO247" s="6">
        <v>0.60841999999999996</v>
      </c>
      <c r="AQ247" s="6">
        <v>0.60886799999999996</v>
      </c>
      <c r="AS247" s="6">
        <v>0.58162400000000003</v>
      </c>
      <c r="AU247" s="6">
        <v>0.60068699999999997</v>
      </c>
      <c r="AW247" s="6">
        <v>0.59531299999999998</v>
      </c>
      <c r="AY247" s="6">
        <v>0.57300300000000004</v>
      </c>
      <c r="BA247" s="6">
        <v>0.59028599999999998</v>
      </c>
      <c r="BC247" s="6">
        <v>0.57864000000000004</v>
      </c>
      <c r="BE247" s="6">
        <v>0.60310799999999998</v>
      </c>
    </row>
    <row r="248" spans="1:57" s="36" customFormat="1" ht="12.6" x14ac:dyDescent="0.2">
      <c r="A248" s="24" t="s">
        <v>452</v>
      </c>
      <c r="B248" s="6">
        <v>6.868849</v>
      </c>
      <c r="D248" s="6">
        <v>8.2295370000000005</v>
      </c>
      <c r="F248" s="6">
        <v>8.2772319999999997</v>
      </c>
      <c r="G248" s="6">
        <v>0.110092</v>
      </c>
      <c r="I248" s="6">
        <v>7.9720959999999996</v>
      </c>
      <c r="K248" s="6">
        <v>0.69690200000000002</v>
      </c>
      <c r="M248" s="6">
        <v>0.65100199999999997</v>
      </c>
      <c r="O248" s="6">
        <v>0.69613899999999995</v>
      </c>
      <c r="Q248" s="6">
        <v>0.67544999999999999</v>
      </c>
      <c r="S248" s="6">
        <v>0.69784100000000004</v>
      </c>
      <c r="U248" s="6">
        <v>0.67680799999999997</v>
      </c>
      <c r="W248" s="6">
        <v>0.705847</v>
      </c>
      <c r="Y248" s="6">
        <v>0.69895799999999997</v>
      </c>
      <c r="AA248" s="6">
        <v>0.67928999999999995</v>
      </c>
      <c r="AC248" s="6">
        <v>0.701461</v>
      </c>
      <c r="AE248" s="6">
        <v>0.67974199999999996</v>
      </c>
      <c r="AG248" s="6">
        <v>0.70357199999999998</v>
      </c>
      <c r="AI248" s="6">
        <v>0.69591899999999995</v>
      </c>
      <c r="AK248" s="6">
        <v>0.61652200000000001</v>
      </c>
      <c r="AM248" s="6">
        <v>0.67743500000000001</v>
      </c>
      <c r="AO248" s="6">
        <v>0.64824800000000005</v>
      </c>
      <c r="AQ248" s="6">
        <v>0.65002400000000005</v>
      </c>
      <c r="AS248" s="6">
        <v>0.62144100000000002</v>
      </c>
      <c r="AU248" s="6">
        <v>0.64183999999999997</v>
      </c>
      <c r="AW248" s="6">
        <v>0.636463</v>
      </c>
      <c r="AY248" s="6">
        <v>0.61281699999999995</v>
      </c>
      <c r="BA248" s="6">
        <v>0.63143499999999997</v>
      </c>
      <c r="BC248" s="6">
        <v>0.61845700000000003</v>
      </c>
      <c r="BE248" s="6">
        <v>0.644262</v>
      </c>
    </row>
    <row r="249" spans="1:57" s="36" customFormat="1" ht="12.6" x14ac:dyDescent="0.2">
      <c r="A249" s="24" t="s">
        <v>453</v>
      </c>
      <c r="B249" s="6">
        <v>7.3825329999999996</v>
      </c>
      <c r="D249" s="6">
        <v>8.7499339999999997</v>
      </c>
      <c r="F249" s="6">
        <v>8.798095</v>
      </c>
      <c r="G249" s="6">
        <v>0.111932</v>
      </c>
      <c r="I249" s="6">
        <v>8.4907830000000004</v>
      </c>
      <c r="K249" s="6">
        <v>0.737896</v>
      </c>
      <c r="M249" s="6">
        <v>0.68933299999999997</v>
      </c>
      <c r="O249" s="6">
        <v>0.73713200000000001</v>
      </c>
      <c r="Q249" s="6">
        <v>0.715113</v>
      </c>
      <c r="S249" s="6">
        <v>0.73883600000000005</v>
      </c>
      <c r="U249" s="6">
        <v>0.716472</v>
      </c>
      <c r="W249" s="6">
        <v>0.74684399999999995</v>
      </c>
      <c r="Y249" s="6">
        <v>0.73995299999999997</v>
      </c>
      <c r="AA249" s="6">
        <v>0.71895399999999998</v>
      </c>
      <c r="AC249" s="6">
        <v>0.74245700000000003</v>
      </c>
      <c r="AE249" s="6">
        <v>0.71940599999999999</v>
      </c>
      <c r="AG249" s="6">
        <v>0.74456900000000004</v>
      </c>
      <c r="AI249" s="6">
        <v>0.73691300000000004</v>
      </c>
      <c r="AK249" s="6">
        <v>0.65351899999999996</v>
      </c>
      <c r="AM249" s="6">
        <v>0.71842099999999998</v>
      </c>
      <c r="AO249" s="6">
        <v>0.68790099999999998</v>
      </c>
      <c r="AQ249" s="6">
        <v>0.69099999999999995</v>
      </c>
      <c r="AS249" s="6">
        <v>0.661084</v>
      </c>
      <c r="AU249" s="6">
        <v>0.682813</v>
      </c>
      <c r="AW249" s="6">
        <v>0.67743399999999998</v>
      </c>
      <c r="AY249" s="6">
        <v>0.65245600000000004</v>
      </c>
      <c r="BA249" s="6">
        <v>0.67240299999999997</v>
      </c>
      <c r="BC249" s="6">
        <v>0.65809799999999996</v>
      </c>
      <c r="BE249" s="6">
        <v>0.68523500000000004</v>
      </c>
    </row>
    <row r="250" spans="1:57" s="36" customFormat="1" ht="12.6" x14ac:dyDescent="0.2">
      <c r="A250" s="24" t="s">
        <v>454</v>
      </c>
      <c r="B250" s="6">
        <v>7.8962159999999999</v>
      </c>
      <c r="D250" s="6">
        <v>9.2703299999999995</v>
      </c>
      <c r="F250" s="6">
        <v>9.3189600000000006</v>
      </c>
      <c r="G250" s="6">
        <v>0.11384900000000001</v>
      </c>
      <c r="I250" s="6">
        <v>9.009468</v>
      </c>
      <c r="K250" s="6">
        <v>0.77871100000000004</v>
      </c>
      <c r="M250" s="6">
        <v>0.72749600000000003</v>
      </c>
      <c r="O250" s="6">
        <v>0.77794700000000006</v>
      </c>
      <c r="Q250" s="6">
        <v>0.75460199999999999</v>
      </c>
      <c r="S250" s="6">
        <v>0.77965099999999998</v>
      </c>
      <c r="U250" s="6">
        <v>0.75596099999999999</v>
      </c>
      <c r="W250" s="6">
        <v>0.787663</v>
      </c>
      <c r="Y250" s="6">
        <v>0.78076900000000005</v>
      </c>
      <c r="AA250" s="6">
        <v>0.75844400000000001</v>
      </c>
      <c r="AC250" s="6">
        <v>0.78327400000000003</v>
      </c>
      <c r="AE250" s="6">
        <v>0.75889700000000004</v>
      </c>
      <c r="AG250" s="6">
        <v>0.78538600000000003</v>
      </c>
      <c r="AI250" s="6">
        <v>0.77772699999999995</v>
      </c>
      <c r="AK250" s="6">
        <v>0.69035199999999997</v>
      </c>
      <c r="AM250" s="6">
        <v>0.75922800000000001</v>
      </c>
      <c r="AO250" s="6">
        <v>0.72738000000000003</v>
      </c>
      <c r="AQ250" s="6">
        <v>0.731796</v>
      </c>
      <c r="AS250" s="6">
        <v>0.70055199999999995</v>
      </c>
      <c r="AU250" s="6">
        <v>0.72360599999999997</v>
      </c>
      <c r="AW250" s="6">
        <v>0.718225</v>
      </c>
      <c r="AY250" s="6">
        <v>0.69192200000000004</v>
      </c>
      <c r="BA250" s="6">
        <v>0.71319200000000005</v>
      </c>
      <c r="BC250" s="6">
        <v>0.69756499999999999</v>
      </c>
      <c r="BE250" s="6">
        <v>0.72602999999999995</v>
      </c>
    </row>
    <row r="251" spans="1:57" s="36" customFormat="1" ht="12.6" x14ac:dyDescent="0.2">
      <c r="A251" s="24" t="s">
        <v>455</v>
      </c>
      <c r="B251" s="6">
        <v>2.774788</v>
      </c>
      <c r="D251" s="6">
        <v>4.1807280000000002</v>
      </c>
      <c r="F251" s="6">
        <v>4.2679799999999997</v>
      </c>
      <c r="G251" s="6">
        <v>9.2324000000000003E-2</v>
      </c>
      <c r="I251" s="6">
        <v>4.0151079999999997</v>
      </c>
      <c r="K251" s="6">
        <v>0.37525999999999998</v>
      </c>
      <c r="M251" s="6">
        <v>0.35100999999999999</v>
      </c>
      <c r="O251" s="6">
        <v>0.37525999999999998</v>
      </c>
      <c r="Q251" s="6">
        <v>0.36314000000000002</v>
      </c>
      <c r="S251" s="6">
        <v>0.37525999999999998</v>
      </c>
      <c r="U251" s="6">
        <v>0.36314000000000002</v>
      </c>
      <c r="W251" s="6">
        <v>0.37525999999999998</v>
      </c>
      <c r="Y251" s="6">
        <v>0.37525999999999998</v>
      </c>
      <c r="AA251" s="6">
        <v>0.36314000000000002</v>
      </c>
      <c r="AC251" s="6">
        <v>0.37525999999999998</v>
      </c>
      <c r="AE251" s="6">
        <v>0.36314000000000002</v>
      </c>
      <c r="AG251" s="6">
        <v>0.37525999999999998</v>
      </c>
      <c r="AI251" s="6">
        <v>0.37525999999999998</v>
      </c>
      <c r="AK251" s="6">
        <v>0.33191999999999999</v>
      </c>
      <c r="AM251" s="6">
        <v>0.35365999999999997</v>
      </c>
      <c r="AO251" s="6">
        <v>0.34222999999999998</v>
      </c>
      <c r="AQ251" s="6">
        <v>0.34599000000000002</v>
      </c>
      <c r="AS251" s="6">
        <v>0.32133</v>
      </c>
      <c r="AU251" s="6">
        <v>0.33206000000000002</v>
      </c>
      <c r="AW251" s="6">
        <v>0.31881999999999999</v>
      </c>
      <c r="AY251" s="6">
        <v>0.30043999999999998</v>
      </c>
      <c r="BA251" s="6">
        <v>0.31047000000000002</v>
      </c>
      <c r="BC251" s="6">
        <v>0.30043999999999998</v>
      </c>
      <c r="BE251" s="6">
        <v>0.31047000000000002</v>
      </c>
    </row>
    <row r="252" spans="1:57" s="36" customFormat="1" ht="12.6" x14ac:dyDescent="0.2">
      <c r="A252" s="24" t="s">
        <v>456</v>
      </c>
      <c r="B252" s="6">
        <v>19.892925000000002</v>
      </c>
      <c r="D252" s="6">
        <v>28.596667</v>
      </c>
      <c r="F252" s="6">
        <v>26.876797</v>
      </c>
      <c r="G252" s="6">
        <v>12.644819</v>
      </c>
      <c r="I252" s="6">
        <v>11.545714</v>
      </c>
      <c r="K252" s="6">
        <v>5.7432489999999996</v>
      </c>
      <c r="M252" s="6">
        <v>7.2328409999999996</v>
      </c>
      <c r="O252" s="6">
        <v>2.6014270000000002</v>
      </c>
      <c r="Q252" s="6">
        <v>-3.2089880000000002</v>
      </c>
      <c r="S252" s="6">
        <v>3.3491339999999998</v>
      </c>
      <c r="U252" s="6">
        <v>4.5600750000000003</v>
      </c>
      <c r="W252" s="6">
        <v>2.8136580000000002</v>
      </c>
      <c r="Y252" s="6">
        <v>-1.5981369999999999</v>
      </c>
      <c r="AA252" s="6">
        <v>3.3807999999999998E-2</v>
      </c>
      <c r="AC252" s="6">
        <v>5.3908389999999997</v>
      </c>
      <c r="AE252" s="6">
        <v>6.0422000000000002</v>
      </c>
      <c r="AG252" s="6">
        <v>4.8545730000000002</v>
      </c>
      <c r="AI252" s="6">
        <v>1.4368300000000001</v>
      </c>
      <c r="AK252" s="6">
        <v>-1.2572540000000001</v>
      </c>
      <c r="AM252" s="6">
        <v>-6.7153830000000001</v>
      </c>
      <c r="AO252" s="6">
        <v>-3.0603229999999999</v>
      </c>
      <c r="AQ252" s="6">
        <v>6.5677659999999998</v>
      </c>
      <c r="AS252" s="6">
        <v>3.7825859999999998</v>
      </c>
      <c r="AU252" s="6">
        <v>4.7295949999999998</v>
      </c>
      <c r="AW252" s="6">
        <v>0.50528399999999996</v>
      </c>
      <c r="AY252" s="6">
        <v>3.0410300000000001</v>
      </c>
      <c r="BA252" s="6">
        <v>4.9348099999999997</v>
      </c>
      <c r="BC252" s="6">
        <v>-0.418707</v>
      </c>
      <c r="BE252" s="6">
        <v>-1.7518879999999999</v>
      </c>
    </row>
    <row r="253" spans="1:57" s="36" customFormat="1" ht="12.6" x14ac:dyDescent="0.2">
      <c r="A253" s="24" t="s">
        <v>457</v>
      </c>
      <c r="B253" s="6">
        <v>13.753625</v>
      </c>
      <c r="D253" s="6">
        <v>13.398377</v>
      </c>
      <c r="F253" s="6">
        <v>13.511048000000001</v>
      </c>
      <c r="G253" s="6">
        <v>11.160254999999999</v>
      </c>
      <c r="I253" s="6">
        <v>3.4557950000000002</v>
      </c>
      <c r="K253" s="6">
        <v>2.3721939999999999</v>
      </c>
      <c r="M253" s="6">
        <v>5.7474270000000001</v>
      </c>
      <c r="O253" s="6">
        <v>4.2582190000000004</v>
      </c>
      <c r="Q253" s="6">
        <v>-4.419746</v>
      </c>
      <c r="S253" s="6">
        <v>0.39228000000000002</v>
      </c>
      <c r="U253" s="6">
        <v>-0.87089399999999995</v>
      </c>
      <c r="W253" s="6">
        <v>6.8615159999999999</v>
      </c>
      <c r="Y253" s="6">
        <v>-1.355804</v>
      </c>
      <c r="AA253" s="6">
        <v>8.6827000000000001E-2</v>
      </c>
      <c r="AC253" s="6">
        <v>4.1941699999999997</v>
      </c>
      <c r="AE253" s="6">
        <v>7.0007029999999997</v>
      </c>
      <c r="AG253" s="6">
        <v>-1.374369</v>
      </c>
      <c r="AI253" s="6">
        <v>2.7395909999999999</v>
      </c>
      <c r="AK253" s="6">
        <v>-0.305641</v>
      </c>
      <c r="AM253" s="6">
        <v>-3.5834299999999999</v>
      </c>
      <c r="AO253" s="6">
        <v>-4.8382940000000003</v>
      </c>
      <c r="AQ253" s="6">
        <v>3.7481119999999999</v>
      </c>
      <c r="AS253" s="6">
        <v>1.570713</v>
      </c>
      <c r="AU253" s="6">
        <v>2.7784740000000001</v>
      </c>
      <c r="AW253" s="6">
        <v>1.021584</v>
      </c>
      <c r="AY253" s="6">
        <v>-0.14996699999999999</v>
      </c>
      <c r="BA253" s="6">
        <v>0.27685199999999999</v>
      </c>
      <c r="BC253" s="6">
        <v>1.7259009999999999</v>
      </c>
      <c r="BE253" s="6">
        <v>-1.2159059999999999</v>
      </c>
    </row>
    <row r="254" spans="1:57" s="36" customFormat="1" ht="12.6" x14ac:dyDescent="0.2">
      <c r="A254" s="24" t="s">
        <v>458</v>
      </c>
      <c r="B254" s="6">
        <v>12.794938</v>
      </c>
      <c r="D254" s="6">
        <v>8.26816</v>
      </c>
      <c r="F254" s="6">
        <v>12.054067</v>
      </c>
      <c r="G254" s="6">
        <v>11.990651</v>
      </c>
      <c r="I254" s="6">
        <v>-3.7351359999999998</v>
      </c>
      <c r="K254" s="6">
        <v>2.3073570000000001</v>
      </c>
      <c r="M254" s="6">
        <v>3.0805950000000002</v>
      </c>
      <c r="O254" s="6">
        <v>4.9204819999999998</v>
      </c>
      <c r="Q254" s="6">
        <v>-1.5711660000000001</v>
      </c>
      <c r="S254" s="6">
        <v>1.8637170000000001</v>
      </c>
      <c r="U254" s="6">
        <v>-1.5664720000000001</v>
      </c>
      <c r="W254" s="6">
        <v>9.4701319999999996</v>
      </c>
      <c r="Y254" s="6">
        <v>0.92690899999999998</v>
      </c>
      <c r="AA254" s="6">
        <v>0.115498</v>
      </c>
      <c r="AC254" s="6">
        <v>5.2805749999999998</v>
      </c>
      <c r="AE254" s="6">
        <v>4.0046179999999998</v>
      </c>
      <c r="AG254" s="6">
        <v>-1.3825700000000001</v>
      </c>
      <c r="AI254" s="6">
        <v>0.38982800000000001</v>
      </c>
      <c r="AK254" s="6">
        <v>4.4328770000000004</v>
      </c>
      <c r="AM254" s="6">
        <v>-0.51691900000000002</v>
      </c>
      <c r="AO254" s="6">
        <v>-7.6252599999999999</v>
      </c>
      <c r="AQ254" s="6">
        <v>-0.18614800000000001</v>
      </c>
      <c r="AS254" s="6">
        <v>-1.448323</v>
      </c>
      <c r="AU254" s="6">
        <v>2.388944</v>
      </c>
      <c r="AW254" s="6">
        <v>2.4768490000000001</v>
      </c>
      <c r="AY254" s="6">
        <v>-0.842032</v>
      </c>
      <c r="BA254" s="6">
        <v>-2.8024610000000001</v>
      </c>
      <c r="BC254" s="6">
        <v>3.0301499999999999</v>
      </c>
      <c r="BE254" s="6">
        <v>-2.5105729999999999</v>
      </c>
    </row>
    <row r="255" spans="1:57" s="36" customFormat="1" ht="12.6" x14ac:dyDescent="0.2">
      <c r="A255" s="24" t="s">
        <v>459</v>
      </c>
      <c r="B255" s="6">
        <v>17.295985000000002</v>
      </c>
      <c r="D255" s="6">
        <v>23.166972999999999</v>
      </c>
      <c r="F255" s="6">
        <v>22.312685999999999</v>
      </c>
      <c r="G255" s="6">
        <v>11.489141999999999</v>
      </c>
      <c r="I255" s="6">
        <v>9.0305510000000009</v>
      </c>
      <c r="K255" s="6">
        <v>4.9285600000000001</v>
      </c>
      <c r="M255" s="6">
        <v>6.89011</v>
      </c>
      <c r="O255" s="6">
        <v>2.9851000000000001</v>
      </c>
      <c r="Q255" s="6">
        <v>-3.6571799999999999</v>
      </c>
      <c r="S255" s="6">
        <v>2.4348399999999999</v>
      </c>
      <c r="U255" s="6">
        <v>3.1177100000000002</v>
      </c>
      <c r="W255" s="6">
        <v>3.4929199999999998</v>
      </c>
      <c r="Y255" s="6">
        <v>-1.46488</v>
      </c>
      <c r="AA255" s="6">
        <v>-0.14344999999999999</v>
      </c>
      <c r="AC255" s="6">
        <v>4.9291600000000004</v>
      </c>
      <c r="AE255" s="6">
        <v>6.4048400000000001</v>
      </c>
      <c r="AG255" s="6">
        <v>2.6722399999999999</v>
      </c>
      <c r="AI255" s="6">
        <v>2.00197</v>
      </c>
      <c r="AK255" s="6">
        <v>-1.0391600000000001</v>
      </c>
      <c r="AM255" s="6">
        <v>-5.8672500000000003</v>
      </c>
      <c r="AO255" s="6">
        <v>-3.2950400000000002</v>
      </c>
      <c r="AQ255" s="6">
        <v>5.6409000000000002</v>
      </c>
      <c r="AS255" s="6">
        <v>3.15646</v>
      </c>
      <c r="AU255" s="6">
        <v>4.0468000000000002</v>
      </c>
      <c r="AW255" s="6">
        <v>0.33138000000000001</v>
      </c>
      <c r="AY255" s="6">
        <v>2.3248799999999998</v>
      </c>
      <c r="BA255" s="6">
        <v>3.58555</v>
      </c>
      <c r="BC255" s="6">
        <v>3.4810000000000001E-2</v>
      </c>
      <c r="BE255" s="6">
        <v>-1.6303399999999999</v>
      </c>
    </row>
    <row r="256" spans="1:57" s="36" customFormat="1" ht="12.6" x14ac:dyDescent="0.2">
      <c r="A256" s="24" t="s">
        <v>460</v>
      </c>
      <c r="B256" s="6">
        <v>17.296108</v>
      </c>
      <c r="D256" s="6">
        <v>23.167038000000002</v>
      </c>
      <c r="F256" s="6">
        <v>22.312930999999999</v>
      </c>
      <c r="G256" s="6">
        <v>11.489043000000001</v>
      </c>
      <c r="I256" s="6">
        <v>9.030564</v>
      </c>
      <c r="K256" s="6">
        <v>4.9284790000000003</v>
      </c>
      <c r="M256" s="6">
        <v>6.8901399999999997</v>
      </c>
      <c r="O256" s="6">
        <v>2.9852699999999999</v>
      </c>
      <c r="Q256" s="6">
        <v>-3.6571560000000001</v>
      </c>
      <c r="S256" s="6">
        <v>2.4351950000000002</v>
      </c>
      <c r="U256" s="6">
        <v>3.1173060000000001</v>
      </c>
      <c r="W256" s="6">
        <v>3.4928279999999998</v>
      </c>
      <c r="Y256" s="6">
        <v>-1.4646110000000001</v>
      </c>
      <c r="AA256" s="6">
        <v>-0.143593</v>
      </c>
      <c r="AC256" s="6">
        <v>4.9294339999999996</v>
      </c>
      <c r="AE256" s="6">
        <v>6.4048579999999999</v>
      </c>
      <c r="AG256" s="6">
        <v>2.6722130000000002</v>
      </c>
      <c r="AI256" s="6">
        <v>2.0020359999999999</v>
      </c>
      <c r="AK256" s="6">
        <v>-1.0396780000000001</v>
      </c>
      <c r="AM256" s="6">
        <v>-5.8669729999999998</v>
      </c>
      <c r="AO256" s="6">
        <v>-3.2948040000000001</v>
      </c>
      <c r="AQ256" s="6">
        <v>5.6405969999999996</v>
      </c>
      <c r="AS256" s="6">
        <v>3.1563629999999998</v>
      </c>
      <c r="AU256" s="6">
        <v>4.0471680000000001</v>
      </c>
      <c r="AW256" s="6">
        <v>0.33092199999999999</v>
      </c>
      <c r="AY256" s="6">
        <v>2.324827</v>
      </c>
      <c r="BA256" s="6">
        <v>3.58561</v>
      </c>
      <c r="BC256" s="6">
        <v>3.5381999999999997E-2</v>
      </c>
      <c r="BE256" s="6">
        <v>-1.6305000000000001</v>
      </c>
    </row>
    <row r="257" spans="1:57" s="36" customFormat="1" ht="12.6" x14ac:dyDescent="0.2">
      <c r="A257" s="24" t="s">
        <v>461</v>
      </c>
      <c r="B257" s="6">
        <v>8.6813470000000006</v>
      </c>
      <c r="D257" s="6">
        <v>24.669418</v>
      </c>
      <c r="F257" s="6">
        <v>36.201428</v>
      </c>
      <c r="G257" s="6">
        <v>16.036787</v>
      </c>
      <c r="I257" s="6">
        <v>38.010576</v>
      </c>
      <c r="K257" s="6">
        <v>-3.6220129999999999</v>
      </c>
      <c r="M257" s="6">
        <v>8.0153409999999994</v>
      </c>
      <c r="O257" s="6">
        <v>5.8961350000000001</v>
      </c>
      <c r="Q257" s="6">
        <v>1.8879189999999999</v>
      </c>
      <c r="S257" s="6">
        <v>-0.377886</v>
      </c>
      <c r="U257" s="6">
        <v>6.9297630000000003</v>
      </c>
      <c r="W257" s="6">
        <v>0.38658599999999999</v>
      </c>
      <c r="Y257" s="6">
        <v>-1.7037100000000001</v>
      </c>
      <c r="AA257" s="6">
        <v>6.7187859999999997</v>
      </c>
      <c r="AC257" s="6">
        <v>3.414679</v>
      </c>
      <c r="AE257" s="6">
        <v>-4.1754959999999999</v>
      </c>
      <c r="AG257" s="6">
        <v>7.6509929999999997</v>
      </c>
      <c r="AI257" s="6">
        <v>1.783933</v>
      </c>
      <c r="AK257" s="6">
        <v>5.1979319999999998</v>
      </c>
      <c r="AM257" s="6">
        <v>-3.1636709999999999</v>
      </c>
      <c r="AO257" s="6">
        <v>-4.0663600000000004</v>
      </c>
      <c r="AQ257" s="6">
        <v>6.6027579999999997</v>
      </c>
      <c r="AS257" s="6">
        <v>5.528003</v>
      </c>
      <c r="AU257" s="6">
        <v>6.1953069999999997</v>
      </c>
      <c r="AW257" s="6">
        <v>-1.0826960000000001</v>
      </c>
      <c r="AY257" s="6">
        <v>10.740653999999999</v>
      </c>
      <c r="BA257" s="6">
        <v>7.388611</v>
      </c>
      <c r="BC257" s="6">
        <v>-4.3283389999999997</v>
      </c>
      <c r="BE257" s="6">
        <v>3.1939700000000002</v>
      </c>
    </row>
    <row r="258" spans="1:57" s="36" customFormat="1" ht="12.6" x14ac:dyDescent="0.2">
      <c r="A258" s="24" t="s">
        <v>462</v>
      </c>
      <c r="B258" s="6">
        <v>4.8727859999999996</v>
      </c>
      <c r="D258" s="6">
        <v>5.6108060000000002</v>
      </c>
      <c r="F258" s="6">
        <v>2.8087800000000001</v>
      </c>
      <c r="G258" s="6">
        <v>9.9282489999999992</v>
      </c>
      <c r="I258" s="6">
        <v>0.15798200000000001</v>
      </c>
      <c r="K258" s="6">
        <v>0.21598000000000001</v>
      </c>
      <c r="M258" s="6">
        <v>0.28778999999999999</v>
      </c>
      <c r="O258" s="6">
        <v>2.64941</v>
      </c>
      <c r="Q258" s="6">
        <v>-3.5353300000000001</v>
      </c>
      <c r="S258" s="6">
        <v>1.08043</v>
      </c>
      <c r="U258" s="6">
        <v>0.81310000000000004</v>
      </c>
      <c r="W258" s="6">
        <v>2.9491700000000001</v>
      </c>
      <c r="Y258" s="6">
        <v>-0.64637999999999995</v>
      </c>
      <c r="AA258" s="6">
        <v>2.3157100000000002</v>
      </c>
      <c r="AC258" s="6">
        <v>-1.94851</v>
      </c>
      <c r="AE258" s="6">
        <v>4.0274700000000001</v>
      </c>
      <c r="AG258" s="6">
        <v>-2.5167700000000002</v>
      </c>
      <c r="AI258" s="6">
        <v>4.1308699999999998</v>
      </c>
      <c r="AK258" s="6">
        <v>-4.2366900000000003</v>
      </c>
      <c r="AM258" s="6">
        <v>-4.9550599999999996</v>
      </c>
      <c r="AO258" s="6">
        <v>3.6439499999999998</v>
      </c>
      <c r="AQ258" s="6">
        <v>4.4133399999999998</v>
      </c>
      <c r="AS258" s="6">
        <v>2.1361699999999999</v>
      </c>
      <c r="AU258" s="6">
        <v>2.9590100000000001</v>
      </c>
      <c r="AW258" s="6">
        <v>-0.45957999999999999</v>
      </c>
      <c r="AY258" s="6">
        <v>-1.8889499999999999</v>
      </c>
      <c r="BA258" s="6">
        <v>-0.81291999999999998</v>
      </c>
      <c r="BC258" s="6">
        <v>-4.2749499999999996</v>
      </c>
      <c r="BE258" s="6">
        <v>0.14654</v>
      </c>
    </row>
    <row r="259" spans="1:57" s="36" customFormat="1" ht="12.6" x14ac:dyDescent="0.2">
      <c r="A259" s="24" t="s">
        <v>463</v>
      </c>
      <c r="B259" s="6">
        <v>15.280343999999999</v>
      </c>
      <c r="D259" s="6">
        <v>18.083499</v>
      </c>
      <c r="F259" s="6">
        <v>20.488386999999999</v>
      </c>
      <c r="G259" s="6">
        <v>9.7232380000000003</v>
      </c>
      <c r="I259" s="6">
        <v>23.338667000000001</v>
      </c>
      <c r="K259" s="6">
        <v>2.3708200000000001</v>
      </c>
      <c r="M259" s="6">
        <v>2.22749</v>
      </c>
      <c r="O259" s="6">
        <v>3.52745</v>
      </c>
      <c r="Q259" s="6">
        <v>-2.3896899999999999</v>
      </c>
      <c r="S259" s="6">
        <v>0.65520999999999996</v>
      </c>
      <c r="U259" s="6">
        <v>1.2421</v>
      </c>
      <c r="W259" s="6">
        <v>5.1768000000000001</v>
      </c>
      <c r="Y259" s="6">
        <v>1.3431299999999999</v>
      </c>
      <c r="AA259" s="6">
        <v>4.2919299999999998</v>
      </c>
      <c r="AC259" s="6">
        <v>-0.94684999999999997</v>
      </c>
      <c r="AE259" s="6">
        <v>3.0279799999999999</v>
      </c>
      <c r="AG259" s="6">
        <v>-3.7257400000000001</v>
      </c>
      <c r="AI259" s="6">
        <v>4.7058</v>
      </c>
      <c r="AK259" s="6">
        <v>-3.52075</v>
      </c>
      <c r="AM259" s="6">
        <v>-1.51678</v>
      </c>
      <c r="AO259" s="6">
        <v>3.5943800000000001</v>
      </c>
      <c r="AQ259" s="6">
        <v>3.5191499999999998</v>
      </c>
      <c r="AS259" s="6">
        <v>0.86102999999999996</v>
      </c>
      <c r="AU259" s="6">
        <v>1.6055299999999999</v>
      </c>
      <c r="AW259" s="6">
        <v>7.7529599999999999</v>
      </c>
      <c r="AY259" s="6">
        <v>1.1869400000000001</v>
      </c>
      <c r="BA259" s="6">
        <v>2.3958499999999998</v>
      </c>
      <c r="BC259" s="6">
        <v>-1.44407</v>
      </c>
      <c r="BE259" s="6">
        <v>2.5217299999999998</v>
      </c>
    </row>
    <row r="260" spans="1:57" s="36" customFormat="1" ht="12.6" x14ac:dyDescent="0.2">
      <c r="A260" s="24" t="s">
        <v>464</v>
      </c>
      <c r="B260" s="6">
        <v>0.27272999999999997</v>
      </c>
      <c r="D260" s="6">
        <v>14.606248000000001</v>
      </c>
      <c r="F260" s="6">
        <v>18.578827</v>
      </c>
      <c r="G260" s="6">
        <v>22.786909999999999</v>
      </c>
      <c r="I260" s="6">
        <v>26.168527999999998</v>
      </c>
      <c r="K260" s="6">
        <v>1.1621649999999999</v>
      </c>
      <c r="M260" s="6">
        <v>14.142564999999999</v>
      </c>
      <c r="O260" s="6">
        <v>-3.5665650000000002</v>
      </c>
      <c r="Q260" s="6">
        <v>-10.627997000000001</v>
      </c>
      <c r="S260" s="6">
        <v>2.7810679999999999</v>
      </c>
      <c r="U260" s="6">
        <v>3.8184450000000001</v>
      </c>
      <c r="W260" s="6">
        <v>9.254327</v>
      </c>
      <c r="Y260" s="6">
        <v>-1.488359</v>
      </c>
      <c r="AA260" s="6">
        <v>-4.5373640000000002</v>
      </c>
      <c r="AC260" s="6">
        <v>3.9236810000000002</v>
      </c>
      <c r="AE260" s="6">
        <v>3.2503120000000001</v>
      </c>
      <c r="AG260" s="6">
        <v>-4.8047620000000002</v>
      </c>
      <c r="AI260" s="6">
        <v>2.0948829999999998</v>
      </c>
      <c r="AK260" s="6">
        <v>-3.9501360000000001</v>
      </c>
      <c r="AM260" s="6">
        <v>-8.785774</v>
      </c>
      <c r="AO260" s="6">
        <v>-0.291076</v>
      </c>
      <c r="AQ260" s="6">
        <v>-5.14764</v>
      </c>
      <c r="AS260" s="6">
        <v>2.8085779999999998</v>
      </c>
      <c r="AU260" s="6">
        <v>5.1466719999999997</v>
      </c>
      <c r="AW260" s="6">
        <v>3.2073320000000001</v>
      </c>
      <c r="AY260" s="6">
        <v>10.1587</v>
      </c>
      <c r="BA260" s="6">
        <v>14.014434</v>
      </c>
      <c r="BC260" s="6">
        <v>8.9021539999999995</v>
      </c>
      <c r="BE260" s="6">
        <v>-2.2638980000000002</v>
      </c>
    </row>
    <row r="261" spans="1:57" s="36" customFormat="1" ht="12.6" x14ac:dyDescent="0.2">
      <c r="A261" s="24" t="s">
        <v>465</v>
      </c>
      <c r="B261" s="6">
        <v>28.270192000000002</v>
      </c>
      <c r="D261" s="6">
        <v>75.177091000000004</v>
      </c>
      <c r="F261" s="6">
        <v>46.017088000000001</v>
      </c>
      <c r="G261" s="6">
        <v>55.314413000000002</v>
      </c>
      <c r="I261" s="6">
        <v>-12.967845000000001</v>
      </c>
      <c r="K261" s="6">
        <v>4.4759640000000003</v>
      </c>
      <c r="M261" s="6">
        <v>47.914866000000004</v>
      </c>
      <c r="O261" s="6">
        <v>12.291105</v>
      </c>
      <c r="Q261" s="6">
        <v>-14.821364000000001</v>
      </c>
      <c r="S261" s="6">
        <v>11.648023</v>
      </c>
      <c r="U261" s="6">
        <v>-11.655526</v>
      </c>
      <c r="W261" s="6">
        <v>11.264934999999999</v>
      </c>
      <c r="Y261" s="6">
        <v>-13.420393000000001</v>
      </c>
      <c r="AA261" s="6">
        <v>5.7864820000000003</v>
      </c>
      <c r="AC261" s="6">
        <v>16.761545999999999</v>
      </c>
      <c r="AE261" s="6">
        <v>40.002809999999997</v>
      </c>
      <c r="AG261" s="6">
        <v>0.86773299999999998</v>
      </c>
      <c r="AI261" s="6">
        <v>8.0225779999999993</v>
      </c>
      <c r="AK261" s="6">
        <v>-16.934871999999999</v>
      </c>
      <c r="AM261" s="6">
        <v>-2.2492589999999999</v>
      </c>
      <c r="AO261" s="6">
        <v>11.238032</v>
      </c>
      <c r="AQ261" s="6">
        <v>10.503863000000001</v>
      </c>
      <c r="AS261" s="6">
        <v>1.1014330000000001</v>
      </c>
      <c r="AU261" s="6">
        <v>10.291285</v>
      </c>
      <c r="AW261" s="6">
        <v>-8.8144960000000001</v>
      </c>
      <c r="AY261" s="6">
        <v>4.389532</v>
      </c>
      <c r="BA261" s="6">
        <v>-2.8554719999999998</v>
      </c>
      <c r="BC261" s="6">
        <v>-17.035454000000001</v>
      </c>
      <c r="BE261" s="6">
        <v>-5.6366170000000002</v>
      </c>
    </row>
    <row r="262" spans="1:57" s="36" customFormat="1" ht="12.6" x14ac:dyDescent="0.2">
      <c r="A262" s="24" t="s">
        <v>466</v>
      </c>
      <c r="B262" s="6">
        <v>9.7947959999999998</v>
      </c>
      <c r="D262" s="6">
        <v>14.525949000000001</v>
      </c>
      <c r="F262" s="6">
        <v>14.604874000000001</v>
      </c>
      <c r="G262" s="6">
        <v>9.2823930000000008</v>
      </c>
      <c r="I262" s="6">
        <v>13.103585000000001</v>
      </c>
      <c r="K262" s="6">
        <v>-0.14230999999999999</v>
      </c>
      <c r="M262" s="6">
        <v>4.0923600000000002</v>
      </c>
      <c r="O262" s="6">
        <v>2.4286099999999999</v>
      </c>
      <c r="Q262" s="6">
        <v>-2.6121599999999998</v>
      </c>
      <c r="S262" s="6">
        <v>1.0241899999999999</v>
      </c>
      <c r="U262" s="6">
        <v>-1.4540200000000001</v>
      </c>
      <c r="W262" s="6">
        <v>7.8549499999999997</v>
      </c>
      <c r="Y262" s="6">
        <v>-3.0872999999999999</v>
      </c>
      <c r="AA262" s="6">
        <v>1.06158</v>
      </c>
      <c r="AC262" s="6">
        <v>1.8497699999999999</v>
      </c>
      <c r="AE262" s="6">
        <v>3.8959800000000002</v>
      </c>
      <c r="AG262" s="6">
        <v>0.64066000000000001</v>
      </c>
      <c r="AI262" s="6">
        <v>0.64931000000000005</v>
      </c>
      <c r="AK262" s="6">
        <v>-2.0361799999999999</v>
      </c>
      <c r="AM262" s="6">
        <v>-2.2524700000000002</v>
      </c>
      <c r="AO262" s="6">
        <v>-1.2607900000000001</v>
      </c>
      <c r="AQ262" s="6">
        <v>5.1954000000000002</v>
      </c>
      <c r="AS262" s="6">
        <v>3.14154</v>
      </c>
      <c r="AU262" s="6">
        <v>2.8940100000000002</v>
      </c>
      <c r="AW262" s="6">
        <v>3.8097300000000001</v>
      </c>
      <c r="AY262" s="6">
        <v>0.88405999999999996</v>
      </c>
      <c r="BA262" s="6">
        <v>1.33609</v>
      </c>
      <c r="BC262" s="6">
        <v>0.76275000000000004</v>
      </c>
      <c r="BE262" s="6">
        <v>-0.44589000000000001</v>
      </c>
    </row>
    <row r="263" spans="1:57" s="36" customFormat="1" ht="12.6" x14ac:dyDescent="0.2">
      <c r="A263" s="24" t="s">
        <v>467</v>
      </c>
      <c r="B263" s="6">
        <v>15.438883000000001</v>
      </c>
      <c r="D263" s="6">
        <v>22.423940999999999</v>
      </c>
      <c r="F263" s="6">
        <v>21.927911999999999</v>
      </c>
      <c r="G263" s="6">
        <v>9.5183400000000002</v>
      </c>
      <c r="I263" s="6">
        <v>13.71879</v>
      </c>
      <c r="K263" s="6">
        <v>4.4657869999999997</v>
      </c>
      <c r="M263" s="6">
        <v>6.0379160000000001</v>
      </c>
      <c r="O263" s="6">
        <v>2.955775</v>
      </c>
      <c r="Q263" s="6">
        <v>-3.2292960000000002</v>
      </c>
      <c r="S263" s="6">
        <v>1.872922</v>
      </c>
      <c r="U263" s="6">
        <v>1.7683139999999999</v>
      </c>
      <c r="W263" s="6">
        <v>4.0632039999999998</v>
      </c>
      <c r="Y263" s="6">
        <v>-1.2834890000000001</v>
      </c>
      <c r="AA263" s="6">
        <v>-0.61508700000000005</v>
      </c>
      <c r="AC263" s="6">
        <v>3.8011469999999998</v>
      </c>
      <c r="AE263" s="6">
        <v>4.9591839999999996</v>
      </c>
      <c r="AG263" s="6">
        <v>2.7171029999999998</v>
      </c>
      <c r="AI263" s="6">
        <v>2.7155119999999999</v>
      </c>
      <c r="AK263" s="6">
        <v>-0.25314399999999998</v>
      </c>
      <c r="AM263" s="6">
        <v>-4.5564330000000002</v>
      </c>
      <c r="AO263" s="6">
        <v>-1.672946</v>
      </c>
      <c r="AQ263" s="6">
        <v>5.3737089999999998</v>
      </c>
      <c r="AS263" s="6">
        <v>2.6269580000000001</v>
      </c>
      <c r="AU263" s="6">
        <v>3.1526239999999999</v>
      </c>
      <c r="AW263" s="6">
        <v>0.94446300000000005</v>
      </c>
      <c r="AY263" s="6">
        <v>2.0980089999999998</v>
      </c>
      <c r="BA263" s="6">
        <v>3.6673990000000001</v>
      </c>
      <c r="BC263" s="6">
        <v>-3.3160000000000002E-2</v>
      </c>
      <c r="BE263" s="6">
        <v>-0.73289700000000002</v>
      </c>
    </row>
    <row r="264" spans="1:57" s="36" customFormat="1" ht="12.6" x14ac:dyDescent="0.2">
      <c r="A264" s="24" t="s">
        <v>468</v>
      </c>
      <c r="B264" s="6">
        <v>7.6770500000000004</v>
      </c>
      <c r="D264" s="6">
        <v>16.391736999999999</v>
      </c>
      <c r="F264" s="6">
        <v>20.361017</v>
      </c>
      <c r="G264" s="6">
        <v>8.7423470000000005</v>
      </c>
      <c r="I264" s="6">
        <v>16.655473000000001</v>
      </c>
      <c r="K264" s="6">
        <v>-0.280198</v>
      </c>
      <c r="M264" s="6">
        <v>5.8965690000000004</v>
      </c>
      <c r="O264" s="6">
        <v>1.6216140000000001</v>
      </c>
      <c r="Q264" s="6">
        <v>1.8908430000000001</v>
      </c>
      <c r="S264" s="6">
        <v>-1.1099289999999999</v>
      </c>
      <c r="U264" s="6">
        <v>2.785657</v>
      </c>
      <c r="W264" s="6">
        <v>2.7538</v>
      </c>
      <c r="Y264" s="6">
        <v>-1.7775270000000001</v>
      </c>
      <c r="AA264" s="6">
        <v>5.6130699999999996</v>
      </c>
      <c r="AC264" s="6">
        <v>1.7239370000000001</v>
      </c>
      <c r="AE264" s="6">
        <v>-2.5021559999999998</v>
      </c>
      <c r="AG264" s="6">
        <v>5.6944650000000001</v>
      </c>
      <c r="AI264" s="6">
        <v>1.6632000000000001E-2</v>
      </c>
      <c r="AK264" s="6">
        <v>0.50908399999999998</v>
      </c>
      <c r="AM264" s="6">
        <v>0.54180399999999995</v>
      </c>
      <c r="AO264" s="6">
        <v>-1.762642</v>
      </c>
      <c r="AQ264" s="6">
        <v>3.482043</v>
      </c>
      <c r="AS264" s="6">
        <v>2.8925290000000001</v>
      </c>
      <c r="AU264" s="6">
        <v>3.4963980000000001</v>
      </c>
      <c r="AW264" s="6">
        <v>0.47864000000000001</v>
      </c>
      <c r="AY264" s="6">
        <v>4.819928</v>
      </c>
      <c r="BA264" s="6">
        <v>3.1265580000000002</v>
      </c>
      <c r="BC264" s="6">
        <v>-1.8215779999999999</v>
      </c>
      <c r="BE264" s="6">
        <v>-1.704E-2</v>
      </c>
    </row>
    <row r="265" spans="1:57" s="36" customFormat="1" ht="12.6" x14ac:dyDescent="0.2">
      <c r="A265" s="24" t="s">
        <v>469</v>
      </c>
      <c r="B265" s="6">
        <v>13.89339</v>
      </c>
      <c r="D265" s="6">
        <v>19.099025000000001</v>
      </c>
      <c r="F265" s="6">
        <v>19.007549000000001</v>
      </c>
      <c r="G265" s="6">
        <v>7.7406360000000003</v>
      </c>
      <c r="I265" s="6">
        <v>26.035978</v>
      </c>
      <c r="K265" s="6">
        <v>2.9625750000000002</v>
      </c>
      <c r="M265" s="6">
        <v>3.0622210000000001</v>
      </c>
      <c r="O265" s="6">
        <v>3.7172640000000001</v>
      </c>
      <c r="Q265" s="6">
        <v>-1.4717579999999999</v>
      </c>
      <c r="S265" s="6">
        <v>2.3577520000000001</v>
      </c>
      <c r="U265" s="6">
        <v>-2.6350790000000002</v>
      </c>
      <c r="W265" s="6">
        <v>4.5953970000000002</v>
      </c>
      <c r="Y265" s="6">
        <v>-0.121116</v>
      </c>
      <c r="AA265" s="6">
        <v>-1.8226439999999999</v>
      </c>
      <c r="AC265" s="6">
        <v>-0.11822299999999999</v>
      </c>
      <c r="AE265" s="6">
        <v>-1.2336510000000001</v>
      </c>
      <c r="AG265" s="6">
        <v>2.765587</v>
      </c>
      <c r="AI265" s="6">
        <v>6.1645099999999999</v>
      </c>
      <c r="AK265" s="6">
        <v>3.9347409999999998</v>
      </c>
      <c r="AM265" s="6">
        <v>-0.51680599999999999</v>
      </c>
      <c r="AO265" s="6">
        <v>1.416399</v>
      </c>
      <c r="AQ265" s="6">
        <v>4.0249119999999996</v>
      </c>
      <c r="AS265" s="6">
        <v>0.46623900000000001</v>
      </c>
      <c r="AU265" s="6">
        <v>-0.19906199999999999</v>
      </c>
      <c r="AW265" s="6">
        <v>1.7797719999999999</v>
      </c>
      <c r="AY265" s="6">
        <v>0.72394999999999998</v>
      </c>
      <c r="BA265" s="6">
        <v>2.1089609999999999</v>
      </c>
      <c r="BC265" s="6">
        <v>1.3928529999999999</v>
      </c>
      <c r="BE265" s="6">
        <v>2.267817</v>
      </c>
    </row>
    <row r="266" spans="1:57" s="36" customFormat="1" ht="12.6" x14ac:dyDescent="0.2">
      <c r="A266" s="24" t="s">
        <v>470</v>
      </c>
      <c r="B266" s="6">
        <v>16.207381000000002</v>
      </c>
      <c r="D266" s="6">
        <v>25.710744999999999</v>
      </c>
      <c r="F266" s="6">
        <v>26.164203000000001</v>
      </c>
      <c r="G266" s="6">
        <v>10.565310999999999</v>
      </c>
      <c r="I266" s="6">
        <v>24.769891000000001</v>
      </c>
      <c r="K266" s="6">
        <v>2.6400899999999998</v>
      </c>
      <c r="M266" s="6">
        <v>5.0843999999999996</v>
      </c>
      <c r="O266" s="6">
        <v>3.7233100000000001</v>
      </c>
      <c r="Q266" s="6">
        <v>-2.0720800000000001</v>
      </c>
      <c r="S266" s="6">
        <v>5.9652399999999997</v>
      </c>
      <c r="U266" s="6">
        <v>4.6846899999999998</v>
      </c>
      <c r="W266" s="6">
        <v>-0.63061999999999996</v>
      </c>
      <c r="Y266" s="6">
        <v>1.16387</v>
      </c>
      <c r="AA266" s="6">
        <v>0.77615999999999996</v>
      </c>
      <c r="AC266" s="6">
        <v>-1.16794</v>
      </c>
      <c r="AE266" s="6">
        <v>3.37432</v>
      </c>
      <c r="AG266" s="6">
        <v>1.4218200000000001</v>
      </c>
      <c r="AI266" s="6">
        <v>1.4951000000000001</v>
      </c>
      <c r="AK266" s="6">
        <v>-0.52534000000000003</v>
      </c>
      <c r="AM266" s="6">
        <v>-6.0743799999999997</v>
      </c>
      <c r="AO266" s="6">
        <v>-0.82337000000000005</v>
      </c>
      <c r="AQ266" s="6">
        <v>6.79704</v>
      </c>
      <c r="AS266" s="6">
        <v>4.8804699999999999</v>
      </c>
      <c r="AU266" s="6">
        <v>4.2869900000000003</v>
      </c>
      <c r="AW266" s="6">
        <v>2.28315</v>
      </c>
      <c r="AY266" s="6">
        <v>4.4435599999999997</v>
      </c>
      <c r="BA266" s="6">
        <v>5.5135800000000001</v>
      </c>
      <c r="BC266" s="6">
        <v>0.67639000000000005</v>
      </c>
      <c r="BE266" s="6">
        <v>8.1339999999999996E-2</v>
      </c>
    </row>
    <row r="267" spans="1:57" s="36" customFormat="1" ht="12.6" x14ac:dyDescent="0.2">
      <c r="A267" s="24" t="s">
        <v>471</v>
      </c>
      <c r="B267" s="6">
        <v>20.150569000000001</v>
      </c>
      <c r="D267" s="6">
        <v>27.864778999999999</v>
      </c>
      <c r="F267" s="6">
        <v>28.424766999999999</v>
      </c>
      <c r="G267" s="6">
        <v>11.686075000000001</v>
      </c>
      <c r="I267" s="6">
        <v>18.061140000000002</v>
      </c>
      <c r="K267" s="6">
        <v>5.5296760000000003</v>
      </c>
      <c r="M267" s="6">
        <v>6.4357240000000004</v>
      </c>
      <c r="O267" s="6">
        <v>3.4398059999999999</v>
      </c>
      <c r="Q267" s="6">
        <v>-1.8879950000000001</v>
      </c>
      <c r="S267" s="6">
        <v>3.8952529999999999</v>
      </c>
      <c r="U267" s="6">
        <v>4.1468309999999997</v>
      </c>
      <c r="W267" s="6">
        <v>2.0687690000000001</v>
      </c>
      <c r="Y267" s="6">
        <v>-1.9593860000000001</v>
      </c>
      <c r="AA267" s="6">
        <v>-1.1119969999999999</v>
      </c>
      <c r="AC267" s="6">
        <v>4.0218020000000001</v>
      </c>
      <c r="AE267" s="6">
        <v>3.656685</v>
      </c>
      <c r="AG267" s="6">
        <v>6.1482340000000004</v>
      </c>
      <c r="AI267" s="6">
        <v>0.75836199999999998</v>
      </c>
      <c r="AK267" s="6">
        <v>-9.9026000000000003E-2</v>
      </c>
      <c r="AM267" s="6">
        <v>-5.8299649999999996</v>
      </c>
      <c r="AO267" s="6">
        <v>-2.47214</v>
      </c>
      <c r="AQ267" s="6">
        <v>6.2290799999999997</v>
      </c>
      <c r="AS267" s="6">
        <v>3.537963</v>
      </c>
      <c r="AU267" s="6">
        <v>5.5603429999999996</v>
      </c>
      <c r="AW267" s="6">
        <v>1.0266230000000001</v>
      </c>
      <c r="AY267" s="6">
        <v>3.2238869999999999</v>
      </c>
      <c r="BA267" s="6">
        <v>6.3881019999999999</v>
      </c>
      <c r="BC267" s="6">
        <v>0.52195800000000003</v>
      </c>
      <c r="BE267" s="6">
        <v>-1.3718600000000001</v>
      </c>
    </row>
    <row r="268" spans="1:57" s="36" customFormat="1" ht="12.6" x14ac:dyDescent="0.2">
      <c r="A268" s="24" t="s">
        <v>472</v>
      </c>
      <c r="B268" s="6">
        <v>8.1829859999999996</v>
      </c>
      <c r="D268" s="6">
        <v>6.4760220000000004</v>
      </c>
      <c r="F268" s="6">
        <v>8.6197739999999996</v>
      </c>
      <c r="G268" s="6">
        <v>8.0378240000000005</v>
      </c>
      <c r="I268" s="6">
        <v>2.187602</v>
      </c>
      <c r="K268" s="6">
        <v>3.8261500000000002</v>
      </c>
      <c r="M268" s="6">
        <v>1.6150800000000001</v>
      </c>
      <c r="O268" s="6">
        <v>2.2412999999999998</v>
      </c>
      <c r="Q268" s="6">
        <v>-0.79890000000000005</v>
      </c>
      <c r="S268" s="6">
        <v>0.19098000000000001</v>
      </c>
      <c r="U268" s="6">
        <v>-1.93231</v>
      </c>
      <c r="W268" s="6">
        <v>5.3068200000000001</v>
      </c>
      <c r="Y268" s="6">
        <v>1.1039300000000001</v>
      </c>
      <c r="AA268" s="6">
        <v>-0.98502999999999996</v>
      </c>
      <c r="AC268" s="6">
        <v>0.87195999999999996</v>
      </c>
      <c r="AE268" s="6">
        <v>2.6959399999999998</v>
      </c>
      <c r="AG268" s="6">
        <v>0.55603000000000002</v>
      </c>
      <c r="AI268" s="6">
        <v>1.1015900000000001</v>
      </c>
      <c r="AK268" s="6">
        <v>4.8776299999999999</v>
      </c>
      <c r="AM268" s="6">
        <v>-0.54818999999999996</v>
      </c>
      <c r="AO268" s="6">
        <v>0.76746999999999999</v>
      </c>
      <c r="AQ268" s="6">
        <v>1.02789</v>
      </c>
      <c r="AS268" s="6">
        <v>-3.4853399999999999</v>
      </c>
      <c r="AU268" s="6">
        <v>-0.38833000000000001</v>
      </c>
      <c r="AW268" s="6">
        <v>1.02121</v>
      </c>
      <c r="AY268" s="6">
        <v>-3.11049</v>
      </c>
      <c r="BA268" s="6">
        <v>6.4810000000000006E-2</v>
      </c>
      <c r="BC268" s="6">
        <v>3.7654999999999998</v>
      </c>
      <c r="BE268" s="6">
        <v>-2.5782699999999998</v>
      </c>
    </row>
    <row r="269" spans="1:57" s="36" customFormat="1" ht="12.6" x14ac:dyDescent="0.2">
      <c r="A269" s="24" t="s">
        <v>472</v>
      </c>
      <c r="B269" s="6">
        <v>8.1829870000000007</v>
      </c>
      <c r="D269" s="6">
        <v>6.4760200000000001</v>
      </c>
      <c r="F269" s="6">
        <v>8.6197769999999991</v>
      </c>
      <c r="G269" s="6">
        <v>8.0378240000000005</v>
      </c>
      <c r="I269" s="6">
        <v>2.187602</v>
      </c>
      <c r="K269" s="6">
        <v>3.8261479999999999</v>
      </c>
      <c r="M269" s="6">
        <v>1.615084</v>
      </c>
      <c r="O269" s="6">
        <v>2.2413029999999998</v>
      </c>
      <c r="Q269" s="6">
        <v>-0.798902</v>
      </c>
      <c r="S269" s="6">
        <v>0.19098100000000001</v>
      </c>
      <c r="U269" s="6">
        <v>-1.932307</v>
      </c>
      <c r="W269" s="6">
        <v>5.3068160000000004</v>
      </c>
      <c r="Y269" s="6">
        <v>1.103934</v>
      </c>
      <c r="AA269" s="6">
        <v>-0.98502599999999996</v>
      </c>
      <c r="AC269" s="6">
        <v>0.87195500000000004</v>
      </c>
      <c r="AE269" s="6">
        <v>2.6959399999999998</v>
      </c>
      <c r="AG269" s="6">
        <v>0.55602799999999997</v>
      </c>
      <c r="AI269" s="6">
        <v>1.101588</v>
      </c>
      <c r="AK269" s="6">
        <v>4.8776320000000002</v>
      </c>
      <c r="AM269" s="6">
        <v>-0.54818900000000004</v>
      </c>
      <c r="AO269" s="6">
        <v>0.76746999999999999</v>
      </c>
      <c r="AQ269" s="6">
        <v>1.0278929999999999</v>
      </c>
      <c r="AS269" s="6">
        <v>-3.4853399999999999</v>
      </c>
      <c r="AU269" s="6">
        <v>-0.388326</v>
      </c>
      <c r="AW269" s="6">
        <v>1.021207</v>
      </c>
      <c r="AY269" s="6">
        <v>-3.1104940000000001</v>
      </c>
      <c r="BA269" s="6">
        <v>6.4806000000000002E-2</v>
      </c>
      <c r="BC269" s="6">
        <v>3.7655020000000001</v>
      </c>
      <c r="BE269" s="6">
        <v>-2.5782690000000001</v>
      </c>
    </row>
    <row r="270" spans="1:57" s="36" customFormat="1" ht="12.6" x14ac:dyDescent="0.2">
      <c r="A270" s="24" t="s">
        <v>473</v>
      </c>
      <c r="B270" s="6">
        <v>10.044739</v>
      </c>
      <c r="D270" s="6">
        <v>7.2194859999999998</v>
      </c>
      <c r="F270" s="6">
        <v>9.2317300000000007</v>
      </c>
      <c r="G270" s="6">
        <v>12.518452999999999</v>
      </c>
      <c r="I270" s="6">
        <v>7.0634009999999998</v>
      </c>
      <c r="K270" s="6">
        <v>5.8358020000000002</v>
      </c>
      <c r="M270" s="6">
        <v>3.8869319999999998</v>
      </c>
      <c r="O270" s="6">
        <v>2.306311</v>
      </c>
      <c r="Q270" s="6">
        <v>-3.4420999999999999</v>
      </c>
      <c r="S270" s="6">
        <v>0.42854900000000001</v>
      </c>
      <c r="U270" s="6">
        <v>1.3682099999999999</v>
      </c>
      <c r="W270" s="6">
        <v>5.7066150000000002</v>
      </c>
      <c r="Y270" s="6">
        <v>1.3612120000000001</v>
      </c>
      <c r="AA270" s="6">
        <v>-5.1356359999999999</v>
      </c>
      <c r="AC270" s="6">
        <v>0.87371500000000002</v>
      </c>
      <c r="AE270" s="6">
        <v>-0.32999299999999998</v>
      </c>
      <c r="AG270" s="6">
        <v>-1.3733470000000001</v>
      </c>
      <c r="AI270" s="6">
        <v>5.576905</v>
      </c>
      <c r="AK270" s="6">
        <v>1.8725499999999999</v>
      </c>
      <c r="AM270" s="6">
        <v>-2.3074479999999999</v>
      </c>
      <c r="AO270" s="6">
        <v>-4.6296650000000001</v>
      </c>
      <c r="AQ270" s="6">
        <v>-4.3570140000000004</v>
      </c>
      <c r="AS270" s="6">
        <v>-0.33033499999999999</v>
      </c>
      <c r="AU270" s="6">
        <v>-1.391705</v>
      </c>
      <c r="AW270" s="6">
        <v>3.4182320000000002</v>
      </c>
      <c r="AY270" s="6">
        <v>-0.35646099999999997</v>
      </c>
      <c r="BA270" s="6">
        <v>4.3358590000000001</v>
      </c>
      <c r="BC270" s="6">
        <v>8.1154320000000002</v>
      </c>
      <c r="BE270" s="6">
        <v>-2.221571</v>
      </c>
    </row>
    <row r="271" spans="1:57" s="36" customFormat="1" ht="12.6" x14ac:dyDescent="0.2">
      <c r="A271" s="24" t="s">
        <v>473</v>
      </c>
      <c r="B271" s="6">
        <v>10.044746999999999</v>
      </c>
      <c r="D271" s="6">
        <v>7.2194919999999998</v>
      </c>
      <c r="F271" s="6">
        <v>9.2317459999999993</v>
      </c>
      <c r="G271" s="6">
        <v>12.518452</v>
      </c>
      <c r="I271" s="6">
        <v>7.0634139999999999</v>
      </c>
      <c r="K271" s="6">
        <v>5.8358059999999998</v>
      </c>
      <c r="M271" s="6">
        <v>3.8869349999999998</v>
      </c>
      <c r="O271" s="6">
        <v>2.3063129999999998</v>
      </c>
      <c r="Q271" s="6">
        <v>-3.4421010000000001</v>
      </c>
      <c r="S271" s="6">
        <v>0.42855100000000002</v>
      </c>
      <c r="U271" s="6">
        <v>1.3682080000000001</v>
      </c>
      <c r="W271" s="6">
        <v>5.7066109999999997</v>
      </c>
      <c r="Y271" s="6">
        <v>1.361216</v>
      </c>
      <c r="AA271" s="6">
        <v>-5.1356320000000002</v>
      </c>
      <c r="AC271" s="6">
        <v>0.87371699999999997</v>
      </c>
      <c r="AE271" s="6">
        <v>-0.32999499999999998</v>
      </c>
      <c r="AG271" s="6">
        <v>-1.3733420000000001</v>
      </c>
      <c r="AI271" s="6">
        <v>5.5769070000000003</v>
      </c>
      <c r="AK271" s="6">
        <v>1.8725510000000001</v>
      </c>
      <c r="AM271" s="6">
        <v>-2.3074439999999998</v>
      </c>
      <c r="AO271" s="6">
        <v>-4.6296650000000001</v>
      </c>
      <c r="AQ271" s="6">
        <v>-4.3570159999999998</v>
      </c>
      <c r="AS271" s="6">
        <v>-0.33033200000000001</v>
      </c>
      <c r="AU271" s="6">
        <v>-1.3917010000000001</v>
      </c>
      <c r="AW271" s="6">
        <v>3.418231</v>
      </c>
      <c r="AY271" s="6">
        <v>-0.356464</v>
      </c>
      <c r="BA271" s="6">
        <v>4.3358610000000004</v>
      </c>
      <c r="BC271" s="6">
        <v>8.1154320000000002</v>
      </c>
      <c r="BE271" s="6">
        <v>-2.221568</v>
      </c>
    </row>
    <row r="272" spans="1:57" s="36" customFormat="1" ht="12.6" x14ac:dyDescent="0.2">
      <c r="A272" s="24" t="s">
        <v>474</v>
      </c>
      <c r="B272" s="6">
        <v>-6.0866030000000002</v>
      </c>
      <c r="D272" s="6">
        <v>-4.0870480000000002</v>
      </c>
      <c r="F272" s="6">
        <v>5.5829510000000004</v>
      </c>
      <c r="G272" s="6">
        <v>19.874558</v>
      </c>
      <c r="I272" s="6">
        <v>36.310603</v>
      </c>
      <c r="K272" s="6">
        <v>-7.9898949999999997</v>
      </c>
      <c r="M272" s="6">
        <v>1.4214880000000001</v>
      </c>
      <c r="O272" s="6">
        <v>0.328544</v>
      </c>
      <c r="Q272" s="6">
        <v>-4.5414199999999996</v>
      </c>
      <c r="S272" s="6">
        <v>9.949427</v>
      </c>
      <c r="U272" s="6">
        <v>-10.178967999999999</v>
      </c>
      <c r="W272" s="6">
        <v>7.8090320000000002</v>
      </c>
      <c r="Y272" s="6">
        <v>-2.5437479999999999</v>
      </c>
      <c r="AA272" s="6">
        <v>0.61519000000000001</v>
      </c>
      <c r="AC272" s="6">
        <v>-5.7668030000000003</v>
      </c>
      <c r="AE272" s="6">
        <v>-4.9150039999999997</v>
      </c>
      <c r="AG272" s="6">
        <v>-2.1777510000000002</v>
      </c>
      <c r="AI272" s="6">
        <v>-0.73280100000000004</v>
      </c>
      <c r="AK272" s="6">
        <v>-1.930836</v>
      </c>
      <c r="AM272" s="6">
        <v>1.9073230000000001</v>
      </c>
      <c r="AO272" s="6">
        <v>0.82304900000000003</v>
      </c>
      <c r="AQ272" s="6">
        <v>7.074141</v>
      </c>
      <c r="AS272" s="6">
        <v>2.063294</v>
      </c>
      <c r="AU272" s="6">
        <v>4.808802</v>
      </c>
      <c r="AW272" s="6">
        <v>5.2324840000000004</v>
      </c>
      <c r="AY272" s="6">
        <v>6.1439079999999997</v>
      </c>
      <c r="BA272" s="6">
        <v>13.268831</v>
      </c>
      <c r="BC272" s="6">
        <v>-2.1975199999999999</v>
      </c>
      <c r="BE272" s="6">
        <v>-3.8456239999999999</v>
      </c>
    </row>
    <row r="273" spans="1:57" s="36" customFormat="1" ht="12.6" x14ac:dyDescent="0.2">
      <c r="A273" s="24" t="s">
        <v>475</v>
      </c>
      <c r="B273" s="6">
        <v>12.334811999999999</v>
      </c>
      <c r="D273" s="6">
        <v>14.173363</v>
      </c>
      <c r="F273" s="6">
        <v>17.763401999999999</v>
      </c>
      <c r="G273" s="6">
        <v>7.2718809999999996</v>
      </c>
      <c r="I273" s="6">
        <v>17.436160000000001</v>
      </c>
      <c r="K273" s="6">
        <v>1.1467130000000001</v>
      </c>
      <c r="M273" s="6">
        <v>0.72736500000000004</v>
      </c>
      <c r="O273" s="6">
        <v>2.4080469999999998</v>
      </c>
      <c r="Q273" s="6">
        <v>-1.484858</v>
      </c>
      <c r="S273" s="6">
        <v>1.1409290000000001</v>
      </c>
      <c r="U273" s="6">
        <v>-1.670021</v>
      </c>
      <c r="W273" s="6">
        <v>8.6412560000000003</v>
      </c>
      <c r="Y273" s="6">
        <v>0.60010799999999997</v>
      </c>
      <c r="AA273" s="6">
        <v>0.458569</v>
      </c>
      <c r="AC273" s="6">
        <v>3.306222</v>
      </c>
      <c r="AE273" s="6">
        <v>1.7931410000000001</v>
      </c>
      <c r="AG273" s="6">
        <v>5.6298000000000001E-2</v>
      </c>
      <c r="AI273" s="6">
        <v>-0.31318299999999999</v>
      </c>
      <c r="AK273" s="6">
        <v>2.851899</v>
      </c>
      <c r="AM273" s="6">
        <v>2.0017260000000001</v>
      </c>
      <c r="AO273" s="6">
        <v>0.47609099999999999</v>
      </c>
      <c r="AQ273" s="6">
        <v>2.4977390000000002</v>
      </c>
      <c r="AS273" s="6">
        <v>1.385529</v>
      </c>
      <c r="AU273" s="6">
        <v>2.2957480000000001</v>
      </c>
      <c r="AW273" s="6">
        <v>1.811663</v>
      </c>
      <c r="AY273" s="6">
        <v>-0.92852000000000001</v>
      </c>
      <c r="BA273" s="6">
        <v>0.80667199999999994</v>
      </c>
      <c r="BC273" s="6">
        <v>3.7103320000000002</v>
      </c>
      <c r="BE273" s="6">
        <v>-0.30434699999999998</v>
      </c>
    </row>
    <row r="274" spans="1:57" s="36" customFormat="1" ht="12.6" x14ac:dyDescent="0.2">
      <c r="A274" s="24" t="s">
        <v>476</v>
      </c>
      <c r="B274" s="6">
        <v>13.280701000000001</v>
      </c>
      <c r="D274" s="6">
        <v>14.245129</v>
      </c>
      <c r="F274" s="6">
        <v>19.094193000000001</v>
      </c>
      <c r="G274" s="6">
        <v>7.7869950000000001</v>
      </c>
      <c r="I274" s="6">
        <v>12.843181</v>
      </c>
      <c r="K274" s="6">
        <v>-7.5660000000000005E-2</v>
      </c>
      <c r="M274" s="6">
        <v>1.44553</v>
      </c>
      <c r="O274" s="6">
        <v>4.3346499999999999</v>
      </c>
      <c r="Q274" s="6">
        <v>-0.10251</v>
      </c>
      <c r="S274" s="6">
        <v>3.6336499999999998</v>
      </c>
      <c r="U274" s="6">
        <v>-3.4434300000000002</v>
      </c>
      <c r="W274" s="6">
        <v>6.7239000000000004</v>
      </c>
      <c r="Y274" s="6">
        <v>0.62368999999999997</v>
      </c>
      <c r="AA274" s="6">
        <v>1.4695100000000001</v>
      </c>
      <c r="AC274" s="6">
        <v>4.5473600000000003</v>
      </c>
      <c r="AE274" s="6">
        <v>3.9014700000000002</v>
      </c>
      <c r="AG274" s="6">
        <v>0.43929000000000001</v>
      </c>
      <c r="AI274" s="6">
        <v>1.51536</v>
      </c>
      <c r="AK274" s="6">
        <v>0.36930000000000002</v>
      </c>
      <c r="AM274" s="6">
        <v>1.8170500000000001</v>
      </c>
      <c r="AO274" s="6">
        <v>0.92393000000000003</v>
      </c>
      <c r="AQ274" s="6">
        <v>3.6772999999999998</v>
      </c>
      <c r="AS274" s="6">
        <v>4.8599999999999997E-3</v>
      </c>
      <c r="AU274" s="6">
        <v>1.89629</v>
      </c>
      <c r="AW274" s="6">
        <v>0.24001</v>
      </c>
      <c r="AY274" s="6">
        <v>0.19941</v>
      </c>
      <c r="BA274" s="6">
        <v>0.95469999999999999</v>
      </c>
      <c r="BC274" s="6">
        <v>3.06046</v>
      </c>
      <c r="BE274" s="6">
        <v>-2.37974</v>
      </c>
    </row>
    <row r="275" spans="1:57" s="36" customFormat="1" ht="12.6" x14ac:dyDescent="0.2">
      <c r="A275" s="24" t="s">
        <v>477</v>
      </c>
      <c r="B275" s="6">
        <v>10.393416</v>
      </c>
      <c r="D275" s="6">
        <v>12.501932</v>
      </c>
      <c r="F275" s="6">
        <v>17.359081</v>
      </c>
      <c r="G275" s="6">
        <v>8.155367</v>
      </c>
      <c r="I275" s="6">
        <v>17.150552000000001</v>
      </c>
      <c r="K275" s="6">
        <v>-2.33379</v>
      </c>
      <c r="M275" s="6">
        <v>0.40029999999999999</v>
      </c>
      <c r="O275" s="6">
        <v>4.6204099999999997</v>
      </c>
      <c r="Q275" s="6">
        <v>-7.7490000000000003E-2</v>
      </c>
      <c r="S275" s="6">
        <v>5.2482899999999999</v>
      </c>
      <c r="U275" s="6">
        <v>-2.7720500000000001</v>
      </c>
      <c r="W275" s="6">
        <v>4.4098699999999997</v>
      </c>
      <c r="Y275" s="6">
        <v>3.0764999999999998</v>
      </c>
      <c r="AA275" s="6">
        <v>3.1594199999999999</v>
      </c>
      <c r="AC275" s="6">
        <v>0.42143999999999998</v>
      </c>
      <c r="AE275" s="6">
        <v>4.0347099999999996</v>
      </c>
      <c r="AG275" s="6">
        <v>-3.3706700000000001</v>
      </c>
      <c r="AI275" s="6">
        <v>2.2029299999999998</v>
      </c>
      <c r="AK275" s="6">
        <v>4.3499999999999997E-3</v>
      </c>
      <c r="AM275" s="6">
        <v>1.2108399999999999</v>
      </c>
      <c r="AO275" s="6">
        <v>1.58091</v>
      </c>
      <c r="AQ275" s="6">
        <v>4.2393400000000003</v>
      </c>
      <c r="AS275" s="6">
        <v>0.78905999999999998</v>
      </c>
      <c r="AU275" s="6">
        <v>1.2044699999999999</v>
      </c>
      <c r="AW275" s="6">
        <v>1.1187199999999999</v>
      </c>
      <c r="AY275" s="6">
        <v>1.4297899999999999</v>
      </c>
      <c r="BA275" s="6">
        <v>0.43908999999999998</v>
      </c>
      <c r="BC275" s="6">
        <v>3.09694</v>
      </c>
      <c r="BE275" s="6">
        <v>-1.27376</v>
      </c>
    </row>
    <row r="276" spans="1:57" s="36" customFormat="1" ht="12.6" x14ac:dyDescent="0.2">
      <c r="A276" s="24" t="s">
        <v>478</v>
      </c>
      <c r="B276" s="6">
        <v>13.881872</v>
      </c>
      <c r="D276" s="6">
        <v>7.2823799999999999</v>
      </c>
      <c r="F276" s="6">
        <v>9.6275750000000002</v>
      </c>
      <c r="G276" s="6">
        <v>10.824031</v>
      </c>
      <c r="I276" s="6">
        <v>19.644262000000001</v>
      </c>
      <c r="K276" s="6">
        <v>-2.279785</v>
      </c>
      <c r="M276" s="6">
        <v>1.059944</v>
      </c>
      <c r="O276" s="6">
        <v>8.0304409999999997</v>
      </c>
      <c r="Q276" s="6">
        <v>0.38481199999999999</v>
      </c>
      <c r="S276" s="6">
        <v>0.28233399999999997</v>
      </c>
      <c r="U276" s="6">
        <v>-4.8303079999999996</v>
      </c>
      <c r="W276" s="6">
        <v>3.6800350000000002</v>
      </c>
      <c r="Y276" s="6">
        <v>-3.9057840000000001</v>
      </c>
      <c r="AA276" s="6">
        <v>-8.0170000000000005E-2</v>
      </c>
      <c r="AC276" s="6">
        <v>1.1659600000000001</v>
      </c>
      <c r="AE276" s="6">
        <v>-0.205237</v>
      </c>
      <c r="AG276" s="6">
        <v>-2.2175750000000001</v>
      </c>
      <c r="AI276" s="6">
        <v>4.8086029999999997</v>
      </c>
      <c r="AK276" s="6">
        <v>9.4703999999999997E-2</v>
      </c>
      <c r="AM276" s="6">
        <v>1.274654</v>
      </c>
      <c r="AO276" s="6">
        <v>-5.5853849999999996</v>
      </c>
      <c r="AQ276" s="6">
        <v>2.3186040000000001</v>
      </c>
      <c r="AS276" s="6">
        <v>1.6409879999999999</v>
      </c>
      <c r="AU276" s="6">
        <v>2.5226570000000001</v>
      </c>
      <c r="AW276" s="6">
        <v>4.785018</v>
      </c>
      <c r="AY276" s="6">
        <v>0.66060799999999997</v>
      </c>
      <c r="BA276" s="6">
        <v>0.50374099999999999</v>
      </c>
      <c r="BC276" s="6">
        <v>3.7640009999999999</v>
      </c>
      <c r="BE276" s="6">
        <v>1.6980980000000001</v>
      </c>
    </row>
    <row r="277" spans="1:57" s="36" customFormat="1" ht="12.6" x14ac:dyDescent="0.2">
      <c r="A277" s="24" t="s">
        <v>479</v>
      </c>
      <c r="B277" s="6">
        <v>14.615399</v>
      </c>
      <c r="D277" s="6">
        <v>7.9654420000000004</v>
      </c>
      <c r="F277" s="6">
        <v>10.304914</v>
      </c>
      <c r="G277" s="6">
        <v>10.839952</v>
      </c>
      <c r="I277" s="6">
        <v>20.389659999999999</v>
      </c>
      <c r="K277" s="6">
        <v>-2.2606890000000002</v>
      </c>
      <c r="M277" s="6">
        <v>1.1193839999999999</v>
      </c>
      <c r="O277" s="6">
        <v>8.1180730000000008</v>
      </c>
      <c r="Q277" s="6">
        <v>0.42568299999999998</v>
      </c>
      <c r="S277" s="6">
        <v>0.34517500000000001</v>
      </c>
      <c r="U277" s="6">
        <v>-4.7753399999999999</v>
      </c>
      <c r="W277" s="6">
        <v>3.6885750000000002</v>
      </c>
      <c r="Y277" s="6">
        <v>-3.8445360000000002</v>
      </c>
      <c r="AA277" s="6">
        <v>-1.1866E-2</v>
      </c>
      <c r="AC277" s="6">
        <v>1.1973210000000001</v>
      </c>
      <c r="AE277" s="6">
        <v>-0.140627</v>
      </c>
      <c r="AG277" s="6">
        <v>-2.1644619999999999</v>
      </c>
      <c r="AI277" s="6">
        <v>4.8307880000000001</v>
      </c>
      <c r="AK277" s="6">
        <v>0.146401</v>
      </c>
      <c r="AM277" s="6">
        <v>1.3809119999999999</v>
      </c>
      <c r="AO277" s="6">
        <v>-5.5662279999999997</v>
      </c>
      <c r="AQ277" s="6">
        <v>2.3957480000000002</v>
      </c>
      <c r="AS277" s="6">
        <v>1.6940740000000001</v>
      </c>
      <c r="AU277" s="6">
        <v>2.5323479999999998</v>
      </c>
      <c r="AW277" s="6">
        <v>4.8501599999999998</v>
      </c>
      <c r="AY277" s="6">
        <v>0.72570800000000002</v>
      </c>
      <c r="BA277" s="6">
        <v>0.54708100000000004</v>
      </c>
      <c r="BC277" s="6">
        <v>3.8342179999999999</v>
      </c>
      <c r="BE277" s="6">
        <v>1.747466</v>
      </c>
    </row>
    <row r="278" spans="1:57" s="36" customFormat="1" ht="12.6" x14ac:dyDescent="0.2">
      <c r="A278" s="24" t="s">
        <v>480</v>
      </c>
      <c r="B278" s="6">
        <v>12.347882</v>
      </c>
      <c r="D278" s="6">
        <v>13.191109000000001</v>
      </c>
      <c r="F278" s="6">
        <v>11.947361000000001</v>
      </c>
      <c r="G278" s="6">
        <v>15.046714</v>
      </c>
      <c r="I278" s="6">
        <v>-0.18825</v>
      </c>
      <c r="K278" s="6">
        <v>1.455419</v>
      </c>
      <c r="M278" s="6">
        <v>7.5501740000000002</v>
      </c>
      <c r="O278" s="6">
        <v>5.3941679999999996</v>
      </c>
      <c r="Q278" s="6">
        <v>-5.5782280000000002</v>
      </c>
      <c r="S278" s="6">
        <v>1.925101</v>
      </c>
      <c r="U278" s="6">
        <v>-1.993503</v>
      </c>
      <c r="W278" s="6">
        <v>8.2113370000000003</v>
      </c>
      <c r="Y278" s="6">
        <v>-3.8334489999999999</v>
      </c>
      <c r="AA278" s="6">
        <v>-1.0678890000000001</v>
      </c>
      <c r="AC278" s="6">
        <v>5.1681239999999997</v>
      </c>
      <c r="AE278" s="6">
        <v>9.4032409999999995</v>
      </c>
      <c r="AG278" s="6">
        <v>-2.2793060000000001</v>
      </c>
      <c r="AI278" s="6">
        <v>3.083469</v>
      </c>
      <c r="AK278" s="6">
        <v>-4.0546639999999998</v>
      </c>
      <c r="AM278" s="6">
        <v>-5.6685720000000002</v>
      </c>
      <c r="AO278" s="6">
        <v>-4.8035649999999999</v>
      </c>
      <c r="AQ278" s="6">
        <v>4.7908999999999997</v>
      </c>
      <c r="AS278" s="6">
        <v>1.7140580000000001</v>
      </c>
      <c r="AU278" s="6">
        <v>3.4354070000000001</v>
      </c>
      <c r="AW278" s="6">
        <v>1.7107540000000001</v>
      </c>
      <c r="AY278" s="6">
        <v>-0.79290899999999997</v>
      </c>
      <c r="BA278" s="6">
        <v>0.76392199999999999</v>
      </c>
      <c r="BC278" s="6">
        <v>1.8700870000000001</v>
      </c>
      <c r="BE278" s="6">
        <v>-1.5860700000000001</v>
      </c>
    </row>
    <row r="279" spans="1:57" s="36" customFormat="1" ht="12.6" x14ac:dyDescent="0.2">
      <c r="A279" s="24" t="s">
        <v>481</v>
      </c>
      <c r="B279" s="6">
        <v>10.488759</v>
      </c>
      <c r="D279" s="6">
        <v>10.793191</v>
      </c>
      <c r="F279" s="6">
        <v>8.5882719999999999</v>
      </c>
      <c r="G279" s="6">
        <v>17.798169999999999</v>
      </c>
      <c r="I279" s="6">
        <v>-1.567377</v>
      </c>
      <c r="K279" s="6">
        <v>-0.85185999999999995</v>
      </c>
      <c r="M279" s="6">
        <v>4.8949100000000003</v>
      </c>
      <c r="O279" s="6">
        <v>3.04148</v>
      </c>
      <c r="Q279" s="6">
        <v>-5.16873</v>
      </c>
      <c r="S279" s="6">
        <v>2.56298</v>
      </c>
      <c r="U279" s="6">
        <v>-2.6853400000000001</v>
      </c>
      <c r="W279" s="6">
        <v>13.315020000000001</v>
      </c>
      <c r="Y279" s="6">
        <v>-5.1441600000000003</v>
      </c>
      <c r="AA279" s="6">
        <v>-1.36643</v>
      </c>
      <c r="AC279" s="6">
        <v>3.1235900000000001</v>
      </c>
      <c r="AE279" s="6">
        <v>11.5402</v>
      </c>
      <c r="AG279" s="6">
        <v>-3.1522600000000001</v>
      </c>
      <c r="AI279" s="6">
        <v>2.1528700000000001</v>
      </c>
      <c r="AK279" s="6">
        <v>-5.4234</v>
      </c>
      <c r="AM279" s="6">
        <v>-6.33812</v>
      </c>
      <c r="AO279" s="6">
        <v>-6.6889900000000004</v>
      </c>
      <c r="AQ279" s="6">
        <v>4.6254099999999996</v>
      </c>
      <c r="AS279" s="6">
        <v>2.1697000000000002</v>
      </c>
      <c r="AU279" s="6">
        <v>2.7298300000000002</v>
      </c>
      <c r="AW279" s="6">
        <v>5.3219200000000004</v>
      </c>
      <c r="AY279" s="6">
        <v>-0.27836</v>
      </c>
      <c r="BA279" s="6">
        <v>0.35081000000000001</v>
      </c>
      <c r="BC279" s="6">
        <v>2.4719199999999999</v>
      </c>
      <c r="BE279" s="6">
        <v>-1.7077599999999999</v>
      </c>
    </row>
    <row r="280" spans="1:57" s="36" customFormat="1" ht="12.6" x14ac:dyDescent="0.2">
      <c r="A280" s="24" t="s">
        <v>482</v>
      </c>
      <c r="B280" s="6">
        <v>10.189627</v>
      </c>
      <c r="D280" s="6">
        <v>11.11867</v>
      </c>
      <c r="F280" s="6">
        <v>10.362294</v>
      </c>
      <c r="G280" s="6">
        <v>9.1542899999999996</v>
      </c>
      <c r="I280" s="6">
        <v>9.0019749999999998</v>
      </c>
      <c r="K280" s="6">
        <v>1.1250199999999999</v>
      </c>
      <c r="M280" s="6">
        <v>0.89424000000000003</v>
      </c>
      <c r="O280" s="6">
        <v>3.0772300000000001</v>
      </c>
      <c r="Q280" s="6">
        <v>-2.9060600000000001</v>
      </c>
      <c r="S280" s="6">
        <v>0.96345000000000003</v>
      </c>
      <c r="U280" s="6">
        <v>1.2011000000000001</v>
      </c>
      <c r="W280" s="6">
        <v>4.2065099999999997</v>
      </c>
      <c r="Y280" s="6">
        <v>0.72450999999999999</v>
      </c>
      <c r="AA280" s="6">
        <v>2.83996</v>
      </c>
      <c r="AC280" s="6">
        <v>-1.54396</v>
      </c>
      <c r="AE280" s="6">
        <v>3.97037</v>
      </c>
      <c r="AG280" s="6">
        <v>-3.0754199999999998</v>
      </c>
      <c r="AI280" s="6">
        <v>4.4487300000000003</v>
      </c>
      <c r="AK280" s="6">
        <v>-3.9101300000000001</v>
      </c>
      <c r="AM280" s="6">
        <v>-3.3027099999999998</v>
      </c>
      <c r="AO280" s="6">
        <v>3.8133599999999999</v>
      </c>
      <c r="AQ280" s="6">
        <v>4.0134499999999997</v>
      </c>
      <c r="AS280" s="6">
        <v>1.4883999999999999</v>
      </c>
      <c r="AU280" s="6">
        <v>2.3875899999999999</v>
      </c>
      <c r="AW280" s="6">
        <v>2.5461</v>
      </c>
      <c r="AY280" s="6">
        <v>-1.15791</v>
      </c>
      <c r="BA280" s="6">
        <v>0.22832</v>
      </c>
      <c r="BC280" s="6">
        <v>-2.7898399999999999</v>
      </c>
      <c r="BE280" s="6">
        <v>1.3607100000000001</v>
      </c>
    </row>
    <row r="281" spans="1:57" s="36" customFormat="1" ht="12.6" x14ac:dyDescent="0.2">
      <c r="A281" s="24" t="s">
        <v>483</v>
      </c>
      <c r="B281" s="6">
        <v>10.605726000000001</v>
      </c>
      <c r="D281" s="6">
        <v>10.878228</v>
      </c>
      <c r="F281" s="6">
        <v>9.5326140000000006</v>
      </c>
      <c r="G281" s="6">
        <v>9.3171339999999994</v>
      </c>
      <c r="I281" s="6">
        <v>7.8933200000000001</v>
      </c>
      <c r="K281" s="6">
        <v>1.52298</v>
      </c>
      <c r="M281" s="6">
        <v>-0.55796999999999997</v>
      </c>
      <c r="O281" s="6">
        <v>2.5828099999999998</v>
      </c>
      <c r="Q281" s="6">
        <v>-3.1579199999999998</v>
      </c>
      <c r="S281" s="6">
        <v>2.05226</v>
      </c>
      <c r="U281" s="6">
        <v>2.0741100000000001</v>
      </c>
      <c r="W281" s="6">
        <v>4.3160800000000004</v>
      </c>
      <c r="Y281" s="6">
        <v>0.12456</v>
      </c>
      <c r="AA281" s="6">
        <v>2.4364300000000001</v>
      </c>
      <c r="AC281" s="6">
        <v>-1.17835</v>
      </c>
      <c r="AE281" s="6">
        <v>3.30579</v>
      </c>
      <c r="AG281" s="6">
        <v>-2.5553499999999998</v>
      </c>
      <c r="AI281" s="6">
        <v>3.96712</v>
      </c>
      <c r="AK281" s="6">
        <v>-4.0607199999999999</v>
      </c>
      <c r="AM281" s="6">
        <v>-3.22797</v>
      </c>
      <c r="AO281" s="6">
        <v>3.8387600000000002</v>
      </c>
      <c r="AQ281" s="6">
        <v>3.27563</v>
      </c>
      <c r="AS281" s="6">
        <v>1.7182200000000001</v>
      </c>
      <c r="AU281" s="6">
        <v>2.2384599999999999</v>
      </c>
      <c r="AW281" s="6">
        <v>2.5331700000000001</v>
      </c>
      <c r="AY281" s="6">
        <v>-1.6725699999999999</v>
      </c>
      <c r="BA281" s="6">
        <v>0.64609000000000005</v>
      </c>
      <c r="BC281" s="6">
        <v>-4.02311</v>
      </c>
      <c r="BE281" s="6">
        <v>2.9151199999999999</v>
      </c>
    </row>
    <row r="282" spans="1:57" s="36" customFormat="1" ht="12.6" x14ac:dyDescent="0.2">
      <c r="A282" s="24" t="s">
        <v>484</v>
      </c>
      <c r="B282" s="6">
        <v>8.8384750000000007</v>
      </c>
      <c r="D282" s="6">
        <v>15.033412999999999</v>
      </c>
      <c r="F282" s="6">
        <v>13.774573</v>
      </c>
      <c r="G282" s="6">
        <v>16.225200999999998</v>
      </c>
      <c r="I282" s="6">
        <v>9.2406159999999993</v>
      </c>
      <c r="K282" s="6">
        <v>1.30938</v>
      </c>
      <c r="M282" s="6">
        <v>5.0548700000000002</v>
      </c>
      <c r="O282" s="6">
        <v>9.6979500000000005</v>
      </c>
      <c r="Q282" s="6">
        <v>-7.7843900000000001</v>
      </c>
      <c r="S282" s="6">
        <v>1.9390000000000001</v>
      </c>
      <c r="U282" s="6">
        <v>0.38579000000000002</v>
      </c>
      <c r="W282" s="6">
        <v>6.8298399999999999</v>
      </c>
      <c r="Y282" s="6">
        <v>0.54161000000000004</v>
      </c>
      <c r="AA282" s="6">
        <v>6.57728</v>
      </c>
      <c r="AC282" s="6">
        <v>-2.5135900000000002</v>
      </c>
      <c r="AE282" s="6">
        <v>2.4786199999999998</v>
      </c>
      <c r="AG282" s="6">
        <v>-5.9531000000000001</v>
      </c>
      <c r="AI282" s="6">
        <v>4.6541699999999997</v>
      </c>
      <c r="AK282" s="6">
        <v>-6.3819999999999997</v>
      </c>
      <c r="AM282" s="6">
        <v>-4.8912500000000003</v>
      </c>
      <c r="AO282" s="6">
        <v>6.3498299999999999</v>
      </c>
      <c r="AQ282" s="6">
        <v>5.0171700000000001</v>
      </c>
      <c r="AS282" s="6">
        <v>1.8190200000000001</v>
      </c>
      <c r="AU282" s="6">
        <v>3.2815400000000001</v>
      </c>
      <c r="AW282" s="6">
        <v>4.4706799999999998</v>
      </c>
      <c r="AY282" s="6">
        <v>-3.0962900000000002</v>
      </c>
      <c r="BA282" s="6">
        <v>0.58330000000000004</v>
      </c>
      <c r="BC282" s="6">
        <v>-3.8498999999999999</v>
      </c>
      <c r="BE282" s="6">
        <v>1.9503200000000001</v>
      </c>
    </row>
    <row r="283" spans="1:57" s="36" customFormat="1" ht="12.6" x14ac:dyDescent="0.2">
      <c r="A283" s="24" t="s">
        <v>485</v>
      </c>
      <c r="B283" s="6">
        <v>6.6991630000000004</v>
      </c>
      <c r="D283" s="6">
        <v>-2.6343890000000001</v>
      </c>
      <c r="F283" s="6">
        <v>-5.7162170000000003</v>
      </c>
      <c r="G283" s="6">
        <v>17.547266</v>
      </c>
      <c r="I283" s="6">
        <v>3.2056420000000001</v>
      </c>
      <c r="K283" s="6">
        <v>5.2175599999999998</v>
      </c>
      <c r="M283" s="6">
        <v>-5.94902</v>
      </c>
      <c r="O283" s="6">
        <v>5.3269700000000002</v>
      </c>
      <c r="Q283" s="6">
        <v>-4.6602499999999996</v>
      </c>
      <c r="S283" s="6">
        <v>-0.69186000000000003</v>
      </c>
      <c r="U283" s="6">
        <v>-1.5876399999999999</v>
      </c>
      <c r="W283" s="6">
        <v>-0.36908999999999997</v>
      </c>
      <c r="Y283" s="6">
        <v>-5.9958400000000003</v>
      </c>
      <c r="AA283" s="6">
        <v>0.14227999999999999</v>
      </c>
      <c r="AC283" s="6">
        <v>-5.0354999999999999</v>
      </c>
      <c r="AE283" s="6">
        <v>-0.67456000000000005</v>
      </c>
      <c r="AG283" s="6">
        <v>0.25141000000000002</v>
      </c>
      <c r="AI283" s="6">
        <v>2.9958</v>
      </c>
      <c r="AK283" s="6">
        <v>-5.1542000000000003</v>
      </c>
      <c r="AM283" s="6">
        <v>-2.94292</v>
      </c>
      <c r="AO283" s="6">
        <v>-7.7175399999999996</v>
      </c>
      <c r="AQ283" s="6">
        <v>8.61571</v>
      </c>
      <c r="AS283" s="6">
        <v>9.0073899999999991</v>
      </c>
      <c r="AU283" s="6">
        <v>5.7095599999999997</v>
      </c>
      <c r="AW283" s="6">
        <v>3.2837900000000002</v>
      </c>
      <c r="AY283" s="6">
        <v>-9.7904699999999991</v>
      </c>
      <c r="BA283" s="6">
        <v>3.6724600000000001</v>
      </c>
      <c r="BC283" s="6">
        <v>-0.56808000000000003</v>
      </c>
      <c r="BE283" s="6">
        <v>-1.8743000000000001</v>
      </c>
    </row>
    <row r="284" spans="1:57" s="36" customFormat="1" ht="12.6" x14ac:dyDescent="0.2">
      <c r="A284" s="24" t="s">
        <v>486</v>
      </c>
      <c r="B284" s="6">
        <v>16.202354</v>
      </c>
      <c r="D284" s="6">
        <v>18.556079</v>
      </c>
      <c r="F284" s="6">
        <v>22.409094</v>
      </c>
      <c r="G284" s="6">
        <v>13.661973</v>
      </c>
      <c r="I284" s="6">
        <v>12.052429999999999</v>
      </c>
      <c r="K284" s="6">
        <v>4.96279</v>
      </c>
      <c r="M284" s="6">
        <v>3.5135700000000001</v>
      </c>
      <c r="O284" s="6">
        <v>3.1133999999999999</v>
      </c>
      <c r="Q284" s="6">
        <v>-3.5104500000000001</v>
      </c>
      <c r="S284" s="6">
        <v>2.6269399999999998</v>
      </c>
      <c r="U284" s="6">
        <v>5.0712999999999999</v>
      </c>
      <c r="W284" s="6">
        <v>6.2644500000000001</v>
      </c>
      <c r="Y284" s="6">
        <v>1.86653</v>
      </c>
      <c r="AA284" s="6">
        <v>5.6930000000000001E-2</v>
      </c>
      <c r="AC284" s="6">
        <v>3.2858800000000001</v>
      </c>
      <c r="AE284" s="6">
        <v>6.9868399999999999</v>
      </c>
      <c r="AG284" s="6">
        <v>-4.1494600000000004</v>
      </c>
      <c r="AI284" s="6">
        <v>6.1191700000000004</v>
      </c>
      <c r="AK284" s="6">
        <v>-4.42258</v>
      </c>
      <c r="AM284" s="6">
        <v>-3.94095</v>
      </c>
      <c r="AO284" s="6">
        <v>5.6265499999999999</v>
      </c>
      <c r="AQ284" s="6">
        <v>5.0972999999999997</v>
      </c>
      <c r="AS284" s="6">
        <v>4.2804099999999998</v>
      </c>
      <c r="AU284" s="6">
        <v>-1.0178799999999999</v>
      </c>
      <c r="AW284" s="6">
        <v>3.7560699999999998</v>
      </c>
      <c r="AY284" s="6">
        <v>-1.38148</v>
      </c>
      <c r="BA284" s="6">
        <v>1.47577</v>
      </c>
      <c r="BC284" s="6">
        <v>-6.5311000000000003</v>
      </c>
      <c r="BE284" s="6">
        <v>3.4208799999999999</v>
      </c>
    </row>
    <row r="285" spans="1:57" s="36" customFormat="1" ht="12.6" x14ac:dyDescent="0.2">
      <c r="A285" s="24" t="s">
        <v>487</v>
      </c>
      <c r="B285" s="6">
        <v>-2.8718599999999999</v>
      </c>
      <c r="D285" s="6">
        <v>-5.2156269999999996</v>
      </c>
      <c r="F285" s="6">
        <v>-9.4092990000000007</v>
      </c>
      <c r="G285" s="6">
        <v>16.749403999999998</v>
      </c>
      <c r="I285" s="6">
        <v>-23.663720999999999</v>
      </c>
      <c r="K285" s="6">
        <v>4.2844899999999999</v>
      </c>
      <c r="M285" s="6">
        <v>-2.6962299999999999</v>
      </c>
      <c r="O285" s="6">
        <v>1.73736</v>
      </c>
      <c r="Q285" s="6">
        <v>-2.4681099999999998</v>
      </c>
      <c r="S285" s="6">
        <v>0.1381</v>
      </c>
      <c r="U285" s="6">
        <v>4.3539099999999999</v>
      </c>
      <c r="W285" s="6">
        <v>4.6734200000000001</v>
      </c>
      <c r="Y285" s="6">
        <v>-1.0444500000000001</v>
      </c>
      <c r="AA285" s="6">
        <v>-3.1789900000000002</v>
      </c>
      <c r="AC285" s="6">
        <v>0.89232999999999996</v>
      </c>
      <c r="AE285" s="6">
        <v>2.89114</v>
      </c>
      <c r="AG285" s="6">
        <v>-1.85473</v>
      </c>
      <c r="AI285" s="6">
        <v>3.1997100000000001</v>
      </c>
      <c r="AK285" s="6">
        <v>-7.65815</v>
      </c>
      <c r="AM285" s="6">
        <v>-4.6030300000000004</v>
      </c>
      <c r="AO285" s="6">
        <v>2.1589700000000001</v>
      </c>
      <c r="AQ285" s="6">
        <v>1.5898099999999999</v>
      </c>
      <c r="AS285" s="6">
        <v>-1.04895</v>
      </c>
      <c r="AU285" s="6">
        <v>9.0543800000000001</v>
      </c>
      <c r="AW285" s="6">
        <v>-13.206300000000001</v>
      </c>
      <c r="AY285" s="6">
        <v>-4.1476699999999997</v>
      </c>
      <c r="BA285" s="6">
        <v>-4.8319900000000002</v>
      </c>
      <c r="BC285" s="6">
        <v>1.9861800000000001</v>
      </c>
      <c r="BE285" s="6">
        <v>-7.1448499999999999</v>
      </c>
    </row>
    <row r="286" spans="1:57" s="36" customFormat="1" ht="12.6" x14ac:dyDescent="0.2">
      <c r="A286" s="24" t="s">
        <v>488</v>
      </c>
      <c r="B286" s="6">
        <v>10.518902000000001</v>
      </c>
      <c r="D286" s="6">
        <v>14.295384</v>
      </c>
      <c r="F286" s="6">
        <v>14.551629</v>
      </c>
      <c r="G286" s="6">
        <v>8.8272530000000007</v>
      </c>
      <c r="I286" s="6">
        <v>13.976737999999999</v>
      </c>
      <c r="K286" s="6">
        <v>8.7299999999999999E-3</v>
      </c>
      <c r="M286" s="6">
        <v>2.6698200000000001</v>
      </c>
      <c r="O286" s="6">
        <v>2.8735599999999999</v>
      </c>
      <c r="Q286" s="6">
        <v>-3.9625400000000002</v>
      </c>
      <c r="S286" s="6">
        <v>-0.35034999999999999</v>
      </c>
      <c r="U286" s="6">
        <v>-0.19255</v>
      </c>
      <c r="W286" s="6">
        <v>5.6468100000000003</v>
      </c>
      <c r="Y286" s="6">
        <v>3.8756499999999998</v>
      </c>
      <c r="AA286" s="6">
        <v>0.62531999999999999</v>
      </c>
      <c r="AC286" s="6">
        <v>-2.5831400000000002</v>
      </c>
      <c r="AE286" s="6">
        <v>5.7735799999999999</v>
      </c>
      <c r="AG286" s="6">
        <v>0.28447</v>
      </c>
      <c r="AI286" s="6">
        <v>3.3829699999999998</v>
      </c>
      <c r="AK286" s="6">
        <v>1.40357</v>
      </c>
      <c r="AM286" s="6">
        <v>-2.0920700000000001</v>
      </c>
      <c r="AO286" s="6">
        <v>2.2961299999999998</v>
      </c>
      <c r="AQ286" s="6">
        <v>4.4189100000000003</v>
      </c>
      <c r="AS286" s="6">
        <v>0.90895999999999999</v>
      </c>
      <c r="AU286" s="6">
        <v>2.0203500000000001</v>
      </c>
      <c r="AW286" s="6">
        <v>2.90395</v>
      </c>
      <c r="AY286" s="6">
        <v>-1.95709</v>
      </c>
      <c r="BA286" s="6">
        <v>1.3324199999999999</v>
      </c>
      <c r="BC286" s="6">
        <v>0.17809</v>
      </c>
      <c r="BE286" s="6">
        <v>-1.40116</v>
      </c>
    </row>
    <row r="287" spans="1:57" s="36" customFormat="1" ht="12.6" x14ac:dyDescent="0.2">
      <c r="A287" s="24" t="s">
        <v>489</v>
      </c>
      <c r="B287" s="6">
        <v>0.22062699999999999</v>
      </c>
      <c r="D287" s="6">
        <v>15.961601999999999</v>
      </c>
      <c r="F287" s="6">
        <v>8.9630120000000009</v>
      </c>
      <c r="G287" s="6">
        <v>29.617685999999999</v>
      </c>
      <c r="I287" s="6">
        <v>-20.796724999999999</v>
      </c>
      <c r="K287" s="6">
        <v>1.18418</v>
      </c>
      <c r="M287" s="6">
        <v>19.480360000000001</v>
      </c>
      <c r="O287" s="6">
        <v>2.8677000000000001</v>
      </c>
      <c r="Q287" s="6">
        <v>-3.8687900000000002</v>
      </c>
      <c r="S287" s="6">
        <v>5.4462700000000002</v>
      </c>
      <c r="U287" s="6">
        <v>1.4662900000000001</v>
      </c>
      <c r="W287" s="6">
        <v>0.21965000000000001</v>
      </c>
      <c r="Y287" s="6">
        <v>7.8631099999999998</v>
      </c>
      <c r="AA287" s="6">
        <v>7.4162100000000004</v>
      </c>
      <c r="AC287" s="6">
        <v>-4.4254899999999999</v>
      </c>
      <c r="AE287" s="6">
        <v>10.45351</v>
      </c>
      <c r="AG287" s="6">
        <v>-4.3924399999999997</v>
      </c>
      <c r="AI287" s="6">
        <v>4.1526199999999998</v>
      </c>
      <c r="AK287" s="6">
        <v>-12.27506</v>
      </c>
      <c r="AM287" s="6">
        <v>-9.6593400000000003</v>
      </c>
      <c r="AO287" s="6">
        <v>6.3684399999999997</v>
      </c>
      <c r="AQ287" s="6">
        <v>19.826239999999999</v>
      </c>
      <c r="AS287" s="6">
        <v>0.72448000000000001</v>
      </c>
      <c r="AU287" s="6">
        <v>5.0021899999999997</v>
      </c>
      <c r="AW287" s="6">
        <v>-1.6982699999999999</v>
      </c>
      <c r="AY287" s="6">
        <v>-2.13462</v>
      </c>
      <c r="BA287" s="6">
        <v>-8.3673599999999997</v>
      </c>
      <c r="BC287" s="6">
        <v>-11.58015</v>
      </c>
      <c r="BE287" s="6">
        <v>-8.6774000000000004</v>
      </c>
    </row>
    <row r="288" spans="1:57" s="36" customFormat="1" ht="12.6" x14ac:dyDescent="0.2">
      <c r="A288" s="24" t="s">
        <v>490</v>
      </c>
      <c r="B288" s="6">
        <v>11.650487999999999</v>
      </c>
      <c r="D288" s="6">
        <v>9.0731099999999998</v>
      </c>
      <c r="F288" s="6">
        <v>7.237006</v>
      </c>
      <c r="G288" s="6">
        <v>16.298473000000001</v>
      </c>
      <c r="I288" s="6">
        <v>35.053336000000002</v>
      </c>
      <c r="K288" s="6">
        <v>-3.5732599999999999</v>
      </c>
      <c r="M288" s="6">
        <v>-6.0418399999999997</v>
      </c>
      <c r="O288" s="6">
        <v>4.2268400000000002</v>
      </c>
      <c r="Q288" s="6">
        <v>0.45279999999999998</v>
      </c>
      <c r="S288" s="6">
        <v>0.38263999999999998</v>
      </c>
      <c r="U288" s="6">
        <v>-6.0152000000000001</v>
      </c>
      <c r="W288" s="6">
        <v>-0.99775000000000003</v>
      </c>
      <c r="Y288" s="6">
        <v>-3.0010500000000002</v>
      </c>
      <c r="AA288" s="6">
        <v>11.528409999999999</v>
      </c>
      <c r="AC288" s="6">
        <v>-5.0868200000000003</v>
      </c>
      <c r="AE288" s="6">
        <v>-3.28606</v>
      </c>
      <c r="AG288" s="6">
        <v>-3.2210299999999998</v>
      </c>
      <c r="AI288" s="6">
        <v>3.58969</v>
      </c>
      <c r="AK288" s="6">
        <v>-3.1592899999999999</v>
      </c>
      <c r="AM288" s="6">
        <v>0.3881</v>
      </c>
      <c r="AO288" s="6">
        <v>-0.35847000000000001</v>
      </c>
      <c r="AQ288" s="6">
        <v>2.8847999999999998</v>
      </c>
      <c r="AS288" s="6">
        <v>-1.9581999999999999</v>
      </c>
      <c r="AU288" s="6">
        <v>4.4715299999999996</v>
      </c>
      <c r="AW288" s="6">
        <v>10.14715</v>
      </c>
      <c r="AY288" s="6">
        <v>4.1368400000000003</v>
      </c>
      <c r="BA288" s="6">
        <v>4.0381900000000002</v>
      </c>
      <c r="BC288" s="6">
        <v>1.1348800000000001</v>
      </c>
      <c r="BE288" s="6">
        <v>5.8220900000000002</v>
      </c>
    </row>
    <row r="289" spans="1:57" s="36" customFormat="1" ht="12.6" x14ac:dyDescent="0.2">
      <c r="A289" s="24" t="s">
        <v>491</v>
      </c>
      <c r="B289" s="6">
        <v>9.8937620000000006</v>
      </c>
      <c r="D289" s="6">
        <v>11.389697</v>
      </c>
      <c r="F289" s="6">
        <v>10.878702000000001</v>
      </c>
      <c r="G289" s="6">
        <v>9.1587230000000002</v>
      </c>
      <c r="I289" s="6">
        <v>10.320046</v>
      </c>
      <c r="K289" s="6">
        <v>1.1870400000000001</v>
      </c>
      <c r="M289" s="6">
        <v>0.79183000000000003</v>
      </c>
      <c r="O289" s="6">
        <v>3.2744300000000002</v>
      </c>
      <c r="Q289" s="6">
        <v>-2.9353099999999999</v>
      </c>
      <c r="S289" s="6">
        <v>0.91674999999999995</v>
      </c>
      <c r="U289" s="6">
        <v>1.0134700000000001</v>
      </c>
      <c r="W289" s="6">
        <v>4.1925299999999996</v>
      </c>
      <c r="Y289" s="6">
        <v>0.46787000000000001</v>
      </c>
      <c r="AA289" s="6">
        <v>2.9673799999999999</v>
      </c>
      <c r="AC289" s="6">
        <v>-1.3060400000000001</v>
      </c>
      <c r="AE289" s="6">
        <v>3.78864</v>
      </c>
      <c r="AG289" s="6">
        <v>-3.1518899999999999</v>
      </c>
      <c r="AI289" s="6">
        <v>4.57348</v>
      </c>
      <c r="AK289" s="6">
        <v>-3.78877</v>
      </c>
      <c r="AM289" s="6">
        <v>-3.3921399999999999</v>
      </c>
      <c r="AO289" s="6">
        <v>3.62073</v>
      </c>
      <c r="AQ289" s="6">
        <v>4.2037100000000001</v>
      </c>
      <c r="AS289" s="6">
        <v>1.4149</v>
      </c>
      <c r="AU289" s="6">
        <v>2.3580000000000001</v>
      </c>
      <c r="AW289" s="6">
        <v>3.10351</v>
      </c>
      <c r="AY289" s="6">
        <v>-0.78083999999999998</v>
      </c>
      <c r="BA289" s="6">
        <v>0.38784000000000002</v>
      </c>
      <c r="BC289" s="6">
        <v>-2.6606700000000001</v>
      </c>
      <c r="BE289" s="6">
        <v>1.2984500000000001</v>
      </c>
    </row>
    <row r="290" spans="1:57" s="36" customFormat="1" ht="12.6" x14ac:dyDescent="0.2">
      <c r="A290" s="24" t="s">
        <v>492</v>
      </c>
      <c r="B290" s="6">
        <v>14.388023</v>
      </c>
      <c r="D290" s="6">
        <v>11.120842</v>
      </c>
      <c r="F290" s="6">
        <v>15.330239000000001</v>
      </c>
      <c r="G290" s="6">
        <v>12.014887999999999</v>
      </c>
      <c r="I290" s="6">
        <v>13.223056</v>
      </c>
      <c r="K290" s="6">
        <v>-1.4972000000000001</v>
      </c>
      <c r="M290" s="6">
        <v>0.13854</v>
      </c>
      <c r="O290" s="6">
        <v>4.8134100000000002</v>
      </c>
      <c r="Q290" s="6">
        <v>4.7650600000000001</v>
      </c>
      <c r="S290" s="6">
        <v>3.3778100000000002</v>
      </c>
      <c r="U290" s="6">
        <v>4.5884999999999998</v>
      </c>
      <c r="W290" s="6">
        <v>-2.8506200000000002</v>
      </c>
      <c r="Y290" s="6">
        <v>-1.0666</v>
      </c>
      <c r="AA290" s="6">
        <v>2.7583199999999999</v>
      </c>
      <c r="AC290" s="6">
        <v>-7.2334899999999998</v>
      </c>
      <c r="AE290" s="6">
        <v>9.0745000000000005</v>
      </c>
      <c r="AG290" s="6">
        <v>0.37896000000000002</v>
      </c>
      <c r="AI290" s="6">
        <v>-2.3967399999999999</v>
      </c>
      <c r="AK290" s="6">
        <v>3.1530100000000001</v>
      </c>
      <c r="AM290" s="6">
        <v>1.5215099999999999</v>
      </c>
      <c r="AO290" s="6">
        <v>1.93001</v>
      </c>
      <c r="AQ290" s="6">
        <v>0.31096000000000001</v>
      </c>
      <c r="AS290" s="6">
        <v>-0.21052999999999999</v>
      </c>
      <c r="AU290" s="6">
        <v>5.1140699999999999</v>
      </c>
      <c r="AW290" s="6">
        <v>5.2833699999999997</v>
      </c>
      <c r="AY290" s="6">
        <v>0.69776000000000005</v>
      </c>
      <c r="BA290" s="6">
        <v>0.53659999999999997</v>
      </c>
      <c r="BC290" s="6">
        <v>-2.0552000000000001</v>
      </c>
      <c r="BE290" s="6">
        <v>-1.0651299999999999</v>
      </c>
    </row>
    <row r="291" spans="1:57" s="36" customFormat="1" ht="12.6" x14ac:dyDescent="0.2">
      <c r="A291" s="24" t="s">
        <v>493</v>
      </c>
      <c r="B291" s="6">
        <v>8.8994110000000006</v>
      </c>
      <c r="D291" s="6">
        <v>14.678252000000001</v>
      </c>
      <c r="F291" s="6">
        <v>13.583600000000001</v>
      </c>
      <c r="G291" s="6">
        <v>15.88781</v>
      </c>
      <c r="I291" s="6">
        <v>9.6770350000000001</v>
      </c>
      <c r="K291" s="6">
        <v>1.21424</v>
      </c>
      <c r="M291" s="6">
        <v>4.7541399999999996</v>
      </c>
      <c r="O291" s="6">
        <v>9.5613899999999994</v>
      </c>
      <c r="Q291" s="6">
        <v>-7.6392199999999999</v>
      </c>
      <c r="S291" s="6">
        <v>1.90516</v>
      </c>
      <c r="U291" s="6">
        <v>0.23368</v>
      </c>
      <c r="W291" s="6">
        <v>6.7623600000000001</v>
      </c>
      <c r="Y291" s="6">
        <v>0.57001999999999997</v>
      </c>
      <c r="AA291" s="6">
        <v>6.4535999999999998</v>
      </c>
      <c r="AC291" s="6">
        <v>-2.5655600000000001</v>
      </c>
      <c r="AE291" s="6">
        <v>2.3523200000000002</v>
      </c>
      <c r="AG291" s="6">
        <v>-5.8347800000000003</v>
      </c>
      <c r="AI291" s="6">
        <v>4.5598999999999998</v>
      </c>
      <c r="AK291" s="6">
        <v>-6.12432</v>
      </c>
      <c r="AM291" s="6">
        <v>-4.7954800000000004</v>
      </c>
      <c r="AO291" s="6">
        <v>6.2937099999999999</v>
      </c>
      <c r="AQ291" s="6">
        <v>4.92631</v>
      </c>
      <c r="AS291" s="6">
        <v>1.68075</v>
      </c>
      <c r="AU291" s="6">
        <v>3.3828499999999999</v>
      </c>
      <c r="AW291" s="6">
        <v>4.3889699999999996</v>
      </c>
      <c r="AY291" s="6">
        <v>-2.91906</v>
      </c>
      <c r="BA291" s="6">
        <v>0.58764000000000005</v>
      </c>
      <c r="BC291" s="6">
        <v>-3.69672</v>
      </c>
      <c r="BE291" s="6">
        <v>1.9732799999999999</v>
      </c>
    </row>
    <row r="292" spans="1:57" s="36" customFormat="1" ht="12.6" x14ac:dyDescent="0.2">
      <c r="A292" s="24" t="s">
        <v>494</v>
      </c>
      <c r="B292" s="6">
        <v>10.845548000000001</v>
      </c>
      <c r="D292" s="6">
        <v>15.473240000000001</v>
      </c>
      <c r="F292" s="6">
        <v>16.306605999999999</v>
      </c>
      <c r="G292" s="6">
        <v>8.5742480000000008</v>
      </c>
      <c r="I292" s="6">
        <v>17.201001000000002</v>
      </c>
      <c r="K292" s="6">
        <v>0.10287</v>
      </c>
      <c r="M292" s="6">
        <v>3.1052400000000002</v>
      </c>
      <c r="O292" s="6">
        <v>2.78254</v>
      </c>
      <c r="Q292" s="6">
        <v>-3.87757</v>
      </c>
      <c r="S292" s="6">
        <v>-0.31358999999999998</v>
      </c>
      <c r="U292" s="6">
        <v>-0.14571999999999999</v>
      </c>
      <c r="W292" s="6">
        <v>5.5019999999999998</v>
      </c>
      <c r="Y292" s="6">
        <v>3.5355099999999999</v>
      </c>
      <c r="AA292" s="6">
        <v>0.87773999999999996</v>
      </c>
      <c r="AC292" s="6">
        <v>-2.5042300000000002</v>
      </c>
      <c r="AE292" s="6">
        <v>5.5879599999999998</v>
      </c>
      <c r="AG292" s="6">
        <v>0.24389</v>
      </c>
      <c r="AI292" s="6">
        <v>3.4225400000000001</v>
      </c>
      <c r="AK292" s="6">
        <v>1.16412</v>
      </c>
      <c r="AM292" s="6">
        <v>-2.0735700000000001</v>
      </c>
      <c r="AO292" s="6">
        <v>2.67923</v>
      </c>
      <c r="AQ292" s="6">
        <v>4.4172200000000004</v>
      </c>
      <c r="AS292" s="6">
        <v>1.68228</v>
      </c>
      <c r="AU292" s="6">
        <v>2.7423700000000002</v>
      </c>
      <c r="AW292" s="6">
        <v>2.87019</v>
      </c>
      <c r="AY292" s="6">
        <v>-1.32789</v>
      </c>
      <c r="BA292" s="6">
        <v>1.58392</v>
      </c>
      <c r="BC292" s="6">
        <v>-0.17480000000000001</v>
      </c>
      <c r="BE292" s="6">
        <v>-0.78188000000000002</v>
      </c>
    </row>
    <row r="293" spans="1:57" s="36" customFormat="1" ht="12.6" x14ac:dyDescent="0.2">
      <c r="A293" s="24" t="s">
        <v>495</v>
      </c>
      <c r="B293" s="6">
        <v>9.2279979999999995</v>
      </c>
      <c r="D293" s="6">
        <v>12.279090999999999</v>
      </c>
      <c r="F293" s="6">
        <v>12.326571</v>
      </c>
      <c r="G293" s="6">
        <v>11.111848</v>
      </c>
      <c r="I293" s="6">
        <v>4.0877699999999999</v>
      </c>
      <c r="K293" s="6">
        <v>2.90517</v>
      </c>
      <c r="M293" s="6">
        <v>3.4158200000000001</v>
      </c>
      <c r="O293" s="6">
        <v>2.9568300000000001</v>
      </c>
      <c r="Q293" s="6">
        <v>-3.9883299999999999</v>
      </c>
      <c r="S293" s="6">
        <v>0.96162999999999998</v>
      </c>
      <c r="U293" s="6">
        <v>3.27739</v>
      </c>
      <c r="W293" s="6">
        <v>5.7075800000000001</v>
      </c>
      <c r="Y293" s="6">
        <v>1.40452</v>
      </c>
      <c r="AA293" s="6">
        <v>0.84230000000000005</v>
      </c>
      <c r="AC293" s="6">
        <v>-0.25757999999999998</v>
      </c>
      <c r="AE293" s="6">
        <v>5.7058600000000004</v>
      </c>
      <c r="AG293" s="6">
        <v>-3.0349599999999999</v>
      </c>
      <c r="AI293" s="6">
        <v>4.7233099999999997</v>
      </c>
      <c r="AK293" s="6">
        <v>-3.9387099999999999</v>
      </c>
      <c r="AM293" s="6">
        <v>-4.3409399999999998</v>
      </c>
      <c r="AO293" s="6">
        <v>4.6565500000000002</v>
      </c>
      <c r="AQ293" s="6">
        <v>4.4801900000000003</v>
      </c>
      <c r="AS293" s="6">
        <v>2.2530600000000001</v>
      </c>
      <c r="AU293" s="6">
        <v>1.9428700000000001</v>
      </c>
      <c r="AW293" s="6">
        <v>1.3995299999999999</v>
      </c>
      <c r="AY293" s="6">
        <v>-2.0886900000000002</v>
      </c>
      <c r="BA293" s="6">
        <v>-0.55735999999999997</v>
      </c>
      <c r="BC293" s="6">
        <v>-3.7839800000000001</v>
      </c>
      <c r="BE293" s="6">
        <v>-0.10138999999999999</v>
      </c>
    </row>
    <row r="294" spans="1:57" s="36" customFormat="1" ht="12.6" x14ac:dyDescent="0.2">
      <c r="A294" s="24" t="s">
        <v>496</v>
      </c>
      <c r="B294" s="6">
        <v>9.8005630000000004</v>
      </c>
      <c r="D294" s="6">
        <v>11.393584000000001</v>
      </c>
      <c r="F294" s="6">
        <v>11.026</v>
      </c>
      <c r="G294" s="6">
        <v>9.0773670000000006</v>
      </c>
      <c r="I294" s="6">
        <v>10.664569999999999</v>
      </c>
      <c r="K294" s="6">
        <v>1.1003499999999999</v>
      </c>
      <c r="M294" s="6">
        <v>0.98373999999999995</v>
      </c>
      <c r="O294" s="6">
        <v>3.26302</v>
      </c>
      <c r="Q294" s="6">
        <v>-2.9235600000000002</v>
      </c>
      <c r="S294" s="6">
        <v>0.85082000000000002</v>
      </c>
      <c r="U294" s="6">
        <v>0.91615000000000002</v>
      </c>
      <c r="W294" s="6">
        <v>4.1323499999999997</v>
      </c>
      <c r="Y294" s="6">
        <v>0.44474000000000002</v>
      </c>
      <c r="AA294" s="6">
        <v>3.07328</v>
      </c>
      <c r="AC294" s="6">
        <v>-1.29552</v>
      </c>
      <c r="AE294" s="6">
        <v>3.6826599999999998</v>
      </c>
      <c r="AG294" s="6">
        <v>-3.07497</v>
      </c>
      <c r="AI294" s="6">
        <v>4.4635400000000001</v>
      </c>
      <c r="AK294" s="6">
        <v>-3.7911100000000002</v>
      </c>
      <c r="AM294" s="6">
        <v>-3.3391000000000002</v>
      </c>
      <c r="AO294" s="6">
        <v>3.59796</v>
      </c>
      <c r="AQ294" s="6">
        <v>4.1967100000000004</v>
      </c>
      <c r="AS294" s="6">
        <v>1.4198599999999999</v>
      </c>
      <c r="AU294" s="6">
        <v>2.4332099999999999</v>
      </c>
      <c r="AW294" s="6">
        <v>3.1643599999999998</v>
      </c>
      <c r="AY294" s="6">
        <v>-0.65122000000000002</v>
      </c>
      <c r="BA294" s="6">
        <v>0.42136000000000001</v>
      </c>
      <c r="BC294" s="6">
        <v>-2.6372300000000002</v>
      </c>
      <c r="BE294" s="6">
        <v>1.3672299999999999</v>
      </c>
    </row>
    <row r="295" spans="1:57" s="36" customFormat="1" ht="12.6" x14ac:dyDescent="0.2">
      <c r="A295" s="24" t="s">
        <v>497</v>
      </c>
      <c r="B295" s="6">
        <v>10.191613</v>
      </c>
      <c r="D295" s="6">
        <v>10.86689</v>
      </c>
      <c r="F295" s="6">
        <v>9.6106850000000001</v>
      </c>
      <c r="G295" s="6">
        <v>9.1226439999999993</v>
      </c>
      <c r="I295" s="6">
        <v>7.6082780000000003</v>
      </c>
      <c r="K295" s="6">
        <v>1.62462</v>
      </c>
      <c r="M295" s="6">
        <v>0.24571000000000001</v>
      </c>
      <c r="O295" s="6">
        <v>3.0219100000000001</v>
      </c>
      <c r="Q295" s="6">
        <v>-3.0302099999999998</v>
      </c>
      <c r="S295" s="6">
        <v>1.0341499999999999</v>
      </c>
      <c r="U295" s="6">
        <v>1.6191800000000001</v>
      </c>
      <c r="W295" s="6">
        <v>4.2137200000000004</v>
      </c>
      <c r="Y295" s="6">
        <v>0.53727000000000003</v>
      </c>
      <c r="AA295" s="6">
        <v>2.79827</v>
      </c>
      <c r="AC295" s="6">
        <v>-1.40666</v>
      </c>
      <c r="AE295" s="6">
        <v>3.6999499999999999</v>
      </c>
      <c r="AG295" s="6">
        <v>-2.9665400000000002</v>
      </c>
      <c r="AI295" s="6">
        <v>4.2775499999999997</v>
      </c>
      <c r="AK295" s="6">
        <v>-3.79528</v>
      </c>
      <c r="AM295" s="6">
        <v>-3.2721800000000001</v>
      </c>
      <c r="AO295" s="6">
        <v>3.8834200000000001</v>
      </c>
      <c r="AQ295" s="6">
        <v>3.72275</v>
      </c>
      <c r="AS295" s="6">
        <v>1.5981799999999999</v>
      </c>
      <c r="AU295" s="6">
        <v>2.10189</v>
      </c>
      <c r="AW295" s="6">
        <v>2.0941100000000001</v>
      </c>
      <c r="AY295" s="6">
        <v>-1.4033500000000001</v>
      </c>
      <c r="BA295" s="6">
        <v>0.11978999999999999</v>
      </c>
      <c r="BC295" s="6">
        <v>-3.3025799999999998</v>
      </c>
      <c r="BE295" s="6">
        <v>1.80508</v>
      </c>
    </row>
    <row r="296" spans="1:57" s="36" customFormat="1" ht="12.6" x14ac:dyDescent="0.2">
      <c r="A296" s="24" t="s">
        <v>498</v>
      </c>
      <c r="B296" s="6">
        <v>9.7245209999999993</v>
      </c>
      <c r="D296" s="6">
        <v>11.655856</v>
      </c>
      <c r="F296" s="6">
        <v>11.00203</v>
      </c>
      <c r="G296" s="6">
        <v>9.0685070000000003</v>
      </c>
      <c r="I296" s="6">
        <v>10.561994</v>
      </c>
      <c r="K296" s="6">
        <v>1.06839</v>
      </c>
      <c r="M296" s="6">
        <v>1.1687399999999999</v>
      </c>
      <c r="O296" s="6">
        <v>3.1321400000000001</v>
      </c>
      <c r="Q296" s="6">
        <v>-2.69781</v>
      </c>
      <c r="S296" s="6">
        <v>0.87212000000000001</v>
      </c>
      <c r="U296" s="6">
        <v>0.69791000000000003</v>
      </c>
      <c r="W296" s="6">
        <v>3.8407900000000001</v>
      </c>
      <c r="Y296" s="6">
        <v>0.40179999999999999</v>
      </c>
      <c r="AA296" s="6">
        <v>3.4493800000000001</v>
      </c>
      <c r="AC296" s="6">
        <v>-1.3279000000000001</v>
      </c>
      <c r="AE296" s="6">
        <v>3.6570100000000001</v>
      </c>
      <c r="AG296" s="6">
        <v>-3.0705800000000001</v>
      </c>
      <c r="AI296" s="6">
        <v>4.3845099999999997</v>
      </c>
      <c r="AK296" s="6">
        <v>-3.9602499999999998</v>
      </c>
      <c r="AM296" s="6">
        <v>-3.53627</v>
      </c>
      <c r="AO296" s="6">
        <v>3.5991200000000001</v>
      </c>
      <c r="AQ296" s="6">
        <v>4.1988500000000002</v>
      </c>
      <c r="AS296" s="6">
        <v>1.43987</v>
      </c>
      <c r="AU296" s="6">
        <v>2.58941</v>
      </c>
      <c r="AW296" s="6">
        <v>3.1535099999999998</v>
      </c>
      <c r="AY296" s="6">
        <v>-0.54081999999999997</v>
      </c>
      <c r="BA296" s="6">
        <v>0.48670999999999998</v>
      </c>
      <c r="BC296" s="6">
        <v>-2.5087000000000002</v>
      </c>
      <c r="BE296" s="6">
        <v>1.2560899999999999</v>
      </c>
    </row>
    <row r="297" spans="1:57" s="36" customFormat="1" ht="12.6" x14ac:dyDescent="0.2">
      <c r="A297" s="24" t="s">
        <v>499</v>
      </c>
      <c r="B297" s="6">
        <v>12.343626</v>
      </c>
      <c r="D297" s="6">
        <v>17.117296</v>
      </c>
      <c r="F297" s="6">
        <v>26.971368999999999</v>
      </c>
      <c r="G297" s="6">
        <v>15.831797</v>
      </c>
      <c r="I297" s="6">
        <v>39.344357000000002</v>
      </c>
      <c r="K297" s="6">
        <v>-5.2011799999999999</v>
      </c>
      <c r="M297" s="6">
        <v>5.1487299999999996</v>
      </c>
      <c r="O297" s="6">
        <v>6.3415299999999997</v>
      </c>
      <c r="Q297" s="6">
        <v>2.7606099999999998</v>
      </c>
      <c r="S297" s="6">
        <v>0.61936000000000002</v>
      </c>
      <c r="U297" s="6">
        <v>-3.7339799999999999</v>
      </c>
      <c r="W297" s="6">
        <v>0.24621999999999999</v>
      </c>
      <c r="Y297" s="6">
        <v>1.9543200000000001</v>
      </c>
      <c r="AA297" s="6">
        <v>7.1961399999999998</v>
      </c>
      <c r="AC297" s="6">
        <v>0.23405000000000001</v>
      </c>
      <c r="AE297" s="6">
        <v>-0.87602000000000002</v>
      </c>
      <c r="AG297" s="6">
        <v>0.73590999999999995</v>
      </c>
      <c r="AI297" s="6">
        <v>0.38485000000000003</v>
      </c>
      <c r="AK297" s="6">
        <v>-1.9616800000000001</v>
      </c>
      <c r="AM297" s="6">
        <v>-1.3421099999999999</v>
      </c>
      <c r="AO297" s="6">
        <v>-0.38147999999999999</v>
      </c>
      <c r="AQ297" s="6">
        <v>2.98645</v>
      </c>
      <c r="AS297" s="6">
        <v>-0.41328999999999999</v>
      </c>
      <c r="AU297" s="6">
        <v>4.0350900000000003</v>
      </c>
      <c r="AW297" s="6">
        <v>9.8987800000000004</v>
      </c>
      <c r="AY297" s="6">
        <v>13.40306</v>
      </c>
      <c r="BA297" s="6">
        <v>-0.39391999999999999</v>
      </c>
      <c r="BC297" s="6">
        <v>-1.27183</v>
      </c>
      <c r="BE297" s="6">
        <v>10.165990000000001</v>
      </c>
    </row>
    <row r="298" spans="1:57" x14ac:dyDescent="0.3">
      <c r="A298" s="24" t="s">
        <v>500</v>
      </c>
      <c r="B298" s="6">
        <v>8.6269480000000005</v>
      </c>
      <c r="C298" s="36"/>
      <c r="D298" s="6">
        <v>13.115873000000001</v>
      </c>
      <c r="E298" s="36"/>
      <c r="F298" s="6">
        <v>15.864314</v>
      </c>
      <c r="G298" s="6">
        <v>10.633086</v>
      </c>
      <c r="H298" s="36"/>
      <c r="I298" s="6">
        <v>21.481596</v>
      </c>
      <c r="J298" s="36"/>
      <c r="K298" s="6">
        <v>-0.70377000000000001</v>
      </c>
      <c r="L298" s="36"/>
      <c r="M298" s="6">
        <v>3.5876700000000001</v>
      </c>
      <c r="N298" s="36"/>
      <c r="O298" s="6">
        <v>4.0843299999999996</v>
      </c>
      <c r="P298" s="36"/>
      <c r="Q298" s="6">
        <v>-2.5731299999999999</v>
      </c>
      <c r="R298" s="36"/>
      <c r="S298" s="6">
        <v>0.24933</v>
      </c>
      <c r="T298" s="36"/>
      <c r="U298" s="6">
        <v>-1.3961300000000001</v>
      </c>
      <c r="V298" s="36"/>
      <c r="W298" s="6">
        <v>3.8517000000000001</v>
      </c>
      <c r="X298" s="36"/>
      <c r="Y298" s="6">
        <v>0.11749999999999999</v>
      </c>
      <c r="Z298" s="36"/>
      <c r="AA298" s="6">
        <v>3.9750000000000001</v>
      </c>
      <c r="AB298" s="36"/>
      <c r="AC298" s="6">
        <v>-0.91785000000000005</v>
      </c>
      <c r="AD298" s="36"/>
      <c r="AE298" s="6">
        <v>3.6222300000000001</v>
      </c>
      <c r="AF298" s="36"/>
      <c r="AG298" s="6">
        <v>-3.4376899999999999</v>
      </c>
      <c r="AH298" s="36"/>
      <c r="AI298" s="6">
        <v>5.1004100000000001</v>
      </c>
      <c r="AJ298" s="36"/>
      <c r="AK298" s="6">
        <v>-3.77739</v>
      </c>
      <c r="AL298" s="36"/>
      <c r="AM298" s="6">
        <v>-3.5628299999999999</v>
      </c>
      <c r="AN298" s="36"/>
      <c r="AO298" s="6">
        <v>2.6271900000000001</v>
      </c>
      <c r="AP298" s="36"/>
      <c r="AQ298" s="6">
        <v>5.8568499999999997</v>
      </c>
      <c r="AR298" s="36"/>
      <c r="AS298" s="6">
        <v>0.81281000000000003</v>
      </c>
      <c r="AT298" s="36"/>
      <c r="AU298" s="6">
        <v>3.6009899999999999</v>
      </c>
      <c r="AV298" s="36"/>
      <c r="AW298" s="6">
        <v>6.8890500000000001</v>
      </c>
      <c r="AX298" s="36"/>
      <c r="AY298" s="6">
        <v>1.8418099999999999</v>
      </c>
      <c r="AZ298" s="36"/>
      <c r="BA298" s="6">
        <v>1.37713</v>
      </c>
      <c r="BB298" s="36"/>
      <c r="BC298" s="6">
        <v>-0.55757000000000001</v>
      </c>
      <c r="BD298" s="36"/>
      <c r="BE298" s="6">
        <v>3.5099999999999999E-2</v>
      </c>
    </row>
    <row r="299" spans="1:57" x14ac:dyDescent="0.3">
      <c r="A299" s="24" t="s">
        <v>501</v>
      </c>
      <c r="B299" s="6">
        <v>10.265866000000001</v>
      </c>
      <c r="C299" s="36"/>
      <c r="D299" s="6">
        <v>12.749604</v>
      </c>
      <c r="E299" s="36"/>
      <c r="F299" s="6">
        <v>15.330940999999999</v>
      </c>
      <c r="G299" s="6">
        <v>11.674725</v>
      </c>
      <c r="H299" s="36"/>
      <c r="I299" s="6">
        <v>18.347411999999998</v>
      </c>
      <c r="J299" s="36"/>
      <c r="K299" s="6">
        <v>-2.1705999999999999</v>
      </c>
      <c r="L299" s="36"/>
      <c r="M299" s="6">
        <v>5.3428599999999999</v>
      </c>
      <c r="N299" s="36"/>
      <c r="O299" s="6">
        <v>3.4410699999999999</v>
      </c>
      <c r="P299" s="36"/>
      <c r="Q299" s="6">
        <v>-2.1243500000000002</v>
      </c>
      <c r="R299" s="36"/>
      <c r="S299" s="6">
        <v>0.51742999999999995</v>
      </c>
      <c r="T299" s="36"/>
      <c r="U299" s="6">
        <v>-1.3867700000000001</v>
      </c>
      <c r="V299" s="36"/>
      <c r="W299" s="6">
        <v>4.1644899999999998</v>
      </c>
      <c r="X299" s="36"/>
      <c r="Y299" s="6">
        <v>1.9694700000000001</v>
      </c>
      <c r="Z299" s="36"/>
      <c r="AA299" s="6">
        <v>3.0649299999999999</v>
      </c>
      <c r="AB299" s="36"/>
      <c r="AC299" s="6">
        <v>-2.4194399999999998</v>
      </c>
      <c r="AD299" s="36"/>
      <c r="AE299" s="6">
        <v>5.7074299999999996</v>
      </c>
      <c r="AF299" s="36"/>
      <c r="AG299" s="6">
        <v>-3.7624399999999998</v>
      </c>
      <c r="AH299" s="36"/>
      <c r="AI299" s="6">
        <v>5.5615800000000002</v>
      </c>
      <c r="AJ299" s="36"/>
      <c r="AK299" s="6">
        <v>-4.6479200000000001</v>
      </c>
      <c r="AL299" s="36"/>
      <c r="AM299" s="6">
        <v>-3.5195799999999999</v>
      </c>
      <c r="AN299" s="36"/>
      <c r="AO299" s="6">
        <v>3.35446</v>
      </c>
      <c r="AP299" s="36"/>
      <c r="AQ299" s="6">
        <v>5.9396000000000004</v>
      </c>
      <c r="AR299" s="36"/>
      <c r="AS299" s="6">
        <v>0.77610999999999997</v>
      </c>
      <c r="AT299" s="36"/>
      <c r="AU299" s="6">
        <v>4.3108599999999999</v>
      </c>
      <c r="AV299" s="36"/>
      <c r="AW299" s="6">
        <v>5.5246700000000004</v>
      </c>
      <c r="AX299" s="36"/>
      <c r="AY299" s="6">
        <v>0.37687999999999999</v>
      </c>
      <c r="AZ299" s="36"/>
      <c r="BA299" s="6">
        <v>0.89468000000000003</v>
      </c>
      <c r="BB299" s="36"/>
      <c r="BC299" s="6">
        <v>0.3085</v>
      </c>
      <c r="BD299" s="36"/>
      <c r="BE299" s="6">
        <v>-1.2322500000000001</v>
      </c>
    </row>
    <row r="300" spans="1:57" x14ac:dyDescent="0.3">
      <c r="A300" s="24" t="s">
        <v>502</v>
      </c>
      <c r="B300" s="6">
        <v>6.8528479999999998</v>
      </c>
      <c r="C300" s="36"/>
      <c r="D300" s="6">
        <v>13.444607</v>
      </c>
      <c r="E300" s="36"/>
      <c r="F300" s="6">
        <v>16.363444999999999</v>
      </c>
      <c r="G300" s="6">
        <v>10.897646999999999</v>
      </c>
      <c r="H300" s="36"/>
      <c r="I300" s="6">
        <v>24.959467</v>
      </c>
      <c r="J300" s="36"/>
      <c r="K300" s="6">
        <v>0.89629000000000003</v>
      </c>
      <c r="L300" s="36"/>
      <c r="M300" s="6">
        <v>1.7218899999999999</v>
      </c>
      <c r="N300" s="36"/>
      <c r="O300" s="6">
        <v>4.7889200000000001</v>
      </c>
      <c r="P300" s="36"/>
      <c r="Q300" s="6">
        <v>-3.0630299999999999</v>
      </c>
      <c r="R300" s="36"/>
      <c r="S300" s="6">
        <v>-4.7199999999999999E-2</v>
      </c>
      <c r="T300" s="36"/>
      <c r="U300" s="6">
        <v>-1.3944300000000001</v>
      </c>
      <c r="V300" s="36"/>
      <c r="W300" s="6">
        <v>3.4913799999999999</v>
      </c>
      <c r="X300" s="36"/>
      <c r="Y300" s="6">
        <v>-2.01701</v>
      </c>
      <c r="Z300" s="36"/>
      <c r="AA300" s="6">
        <v>5.0591200000000001</v>
      </c>
      <c r="AB300" s="36"/>
      <c r="AC300" s="6">
        <v>0.80223999999999995</v>
      </c>
      <c r="AD300" s="36"/>
      <c r="AE300" s="6">
        <v>1.31531</v>
      </c>
      <c r="AF300" s="36"/>
      <c r="AG300" s="6">
        <v>-3.07423</v>
      </c>
      <c r="AH300" s="36"/>
      <c r="AI300" s="6">
        <v>4.5866899999999999</v>
      </c>
      <c r="AJ300" s="36"/>
      <c r="AK300" s="6">
        <v>-2.79515</v>
      </c>
      <c r="AL300" s="36"/>
      <c r="AM300" s="6">
        <v>-3.6049699999999998</v>
      </c>
      <c r="AN300" s="36"/>
      <c r="AO300" s="6">
        <v>1.83921</v>
      </c>
      <c r="AP300" s="36"/>
      <c r="AQ300" s="6">
        <v>5.7635399999999999</v>
      </c>
      <c r="AR300" s="36"/>
      <c r="AS300" s="6">
        <v>0.84824999999999995</v>
      </c>
      <c r="AT300" s="36"/>
      <c r="AU300" s="6">
        <v>2.8192300000000001</v>
      </c>
      <c r="AV300" s="36"/>
      <c r="AW300" s="6">
        <v>8.4147999999999996</v>
      </c>
      <c r="AX300" s="36"/>
      <c r="AY300" s="6">
        <v>3.4444300000000001</v>
      </c>
      <c r="AZ300" s="36"/>
      <c r="BA300" s="6">
        <v>1.89289</v>
      </c>
      <c r="BB300" s="36"/>
      <c r="BC300" s="6">
        <v>-1.4829699999999999</v>
      </c>
      <c r="BD300" s="36"/>
      <c r="BE300" s="6">
        <v>1.4157900000000001</v>
      </c>
    </row>
    <row r="301" spans="1:57" x14ac:dyDescent="0.3">
      <c r="A301" s="24" t="s">
        <v>503</v>
      </c>
      <c r="B301" s="6">
        <v>7.2935509999999999</v>
      </c>
      <c r="C301" s="36"/>
      <c r="D301" s="6">
        <v>31.125285999999999</v>
      </c>
      <c r="E301" s="36"/>
      <c r="F301" s="6">
        <v>40.032488999999998</v>
      </c>
      <c r="G301" s="6">
        <v>16.202873</v>
      </c>
      <c r="H301" s="36"/>
      <c r="I301" s="6">
        <v>44.869689000000001</v>
      </c>
      <c r="J301" s="36"/>
      <c r="K301" s="6">
        <v>-1.845431</v>
      </c>
      <c r="L301" s="36"/>
      <c r="M301" s="6">
        <v>7.949967</v>
      </c>
      <c r="N301" s="36"/>
      <c r="O301" s="6">
        <v>5.635014</v>
      </c>
      <c r="P301" s="36"/>
      <c r="Q301" s="6">
        <v>-0.28458600000000001</v>
      </c>
      <c r="R301" s="36"/>
      <c r="S301" s="6">
        <v>1.4395279999999999</v>
      </c>
      <c r="T301" s="36"/>
      <c r="U301" s="6">
        <v>6.2627009999999999</v>
      </c>
      <c r="V301" s="36"/>
      <c r="W301" s="6">
        <v>-4.9417000000000003E-2</v>
      </c>
      <c r="X301" s="36"/>
      <c r="Y301" s="6">
        <v>-2.4460130000000002</v>
      </c>
      <c r="Z301" s="36"/>
      <c r="AA301" s="6">
        <v>5.8516170000000001</v>
      </c>
      <c r="AB301" s="36"/>
      <c r="AC301" s="6">
        <v>4.1562840000000003</v>
      </c>
      <c r="AD301" s="36"/>
      <c r="AE301" s="6">
        <v>-2.2176809999999998</v>
      </c>
      <c r="AF301" s="36"/>
      <c r="AG301" s="6">
        <v>7.0323690000000001</v>
      </c>
      <c r="AH301" s="36"/>
      <c r="AI301" s="6">
        <v>4.5487679999999999</v>
      </c>
      <c r="AJ301" s="36"/>
      <c r="AK301" s="6">
        <v>5.1387119999999999</v>
      </c>
      <c r="AL301" s="36"/>
      <c r="AM301" s="6">
        <v>-3.1643409999999998</v>
      </c>
      <c r="AN301" s="36"/>
      <c r="AO301" s="6">
        <v>-4.9907709999999996</v>
      </c>
      <c r="AP301" s="36"/>
      <c r="AQ301" s="6">
        <v>6.5564660000000003</v>
      </c>
      <c r="AR301" s="36"/>
      <c r="AS301" s="6">
        <v>8.0244979999999995</v>
      </c>
      <c r="AT301" s="36"/>
      <c r="AU301" s="6">
        <v>4.5804830000000001</v>
      </c>
      <c r="AV301" s="36"/>
      <c r="AW301" s="6">
        <v>2.0899040000000002</v>
      </c>
      <c r="AX301" s="36"/>
      <c r="AY301" s="6">
        <v>11.525669000000001</v>
      </c>
      <c r="AZ301" s="36"/>
      <c r="BA301" s="6">
        <v>7.9526370000000002</v>
      </c>
      <c r="BB301" s="36"/>
      <c r="BC301" s="6">
        <v>-6.2317479999999996</v>
      </c>
      <c r="BD301" s="36"/>
      <c r="BE301" s="6">
        <v>3.251277</v>
      </c>
    </row>
    <row r="302" spans="1:57" x14ac:dyDescent="0.3">
      <c r="A302" s="24" t="s">
        <v>504</v>
      </c>
      <c r="B302" s="6">
        <v>0.79870600000000003</v>
      </c>
      <c r="C302" s="36"/>
      <c r="D302" s="6">
        <v>7.7850479999999997</v>
      </c>
      <c r="E302" s="36"/>
      <c r="F302" s="6">
        <v>6.1882200000000003</v>
      </c>
      <c r="G302" s="6">
        <v>3.4998360000000002</v>
      </c>
      <c r="H302" s="36"/>
      <c r="I302" s="6">
        <v>5.3368419999999999</v>
      </c>
      <c r="J302" s="36"/>
      <c r="K302" s="6">
        <v>0.48514000000000002</v>
      </c>
      <c r="L302" s="36"/>
      <c r="M302" s="6">
        <v>1.8500000000000001E-3</v>
      </c>
      <c r="N302" s="36"/>
      <c r="O302" s="6">
        <v>1.5421899999999999</v>
      </c>
      <c r="P302" s="36"/>
      <c r="Q302" s="6">
        <v>-1.8492500000000001</v>
      </c>
      <c r="R302" s="36"/>
      <c r="S302" s="6">
        <v>1.15821</v>
      </c>
      <c r="T302" s="36"/>
      <c r="U302" s="6">
        <v>0.73853000000000002</v>
      </c>
      <c r="V302" s="36"/>
      <c r="W302" s="6">
        <v>2.3037800000000002</v>
      </c>
      <c r="X302" s="36"/>
      <c r="Y302" s="6">
        <v>1.34436</v>
      </c>
      <c r="Z302" s="36"/>
      <c r="AA302" s="6">
        <v>0.66801999999999995</v>
      </c>
      <c r="AB302" s="36"/>
      <c r="AC302" s="6">
        <v>-1.6727799999999999</v>
      </c>
      <c r="AD302" s="36"/>
      <c r="AE302" s="6">
        <v>1.39137</v>
      </c>
      <c r="AF302" s="36"/>
      <c r="AG302" s="6">
        <v>0.80174999999999996</v>
      </c>
      <c r="AH302" s="36"/>
      <c r="AI302" s="6">
        <v>0.51759999999999995</v>
      </c>
      <c r="AJ302" s="36"/>
      <c r="AK302" s="6">
        <v>1.44889</v>
      </c>
      <c r="AL302" s="36"/>
      <c r="AM302" s="6">
        <v>-0.29185</v>
      </c>
      <c r="AN302" s="36"/>
      <c r="AO302" s="6">
        <v>1.27901</v>
      </c>
      <c r="AP302" s="36"/>
      <c r="AQ302" s="6">
        <v>0.92110999999999998</v>
      </c>
      <c r="AR302" s="36"/>
      <c r="AS302" s="6">
        <v>0.96662999999999999</v>
      </c>
      <c r="AT302" s="36"/>
      <c r="AU302" s="6">
        <v>0.53707000000000005</v>
      </c>
      <c r="AV302" s="36"/>
      <c r="AW302" s="6">
        <v>0.92849999999999999</v>
      </c>
      <c r="AX302" s="36"/>
      <c r="AY302" s="6">
        <v>0.21870999999999999</v>
      </c>
      <c r="AZ302" s="36"/>
      <c r="BA302" s="6">
        <v>0.41689999999999999</v>
      </c>
      <c r="BB302" s="36"/>
      <c r="BC302" s="6">
        <v>-1.06</v>
      </c>
      <c r="BD302" s="36"/>
      <c r="BE302" s="6">
        <v>-0.63959999999999995</v>
      </c>
    </row>
    <row r="303" spans="1:57" x14ac:dyDescent="0.3">
      <c r="A303" s="24" t="s">
        <v>505</v>
      </c>
      <c r="B303" s="6">
        <v>16.647948</v>
      </c>
      <c r="C303" s="36"/>
      <c r="D303" s="6">
        <v>23.899277999999999</v>
      </c>
      <c r="E303" s="36"/>
      <c r="F303" s="6">
        <v>32.627206000000001</v>
      </c>
      <c r="G303" s="6">
        <v>19.020824999999999</v>
      </c>
      <c r="H303" s="36"/>
      <c r="I303" s="6">
        <v>60.769502000000003</v>
      </c>
      <c r="J303" s="36"/>
      <c r="K303" s="6">
        <v>-4.8538209999999999</v>
      </c>
      <c r="L303" s="36"/>
      <c r="M303" s="6">
        <v>8.4092040000000008</v>
      </c>
      <c r="N303" s="36"/>
      <c r="O303" s="6">
        <v>3.8704100000000001</v>
      </c>
      <c r="P303" s="36"/>
      <c r="Q303" s="6">
        <v>1.2042740000000001</v>
      </c>
      <c r="R303" s="36"/>
      <c r="S303" s="6">
        <v>-2.6058000000000001E-2</v>
      </c>
      <c r="T303" s="36"/>
      <c r="U303" s="6">
        <v>-7.5537419999999997</v>
      </c>
      <c r="V303" s="36"/>
      <c r="W303" s="6">
        <v>2.8996719999999998</v>
      </c>
      <c r="X303" s="36"/>
      <c r="Y303" s="6">
        <v>-4.7010149999999999</v>
      </c>
      <c r="Z303" s="36"/>
      <c r="AA303" s="6">
        <v>2.709565</v>
      </c>
      <c r="AB303" s="36"/>
      <c r="AC303" s="6">
        <v>1.0177849999999999</v>
      </c>
      <c r="AD303" s="36"/>
      <c r="AE303" s="6">
        <v>0.42744799999999999</v>
      </c>
      <c r="AF303" s="36"/>
      <c r="AG303" s="6">
        <v>6.8498169999999998</v>
      </c>
      <c r="AH303" s="36"/>
      <c r="AI303" s="6">
        <v>1.856481</v>
      </c>
      <c r="AJ303" s="36"/>
      <c r="AK303" s="6">
        <v>-3.0122779999999998</v>
      </c>
      <c r="AL303" s="36"/>
      <c r="AM303" s="6">
        <v>-6.1819579999999998</v>
      </c>
      <c r="AN303" s="36"/>
      <c r="AO303" s="6">
        <v>0.32055800000000001</v>
      </c>
      <c r="AP303" s="36"/>
      <c r="AQ303" s="6">
        <v>5.1205889999999998</v>
      </c>
      <c r="AR303" s="36"/>
      <c r="AS303" s="6">
        <v>4.528823</v>
      </c>
      <c r="AT303" s="36"/>
      <c r="AU303" s="6">
        <v>9.8816039999999994</v>
      </c>
      <c r="AV303" s="36"/>
      <c r="AW303" s="6">
        <v>8.9537259999999996</v>
      </c>
      <c r="AX303" s="36"/>
      <c r="AY303" s="6">
        <v>10.961295</v>
      </c>
      <c r="AZ303" s="36"/>
      <c r="BA303" s="6">
        <v>13.711558</v>
      </c>
      <c r="BB303" s="36"/>
      <c r="BC303" s="6">
        <v>2.4146329999999998</v>
      </c>
      <c r="BD303" s="36"/>
      <c r="BE303" s="6">
        <v>1.7168429999999999</v>
      </c>
    </row>
    <row r="304" spans="1:57" x14ac:dyDescent="0.3">
      <c r="A304" s="24" t="s">
        <v>506</v>
      </c>
      <c r="C304" s="6"/>
      <c r="E304" s="6"/>
      <c r="F304" s="6"/>
      <c r="H304" s="6"/>
      <c r="J304" s="6"/>
      <c r="L304" s="6"/>
      <c r="N304" s="6"/>
      <c r="P304" s="6"/>
      <c r="R304" s="6"/>
      <c r="T304" s="6"/>
      <c r="V304" s="6"/>
      <c r="X304" s="6"/>
      <c r="Z304" s="6"/>
      <c r="AB304" s="6"/>
      <c r="AD304" s="6"/>
      <c r="AF304" s="6"/>
      <c r="AH304" s="6"/>
      <c r="AJ304" s="6"/>
      <c r="AL304" s="6"/>
      <c r="AN304" s="6"/>
      <c r="AP304" s="6"/>
      <c r="AR304" s="6"/>
      <c r="AT304" s="6"/>
      <c r="AV304" s="6"/>
      <c r="AX304" s="6"/>
      <c r="AZ304" s="6"/>
      <c r="BB304" s="6"/>
      <c r="BD304" s="6"/>
    </row>
    <row r="305" spans="1:56" x14ac:dyDescent="0.3">
      <c r="A305" s="88" t="s">
        <v>507</v>
      </c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89"/>
      <c r="AL305" s="89"/>
      <c r="AM305" s="89"/>
      <c r="AN305" s="89"/>
      <c r="AO305" s="89"/>
      <c r="AP305" s="89"/>
      <c r="AQ305" s="89"/>
      <c r="AR305" s="89"/>
      <c r="AS305" s="89"/>
      <c r="AT305" s="89"/>
      <c r="AU305" s="89"/>
      <c r="AV305" s="89"/>
      <c r="AW305" s="89"/>
      <c r="AX305" s="89"/>
      <c r="AY305" s="89"/>
      <c r="AZ305" s="89"/>
      <c r="BA305" s="89"/>
      <c r="BB305" s="89"/>
      <c r="BC305" s="89"/>
      <c r="BD305" s="89"/>
    </row>
    <row r="306" spans="1:56" x14ac:dyDescent="0.3">
      <c r="A306" s="90" t="s">
        <v>508</v>
      </c>
      <c r="C306" s="6">
        <v>10.579495</v>
      </c>
      <c r="E306" s="6">
        <v>12.705615999999999</v>
      </c>
      <c r="F306" s="6">
        <v>8.6007669999999994</v>
      </c>
      <c r="H306" s="6">
        <v>8.8284269999999996</v>
      </c>
      <c r="J306" s="6">
        <v>-1.17428</v>
      </c>
      <c r="L306" s="6">
        <v>3.1675200000000001</v>
      </c>
      <c r="N306" s="6">
        <v>2.1829489999999998</v>
      </c>
      <c r="P306" s="6">
        <v>0.53843600000000003</v>
      </c>
      <c r="R306" s="6">
        <v>0.97028000000000003</v>
      </c>
      <c r="T306" s="6">
        <v>2.0131700000000001</v>
      </c>
      <c r="V306" s="6">
        <v>-1.8435630000000001</v>
      </c>
      <c r="X306" s="6">
        <v>0.61936000000000002</v>
      </c>
      <c r="Z306" s="6">
        <v>0.73853000000000002</v>
      </c>
      <c r="AB306" s="6">
        <v>1.8938900000000001</v>
      </c>
      <c r="AD306" s="6">
        <v>0.42879</v>
      </c>
      <c r="AF306" s="6">
        <v>0.57908400000000004</v>
      </c>
      <c r="AH306" s="6">
        <v>0.40933399999999998</v>
      </c>
      <c r="AJ306" s="6">
        <v>1.17855</v>
      </c>
      <c r="AL306" s="6">
        <v>0.46110000000000001</v>
      </c>
      <c r="AN306" s="6">
        <v>1.101588</v>
      </c>
      <c r="AP306" s="6">
        <v>0.36930000000000002</v>
      </c>
      <c r="AR306" s="6">
        <v>-0.33133400000000002</v>
      </c>
      <c r="AT306" s="6">
        <v>0.458397</v>
      </c>
      <c r="AV306" s="6">
        <v>1.93113</v>
      </c>
      <c r="AX306" s="6">
        <v>0.95548</v>
      </c>
      <c r="AZ306" s="6">
        <v>0.87850099999999998</v>
      </c>
      <c r="BB306" s="6">
        <v>0.69425400000000004</v>
      </c>
      <c r="BD306" s="6">
        <v>0.69558399999999998</v>
      </c>
    </row>
    <row r="307" spans="1:56" x14ac:dyDescent="0.3">
      <c r="A307" s="24" t="s">
        <v>456</v>
      </c>
      <c r="C307" s="6">
        <v>27.521104999999999</v>
      </c>
      <c r="E307" s="6">
        <v>28.703772000000001</v>
      </c>
      <c r="F307" s="6">
        <v>12.215992</v>
      </c>
      <c r="H307" s="6">
        <v>27.321076000000001</v>
      </c>
      <c r="J307" s="6">
        <v>0.40043899999999999</v>
      </c>
      <c r="L307" s="6">
        <v>4.2580530000000003</v>
      </c>
      <c r="N307" s="6">
        <v>0.92400499999999997</v>
      </c>
      <c r="P307" s="6">
        <v>5.7432489999999996</v>
      </c>
      <c r="R307" s="6">
        <v>7.2328409999999996</v>
      </c>
      <c r="T307" s="6">
        <v>2.6014270000000002</v>
      </c>
      <c r="V307" s="6">
        <v>-3.2089880000000002</v>
      </c>
      <c r="X307" s="6">
        <v>3.3491339999999998</v>
      </c>
      <c r="Z307" s="6">
        <v>4.5600750000000003</v>
      </c>
      <c r="AB307" s="6">
        <v>2.8136580000000002</v>
      </c>
      <c r="AD307" s="6">
        <v>-1.5981369999999999</v>
      </c>
      <c r="AF307" s="6">
        <v>3.3807999999999998E-2</v>
      </c>
      <c r="AH307" s="6">
        <v>5.3908389999999997</v>
      </c>
      <c r="AJ307" s="6">
        <v>6.0422000000000002</v>
      </c>
      <c r="AL307" s="6">
        <v>4.8545730000000002</v>
      </c>
      <c r="AN307" s="6">
        <v>1.4368300000000001</v>
      </c>
      <c r="AP307" s="6">
        <v>-1.2572540000000001</v>
      </c>
      <c r="AR307" s="6">
        <v>-6.7153830000000001</v>
      </c>
      <c r="AT307" s="6">
        <v>-3.0603229999999999</v>
      </c>
      <c r="AV307" s="6">
        <v>6.5677659999999998</v>
      </c>
      <c r="AX307" s="6">
        <v>3.7825859999999998</v>
      </c>
      <c r="AZ307" s="6">
        <v>4.7295949999999998</v>
      </c>
      <c r="BB307" s="6">
        <v>0.50528399999999996</v>
      </c>
      <c r="BD307" s="6">
        <v>3.0410300000000001</v>
      </c>
    </row>
  </sheetData>
  <mergeCells count="2">
    <mergeCell ref="F2:G2"/>
    <mergeCell ref="F3:G3"/>
  </mergeCells>
  <conditionalFormatting sqref="A245:A24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AAECD4FFAEC24881DE1F6007DB1196" ma:contentTypeVersion="19" ma:contentTypeDescription="Create a new document." ma:contentTypeScope="" ma:versionID="dfaa4fe9fdfaebd2b3fb94fdbc0e2fd9">
  <xsd:schema xmlns:xsd="http://www.w3.org/2001/XMLSchema" xmlns:xs="http://www.w3.org/2001/XMLSchema" xmlns:p="http://schemas.microsoft.com/office/2006/metadata/properties" xmlns:ns2="b6f0f157-b05d-47b5-a4ad-9104388b9e00" xmlns:ns3="695474d6-1b83-4b70-99c6-99f4784a3023" xmlns:ns4="28c4117a-bbb3-4e1f-8a90-b630a637c5f5" targetNamespace="http://schemas.microsoft.com/office/2006/metadata/properties" ma:root="true" ma:fieldsID="87f642a867bb127e08f296f551362199" ns2:_="" ns3:_="" ns4:_="">
    <xsd:import namespace="b6f0f157-b05d-47b5-a4ad-9104388b9e00"/>
    <xsd:import namespace="695474d6-1b83-4b70-99c6-99f4784a3023"/>
    <xsd:import namespace="28c4117a-bbb3-4e1f-8a90-b630a637c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0f157-b05d-47b5-a4ad-9104388b9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0616e0a-51ce-457b-a9c4-6ff1e00dfc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474d6-1b83-4b70-99c6-99f4784a302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4117a-bbb3-4e1f-8a90-b630a637c5f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d9efa9e-e86d-421a-b29c-68cba4ec1ac4}" ma:internalName="TaxCatchAll" ma:showField="CatchAllData" ma:web="695474d6-1b83-4b70-99c6-99f4784a30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c4117a-bbb3-4e1f-8a90-b630a637c5f5" xsi:nil="true"/>
    <lcf76f155ced4ddcb4097134ff3c332f xmlns="b6f0f157-b05d-47b5-a4ad-9104388b9e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7A930C-4BED-41D4-85DC-C5E5DC9614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EAB6FB-AC47-4841-9363-D38A2478B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f0f157-b05d-47b5-a4ad-9104388b9e00"/>
    <ds:schemaRef ds:uri="695474d6-1b83-4b70-99c6-99f4784a3023"/>
    <ds:schemaRef ds:uri="28c4117a-bbb3-4e1f-8a90-b630a637c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DAA61B-B145-4060-9807-46B56A2854E2}">
  <ds:schemaRefs>
    <ds:schemaRef ds:uri="http://schemas.microsoft.com/office/2006/metadata/properties"/>
    <ds:schemaRef ds:uri="http://schemas.microsoft.com/office/infopath/2007/PartnerControls"/>
    <ds:schemaRef ds:uri="28c4117a-bbb3-4e1f-8a90-b630a637c5f5"/>
    <ds:schemaRef ds:uri="b6f0f157-b05d-47b5-a4ad-9104388b9e00"/>
  </ds:schemaRefs>
</ds:datastoreItem>
</file>

<file path=docMetadata/LabelInfo.xml><?xml version="1.0" encoding="utf-8"?>
<clbl:labelList xmlns:clbl="http://schemas.microsoft.com/office/2020/mipLabelMetadata">
  <clbl:label id="{7d8a056e-981a-4d0b-83ea-062214276430}" enabled="1" method="Standard" siteId="{c64d49cd-d138-4cdb-a5d4-324a4040c7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</vt:lpstr>
      <vt:lpstr>Calculation results</vt:lpstr>
      <vt:lpstr>Investment Perf His</vt:lpstr>
      <vt:lpstr>Invert return series (5 years)</vt:lpstr>
      <vt:lpstr>Invert return series (3 years)</vt:lpstr>
      <vt:lpstr>Invert return series (2 years)</vt:lpstr>
      <vt:lpstr>Manual Calc (5 years)</vt:lpstr>
      <vt:lpstr>Manual Calc (3 years)</vt:lpstr>
      <vt:lpstr>Manual Calc (2 years)</vt:lpstr>
      <vt:lpstr>Morningstar Category Data</vt:lpstr>
      <vt:lpstr>BM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Dilniaz Singh</dc:creator>
  <cp:keywords/>
  <dc:description/>
  <cp:lastModifiedBy>Sara Li</cp:lastModifiedBy>
  <cp:revision/>
  <dcterms:created xsi:type="dcterms:W3CDTF">2023-08-16T02:32:56Z</dcterms:created>
  <dcterms:modified xsi:type="dcterms:W3CDTF">2026-03-31T23:30:06Z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0x010100F1AAECD4FFAEC24881DE1F6007DB1196</vt:lpwstr>
  </property>
  <property fmtid="{D5CDD505-2E9C-101B-9397-08002B2CF9AE}" pid="3" name="MediaServiceImageTags">
    <vt:lpwstr/>
  </property>
</Properties>
</file>