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minerdsbell.sharepoint.com/sites/MBData/Shared Documents/Minerdsbell/Investment and Product Committee/Solita SMAs/"/>
    </mc:Choice>
  </mc:AlternateContent>
  <xr:revisionPtr revIDLastSave="72" documentId="8_{1F899EEB-43E2-4145-91A5-D418663DDFFF}" xr6:coauthVersionLast="47" xr6:coauthVersionMax="47" xr10:uidLastSave="{5ABAE019-92CF-468E-BC7E-34CE2853A984}"/>
  <bookViews>
    <workbookView xWindow="-120" yWindow="-120" windowWidth="29040" windowHeight="15720" xr2:uid="{2DC47221-5D7E-48F8-A940-0D38E1308437}"/>
  </bookViews>
  <sheets>
    <sheet name="summary Table" sheetId="1" r:id="rId1"/>
  </sheets>
  <definedNames>
    <definedName name="_xlnm._FilterDatabase" localSheetId="0" hidden="1">'summary Table'!$A$5:$J$5</definedName>
    <definedName name="_xlnm.Print_Area" localSheetId="0">'summary Table'!$A$1:$L$40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4" i="1" l="1"/>
  <c r="I360" i="1"/>
  <c r="H360" i="1"/>
  <c r="G360" i="1"/>
  <c r="F360" i="1"/>
  <c r="E360" i="1"/>
  <c r="D360" i="1"/>
  <c r="C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29" i="1"/>
  <c r="J36" i="1"/>
  <c r="J28" i="1"/>
  <c r="J39" i="1"/>
  <c r="J35" i="1"/>
  <c r="J38" i="1"/>
  <c r="J27" i="1"/>
  <c r="J34" i="1"/>
  <c r="J33" i="1"/>
  <c r="J32" i="1"/>
  <c r="J26" i="1"/>
  <c r="J31" i="1"/>
  <c r="J37" i="1"/>
  <c r="J25" i="1"/>
  <c r="J30" i="1"/>
  <c r="J24" i="1"/>
  <c r="J20" i="1"/>
  <c r="J19" i="1"/>
  <c r="J18" i="1"/>
  <c r="J17" i="1"/>
  <c r="J16" i="1"/>
  <c r="J15" i="1"/>
  <c r="J10" i="1"/>
  <c r="J9" i="1"/>
  <c r="J8" i="1"/>
  <c r="J7" i="1"/>
  <c r="J6" i="1"/>
  <c r="K10" i="1" l="1"/>
  <c r="J360" i="1"/>
  <c r="K12" i="1" s="1"/>
  <c r="L12" i="1" s="1"/>
  <c r="K20" i="1"/>
  <c r="K39" i="1"/>
  <c r="L20" i="1" l="1"/>
  <c r="L39" i="1"/>
</calcChain>
</file>

<file path=xl/sharedStrings.xml><?xml version="1.0" encoding="utf-8"?>
<sst xmlns="http://schemas.openxmlformats.org/spreadsheetml/2006/main" count="418" uniqueCount="370">
  <si>
    <t>Minerds Bell Consultancy Group - Analysis of North FUA - 07-11-2025</t>
  </si>
  <si>
    <t>Product</t>
  </si>
  <si>
    <t>MyNorth Investment</t>
  </si>
  <si>
    <t>MyNorth Lifetime Income</t>
  </si>
  <si>
    <t>MyNorth Pension</t>
  </si>
  <si>
    <t>MyNorth Super</t>
  </si>
  <si>
    <t>North Investment</t>
  </si>
  <si>
    <t>North Personal Pension</t>
  </si>
  <si>
    <t>North Personal Superannuation</t>
  </si>
  <si>
    <t>Total</t>
  </si>
  <si>
    <t>Cash / TDs</t>
  </si>
  <si>
    <t xml:space="preserve">Investment </t>
  </si>
  <si>
    <t>FUA$</t>
  </si>
  <si>
    <t>FUA $</t>
  </si>
  <si>
    <t>% of total FUA</t>
  </si>
  <si>
    <t>Cash</t>
  </si>
  <si>
    <t>Cash Account</t>
  </si>
  <si>
    <t>TD</t>
  </si>
  <si>
    <t>Adelaide Bank Term Deposit</t>
  </si>
  <si>
    <t>AMP Term Deposit</t>
  </si>
  <si>
    <t>ANZ Term Deposit</t>
  </si>
  <si>
    <t>NAB Term Deposit</t>
  </si>
  <si>
    <t>Total Managed Funds excluding Cash and Term Deposits</t>
  </si>
  <si>
    <t xml:space="preserve">Defensive Portfolio </t>
  </si>
  <si>
    <t>Portfolio</t>
  </si>
  <si>
    <t>Investment Fund</t>
  </si>
  <si>
    <t>Defensive</t>
  </si>
  <si>
    <t>Ardea Real Outcome Fund</t>
  </si>
  <si>
    <t xml:space="preserve">Bentham Global Income Fund (W) </t>
  </si>
  <si>
    <t>Franklin Australian Absolute Return Bond Fund - Class A</t>
  </si>
  <si>
    <t>Pendal Dynamic Income Fund</t>
  </si>
  <si>
    <t>PIMCO Diversified Fixed Interest Fund - Wholesale Class</t>
  </si>
  <si>
    <t>UBS Income Solution Fund</t>
  </si>
  <si>
    <t>Growth Portfolio</t>
  </si>
  <si>
    <t>Growth</t>
  </si>
  <si>
    <t xml:space="preserve">Allan Gray Australia Equity Fund </t>
  </si>
  <si>
    <t>Ausbil Australian Smaller Companies Fund</t>
  </si>
  <si>
    <t>Fidelity Australian Equities Fund</t>
  </si>
  <si>
    <t>Pendal MidCap Fund</t>
  </si>
  <si>
    <t xml:space="preserve">Vanguard Australian Shares Index Fund (W) </t>
  </si>
  <si>
    <t>WaveStone Australian Share Fund</t>
  </si>
  <si>
    <t>Arrowstreet Global Equity Fund</t>
  </si>
  <si>
    <t>Fidelity Asia Fund</t>
  </si>
  <si>
    <t xml:space="preserve">GQG Partners Global Equities </t>
  </si>
  <si>
    <t>Loftus Peak Global Disruption</t>
  </si>
  <si>
    <t>Magellan Global Fund</t>
  </si>
  <si>
    <t>T. Rowe Price Global Equity Fund</t>
  </si>
  <si>
    <t xml:space="preserve">Vanguard International Shares Index Fund </t>
  </si>
  <si>
    <t>ClearBridge RARE Infrastructure Value Fund - Unhedged</t>
  </si>
  <si>
    <t>Quay Global Real Estate-Daily Series</t>
  </si>
  <si>
    <t xml:space="preserve">Vanguard Australian Property Securities Index Fund (W) </t>
  </si>
  <si>
    <t xml:space="preserve"> iShares Core FTSE Global Infrastructure (AUD Hedged) ETF</t>
  </si>
  <si>
    <t>abrdn Emerging Markets Equity Fund</t>
  </si>
  <si>
    <t>abrdn Sustainable Asian Opportunities Fund - Class A</t>
  </si>
  <si>
    <t>abrdn Sustainable International Equities Fund</t>
  </si>
  <si>
    <t>Acadian Geared Global Equity Fund</t>
  </si>
  <si>
    <t>Allan Gray Australia Stable Fund</t>
  </si>
  <si>
    <t xml:space="preserve">Alphinity Australian Share (W) </t>
  </si>
  <si>
    <t>Alphinity Sustainable Share Fund</t>
  </si>
  <si>
    <t>Amcor PLC Cdi 1:1 Foreign Exempt NYSE</t>
  </si>
  <si>
    <t>AMP - Cash Management</t>
  </si>
  <si>
    <t>AMP Australian Equity Index Fund</t>
  </si>
  <si>
    <t>AMP Australian Property Index Fund</t>
  </si>
  <si>
    <t>AMP Constructor Series - SouthPeak Alternative Alpha Fund</t>
  </si>
  <si>
    <t>AMP Emerging Markets Index Fund</t>
  </si>
  <si>
    <t>AMP International Equity Index Fund</t>
  </si>
  <si>
    <t>AMP International Equity Index Fund Hedged</t>
  </si>
  <si>
    <t>AMP International Fixed Interest Index Fund Hedged</t>
  </si>
  <si>
    <t>AMP International Property Index Fund Hedged</t>
  </si>
  <si>
    <t>AMP Limited Ordinary Fully Paid</t>
  </si>
  <si>
    <t>Ansell Limited Ordinary Fully Paid</t>
  </si>
  <si>
    <t>Antares High Growth Shares Fund</t>
  </si>
  <si>
    <t>Antipodes Global Fund</t>
  </si>
  <si>
    <t>Antipodes Global Fund - Class M</t>
  </si>
  <si>
    <t>Antipodes Global Fund - Long</t>
  </si>
  <si>
    <t>ANZ Group Holdings Limited Ordinary Fully Paid</t>
  </si>
  <si>
    <t>APA Group Fully Paid Units Stapled Securities</t>
  </si>
  <si>
    <t>Appen Limited Ordinary Fully Paid</t>
  </si>
  <si>
    <t>Ardea Diversified Bond Fund - Class C</t>
  </si>
  <si>
    <t>Argo Investments Limited Ordinary Fully Paid</t>
  </si>
  <si>
    <t>Aristocrat Leisure Limited Ordinary Fully Paid</t>
  </si>
  <si>
    <t>Arrowstreet Global Equity Fund (Hedged)</t>
  </si>
  <si>
    <t>Arrowstreet Global Equity No. 2 Fund (Hedged) - Class I</t>
  </si>
  <si>
    <t>Arrowstreet Global Equity No.2 Fund - Class W Units</t>
  </si>
  <si>
    <t>Aurizon Holdings Limited Ordinary Fully Paid</t>
  </si>
  <si>
    <t>Ausbil 130/30 Focus Fund</t>
  </si>
  <si>
    <t>Ausbil 130/30 Focus Fund - MA Class</t>
  </si>
  <si>
    <t>Ausbil Active Sustainable Equity Fund</t>
  </si>
  <si>
    <t>Ausbil Australian Active Equity Fund</t>
  </si>
  <si>
    <t>Ausbil Australian Emerging Leaders Fund</t>
  </si>
  <si>
    <t>Australian Ethical Australian Shares Fund</t>
  </si>
  <si>
    <t>Australian Foundation Investment Company Limited Ordinary Fully Paid</t>
  </si>
  <si>
    <t>AXA IM Sustainable Equity Fund</t>
  </si>
  <si>
    <t>Beach Energy Limited Ordinary Fully Paid</t>
  </si>
  <si>
    <t>Beetaloo Energy Australia Limited Ordinary Fully Paid</t>
  </si>
  <si>
    <t>Bendigo And Adelaide Bank Limited Ordinary Fully Paid</t>
  </si>
  <si>
    <t>Bennelong Australian Equities</t>
  </si>
  <si>
    <t>Bennelong ex-20 Australian Equities Fund</t>
  </si>
  <si>
    <t>Bentham Professional Global Income Fund - Class X</t>
  </si>
  <si>
    <t xml:space="preserve">Bentham Syndicated Loan Fund (W) </t>
  </si>
  <si>
    <t>Betashares Australia 200 Etf Betashares Australia 200 Etf</t>
  </si>
  <si>
    <t>Betashares Australian Bank Senior Floating Rate Bond Etf Betashares Au</t>
  </si>
  <si>
    <t>Betashares Australian Composite Bond Etf Betashares Australian Composi</t>
  </si>
  <si>
    <t>Betashares Australian Momentum Etf Betashares Australian Momentum Etf</t>
  </si>
  <si>
    <t>Betashares Australian Quality Etf Betashares Australian Quality Etf</t>
  </si>
  <si>
    <t>Betashares Australian Sustainability Leaders Etf Betashares Australian Sustainability Leaders Etf</t>
  </si>
  <si>
    <t>Betashares Ftse 100 Etf Betashares Ftse 100 Etf</t>
  </si>
  <si>
    <t xml:space="preserve">Betashares Ftse Rafi Australia 200 Etf Betashares Ftse Rafi Australia </t>
  </si>
  <si>
    <t>Betashares Global Quality Leaders Etf Betashares Global Quality Leader</t>
  </si>
  <si>
    <t>Betashares Global Shares Currency Hedged Etf Betashares Global Shares Currency Hedged Etf</t>
  </si>
  <si>
    <t>Betashares Gold Bullion Currency Hedged Etf Betashares Gold Bullion Currency Hedged Etf</t>
  </si>
  <si>
    <t>Betashares S&amp;P 500 Equal Weight Etf Betashares S&amp;P 500 Equal Weight Et</t>
  </si>
  <si>
    <t>BHP Group Limited Ordinary Fully Paid</t>
  </si>
  <si>
    <t>BlackRock Advantage Australian Equity Fund</t>
  </si>
  <si>
    <t>BlackRock Advantage International Equity Fund</t>
  </si>
  <si>
    <t>BlackRock Australian Equity Index</t>
  </si>
  <si>
    <t>BlackRock Diversified ESG Growth Fund</t>
  </si>
  <si>
    <t>BlackRock Diversified ESG Stable Fund</t>
  </si>
  <si>
    <t>BlackRock International Equity Index (Unhedged)</t>
  </si>
  <si>
    <t>BlackRock Property Securities Index</t>
  </si>
  <si>
    <t>BlackRock Tactical Growth Fund</t>
  </si>
  <si>
    <t>Block, Inc. Cdi 1:1 Foreign Exempt NYSE</t>
  </si>
  <si>
    <t>Brambles Limited Ordinary Fully Paid</t>
  </si>
  <si>
    <t>BWP Group Fully Paid Ordinary/Units Stapled Securities</t>
  </si>
  <si>
    <t>CC Sage Capital Equity Plus Fund - Class C</t>
  </si>
  <si>
    <t>CFS Geared Share Fund</t>
  </si>
  <si>
    <t>CFS Select Diversified Fund</t>
  </si>
  <si>
    <t>Charter Hall Direct Office Fund</t>
  </si>
  <si>
    <t>ClearBridge Equity Income Fund - Class A</t>
  </si>
  <si>
    <t>ClearBridge RARE Infrastructure Income Fund - Hedged</t>
  </si>
  <si>
    <t>ClearBridge RARE Infrastructure Income Fund - Hedged Class C Units</t>
  </si>
  <si>
    <t>ClearBridge RARE Infrastructure Value Fund - Hedged</t>
  </si>
  <si>
    <t>ClearBridge Real Income Fund - Class A</t>
  </si>
  <si>
    <t>Cochlear Limited Ordinary Fully Paid</t>
  </si>
  <si>
    <t>Coles Group Limited. Ordinary Fully Paid</t>
  </si>
  <si>
    <t>Commonwealth Bank Of Australia Ordinary Fully Paid</t>
  </si>
  <si>
    <t>Computershare Limited. Ordinary Fully Paid</t>
  </si>
  <si>
    <t>CSL Limited Ordinary Fully Paid</t>
  </si>
  <si>
    <t>Dexus Core Infrastructure Fund</t>
  </si>
  <si>
    <t>Dexus Core Infrastructure Fund Fund</t>
  </si>
  <si>
    <t>Dexus Fully Paid Units Stapled Securities</t>
  </si>
  <si>
    <t>Dexus Wholesale Australian Property Fund</t>
  </si>
  <si>
    <t>Digico Infrastructure Reit Fully Paid Ordinary/Units Stapled Securities</t>
  </si>
  <si>
    <t>Dimensional Global Small Company Trust</t>
  </si>
  <si>
    <t>Dimensional Global Sustainability Trust Unhedged</t>
  </si>
  <si>
    <t>DNR Capital Australian Equities High Conviction Fund</t>
  </si>
  <si>
    <t>DNR Capital Australian Equities High Conviction Fund - W-Class</t>
  </si>
  <si>
    <t>Dyno Nobel Limited. Ordinary Fully Paid</t>
  </si>
  <si>
    <t>Endeavour Group Limited Ordinary Fully Paid</t>
  </si>
  <si>
    <t>Epoch Global Equity Shareholder Yield (Hedged) Fund</t>
  </si>
  <si>
    <t>Epoch Global Equity Shareholder Yield (Unhedged) Fund</t>
  </si>
  <si>
    <t>Epoch Global Equity Shareholder Yield Fund - Class B</t>
  </si>
  <si>
    <t>Evolution Mining Limited Ordinary Fully Paid</t>
  </si>
  <si>
    <t>Fidelity Global Emerging Markets Fund</t>
  </si>
  <si>
    <t>Fidelity Global Equities Fund</t>
  </si>
  <si>
    <t>Fidelity India Fund</t>
  </si>
  <si>
    <t>Firetrail Australian Small Companies Fund - Class M</t>
  </si>
  <si>
    <t>First Sentier Concentrated Australian Share Fund</t>
  </si>
  <si>
    <t>First Sentier Geared Australian Share Fund</t>
  </si>
  <si>
    <t>First Sentier Wholesale Imputation Fund</t>
  </si>
  <si>
    <t>First Sentier Wholesale Property Securities Fund</t>
  </si>
  <si>
    <t>Fortescue Ltd Ordinary Fully Paid</t>
  </si>
  <si>
    <t>Franklin Global Growth Fund (Class A) - Hedged</t>
  </si>
  <si>
    <t>Global X Physical Gold Structured Global X Physical Gold Structured</t>
  </si>
  <si>
    <t>Goodman Group Fully Paid Ordinary/Units Stapled Securities</t>
  </si>
  <si>
    <t>GPT Group Fully Paid Ordinary/Units Stapled Securities</t>
  </si>
  <si>
    <t>GQG Partners Emerging Markets Fund</t>
  </si>
  <si>
    <t>GQG Partners Global Equity Fund - Z Class</t>
  </si>
  <si>
    <t>IFP Global Franchise Fund</t>
  </si>
  <si>
    <t>Impax Sustainable Leaders Fund</t>
  </si>
  <si>
    <t>Invesco Wholesale Global Targeted Returns Fund - Class A</t>
  </si>
  <si>
    <t>Invesco Wholesale Global Targeted Returns Fund - Class P</t>
  </si>
  <si>
    <t>Investors Mutual All Industrials Share Fund</t>
  </si>
  <si>
    <t>Investors Mutual Australian Share Fund (W)</t>
  </si>
  <si>
    <t>Investors Mutual Concentrated Australian Share Fund</t>
  </si>
  <si>
    <t>Investors Mutual Equity Income Fund</t>
  </si>
  <si>
    <t>Investors Mutual Future Leaders Fund</t>
  </si>
  <si>
    <t>Ironbark Brown Advisory Global Share Fund</t>
  </si>
  <si>
    <t>Ironbark DWS Global (ex-Australia) Property Securities Fund</t>
  </si>
  <si>
    <t>Ironbark Paladin Property Securities Fund</t>
  </si>
  <si>
    <t>Ironbark Robeco Glbl Developed Enhanced Index Equ - Class A (Unhdgd)</t>
  </si>
  <si>
    <t>Ironbark Robeco Glbl Developed Enhanced Index Equ - Class H (Hdgd)</t>
  </si>
  <si>
    <t>iShares Australian Bond Index Fund</t>
  </si>
  <si>
    <t>iShares Australian Listed Property Index Fund</t>
  </si>
  <si>
    <t>Ishares China Large-Cap Etf Ishares China Large-Cap Etf</t>
  </si>
  <si>
    <t>Ishares Core Cash Etf Ishares Core Cash Etf</t>
  </si>
  <si>
    <t>Ishares Core Composite Bond Etf Ishares Core Composite Bond Etf</t>
  </si>
  <si>
    <t>Ishares Core Msci World EX Aus Esg (Aud Hed) Etf Ishares Core Msci Wor</t>
  </si>
  <si>
    <t>Ishares Core Msci World EX Australia Esg Etf Ishares Core Msci World E</t>
  </si>
  <si>
    <t>Ishares Core S&amp;P/ASX 200 Etf Ishares Core S&amp;P/ASX 200 Etf</t>
  </si>
  <si>
    <t>iShares International Equity Index Fund</t>
  </si>
  <si>
    <t>Ishares Msci Japan Etf Ishares Msci Japan Etf</t>
  </si>
  <si>
    <t>Ishares Msci South Korea Etf Ishares Msci South Korea Etf</t>
  </si>
  <si>
    <t>Ishares S&amp;P Small-Cap Etf Ishares S&amp;P Small-Cap Etf</t>
  </si>
  <si>
    <t>James Hardie Industries PLC Chess Depositary Interests 1:1</t>
  </si>
  <si>
    <t>Janus Henderson Diversified Credit Fund</t>
  </si>
  <si>
    <t>Janus Henderson Global Sustainable Equity Fund - Class I</t>
  </si>
  <si>
    <t>Janus Henderson Tactical Income Fund</t>
  </si>
  <si>
    <t>JB Hi-Fi Limited Ordinary Fully Paid</t>
  </si>
  <si>
    <t>Kapstream Absolute Return Income Fund</t>
  </si>
  <si>
    <t>Kapstream Absolute Return Income Fund - Class X</t>
  </si>
  <si>
    <t>Kogan.Com Ltd Ordinary Fully Paid</t>
  </si>
  <si>
    <t xml:space="preserve">Lazard Emerging Markets Fund </t>
  </si>
  <si>
    <t>Lazard Global Infrastructure Fund (Hedged) - S Class</t>
  </si>
  <si>
    <t>Lazard Global Listed Infrastructure Fund</t>
  </si>
  <si>
    <t>Lendlease Group Fully Paid Ordinary/Units Stapled Securities</t>
  </si>
  <si>
    <t>Lifestyle Communities Limited Ordinary Fully Paid</t>
  </si>
  <si>
    <t>Lynas Rare Earths Limited Ordinary Fully Paid</t>
  </si>
  <si>
    <t>Macquarie Australian Diversified Income Fund</t>
  </si>
  <si>
    <t>Macquarie Australian Real Estate Fund - Class A Units</t>
  </si>
  <si>
    <t>Macquarie Cash</t>
  </si>
  <si>
    <t>Macquarie Corporate Bond Fund - Class A Units</t>
  </si>
  <si>
    <t>Macquarie Corporate Bond Fund - Class G Units</t>
  </si>
  <si>
    <t>Macquarie Dynamic Bond No. 1 Fund - Class W</t>
  </si>
  <si>
    <t>Macquarie Global Listed Real Estate Fund - Class A Units</t>
  </si>
  <si>
    <t>Macquarie Global Listed Real Estate Fund - Class G Units</t>
  </si>
  <si>
    <t>Macquarie Group Limited Ordinary Fully Paid</t>
  </si>
  <si>
    <t>Macquarie Income Opportunities Fund</t>
  </si>
  <si>
    <t>Macquarie True Index Australian Fixed Interest</t>
  </si>
  <si>
    <t>Magellan Financial Group Limited Ordinary Fully Paid</t>
  </si>
  <si>
    <t>Magellan Global Fund -Open Class Units -Active Etf Magellan Global Fund -Open Class Units -Active Etf</t>
  </si>
  <si>
    <t>Magellan Infrastructure Fund</t>
  </si>
  <si>
    <t>Magellan Infrastructure Fund (Unhedged)</t>
  </si>
  <si>
    <t>Maple-Brown Abbott Global Listed Infrastructure Fund</t>
  </si>
  <si>
    <t>Maple-Brown Abbott Global Listed Infrastructure Fund (Hedged)</t>
  </si>
  <si>
    <t>Martin Currie Australia Equity Income Fund</t>
  </si>
  <si>
    <t>Medibank Private Limited Ordinary Fully Paid</t>
  </si>
  <si>
    <t xml:space="preserve">Merlon Australian Share Income Fund (W) </t>
  </si>
  <si>
    <t>Metcash Limited Ordinary Fully Paid</t>
  </si>
  <si>
    <t>MFG Core Infrastructure Fund</t>
  </si>
  <si>
    <t>MFS Global Equity Trust</t>
  </si>
  <si>
    <t>MFS Hedged Global Equity Trust</t>
  </si>
  <si>
    <t>Morningstar Australian Share Fund</t>
  </si>
  <si>
    <t>Morningstar Global Opportunities Fund</t>
  </si>
  <si>
    <t>Morningstar International Bonds (Hedged) Fund - Class Z</t>
  </si>
  <si>
    <t>Morningstar International Shares Active Etf Morningstar International Shares Active Etf</t>
  </si>
  <si>
    <t>Morningstar Multi Asset Real Return Fund - Class Z</t>
  </si>
  <si>
    <t>Munro Global Growth Fund - Ordinary Units</t>
  </si>
  <si>
    <t>Munro Global Growth Small &amp; Mid Cap Fund - Class A</t>
  </si>
  <si>
    <t>MyNorth Index Balanced</t>
  </si>
  <si>
    <t>MyNorth Index Defensive</t>
  </si>
  <si>
    <t>MyNorth Index Growth</t>
  </si>
  <si>
    <t>MyNorth Index High Growth</t>
  </si>
  <si>
    <t>MyNorth Index Moderately Defensive</t>
  </si>
  <si>
    <t>National Australia Bank Limited Ordinary Fully Paid</t>
  </si>
  <si>
    <t>North Index Balanced</t>
  </si>
  <si>
    <t>North Index Defensive</t>
  </si>
  <si>
    <t>North Index Growth</t>
  </si>
  <si>
    <t>North Index High Growth</t>
  </si>
  <si>
    <t>North Index Moderately Defensive</t>
  </si>
  <si>
    <t>North Professional Balanced</t>
  </si>
  <si>
    <t>North Professional Conservative</t>
  </si>
  <si>
    <t>North Professional Growth</t>
  </si>
  <si>
    <t>North Professional High Growth</t>
  </si>
  <si>
    <t>North Professional Moderately Conservative</t>
  </si>
  <si>
    <t>Northern Star Resources Ltd Ordinary Fully Paid</t>
  </si>
  <si>
    <t>Orbis Global Equity Fund</t>
  </si>
  <si>
    <t>Origin Energy Limited Ordinary Fully Paid</t>
  </si>
  <si>
    <t>Pendal Australian Equity Fund</t>
  </si>
  <si>
    <t>Pendal Focus Australian Equities Fund</t>
  </si>
  <si>
    <t>Pendal Horizon Sustainable Australian Share Fund</t>
  </si>
  <si>
    <t>Pendal Multi Asset Target Return Fund</t>
  </si>
  <si>
    <t>Pendal Short Term Income Securities Trust</t>
  </si>
  <si>
    <t>Pendal Smaller Companies Fund</t>
  </si>
  <si>
    <t>Pendal Sustainable Australian Fixed Interest Fund</t>
  </si>
  <si>
    <t>Pendal Sustainable Australian Fixed Interest Fund - Class W</t>
  </si>
  <si>
    <t>Perpetual Australian Share Fund</t>
  </si>
  <si>
    <t>Perpetual Balanced Growth Fund</t>
  </si>
  <si>
    <t>Perpetual Concentrated Equity Fund</t>
  </si>
  <si>
    <t>Perpetual Geared Australian Share Fund</t>
  </si>
  <si>
    <t>Perpetual Industrial Share Fund</t>
  </si>
  <si>
    <t>Perpetual Limited Ordinary Fully Paid</t>
  </si>
  <si>
    <t>PIMCO Australian Bond Fund - Wholesale Class</t>
  </si>
  <si>
    <t>PIMCO Diversified Fixed Interest Fund</t>
  </si>
  <si>
    <t>PIMCO Global Bond Fund - Wholesale Class</t>
  </si>
  <si>
    <t xml:space="preserve">Platinum Asia Fund </t>
  </si>
  <si>
    <t>Platinum European Fund</t>
  </si>
  <si>
    <t>Platinum International Brands Fund</t>
  </si>
  <si>
    <t>Platinum International Fund</t>
  </si>
  <si>
    <t>Platinum Japan Fund</t>
  </si>
  <si>
    <t>Plato Australian Shares Income Fund</t>
  </si>
  <si>
    <t>Plato Global Alpha Fund</t>
  </si>
  <si>
    <t>Plato Global Shares Income Fund - Class F</t>
  </si>
  <si>
    <t>Qantas Airways Limited Ordinary Fully Paid</t>
  </si>
  <si>
    <t>QBE Insurance Group Limited Ordinary Fully Paid</t>
  </si>
  <si>
    <t>Qube Holdings Limited Ordinary Fully Paid</t>
  </si>
  <si>
    <t>Ramsay Health Care Limited Ordinary Fully Paid</t>
  </si>
  <si>
    <t>REA Group Ltd Ordinary Fully Paid</t>
  </si>
  <si>
    <t>Resmed Inc Cdi 10:1 Foreign Exempt NYSE</t>
  </si>
  <si>
    <t>RIO Tinto Limited Ordinary Fully Paid</t>
  </si>
  <si>
    <t>Russell Global Opportunities (Class A) Fund</t>
  </si>
  <si>
    <t>Russell Investments Australian Government Bond Etf Russell Investments</t>
  </si>
  <si>
    <t>Russell Investments Australian Select Corporate Bond Etf Russell Inves</t>
  </si>
  <si>
    <t>Russell Investments Global Listed Infrastructure Fund - Hedged</t>
  </si>
  <si>
    <t>Russell Investments Multi-Asset Growth Strategy Fund - Class A</t>
  </si>
  <si>
    <t>Santos Limited Ordinary Fully Paid</t>
  </si>
  <si>
    <t>Scentre Group Fully Paid Ordinary/Units Stapled Securities</t>
  </si>
  <si>
    <t>Schroder Absolute Return Income Fund</t>
  </si>
  <si>
    <t>Schroder Australian Equity Fund</t>
  </si>
  <si>
    <t>Schroder Australian Equity Fund (W)</t>
  </si>
  <si>
    <t>Schroder Fixed Income Fund - Client Class</t>
  </si>
  <si>
    <t>Schroder Fixed Income Fund - Professional Class</t>
  </si>
  <si>
    <t>Schroder Fixed Income Fund (W)</t>
  </si>
  <si>
    <t>Schroder Global Emerging Markets</t>
  </si>
  <si>
    <t>Schroder Real Return Fund</t>
  </si>
  <si>
    <t>SGH Limited Ordinary Fully Paid</t>
  </si>
  <si>
    <t>Sims Limited Ordinary Fully Paid</t>
  </si>
  <si>
    <t>Skycity Entertainment Group Limited Ordinary Fully Paid Foreign Exempt Nzx</t>
  </si>
  <si>
    <t>South32 Limited Ordinary Fully Paid</t>
  </si>
  <si>
    <t>Suncorp Group Limited Ordinary Fully Paid</t>
  </si>
  <si>
    <t>Talaria Global Equity Fund</t>
  </si>
  <si>
    <t>Telstra Group Limited Ordinary Fully Paid</t>
  </si>
  <si>
    <t>Transurban Group Fully Paid Ordinary/Units Stapled Securities</t>
  </si>
  <si>
    <t>Treasury Wine Estates Limited Ordinary Fully Paid</t>
  </si>
  <si>
    <t>Tyndall Australian Share Wholesale Fund</t>
  </si>
  <si>
    <t xml:space="preserve">UBS Australian Bond Fund </t>
  </si>
  <si>
    <t>UBS Australian Small Companies Fund</t>
  </si>
  <si>
    <t xml:space="preserve">UBS Cash Fund </t>
  </si>
  <si>
    <t xml:space="preserve">UBS Diversified Fixed Income Fund </t>
  </si>
  <si>
    <t>UBS Key Inv (W) International Bond Fund</t>
  </si>
  <si>
    <t>Unibail-Rodamco-Westfield Cdi 20:1 Foreign Exempt Xpar</t>
  </si>
  <si>
    <t>Vaneck Australian Property Etf Vaneck Australian Property Etf</t>
  </si>
  <si>
    <t>Vaneck Ftse International Property (Aud Hedged) Etf Vaneck Ftse International Property (Aud Hgd) Etf</t>
  </si>
  <si>
    <t>Vaneck Msci International Quality Etf Vaneck Msci International Qualit</t>
  </si>
  <si>
    <t>Vanguard All-World Ex-Us Shares Index Etf Vanguard All-World Ex-Us Sha</t>
  </si>
  <si>
    <t>Vanguard Australian Fixed Interest Index Etf Vanguard Australian Fixed</t>
  </si>
  <si>
    <t xml:space="preserve">Vanguard Australian Fixed Interest Index Fund (W) </t>
  </si>
  <si>
    <t>Vanguard Australian Government Bond Index Fund</t>
  </si>
  <si>
    <t xml:space="preserve">Vanguard Australian Property Securities Index Etf Vanguard Australian </t>
  </si>
  <si>
    <t xml:space="preserve">Vanguard Australian Shares Index Etf Vanguard Australian Shares Index </t>
  </si>
  <si>
    <t>Vanguard Conservative Index Fund</t>
  </si>
  <si>
    <t xml:space="preserve">Vanguard Emerging Markets Shares Index Fund </t>
  </si>
  <si>
    <t>Vanguard Ethical Conscious Australian Shares Fund</t>
  </si>
  <si>
    <t>Vanguard Ethically Conscious Global Aggregate Bond Index Fund</t>
  </si>
  <si>
    <t>Vanguard Ethically Conscious Int. Shares Index Fund (AUD Hedged)</t>
  </si>
  <si>
    <t>Vanguard Ethically Conscious International Shares Index</t>
  </si>
  <si>
    <t>Vanguard Ethically Conscious International Shares Index Etf Vanguard E</t>
  </si>
  <si>
    <t>Vanguard Ftse Emerging Markets Shares Etf Vanguard Ftse Emerging Marke</t>
  </si>
  <si>
    <t>Vanguard Global Aggregate Bond Index (Hedged) Etf Vanguard Global Aggr</t>
  </si>
  <si>
    <t>Vanguard Global Infrastructure Index Fund</t>
  </si>
  <si>
    <t>Vanguard Global Infrastructure Index Fund (Hedged)</t>
  </si>
  <si>
    <t>Vanguard Global Value Equity Active Etf Vanguard Global Value Equity Active Etf</t>
  </si>
  <si>
    <t>Vanguard Growth Index Fund</t>
  </si>
  <si>
    <t xml:space="preserve">Vanguard International Fixed Interest Index Fund (Hedged) (W) </t>
  </si>
  <si>
    <t xml:space="preserve">Vanguard International Property Securities Index Fund </t>
  </si>
  <si>
    <t xml:space="preserve">Vanguard International Property Securities Index Fund (Hedged) </t>
  </si>
  <si>
    <t>Vanguard International Shares Index Fund (Hedged)</t>
  </si>
  <si>
    <t>Vanguard Msci Australian Small Companies Index Etf Vanguard Msci Austr</t>
  </si>
  <si>
    <t>Vanguard Msci Index International Shares (Hedged) Etf Vanguard Msci In</t>
  </si>
  <si>
    <t>Vanguard Msci Index International Shares Etf Exchange Traded Fund Unit</t>
  </si>
  <si>
    <t>Vanguard Short Term Fixed Interest Fund</t>
  </si>
  <si>
    <t>Vanguard US Total Market Shares Index Etf Vanguard US Total Market Sha</t>
  </si>
  <si>
    <t>Walter Scott Global Equity Fund</t>
  </si>
  <si>
    <t>Walter Scott Global Equity Fund (Hedged)</t>
  </si>
  <si>
    <t>Washington H. Soul Pattinson And Company Limited Ordinary Fully Paid</t>
  </si>
  <si>
    <t>Wesfarmers Limited Ordinary Fully Paid</t>
  </si>
  <si>
    <t>Western Asset Australian Bond Fund - Class A</t>
  </si>
  <si>
    <t>Westpac Banking Corporation Ordinary Fully Paid</t>
  </si>
  <si>
    <t>Wholesale Global Equity - Value Fund</t>
  </si>
  <si>
    <t>Wisetech Global Limited Ordinary Fully Paid</t>
  </si>
  <si>
    <t>Woodside Energy Group Ltd Ordinary Fully Paid</t>
  </si>
  <si>
    <t>Woolworths Group Limited Ordinary Fully Paid</t>
  </si>
  <si>
    <t>Worley Limited Ordinary Fully Paid</t>
  </si>
  <si>
    <t>Yarra Enhanced Income Fund - Class B</t>
  </si>
  <si>
    <t>ZIP CO Limited.. Ordinary Fully Paid</t>
  </si>
  <si>
    <t>Zurich Investments Global Growth Fund</t>
  </si>
  <si>
    <t>Zurich Investments Global Growth Share Fund - Class D</t>
  </si>
  <si>
    <t xml:space="preserve">Zurich Investments Global Thematic Share Fund </t>
  </si>
  <si>
    <t xml:space="preserve">Zurich Investments Hedged Global Thematic Share Fund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</si>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</sst>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164" fontId="1" fillId="0" borderId="0" xfId="0" applyNumberFormat="1" applyFont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0" fontId="0" fillId="7" borderId="0" xfId="0" applyFill="1"/>
    <xf numFmtId="164" fontId="0" fillId="7" borderId="0" xfId="0" applyNumberFormat="1" applyFill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164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0" fontId="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2CA8-B4D2-40B9-A2C2-A99B12E8243D}">
  <sheetPr>
    <pageSetUpPr fitToPage="1"/>
  </sheetPr>
  <dimension ref="A1:M364"/>
  <sheetViews>
    <sheetView tabSelected="1" view="pageLayout" zoomScaleNormal="100" workbookViewId="0">
      <selection activeCell="L3" sqref="L3"/>
    </sheetView>
  </sheetViews>
  <sheetFormatPr defaultRowHeight="15"/>
  <cols>
    <col min="1" max="1" width="13.85546875" style="2" customWidth="1"/>
    <col min="2" max="2" width="32.5703125" customWidth="1"/>
    <col min="3" max="8" width="16" style="18" customWidth="1"/>
    <col min="9" max="9" width="16" customWidth="1"/>
    <col min="10" max="10" width="16" style="18" customWidth="1"/>
    <col min="11" max="11" width="12.42578125" style="18" customWidth="1"/>
    <col min="12" max="12" width="12.7109375" style="18" customWidth="1"/>
  </cols>
  <sheetData>
    <row r="1" spans="1:13" ht="18" customHeight="1">
      <c r="A1" s="29" t="s">
        <v>0</v>
      </c>
      <c r="J1" s="27"/>
    </row>
    <row r="2" spans="1:13" ht="18" customHeight="1">
      <c r="J2" s="27"/>
    </row>
    <row r="3" spans="1:13" ht="30">
      <c r="B3" s="2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7" t="s">
        <v>8</v>
      </c>
      <c r="J3" s="19" t="s">
        <v>9</v>
      </c>
    </row>
    <row r="4" spans="1:13">
      <c r="C4" s="19"/>
      <c r="D4" s="19"/>
      <c r="E4" s="19"/>
      <c r="F4" s="19"/>
      <c r="G4" s="19"/>
      <c r="H4" s="19"/>
      <c r="I4" s="17"/>
      <c r="J4" s="19"/>
    </row>
    <row r="5" spans="1:13">
      <c r="A5" s="2" t="s">
        <v>10</v>
      </c>
      <c r="B5" s="2" t="s">
        <v>11</v>
      </c>
      <c r="C5" s="27" t="s">
        <v>12</v>
      </c>
      <c r="D5" s="27" t="s">
        <v>12</v>
      </c>
      <c r="E5" s="27" t="s">
        <v>12</v>
      </c>
      <c r="F5" s="27" t="s">
        <v>12</v>
      </c>
      <c r="G5" s="27" t="s">
        <v>12</v>
      </c>
      <c r="H5" s="27" t="s">
        <v>12</v>
      </c>
      <c r="I5" s="27" t="s">
        <v>12</v>
      </c>
      <c r="J5" s="27" t="s">
        <v>12</v>
      </c>
      <c r="K5" s="27" t="s">
        <v>13</v>
      </c>
      <c r="L5" s="27" t="s">
        <v>14</v>
      </c>
      <c r="M5" s="1"/>
    </row>
    <row r="6" spans="1:13">
      <c r="A6" s="2" t="s">
        <v>15</v>
      </c>
      <c r="B6" s="3" t="s">
        <v>16</v>
      </c>
      <c r="C6" s="20">
        <v>1670156.05</v>
      </c>
      <c r="D6" s="20">
        <v>10608.21</v>
      </c>
      <c r="E6" s="20">
        <v>13669304.44999999</v>
      </c>
      <c r="F6" s="20">
        <v>6166293.0899999952</v>
      </c>
      <c r="G6" s="20">
        <v>163099.49000000002</v>
      </c>
      <c r="H6" s="20">
        <v>1158500.0799999998</v>
      </c>
      <c r="I6" s="4">
        <v>576370.41</v>
      </c>
      <c r="J6" s="20">
        <f>SUM(C6:I6)</f>
        <v>23414331.779999983</v>
      </c>
    </row>
    <row r="7" spans="1:13">
      <c r="A7" s="2" t="s">
        <v>17</v>
      </c>
      <c r="B7" s="5" t="s">
        <v>18</v>
      </c>
      <c r="C7" s="21"/>
      <c r="D7" s="21"/>
      <c r="E7" s="21">
        <v>412000</v>
      </c>
      <c r="F7" s="21">
        <v>35000</v>
      </c>
      <c r="G7" s="21"/>
      <c r="H7" s="21"/>
      <c r="I7" s="6"/>
      <c r="J7" s="21">
        <f>SUM(C7:I7)</f>
        <v>447000</v>
      </c>
    </row>
    <row r="8" spans="1:13">
      <c r="A8" s="2" t="s">
        <v>17</v>
      </c>
      <c r="B8" s="5" t="s">
        <v>19</v>
      </c>
      <c r="C8" s="21">
        <v>352750</v>
      </c>
      <c r="D8" s="21"/>
      <c r="E8" s="21">
        <v>4785233.5500000007</v>
      </c>
      <c r="F8" s="21">
        <v>1159738.48</v>
      </c>
      <c r="G8" s="21"/>
      <c r="H8" s="21">
        <v>461926.66</v>
      </c>
      <c r="I8" s="6">
        <v>65000</v>
      </c>
      <c r="J8" s="21">
        <f>SUM(C8:I8)</f>
        <v>6824648.6900000013</v>
      </c>
    </row>
    <row r="9" spans="1:13">
      <c r="A9" s="2" t="s">
        <v>17</v>
      </c>
      <c r="B9" s="5" t="s">
        <v>20</v>
      </c>
      <c r="C9" s="21">
        <v>10000</v>
      </c>
      <c r="D9" s="21"/>
      <c r="E9" s="21">
        <v>1234129.1000000001</v>
      </c>
      <c r="F9" s="21">
        <v>272483.01</v>
      </c>
      <c r="G9" s="21"/>
      <c r="H9" s="21">
        <v>135000</v>
      </c>
      <c r="I9" s="6"/>
      <c r="J9" s="21">
        <f>SUM(C9:I9)</f>
        <v>1651612.11</v>
      </c>
    </row>
    <row r="10" spans="1:13">
      <c r="A10" s="2" t="s">
        <v>17</v>
      </c>
      <c r="B10" s="5" t="s">
        <v>21</v>
      </c>
      <c r="C10" s="21">
        <v>706750</v>
      </c>
      <c r="D10" s="21"/>
      <c r="E10" s="21">
        <v>3323204.44</v>
      </c>
      <c r="F10" s="21">
        <v>1213726.8900000001</v>
      </c>
      <c r="G10" s="21">
        <v>25000</v>
      </c>
      <c r="H10" s="21">
        <v>362000</v>
      </c>
      <c r="I10" s="6"/>
      <c r="J10" s="21">
        <f>SUM(C10:I10)</f>
        <v>5630681.3300000001</v>
      </c>
      <c r="K10" s="28">
        <f>SUM(J6:J10)</f>
        <v>37968273.909999982</v>
      </c>
    </row>
    <row r="11" spans="1:13">
      <c r="C11" s="22"/>
      <c r="D11" s="22"/>
      <c r="E11" s="22"/>
      <c r="F11" s="22"/>
      <c r="G11" s="22"/>
      <c r="H11" s="22"/>
      <c r="I11" s="7"/>
      <c r="J11" s="22"/>
      <c r="K11" s="28"/>
    </row>
    <row r="12" spans="1:13" ht="15.75">
      <c r="C12" s="22"/>
      <c r="D12" s="22"/>
      <c r="E12" s="22"/>
      <c r="F12" s="22"/>
      <c r="G12" s="22"/>
      <c r="H12" s="30" t="s">
        <v>22</v>
      </c>
      <c r="J12" s="22"/>
      <c r="K12" s="28">
        <f>J360</f>
        <v>319846323.35999984</v>
      </c>
      <c r="L12" s="31">
        <f>K12/J360</f>
        <v>1</v>
      </c>
    </row>
    <row r="13" spans="1:13">
      <c r="A13" s="8" t="s">
        <v>23</v>
      </c>
      <c r="C13" s="22"/>
      <c r="D13" s="22"/>
      <c r="E13" s="22"/>
      <c r="F13" s="22"/>
      <c r="G13" s="22"/>
      <c r="H13" s="22"/>
      <c r="J13" s="22"/>
      <c r="K13" s="28"/>
    </row>
    <row r="14" spans="1:13">
      <c r="A14" s="2" t="s">
        <v>24</v>
      </c>
      <c r="B14" s="2" t="s">
        <v>25</v>
      </c>
      <c r="C14" s="27" t="s">
        <v>12</v>
      </c>
      <c r="D14" s="27" t="s">
        <v>12</v>
      </c>
      <c r="E14" s="27" t="s">
        <v>12</v>
      </c>
      <c r="F14" s="27" t="s">
        <v>12</v>
      </c>
      <c r="G14" s="27" t="s">
        <v>12</v>
      </c>
      <c r="H14" s="27" t="s">
        <v>12</v>
      </c>
      <c r="I14" s="27" t="s">
        <v>12</v>
      </c>
      <c r="J14" s="27" t="s">
        <v>12</v>
      </c>
      <c r="K14" s="28"/>
    </row>
    <row r="15" spans="1:13">
      <c r="A15" s="2" t="s">
        <v>26</v>
      </c>
      <c r="B15" s="9" t="s">
        <v>27</v>
      </c>
      <c r="C15" s="23">
        <v>478239.99999999994</v>
      </c>
      <c r="D15" s="23"/>
      <c r="E15" s="23">
        <v>3414740.569999998</v>
      </c>
      <c r="F15" s="23">
        <v>822256.33999999973</v>
      </c>
      <c r="G15" s="23"/>
      <c r="H15" s="23">
        <v>195077.31</v>
      </c>
      <c r="I15" s="10">
        <v>10479.6</v>
      </c>
      <c r="J15" s="23">
        <f t="shared" ref="J15:J20" si="0">SUM(C15:I15)</f>
        <v>4920793.8199999966</v>
      </c>
      <c r="K15" s="27"/>
    </row>
    <row r="16" spans="1:13">
      <c r="A16" s="2" t="s">
        <v>26</v>
      </c>
      <c r="B16" s="9" t="s">
        <v>28</v>
      </c>
      <c r="C16" s="23">
        <v>1179701.1400000001</v>
      </c>
      <c r="D16" s="23"/>
      <c r="E16" s="23">
        <v>5285763.5199999977</v>
      </c>
      <c r="F16" s="23">
        <v>2217149.5600000005</v>
      </c>
      <c r="G16" s="23">
        <v>94304.88</v>
      </c>
      <c r="H16" s="23">
        <v>258970.93000000002</v>
      </c>
      <c r="I16" s="10">
        <v>79728.41</v>
      </c>
      <c r="J16" s="23">
        <f t="shared" si="0"/>
        <v>9115618.4399999995</v>
      </c>
      <c r="K16" s="27"/>
    </row>
    <row r="17" spans="1:12">
      <c r="A17" s="2" t="s">
        <v>26</v>
      </c>
      <c r="B17" s="9" t="s">
        <v>29</v>
      </c>
      <c r="C17" s="23">
        <v>789241.05999999994</v>
      </c>
      <c r="D17" s="23"/>
      <c r="E17" s="23">
        <v>4738206.0999999996</v>
      </c>
      <c r="F17" s="23">
        <v>1879503.97</v>
      </c>
      <c r="G17" s="23"/>
      <c r="H17" s="23">
        <v>280892.75</v>
      </c>
      <c r="I17" s="10">
        <v>82443.490000000005</v>
      </c>
      <c r="J17" s="23">
        <f t="shared" si="0"/>
        <v>7770287.3699999992</v>
      </c>
      <c r="K17" s="27"/>
    </row>
    <row r="18" spans="1:12">
      <c r="A18" s="2" t="s">
        <v>26</v>
      </c>
      <c r="B18" s="9" t="s">
        <v>30</v>
      </c>
      <c r="C18" s="23">
        <v>182805.43</v>
      </c>
      <c r="D18" s="23"/>
      <c r="E18" s="23">
        <v>445701.98000000004</v>
      </c>
      <c r="F18" s="23">
        <v>207986.59999999998</v>
      </c>
      <c r="G18" s="23"/>
      <c r="H18" s="23">
        <v>15910.09</v>
      </c>
      <c r="I18" s="10"/>
      <c r="J18" s="23">
        <f t="shared" si="0"/>
        <v>852404.1</v>
      </c>
      <c r="K18" s="27"/>
    </row>
    <row r="19" spans="1:12">
      <c r="A19" s="2" t="s">
        <v>26</v>
      </c>
      <c r="B19" s="9" t="s">
        <v>31</v>
      </c>
      <c r="C19" s="23">
        <v>1488964.37</v>
      </c>
      <c r="D19" s="23"/>
      <c r="E19" s="23">
        <v>6995036.8999999976</v>
      </c>
      <c r="F19" s="23">
        <v>2891304.5300000007</v>
      </c>
      <c r="G19" s="23">
        <v>97683.040000000008</v>
      </c>
      <c r="H19" s="23">
        <v>467592.81999999995</v>
      </c>
      <c r="I19" s="10">
        <v>105776.35</v>
      </c>
      <c r="J19" s="23">
        <f t="shared" si="0"/>
        <v>12046358.009999998</v>
      </c>
      <c r="K19" s="27"/>
    </row>
    <row r="20" spans="1:12">
      <c r="A20" s="2" t="s">
        <v>26</v>
      </c>
      <c r="B20" s="9" t="s">
        <v>32</v>
      </c>
      <c r="C20" s="23">
        <v>661939.92000000004</v>
      </c>
      <c r="D20" s="23">
        <v>13933.27</v>
      </c>
      <c r="E20" s="23">
        <v>2218590.2400000007</v>
      </c>
      <c r="F20" s="23">
        <v>657494.20999999985</v>
      </c>
      <c r="G20" s="23">
        <v>37426.51</v>
      </c>
      <c r="H20" s="23">
        <v>212491.41999999998</v>
      </c>
      <c r="I20" s="10">
        <v>72721.210000000006</v>
      </c>
      <c r="J20" s="23">
        <f t="shared" si="0"/>
        <v>3874596.7800000003</v>
      </c>
      <c r="K20" s="28">
        <f>SUM(J15:J20)</f>
        <v>38580058.519999996</v>
      </c>
      <c r="L20" s="31">
        <f>K20/$J$360</f>
        <v>0.12062060965627107</v>
      </c>
    </row>
    <row r="21" spans="1:12">
      <c r="C21" s="22"/>
      <c r="D21" s="22"/>
      <c r="E21" s="22"/>
      <c r="F21" s="22"/>
      <c r="G21" s="22"/>
      <c r="H21" s="22"/>
      <c r="I21" s="7"/>
      <c r="J21" s="22"/>
      <c r="K21" s="28"/>
      <c r="L21" s="31"/>
    </row>
    <row r="22" spans="1:12">
      <c r="A22" s="2" t="s">
        <v>33</v>
      </c>
      <c r="C22" s="22"/>
      <c r="D22" s="22"/>
      <c r="E22" s="22"/>
      <c r="F22" s="22"/>
      <c r="G22" s="22"/>
      <c r="H22" s="22"/>
      <c r="I22" s="7"/>
      <c r="J22" s="22"/>
      <c r="K22" s="28"/>
      <c r="L22" s="31"/>
    </row>
    <row r="23" spans="1:12">
      <c r="A23" s="2" t="s">
        <v>24</v>
      </c>
      <c r="B23" s="2" t="s">
        <v>25</v>
      </c>
      <c r="C23" s="27" t="s">
        <v>12</v>
      </c>
      <c r="D23" s="27" t="s">
        <v>12</v>
      </c>
      <c r="E23" s="27" t="s">
        <v>12</v>
      </c>
      <c r="F23" s="27" t="s">
        <v>12</v>
      </c>
      <c r="G23" s="27" t="s">
        <v>12</v>
      </c>
      <c r="H23" s="27" t="s">
        <v>12</v>
      </c>
      <c r="I23" s="27" t="s">
        <v>12</v>
      </c>
      <c r="J23" s="27" t="s">
        <v>12</v>
      </c>
      <c r="K23" s="22"/>
      <c r="L23" s="31"/>
    </row>
    <row r="24" spans="1:12">
      <c r="A24" s="2" t="s">
        <v>34</v>
      </c>
      <c r="B24" s="11" t="s">
        <v>35</v>
      </c>
      <c r="C24" s="24">
        <v>1358249.7199999997</v>
      </c>
      <c r="D24" s="24">
        <v>9686.08</v>
      </c>
      <c r="E24" s="24">
        <v>6212701.4799999995</v>
      </c>
      <c r="F24" s="24">
        <v>2954552.1000000006</v>
      </c>
      <c r="G24" s="24">
        <v>70527.850000000006</v>
      </c>
      <c r="H24" s="24">
        <v>103679.26000000001</v>
      </c>
      <c r="I24" s="12">
        <v>256408.92</v>
      </c>
      <c r="J24" s="24">
        <f t="shared" ref="J24:J39" si="1">SUM(C24:I24)</f>
        <v>10965805.409999998</v>
      </c>
      <c r="L24" s="31"/>
    </row>
    <row r="25" spans="1:12">
      <c r="A25" s="2" t="s">
        <v>34</v>
      </c>
      <c r="B25" s="11" t="s">
        <v>36</v>
      </c>
      <c r="C25" s="24">
        <v>587864.74000000011</v>
      </c>
      <c r="D25" s="24"/>
      <c r="E25" s="24">
        <v>2055176.4899999998</v>
      </c>
      <c r="F25" s="24">
        <v>1220942.7999999996</v>
      </c>
      <c r="G25" s="24">
        <v>128779.9</v>
      </c>
      <c r="H25" s="24">
        <v>69949.76999999999</v>
      </c>
      <c r="I25" s="12">
        <v>138707.88</v>
      </c>
      <c r="J25" s="24">
        <f t="shared" si="1"/>
        <v>4201421.5799999991</v>
      </c>
      <c r="L25" s="31"/>
    </row>
    <row r="26" spans="1:12">
      <c r="A26" s="2" t="s">
        <v>34</v>
      </c>
      <c r="B26" s="11" t="s">
        <v>37</v>
      </c>
      <c r="C26" s="24">
        <v>1772790.14</v>
      </c>
      <c r="D26" s="24">
        <v>10480.34</v>
      </c>
      <c r="E26" s="24">
        <v>8577647.1100000013</v>
      </c>
      <c r="F26" s="24">
        <v>4035335.2299999991</v>
      </c>
      <c r="G26" s="24">
        <v>195697.53999999998</v>
      </c>
      <c r="H26" s="24">
        <v>429459.23</v>
      </c>
      <c r="I26" s="12">
        <v>234838.07</v>
      </c>
      <c r="J26" s="24">
        <f t="shared" si="1"/>
        <v>15256247.66</v>
      </c>
      <c r="L26" s="31"/>
    </row>
    <row r="27" spans="1:12">
      <c r="A27" s="2" t="s">
        <v>34</v>
      </c>
      <c r="B27" s="11" t="s">
        <v>38</v>
      </c>
      <c r="C27" s="24">
        <v>252523.61000000002</v>
      </c>
      <c r="D27" s="24"/>
      <c r="E27" s="24">
        <v>1108772.7699999998</v>
      </c>
      <c r="F27" s="24">
        <v>727175.5199999999</v>
      </c>
      <c r="G27" s="24"/>
      <c r="H27" s="24">
        <v>48362.93</v>
      </c>
      <c r="I27" s="12"/>
      <c r="J27" s="24">
        <f t="shared" si="1"/>
        <v>2136834.83</v>
      </c>
      <c r="L27" s="31"/>
    </row>
    <row r="28" spans="1:12">
      <c r="A28" s="2" t="s">
        <v>34</v>
      </c>
      <c r="B28" s="11" t="s">
        <v>39</v>
      </c>
      <c r="C28" s="24">
        <v>302747.74000000005</v>
      </c>
      <c r="D28" s="24"/>
      <c r="E28" s="24">
        <v>4847395.5199999977</v>
      </c>
      <c r="F28" s="24">
        <v>2184102.7600000002</v>
      </c>
      <c r="G28" s="24"/>
      <c r="H28" s="24">
        <v>161070.87</v>
      </c>
      <c r="I28" s="12">
        <v>46675.159999999996</v>
      </c>
      <c r="J28" s="24">
        <f t="shared" si="1"/>
        <v>7541992.049999998</v>
      </c>
      <c r="L28" s="31"/>
    </row>
    <row r="29" spans="1:12">
      <c r="A29" s="2" t="s">
        <v>34</v>
      </c>
      <c r="B29" s="11" t="s">
        <v>40</v>
      </c>
      <c r="C29" s="24">
        <v>873700.20000000019</v>
      </c>
      <c r="D29" s="24"/>
      <c r="E29" s="24">
        <v>4449665.7299999995</v>
      </c>
      <c r="F29" s="24">
        <v>2835637.7400000007</v>
      </c>
      <c r="G29" s="24">
        <v>45298.94</v>
      </c>
      <c r="H29" s="24">
        <v>202688.32</v>
      </c>
      <c r="I29" s="12">
        <v>221395.58</v>
      </c>
      <c r="J29" s="24">
        <f t="shared" si="1"/>
        <v>8628386.5099999998</v>
      </c>
    </row>
    <row r="30" spans="1:12">
      <c r="A30" s="2" t="s">
        <v>34</v>
      </c>
      <c r="B30" s="13" t="s">
        <v>41</v>
      </c>
      <c r="C30" s="25">
        <v>2256403.5799999996</v>
      </c>
      <c r="D30" s="25"/>
      <c r="E30" s="25">
        <v>9744881.8099999968</v>
      </c>
      <c r="F30" s="25">
        <v>4499499.97</v>
      </c>
      <c r="G30" s="25">
        <v>203940.7</v>
      </c>
      <c r="H30" s="25">
        <v>566525.69999999995</v>
      </c>
      <c r="I30" s="14">
        <v>422651.88000000006</v>
      </c>
      <c r="J30" s="25">
        <f t="shared" si="1"/>
        <v>17693903.639999993</v>
      </c>
      <c r="L30" s="31"/>
    </row>
    <row r="31" spans="1:12">
      <c r="A31" s="2" t="s">
        <v>34</v>
      </c>
      <c r="B31" s="13" t="s">
        <v>42</v>
      </c>
      <c r="C31" s="25">
        <v>645875</v>
      </c>
      <c r="D31" s="25"/>
      <c r="E31" s="25">
        <v>3523442.6800000011</v>
      </c>
      <c r="F31" s="25">
        <v>1668880.9900000002</v>
      </c>
      <c r="G31" s="25">
        <v>32538.61</v>
      </c>
      <c r="H31" s="25">
        <v>89275.4</v>
      </c>
      <c r="I31" s="14">
        <v>109118.42000000001</v>
      </c>
      <c r="J31" s="25">
        <f t="shared" si="1"/>
        <v>6069131.1000000024</v>
      </c>
      <c r="L31" s="31"/>
    </row>
    <row r="32" spans="1:12">
      <c r="A32" s="2" t="s">
        <v>34</v>
      </c>
      <c r="B32" s="13" t="s">
        <v>43</v>
      </c>
      <c r="C32" s="25">
        <v>1151535.1400000001</v>
      </c>
      <c r="D32" s="25"/>
      <c r="E32" s="25">
        <v>6149149.980000007</v>
      </c>
      <c r="F32" s="25">
        <v>2894037.43</v>
      </c>
      <c r="G32" s="25">
        <v>71076.759999999995</v>
      </c>
      <c r="H32" s="25">
        <v>523148.65000000008</v>
      </c>
      <c r="I32" s="14">
        <v>127747.66</v>
      </c>
      <c r="J32" s="25">
        <f t="shared" si="1"/>
        <v>10916695.620000007</v>
      </c>
      <c r="L32" s="31"/>
    </row>
    <row r="33" spans="1:12">
      <c r="A33" s="2" t="s">
        <v>34</v>
      </c>
      <c r="B33" s="13" t="s">
        <v>44</v>
      </c>
      <c r="C33" s="25">
        <v>182636.66</v>
      </c>
      <c r="D33" s="25"/>
      <c r="E33" s="25">
        <v>423208.39999999985</v>
      </c>
      <c r="F33" s="25">
        <v>322556.40999999997</v>
      </c>
      <c r="G33" s="25"/>
      <c r="H33" s="25"/>
      <c r="I33" s="14"/>
      <c r="J33" s="25">
        <f t="shared" si="1"/>
        <v>928401.46999999974</v>
      </c>
      <c r="L33" s="31"/>
    </row>
    <row r="34" spans="1:12">
      <c r="A34" s="2" t="s">
        <v>34</v>
      </c>
      <c r="B34" s="13" t="s">
        <v>45</v>
      </c>
      <c r="C34" s="25">
        <v>1974846.1999999995</v>
      </c>
      <c r="D34" s="25">
        <v>10138.17</v>
      </c>
      <c r="E34" s="25">
        <v>8046463.3000000007</v>
      </c>
      <c r="F34" s="25">
        <v>3901248.1299999985</v>
      </c>
      <c r="G34" s="25">
        <v>220037.83</v>
      </c>
      <c r="H34" s="25">
        <v>414007.79999999993</v>
      </c>
      <c r="I34" s="14">
        <v>309171.56</v>
      </c>
      <c r="J34" s="25">
        <f t="shared" si="1"/>
        <v>14875912.99</v>
      </c>
      <c r="L34" s="31"/>
    </row>
    <row r="35" spans="1:12">
      <c r="A35" s="2" t="s">
        <v>34</v>
      </c>
      <c r="B35" s="13" t="s">
        <v>46</v>
      </c>
      <c r="C35" s="25">
        <v>1164216.1100000001</v>
      </c>
      <c r="D35" s="25"/>
      <c r="E35" s="25">
        <v>6180106.759999997</v>
      </c>
      <c r="F35" s="25">
        <v>3539124.3100000015</v>
      </c>
      <c r="G35" s="25"/>
      <c r="H35" s="25">
        <v>219794.08</v>
      </c>
      <c r="I35" s="14">
        <v>192840.42</v>
      </c>
      <c r="J35" s="25">
        <f t="shared" si="1"/>
        <v>11296081.68</v>
      </c>
      <c r="L35" s="31"/>
    </row>
    <row r="36" spans="1:12">
      <c r="A36" s="2" t="s">
        <v>34</v>
      </c>
      <c r="B36" s="13" t="s">
        <v>47</v>
      </c>
      <c r="C36" s="25">
        <v>383805.20999999996</v>
      </c>
      <c r="D36" s="25"/>
      <c r="E36" s="25">
        <v>6536728.1100000003</v>
      </c>
      <c r="F36" s="25">
        <v>2987214.6300000008</v>
      </c>
      <c r="G36" s="25"/>
      <c r="H36" s="25">
        <v>177238.22999999998</v>
      </c>
      <c r="I36" s="14">
        <v>107538.36</v>
      </c>
      <c r="J36" s="25">
        <f t="shared" si="1"/>
        <v>10192524.540000001</v>
      </c>
      <c r="L36" s="31"/>
    </row>
    <row r="37" spans="1:12">
      <c r="A37" s="2" t="s">
        <v>34</v>
      </c>
      <c r="B37" s="15" t="s">
        <v>48</v>
      </c>
      <c r="C37" s="26">
        <v>575106.09999999986</v>
      </c>
      <c r="D37" s="26"/>
      <c r="E37" s="26">
        <v>2691260.2499999995</v>
      </c>
      <c r="F37" s="26">
        <v>1447283.9000000001</v>
      </c>
      <c r="G37" s="26">
        <v>22674.82</v>
      </c>
      <c r="H37" s="26">
        <v>48027.86</v>
      </c>
      <c r="I37" s="16">
        <v>118739.06999999999</v>
      </c>
      <c r="J37" s="26">
        <f t="shared" si="1"/>
        <v>4903092.0000000009</v>
      </c>
      <c r="L37" s="31"/>
    </row>
    <row r="38" spans="1:12">
      <c r="A38" s="2" t="s">
        <v>34</v>
      </c>
      <c r="B38" s="15" t="s">
        <v>49</v>
      </c>
      <c r="C38" s="26">
        <v>234544.11</v>
      </c>
      <c r="D38" s="26"/>
      <c r="E38" s="26">
        <v>1355667.0499999991</v>
      </c>
      <c r="F38" s="26">
        <v>706786.76000000024</v>
      </c>
      <c r="G38" s="26">
        <v>29759.13</v>
      </c>
      <c r="H38" s="26">
        <v>30395.97</v>
      </c>
      <c r="I38" s="16">
        <v>68748.62</v>
      </c>
      <c r="J38" s="26">
        <f t="shared" si="1"/>
        <v>2425901.6399999997</v>
      </c>
      <c r="L38" s="31"/>
    </row>
    <row r="39" spans="1:12">
      <c r="A39" s="2" t="s">
        <v>34</v>
      </c>
      <c r="B39" s="15" t="s">
        <v>50</v>
      </c>
      <c r="C39" s="26">
        <v>1218219.5799999998</v>
      </c>
      <c r="D39" s="26">
        <v>6070.45</v>
      </c>
      <c r="E39" s="26">
        <v>7309418.3099999968</v>
      </c>
      <c r="F39" s="26">
        <v>3076065.1999999983</v>
      </c>
      <c r="G39" s="26">
        <v>63457.85</v>
      </c>
      <c r="H39" s="26">
        <v>727453.79999999993</v>
      </c>
      <c r="I39" s="16">
        <v>198081.43999999997</v>
      </c>
      <c r="J39" s="26">
        <f t="shared" si="1"/>
        <v>12598766.629999995</v>
      </c>
      <c r="K39" s="28">
        <f>SUM(J24:J39)</f>
        <v>140631099.34999999</v>
      </c>
      <c r="L39" s="31">
        <f>K39/$J$360</f>
        <v>0.43968333877552207</v>
      </c>
    </row>
    <row r="40" spans="1:12">
      <c r="C40" s="22"/>
      <c r="D40" s="22"/>
      <c r="E40" s="22"/>
      <c r="F40" s="22"/>
      <c r="G40" s="22"/>
      <c r="H40" s="22"/>
      <c r="I40" s="7"/>
      <c r="J40" s="22"/>
      <c r="K40" s="28"/>
      <c r="L40" s="31"/>
    </row>
    <row r="41" spans="1:12" hidden="1">
      <c r="C41" s="22"/>
      <c r="D41" s="22"/>
      <c r="E41" s="22"/>
      <c r="F41" s="22"/>
      <c r="G41" s="22"/>
      <c r="H41" s="22"/>
      <c r="I41" s="7"/>
      <c r="J41" s="22"/>
      <c r="K41" s="28"/>
      <c r="L41" s="31"/>
    </row>
    <row r="42" spans="1:12" hidden="1">
      <c r="B42" t="s">
        <v>51</v>
      </c>
      <c r="C42" s="22"/>
      <c r="D42" s="22"/>
      <c r="E42" s="22">
        <v>5125.67</v>
      </c>
      <c r="F42" s="22">
        <v>262.70999999999998</v>
      </c>
      <c r="G42" s="22"/>
      <c r="H42" s="22"/>
      <c r="I42" s="7"/>
      <c r="J42" s="22">
        <f t="shared" ref="J42:J105" si="2">SUM(C42:I42)</f>
        <v>5388.38</v>
      </c>
      <c r="L42" s="32"/>
    </row>
    <row r="43" spans="1:12" hidden="1">
      <c r="B43" t="s">
        <v>52</v>
      </c>
      <c r="C43" s="22"/>
      <c r="D43" s="22"/>
      <c r="E43" s="22">
        <v>11461.14</v>
      </c>
      <c r="F43" s="22">
        <v>17783.900000000001</v>
      </c>
      <c r="G43" s="22"/>
      <c r="H43" s="22"/>
      <c r="I43" s="7"/>
      <c r="J43" s="22">
        <f t="shared" si="2"/>
        <v>29245.040000000001</v>
      </c>
      <c r="L43" s="32"/>
    </row>
    <row r="44" spans="1:12" hidden="1">
      <c r="B44" t="s">
        <v>53</v>
      </c>
      <c r="C44" s="22">
        <v>9559.1</v>
      </c>
      <c r="D44" s="22"/>
      <c r="E44" s="22"/>
      <c r="F44" s="22">
        <v>25136.54</v>
      </c>
      <c r="G44" s="22"/>
      <c r="H44" s="22"/>
      <c r="I44" s="7"/>
      <c r="J44" s="22">
        <f t="shared" si="2"/>
        <v>34695.64</v>
      </c>
    </row>
    <row r="45" spans="1:12" hidden="1">
      <c r="B45" t="s">
        <v>54</v>
      </c>
      <c r="C45" s="22">
        <v>904028.99999999988</v>
      </c>
      <c r="D45" s="22"/>
      <c r="E45" s="22">
        <v>2270449.9600000004</v>
      </c>
      <c r="F45" s="22">
        <v>806201.28000000014</v>
      </c>
      <c r="G45" s="22">
        <v>59533.159999999996</v>
      </c>
      <c r="H45" s="22">
        <v>320000.3600000001</v>
      </c>
      <c r="I45" s="7">
        <v>151754.15</v>
      </c>
      <c r="J45" s="22">
        <f t="shared" si="2"/>
        <v>4511967.9100000011</v>
      </c>
    </row>
    <row r="46" spans="1:12" hidden="1">
      <c r="B46" t="s">
        <v>55</v>
      </c>
      <c r="C46" s="22"/>
      <c r="D46" s="22"/>
      <c r="E46" s="22"/>
      <c r="F46" s="22"/>
      <c r="G46" s="22"/>
      <c r="H46" s="22"/>
      <c r="I46" s="7">
        <v>48002.18</v>
      </c>
      <c r="J46" s="22">
        <f t="shared" si="2"/>
        <v>48002.18</v>
      </c>
    </row>
    <row r="47" spans="1:12" hidden="1">
      <c r="B47" t="s">
        <v>56</v>
      </c>
      <c r="C47" s="22"/>
      <c r="D47" s="22"/>
      <c r="E47" s="22">
        <v>36821.870000000003</v>
      </c>
      <c r="F47" s="22"/>
      <c r="G47" s="22"/>
      <c r="H47" s="22"/>
      <c r="I47" s="7"/>
      <c r="J47" s="22">
        <f t="shared" si="2"/>
        <v>36821.870000000003</v>
      </c>
    </row>
    <row r="48" spans="1:12" hidden="1">
      <c r="B48" t="s">
        <v>57</v>
      </c>
      <c r="C48" s="22">
        <v>37327.15</v>
      </c>
      <c r="D48" s="22"/>
      <c r="E48" s="22"/>
      <c r="F48" s="22"/>
      <c r="G48" s="22">
        <v>47005.8</v>
      </c>
      <c r="H48" s="22"/>
      <c r="I48" s="7"/>
      <c r="J48" s="22">
        <f t="shared" si="2"/>
        <v>84332.950000000012</v>
      </c>
    </row>
    <row r="49" spans="2:10" hidden="1">
      <c r="B49" t="s">
        <v>58</v>
      </c>
      <c r="C49" s="22"/>
      <c r="D49" s="22"/>
      <c r="E49" s="22"/>
      <c r="F49" s="22">
        <v>522.03</v>
      </c>
      <c r="G49" s="22"/>
      <c r="H49" s="22"/>
      <c r="I49" s="7"/>
      <c r="J49" s="22">
        <f t="shared" si="2"/>
        <v>522.03</v>
      </c>
    </row>
    <row r="50" spans="2:10" hidden="1">
      <c r="B50" t="s">
        <v>59</v>
      </c>
      <c r="C50" s="22"/>
      <c r="D50" s="22"/>
      <c r="E50" s="22"/>
      <c r="F50" s="22">
        <v>35.72</v>
      </c>
      <c r="G50" s="22"/>
      <c r="H50" s="22"/>
      <c r="I50" s="7"/>
      <c r="J50" s="22">
        <f t="shared" si="2"/>
        <v>35.72</v>
      </c>
    </row>
    <row r="51" spans="2:10" hidden="1">
      <c r="B51" t="s">
        <v>60</v>
      </c>
      <c r="C51" s="22"/>
      <c r="D51" s="22"/>
      <c r="E51" s="22">
        <v>1155.72</v>
      </c>
      <c r="F51" s="22">
        <v>162971.21</v>
      </c>
      <c r="G51" s="22"/>
      <c r="H51" s="22"/>
      <c r="I51" s="7"/>
      <c r="J51" s="22">
        <f t="shared" si="2"/>
        <v>164126.93</v>
      </c>
    </row>
    <row r="52" spans="2:10" hidden="1">
      <c r="B52" t="s">
        <v>61</v>
      </c>
      <c r="C52" s="22"/>
      <c r="D52" s="22"/>
      <c r="E52" s="22">
        <v>8805.36</v>
      </c>
      <c r="F52" s="22"/>
      <c r="G52" s="22"/>
      <c r="H52" s="22"/>
      <c r="I52" s="7"/>
      <c r="J52" s="22">
        <f t="shared" si="2"/>
        <v>8805.36</v>
      </c>
    </row>
    <row r="53" spans="2:10" hidden="1">
      <c r="B53" t="s">
        <v>62</v>
      </c>
      <c r="C53" s="22"/>
      <c r="D53" s="22"/>
      <c r="E53" s="22">
        <v>859.44</v>
      </c>
      <c r="F53" s="22"/>
      <c r="G53" s="22"/>
      <c r="H53" s="22"/>
      <c r="I53" s="7"/>
      <c r="J53" s="22">
        <f t="shared" si="2"/>
        <v>859.44</v>
      </c>
    </row>
    <row r="54" spans="2:10" hidden="1">
      <c r="B54" t="s">
        <v>63</v>
      </c>
      <c r="C54" s="22"/>
      <c r="D54" s="22"/>
      <c r="E54" s="22">
        <v>5928.46</v>
      </c>
      <c r="F54" s="22">
        <v>28891.820000000003</v>
      </c>
      <c r="G54" s="22"/>
      <c r="H54" s="22"/>
      <c r="I54" s="7">
        <v>1246.8900000000001</v>
      </c>
      <c r="J54" s="22">
        <f t="shared" si="2"/>
        <v>36067.170000000006</v>
      </c>
    </row>
    <row r="55" spans="2:10" hidden="1">
      <c r="B55" t="s">
        <v>64</v>
      </c>
      <c r="C55" s="22"/>
      <c r="D55" s="22"/>
      <c r="E55" s="22">
        <v>1583.9299999999998</v>
      </c>
      <c r="F55" s="22"/>
      <c r="G55" s="22"/>
      <c r="H55" s="22"/>
      <c r="I55" s="7"/>
      <c r="J55" s="22">
        <f t="shared" si="2"/>
        <v>1583.9299999999998</v>
      </c>
    </row>
    <row r="56" spans="2:10" hidden="1">
      <c r="B56" t="s">
        <v>65</v>
      </c>
      <c r="C56" s="22"/>
      <c r="D56" s="22"/>
      <c r="E56" s="22">
        <v>6426.92</v>
      </c>
      <c r="F56" s="22">
        <v>39149.67</v>
      </c>
      <c r="G56" s="22"/>
      <c r="H56" s="22"/>
      <c r="I56" s="7">
        <v>2531.8000000000002</v>
      </c>
      <c r="J56" s="22">
        <f t="shared" si="2"/>
        <v>48108.39</v>
      </c>
    </row>
    <row r="57" spans="2:10" hidden="1">
      <c r="B57" t="s">
        <v>66</v>
      </c>
      <c r="C57" s="22"/>
      <c r="D57" s="22"/>
      <c r="E57" s="22">
        <v>17966.419999999998</v>
      </c>
      <c r="F57" s="22">
        <v>25634.86</v>
      </c>
      <c r="G57" s="22"/>
      <c r="H57" s="22"/>
      <c r="I57" s="7">
        <v>1658.67</v>
      </c>
      <c r="J57" s="22">
        <f t="shared" si="2"/>
        <v>45259.95</v>
      </c>
    </row>
    <row r="58" spans="2:10" hidden="1">
      <c r="B58" t="s">
        <v>67</v>
      </c>
      <c r="C58" s="22"/>
      <c r="D58" s="22"/>
      <c r="E58" s="22">
        <v>941.81</v>
      </c>
      <c r="F58" s="22"/>
      <c r="G58" s="22"/>
      <c r="H58" s="22"/>
      <c r="I58" s="7"/>
      <c r="J58" s="22">
        <f t="shared" si="2"/>
        <v>941.81</v>
      </c>
    </row>
    <row r="59" spans="2:10" hidden="1">
      <c r="B59" t="s">
        <v>68</v>
      </c>
      <c r="C59" s="22"/>
      <c r="D59" s="22"/>
      <c r="E59" s="22">
        <v>5371.83</v>
      </c>
      <c r="F59" s="22"/>
      <c r="G59" s="22"/>
      <c r="H59" s="22"/>
      <c r="I59" s="7"/>
      <c r="J59" s="22">
        <f t="shared" si="2"/>
        <v>5371.83</v>
      </c>
    </row>
    <row r="60" spans="2:10" hidden="1">
      <c r="B60" t="s">
        <v>69</v>
      </c>
      <c r="C60" s="22"/>
      <c r="D60" s="22"/>
      <c r="E60" s="22">
        <v>2025.15</v>
      </c>
      <c r="F60" s="22">
        <v>21914.400000000001</v>
      </c>
      <c r="G60" s="22"/>
      <c r="H60" s="22"/>
      <c r="I60" s="7"/>
      <c r="J60" s="22">
        <f t="shared" si="2"/>
        <v>23939.550000000003</v>
      </c>
    </row>
    <row r="61" spans="2:10" hidden="1">
      <c r="B61" t="s">
        <v>70</v>
      </c>
      <c r="C61" s="22"/>
      <c r="D61" s="22"/>
      <c r="E61" s="22"/>
      <c r="F61" s="22">
        <v>1461.79</v>
      </c>
      <c r="G61" s="22"/>
      <c r="H61" s="22"/>
      <c r="I61" s="7"/>
      <c r="J61" s="22">
        <f t="shared" si="2"/>
        <v>1461.79</v>
      </c>
    </row>
    <row r="62" spans="2:10" hidden="1">
      <c r="B62" t="s">
        <v>71</v>
      </c>
      <c r="C62" s="22">
        <v>185461.71</v>
      </c>
      <c r="D62" s="22"/>
      <c r="E62" s="22">
        <v>1907075.51</v>
      </c>
      <c r="F62" s="22">
        <v>498480.32000000007</v>
      </c>
      <c r="G62" s="22"/>
      <c r="H62" s="22">
        <v>306464.13</v>
      </c>
      <c r="I62" s="7">
        <v>60814.67</v>
      </c>
      <c r="J62" s="22">
        <f t="shared" si="2"/>
        <v>2958296.34</v>
      </c>
    </row>
    <row r="63" spans="2:10" hidden="1">
      <c r="B63" t="s">
        <v>72</v>
      </c>
      <c r="C63" s="22"/>
      <c r="D63" s="22"/>
      <c r="E63" s="22">
        <v>97377.279999999999</v>
      </c>
      <c r="F63" s="22"/>
      <c r="G63" s="22"/>
      <c r="H63" s="22"/>
      <c r="I63" s="7"/>
      <c r="J63" s="22">
        <f t="shared" si="2"/>
        <v>97377.279999999999</v>
      </c>
    </row>
    <row r="64" spans="2:10" hidden="1">
      <c r="B64" t="s">
        <v>73</v>
      </c>
      <c r="C64" s="22"/>
      <c r="D64" s="22"/>
      <c r="E64" s="22"/>
      <c r="F64" s="22">
        <v>22904.719999999998</v>
      </c>
      <c r="G64" s="22"/>
      <c r="H64" s="22"/>
      <c r="I64" s="7"/>
      <c r="J64" s="22">
        <f t="shared" si="2"/>
        <v>22904.719999999998</v>
      </c>
    </row>
    <row r="65" spans="2:10" hidden="1">
      <c r="B65" t="s">
        <v>74</v>
      </c>
      <c r="C65" s="22"/>
      <c r="D65" s="22"/>
      <c r="E65" s="22">
        <v>2409.27</v>
      </c>
      <c r="F65" s="22">
        <v>27550.510000000002</v>
      </c>
      <c r="G65" s="22"/>
      <c r="H65" s="22"/>
      <c r="I65" s="7">
        <v>1795.73</v>
      </c>
      <c r="J65" s="22">
        <f t="shared" si="2"/>
        <v>31755.510000000002</v>
      </c>
    </row>
    <row r="66" spans="2:10" hidden="1">
      <c r="B66" t="s">
        <v>75</v>
      </c>
      <c r="C66" s="22"/>
      <c r="D66" s="22"/>
      <c r="E66" s="22">
        <v>50581.32</v>
      </c>
      <c r="F66" s="22">
        <v>3484.6400000000003</v>
      </c>
      <c r="G66" s="22"/>
      <c r="H66" s="22"/>
      <c r="I66" s="7"/>
      <c r="J66" s="22">
        <f t="shared" si="2"/>
        <v>54065.96</v>
      </c>
    </row>
    <row r="67" spans="2:10" hidden="1">
      <c r="B67" t="s">
        <v>76</v>
      </c>
      <c r="C67" s="22"/>
      <c r="D67" s="22"/>
      <c r="E67" s="22"/>
      <c r="F67" s="22">
        <v>40174.019999999997</v>
      </c>
      <c r="G67" s="22"/>
      <c r="H67" s="22"/>
      <c r="I67" s="7"/>
      <c r="J67" s="22">
        <f t="shared" si="2"/>
        <v>40174.019999999997</v>
      </c>
    </row>
    <row r="68" spans="2:10" hidden="1">
      <c r="B68" t="s">
        <v>77</v>
      </c>
      <c r="C68" s="22"/>
      <c r="D68" s="22"/>
      <c r="E68" s="22"/>
      <c r="F68" s="22">
        <v>2844</v>
      </c>
      <c r="G68" s="22"/>
      <c r="H68" s="22"/>
      <c r="I68" s="7"/>
      <c r="J68" s="22">
        <f t="shared" si="2"/>
        <v>2844</v>
      </c>
    </row>
    <row r="69" spans="2:10" hidden="1">
      <c r="B69" t="s">
        <v>78</v>
      </c>
      <c r="C69" s="22"/>
      <c r="D69" s="22"/>
      <c r="E69" s="22">
        <v>4151.93</v>
      </c>
      <c r="F69" s="22">
        <v>34136.31</v>
      </c>
      <c r="G69" s="22"/>
      <c r="H69" s="22"/>
      <c r="I69" s="7">
        <v>579.99</v>
      </c>
      <c r="J69" s="22">
        <f t="shared" si="2"/>
        <v>38868.229999999996</v>
      </c>
    </row>
    <row r="70" spans="2:10" hidden="1">
      <c r="B70" t="s">
        <v>79</v>
      </c>
      <c r="C70" s="22"/>
      <c r="D70" s="22"/>
      <c r="E70" s="22">
        <v>7068.6</v>
      </c>
      <c r="F70" s="22"/>
      <c r="G70" s="22"/>
      <c r="H70" s="22"/>
      <c r="I70" s="7"/>
      <c r="J70" s="22">
        <f t="shared" si="2"/>
        <v>7068.6</v>
      </c>
    </row>
    <row r="71" spans="2:10" hidden="1">
      <c r="B71" t="s">
        <v>80</v>
      </c>
      <c r="C71" s="22"/>
      <c r="D71" s="22"/>
      <c r="E71" s="22"/>
      <c r="F71" s="22">
        <v>1450.21</v>
      </c>
      <c r="G71" s="22"/>
      <c r="H71" s="22"/>
      <c r="I71" s="7"/>
      <c r="J71" s="22">
        <f t="shared" si="2"/>
        <v>1450.21</v>
      </c>
    </row>
    <row r="72" spans="2:10" hidden="1">
      <c r="B72" t="s">
        <v>81</v>
      </c>
      <c r="C72" s="22"/>
      <c r="D72" s="22"/>
      <c r="E72" s="22">
        <v>33717.96</v>
      </c>
      <c r="F72" s="22">
        <v>13876.109999999997</v>
      </c>
      <c r="G72" s="22"/>
      <c r="H72" s="22"/>
      <c r="I72" s="7">
        <v>1300.93</v>
      </c>
      <c r="J72" s="22">
        <f t="shared" si="2"/>
        <v>48894.999999999993</v>
      </c>
    </row>
    <row r="73" spans="2:10" hidden="1">
      <c r="B73" t="s">
        <v>82</v>
      </c>
      <c r="C73" s="22"/>
      <c r="D73" s="22"/>
      <c r="E73" s="22">
        <v>3792.61</v>
      </c>
      <c r="F73" s="22">
        <v>49830.23</v>
      </c>
      <c r="G73" s="22"/>
      <c r="H73" s="22"/>
      <c r="I73" s="7">
        <v>2818.4</v>
      </c>
      <c r="J73" s="22">
        <f t="shared" si="2"/>
        <v>56441.240000000005</v>
      </c>
    </row>
    <row r="74" spans="2:10" hidden="1">
      <c r="B74" t="s">
        <v>83</v>
      </c>
      <c r="C74" s="22"/>
      <c r="D74" s="22"/>
      <c r="E74" s="22">
        <v>13283.710000000001</v>
      </c>
      <c r="F74" s="22">
        <v>42341.790000000008</v>
      </c>
      <c r="G74" s="22"/>
      <c r="H74" s="22"/>
      <c r="I74" s="7">
        <v>2748.28</v>
      </c>
      <c r="J74" s="22">
        <f t="shared" si="2"/>
        <v>58373.780000000006</v>
      </c>
    </row>
    <row r="75" spans="2:10" hidden="1">
      <c r="B75" t="s">
        <v>84</v>
      </c>
      <c r="C75" s="22"/>
      <c r="D75" s="22"/>
      <c r="E75" s="22">
        <v>9350</v>
      </c>
      <c r="F75" s="22"/>
      <c r="G75" s="22"/>
      <c r="H75" s="22"/>
      <c r="I75" s="7"/>
      <c r="J75" s="22">
        <f t="shared" si="2"/>
        <v>9350</v>
      </c>
    </row>
    <row r="76" spans="2:10" hidden="1">
      <c r="B76" t="s">
        <v>85</v>
      </c>
      <c r="C76" s="22"/>
      <c r="D76" s="22"/>
      <c r="E76" s="22"/>
      <c r="F76" s="22">
        <v>9891.7900000000009</v>
      </c>
      <c r="G76" s="22"/>
      <c r="H76" s="22"/>
      <c r="I76" s="7"/>
      <c r="J76" s="22">
        <f t="shared" si="2"/>
        <v>9891.7900000000009</v>
      </c>
    </row>
    <row r="77" spans="2:10" hidden="1">
      <c r="B77" t="s">
        <v>86</v>
      </c>
      <c r="C77" s="22"/>
      <c r="D77" s="22"/>
      <c r="E77" s="22">
        <v>11034.15</v>
      </c>
      <c r="F77" s="22">
        <v>62998.040000000008</v>
      </c>
      <c r="G77" s="22"/>
      <c r="H77" s="22"/>
      <c r="I77" s="7"/>
      <c r="J77" s="22">
        <f t="shared" si="2"/>
        <v>74032.19</v>
      </c>
    </row>
    <row r="78" spans="2:10" hidden="1">
      <c r="B78" t="s">
        <v>87</v>
      </c>
      <c r="C78" s="22"/>
      <c r="D78" s="22"/>
      <c r="E78" s="22">
        <v>59781.210000000006</v>
      </c>
      <c r="F78" s="22">
        <v>246.57</v>
      </c>
      <c r="G78" s="22"/>
      <c r="H78" s="22"/>
      <c r="I78" s="7"/>
      <c r="J78" s="22">
        <f t="shared" si="2"/>
        <v>60027.780000000006</v>
      </c>
    </row>
    <row r="79" spans="2:10" hidden="1">
      <c r="B79" t="s">
        <v>88</v>
      </c>
      <c r="C79" s="22">
        <v>339032.78</v>
      </c>
      <c r="D79" s="22"/>
      <c r="E79" s="22">
        <v>2635598.7800000007</v>
      </c>
      <c r="F79" s="22">
        <v>1100804.1100000001</v>
      </c>
      <c r="G79" s="22"/>
      <c r="H79" s="22">
        <v>363208.49</v>
      </c>
      <c r="I79" s="7">
        <v>83438.880000000005</v>
      </c>
      <c r="J79" s="22">
        <f t="shared" si="2"/>
        <v>4522083.040000001</v>
      </c>
    </row>
    <row r="80" spans="2:10" hidden="1">
      <c r="B80" t="s">
        <v>89</v>
      </c>
      <c r="C80" s="22"/>
      <c r="D80" s="22"/>
      <c r="E80" s="22">
        <v>97762.790000000008</v>
      </c>
      <c r="F80" s="22">
        <v>73119.549999999988</v>
      </c>
      <c r="G80" s="22"/>
      <c r="H80" s="22"/>
      <c r="I80" s="7"/>
      <c r="J80" s="22">
        <f t="shared" si="2"/>
        <v>170882.34</v>
      </c>
    </row>
    <row r="81" spans="2:10" hidden="1">
      <c r="B81" t="s">
        <v>90</v>
      </c>
      <c r="C81" s="22">
        <v>18012.3</v>
      </c>
      <c r="D81" s="22"/>
      <c r="E81" s="22">
        <v>56222.7</v>
      </c>
      <c r="F81" s="22">
        <v>36764.410000000003</v>
      </c>
      <c r="G81" s="22"/>
      <c r="H81" s="22"/>
      <c r="I81" s="7"/>
      <c r="J81" s="22">
        <f t="shared" si="2"/>
        <v>110999.41</v>
      </c>
    </row>
    <row r="82" spans="2:10" hidden="1">
      <c r="B82" t="s">
        <v>91</v>
      </c>
      <c r="C82" s="22"/>
      <c r="D82" s="22"/>
      <c r="E82" s="22">
        <v>17892.16</v>
      </c>
      <c r="F82" s="22"/>
      <c r="G82" s="22"/>
      <c r="H82" s="22"/>
      <c r="I82" s="7"/>
      <c r="J82" s="22">
        <f t="shared" si="2"/>
        <v>17892.16</v>
      </c>
    </row>
    <row r="83" spans="2:10" hidden="1">
      <c r="B83" t="s">
        <v>92</v>
      </c>
      <c r="C83" s="22"/>
      <c r="D83" s="22"/>
      <c r="E83" s="22">
        <v>6567.91</v>
      </c>
      <c r="F83" s="22">
        <v>382.48</v>
      </c>
      <c r="G83" s="22"/>
      <c r="H83" s="22"/>
      <c r="I83" s="7"/>
      <c r="J83" s="22">
        <f t="shared" si="2"/>
        <v>6950.3899999999994</v>
      </c>
    </row>
    <row r="84" spans="2:10" hidden="1">
      <c r="B84" t="s">
        <v>93</v>
      </c>
      <c r="C84" s="22"/>
      <c r="D84" s="22"/>
      <c r="E84" s="22">
        <v>25201.759999999998</v>
      </c>
      <c r="F84" s="22"/>
      <c r="G84" s="22"/>
      <c r="H84" s="22"/>
      <c r="I84" s="7"/>
      <c r="J84" s="22">
        <f t="shared" si="2"/>
        <v>25201.759999999998</v>
      </c>
    </row>
    <row r="85" spans="2:10" hidden="1">
      <c r="B85" t="s">
        <v>94</v>
      </c>
      <c r="C85" s="22"/>
      <c r="D85" s="22"/>
      <c r="E85" s="22"/>
      <c r="F85" s="22"/>
      <c r="G85" s="22">
        <v>50564.42</v>
      </c>
      <c r="H85" s="22"/>
      <c r="I85" s="7"/>
      <c r="J85" s="22">
        <f t="shared" si="2"/>
        <v>50564.42</v>
      </c>
    </row>
    <row r="86" spans="2:10" hidden="1">
      <c r="B86" t="s">
        <v>95</v>
      </c>
      <c r="C86" s="22"/>
      <c r="D86" s="22"/>
      <c r="E86" s="22"/>
      <c r="F86" s="22">
        <v>1021.8900000000001</v>
      </c>
      <c r="G86" s="22"/>
      <c r="H86" s="22"/>
      <c r="I86" s="7"/>
      <c r="J86" s="22">
        <f t="shared" si="2"/>
        <v>1021.8900000000001</v>
      </c>
    </row>
    <row r="87" spans="2:10" hidden="1">
      <c r="B87" t="s">
        <v>96</v>
      </c>
      <c r="C87" s="22"/>
      <c r="D87" s="22"/>
      <c r="E87" s="22">
        <v>7764.15</v>
      </c>
      <c r="F87" s="22">
        <v>96607.94</v>
      </c>
      <c r="G87" s="22"/>
      <c r="H87" s="22"/>
      <c r="I87" s="7"/>
      <c r="J87" s="22">
        <f t="shared" si="2"/>
        <v>104372.09</v>
      </c>
    </row>
    <row r="88" spans="2:10" hidden="1">
      <c r="B88" t="s">
        <v>97</v>
      </c>
      <c r="C88" s="22">
        <v>860699.77000000025</v>
      </c>
      <c r="D88" s="22"/>
      <c r="E88" s="22">
        <v>4434866.4600000028</v>
      </c>
      <c r="F88" s="22">
        <v>2119822.98</v>
      </c>
      <c r="G88" s="22">
        <v>51160.3</v>
      </c>
      <c r="H88" s="22">
        <v>99515.62000000001</v>
      </c>
      <c r="I88" s="7">
        <v>221922.46000000002</v>
      </c>
      <c r="J88" s="22">
        <f t="shared" si="2"/>
        <v>7787987.5900000026</v>
      </c>
    </row>
    <row r="89" spans="2:10" hidden="1">
      <c r="B89" t="s">
        <v>98</v>
      </c>
      <c r="C89" s="22"/>
      <c r="D89" s="22"/>
      <c r="E89" s="22">
        <v>12508.89</v>
      </c>
      <c r="F89" s="22"/>
      <c r="G89" s="22"/>
      <c r="H89" s="22"/>
      <c r="I89" s="7"/>
      <c r="J89" s="22">
        <f t="shared" si="2"/>
        <v>12508.89</v>
      </c>
    </row>
    <row r="90" spans="2:10" hidden="1">
      <c r="B90" t="s">
        <v>99</v>
      </c>
      <c r="C90" s="22">
        <v>340912.27</v>
      </c>
      <c r="D90" s="22">
        <v>10088.790000000001</v>
      </c>
      <c r="E90" s="22">
        <v>1512532.4100000001</v>
      </c>
      <c r="F90" s="22">
        <v>283622.82</v>
      </c>
      <c r="G90" s="22">
        <v>7373.09</v>
      </c>
      <c r="H90" s="22">
        <v>132271.18999999997</v>
      </c>
      <c r="I90" s="7">
        <v>49133.13</v>
      </c>
      <c r="J90" s="22">
        <f t="shared" si="2"/>
        <v>2335933.6999999997</v>
      </c>
    </row>
    <row r="91" spans="2:10" hidden="1">
      <c r="B91" t="s">
        <v>100</v>
      </c>
      <c r="C91" s="22"/>
      <c r="D91" s="22"/>
      <c r="E91" s="22">
        <v>17449.41</v>
      </c>
      <c r="F91" s="22"/>
      <c r="G91" s="22"/>
      <c r="H91" s="22"/>
      <c r="I91" s="7"/>
      <c r="J91" s="22">
        <f t="shared" si="2"/>
        <v>17449.41</v>
      </c>
    </row>
    <row r="92" spans="2:10" hidden="1">
      <c r="B92" t="s">
        <v>101</v>
      </c>
      <c r="C92" s="22"/>
      <c r="D92" s="22"/>
      <c r="E92" s="22">
        <v>2550.7600000000002</v>
      </c>
      <c r="F92" s="22"/>
      <c r="G92" s="22"/>
      <c r="H92" s="22"/>
      <c r="I92" s="7"/>
      <c r="J92" s="22">
        <f t="shared" si="2"/>
        <v>2550.7600000000002</v>
      </c>
    </row>
    <row r="93" spans="2:10" hidden="1">
      <c r="B93" t="s">
        <v>102</v>
      </c>
      <c r="C93" s="22"/>
      <c r="D93" s="22"/>
      <c r="E93" s="22">
        <v>42146.3</v>
      </c>
      <c r="F93" s="22"/>
      <c r="G93" s="22"/>
      <c r="H93" s="22"/>
      <c r="I93" s="7"/>
      <c r="J93" s="22">
        <f t="shared" si="2"/>
        <v>42146.3</v>
      </c>
    </row>
    <row r="94" spans="2:10" hidden="1">
      <c r="B94" t="s">
        <v>103</v>
      </c>
      <c r="C94" s="22"/>
      <c r="D94" s="22"/>
      <c r="E94" s="22">
        <v>4508.99</v>
      </c>
      <c r="F94" s="22"/>
      <c r="G94" s="22"/>
      <c r="H94" s="22"/>
      <c r="I94" s="7"/>
      <c r="J94" s="22">
        <f t="shared" si="2"/>
        <v>4508.99</v>
      </c>
    </row>
    <row r="95" spans="2:10" hidden="1">
      <c r="B95" t="s">
        <v>104</v>
      </c>
      <c r="C95" s="22"/>
      <c r="D95" s="22"/>
      <c r="E95" s="22">
        <v>4177.7700000000004</v>
      </c>
      <c r="F95" s="22"/>
      <c r="G95" s="22"/>
      <c r="H95" s="22"/>
      <c r="I95" s="7"/>
      <c r="J95" s="22">
        <f t="shared" si="2"/>
        <v>4177.7700000000004</v>
      </c>
    </row>
    <row r="96" spans="2:10" hidden="1">
      <c r="B96" t="s">
        <v>105</v>
      </c>
      <c r="C96" s="22"/>
      <c r="D96" s="22"/>
      <c r="E96" s="22"/>
      <c r="F96" s="22">
        <v>33956.68</v>
      </c>
      <c r="G96" s="22"/>
      <c r="H96" s="22"/>
      <c r="I96" s="7"/>
      <c r="J96" s="22">
        <f t="shared" si="2"/>
        <v>33956.68</v>
      </c>
    </row>
    <row r="97" spans="2:10" hidden="1">
      <c r="B97" t="s">
        <v>106</v>
      </c>
      <c r="C97" s="22"/>
      <c r="D97" s="22"/>
      <c r="E97" s="22"/>
      <c r="F97" s="22">
        <v>124.28</v>
      </c>
      <c r="G97" s="22"/>
      <c r="H97" s="22"/>
      <c r="I97" s="7"/>
      <c r="J97" s="22">
        <f t="shared" si="2"/>
        <v>124.28</v>
      </c>
    </row>
    <row r="98" spans="2:10" hidden="1">
      <c r="B98" t="s">
        <v>107</v>
      </c>
      <c r="C98" s="22"/>
      <c r="D98" s="22"/>
      <c r="E98" s="22">
        <v>9068.52</v>
      </c>
      <c r="F98" s="22"/>
      <c r="G98" s="22"/>
      <c r="H98" s="22"/>
      <c r="I98" s="7"/>
      <c r="J98" s="22">
        <f t="shared" si="2"/>
        <v>9068.52</v>
      </c>
    </row>
    <row r="99" spans="2:10" hidden="1">
      <c r="B99" t="s">
        <v>108</v>
      </c>
      <c r="C99" s="22"/>
      <c r="D99" s="22"/>
      <c r="E99" s="22">
        <v>5171.8900000000003</v>
      </c>
      <c r="F99" s="22"/>
      <c r="G99" s="22"/>
      <c r="H99" s="22"/>
      <c r="I99" s="7"/>
      <c r="J99" s="22">
        <f t="shared" si="2"/>
        <v>5171.8900000000003</v>
      </c>
    </row>
    <row r="100" spans="2:10" hidden="1">
      <c r="B100" t="s">
        <v>109</v>
      </c>
      <c r="C100" s="22"/>
      <c r="D100" s="22"/>
      <c r="E100" s="22">
        <v>14294.7</v>
      </c>
      <c r="F100" s="22"/>
      <c r="G100" s="22"/>
      <c r="H100" s="22"/>
      <c r="I100" s="7"/>
      <c r="J100" s="22">
        <f t="shared" si="2"/>
        <v>14294.7</v>
      </c>
    </row>
    <row r="101" spans="2:10" hidden="1">
      <c r="B101" t="s">
        <v>110</v>
      </c>
      <c r="C101" s="22"/>
      <c r="D101" s="22"/>
      <c r="E101" s="22">
        <v>4804.71</v>
      </c>
      <c r="F101" s="22"/>
      <c r="G101" s="22"/>
      <c r="H101" s="22"/>
      <c r="I101" s="7"/>
      <c r="J101" s="22">
        <f t="shared" si="2"/>
        <v>4804.71</v>
      </c>
    </row>
    <row r="102" spans="2:10" hidden="1">
      <c r="B102" t="s">
        <v>111</v>
      </c>
      <c r="C102" s="22"/>
      <c r="D102" s="22"/>
      <c r="E102" s="22">
        <v>6030.02</v>
      </c>
      <c r="F102" s="22"/>
      <c r="G102" s="22"/>
      <c r="H102" s="22"/>
      <c r="I102" s="7"/>
      <c r="J102" s="22">
        <f t="shared" si="2"/>
        <v>6030.02</v>
      </c>
    </row>
    <row r="103" spans="2:10" hidden="1">
      <c r="B103" t="s">
        <v>112</v>
      </c>
      <c r="C103" s="22"/>
      <c r="D103" s="22"/>
      <c r="E103" s="22">
        <v>38995.14</v>
      </c>
      <c r="F103" s="22">
        <v>61375.7</v>
      </c>
      <c r="G103" s="22">
        <v>30992.880000000001</v>
      </c>
      <c r="H103" s="22">
        <v>27521</v>
      </c>
      <c r="I103" s="7"/>
      <c r="J103" s="22">
        <f t="shared" si="2"/>
        <v>158884.72</v>
      </c>
    </row>
    <row r="104" spans="2:10" hidden="1">
      <c r="B104" t="s">
        <v>113</v>
      </c>
      <c r="C104" s="22">
        <v>141123.90000000002</v>
      </c>
      <c r="D104" s="22"/>
      <c r="E104" s="22">
        <v>715220.44</v>
      </c>
      <c r="F104" s="22">
        <v>107948.69</v>
      </c>
      <c r="G104" s="22">
        <v>39527.51</v>
      </c>
      <c r="H104" s="22">
        <v>23188.959999999999</v>
      </c>
      <c r="I104" s="7">
        <v>69234.61</v>
      </c>
      <c r="J104" s="22">
        <f t="shared" si="2"/>
        <v>1096244.1100000001</v>
      </c>
    </row>
    <row r="105" spans="2:10" hidden="1">
      <c r="B105" t="s">
        <v>114</v>
      </c>
      <c r="C105" s="22">
        <v>217220.6</v>
      </c>
      <c r="D105" s="22"/>
      <c r="E105" s="22">
        <v>26414.19</v>
      </c>
      <c r="F105" s="22"/>
      <c r="G105" s="22"/>
      <c r="H105" s="22"/>
      <c r="I105" s="7"/>
      <c r="J105" s="22">
        <f t="shared" si="2"/>
        <v>243634.79</v>
      </c>
    </row>
    <row r="106" spans="2:10" hidden="1">
      <c r="B106" t="s">
        <v>115</v>
      </c>
      <c r="C106" s="22"/>
      <c r="D106" s="22"/>
      <c r="E106" s="22"/>
      <c r="F106" s="22">
        <v>22966.06</v>
      </c>
      <c r="G106" s="22"/>
      <c r="H106" s="22"/>
      <c r="I106" s="7"/>
      <c r="J106" s="22">
        <f t="shared" ref="J106:J169" si="3">SUM(C106:I106)</f>
        <v>22966.06</v>
      </c>
    </row>
    <row r="107" spans="2:10" hidden="1">
      <c r="B107" t="s">
        <v>116</v>
      </c>
      <c r="C107" s="22">
        <v>506348.7</v>
      </c>
      <c r="D107" s="22"/>
      <c r="E107" s="22">
        <v>4709218.1999999993</v>
      </c>
      <c r="F107" s="22">
        <v>557634.34000000008</v>
      </c>
      <c r="G107" s="22"/>
      <c r="H107" s="22">
        <v>1122640.7100000002</v>
      </c>
      <c r="I107" s="7">
        <v>163734.72</v>
      </c>
      <c r="J107" s="22">
        <f t="shared" si="3"/>
        <v>7059576.669999999</v>
      </c>
    </row>
    <row r="108" spans="2:10" hidden="1">
      <c r="B108" t="s">
        <v>117</v>
      </c>
      <c r="C108" s="22"/>
      <c r="D108" s="22"/>
      <c r="E108" s="22">
        <v>291532.5</v>
      </c>
      <c r="F108" s="22"/>
      <c r="G108" s="22"/>
      <c r="H108" s="22">
        <v>52477.919999999998</v>
      </c>
      <c r="I108" s="7"/>
      <c r="J108" s="22">
        <f t="shared" si="3"/>
        <v>344010.42</v>
      </c>
    </row>
    <row r="109" spans="2:10" hidden="1">
      <c r="B109" t="s">
        <v>118</v>
      </c>
      <c r="C109" s="22"/>
      <c r="D109" s="22"/>
      <c r="E109" s="22">
        <v>2683.11</v>
      </c>
      <c r="F109" s="22">
        <v>264057.18</v>
      </c>
      <c r="G109" s="22"/>
      <c r="H109" s="22"/>
      <c r="I109" s="7"/>
      <c r="J109" s="22">
        <f t="shared" si="3"/>
        <v>266740.28999999998</v>
      </c>
    </row>
    <row r="110" spans="2:10" hidden="1">
      <c r="B110" t="s">
        <v>119</v>
      </c>
      <c r="C110" s="22"/>
      <c r="D110" s="22"/>
      <c r="E110" s="22"/>
      <c r="F110" s="22">
        <v>0.36</v>
      </c>
      <c r="G110" s="22"/>
      <c r="H110" s="22"/>
      <c r="I110" s="7"/>
      <c r="J110" s="22">
        <f t="shared" si="3"/>
        <v>0.36</v>
      </c>
    </row>
    <row r="111" spans="2:10" hidden="1">
      <c r="B111" t="s">
        <v>120</v>
      </c>
      <c r="C111" s="22"/>
      <c r="D111" s="22"/>
      <c r="E111" s="22">
        <v>118706.94</v>
      </c>
      <c r="F111" s="22"/>
      <c r="G111" s="22"/>
      <c r="H111" s="22"/>
      <c r="I111" s="7"/>
      <c r="J111" s="22">
        <f t="shared" si="3"/>
        <v>118706.94</v>
      </c>
    </row>
    <row r="112" spans="2:10" hidden="1">
      <c r="B112" t="s">
        <v>121</v>
      </c>
      <c r="C112" s="22"/>
      <c r="D112" s="22"/>
      <c r="E112" s="22"/>
      <c r="F112" s="22">
        <v>43422.6</v>
      </c>
      <c r="G112" s="22"/>
      <c r="H112" s="22"/>
      <c r="I112" s="7"/>
      <c r="J112" s="22">
        <f t="shared" si="3"/>
        <v>43422.6</v>
      </c>
    </row>
    <row r="113" spans="2:10" hidden="1">
      <c r="B113" t="s">
        <v>122</v>
      </c>
      <c r="C113" s="22"/>
      <c r="D113" s="22"/>
      <c r="E113" s="22"/>
      <c r="F113" s="22">
        <v>82.74</v>
      </c>
      <c r="G113" s="22"/>
      <c r="H113" s="22"/>
      <c r="I113" s="7"/>
      <c r="J113" s="22">
        <f t="shared" si="3"/>
        <v>82.74</v>
      </c>
    </row>
    <row r="114" spans="2:10" hidden="1">
      <c r="B114" t="s">
        <v>123</v>
      </c>
      <c r="C114" s="22"/>
      <c r="D114" s="22"/>
      <c r="E114" s="22"/>
      <c r="F114" s="22">
        <v>17361.900000000001</v>
      </c>
      <c r="G114" s="22"/>
      <c r="H114" s="22"/>
      <c r="I114" s="7"/>
      <c r="J114" s="22">
        <f t="shared" si="3"/>
        <v>17361.900000000001</v>
      </c>
    </row>
    <row r="115" spans="2:10" hidden="1">
      <c r="B115" t="s">
        <v>124</v>
      </c>
      <c r="C115" s="22"/>
      <c r="D115" s="22"/>
      <c r="E115" s="22">
        <v>6719.91</v>
      </c>
      <c r="F115" s="22">
        <v>80728.260000000009</v>
      </c>
      <c r="G115" s="22"/>
      <c r="H115" s="22"/>
      <c r="I115" s="7">
        <v>4997.75</v>
      </c>
      <c r="J115" s="22">
        <f t="shared" si="3"/>
        <v>92445.920000000013</v>
      </c>
    </row>
    <row r="116" spans="2:10" hidden="1">
      <c r="B116" t="s">
        <v>125</v>
      </c>
      <c r="C116" s="22"/>
      <c r="D116" s="22"/>
      <c r="E116" s="22"/>
      <c r="F116" s="22">
        <v>301889.02</v>
      </c>
      <c r="G116" s="22"/>
      <c r="H116" s="22"/>
      <c r="I116" s="7">
        <v>117300.01</v>
      </c>
      <c r="J116" s="22">
        <f t="shared" si="3"/>
        <v>419189.03</v>
      </c>
    </row>
    <row r="117" spans="2:10" hidden="1">
      <c r="B117" t="s">
        <v>126</v>
      </c>
      <c r="C117" s="22">
        <v>65135.62</v>
      </c>
      <c r="D117" s="22"/>
      <c r="E117" s="22">
        <v>2014104.95</v>
      </c>
      <c r="F117" s="22">
        <v>56918.85</v>
      </c>
      <c r="G117" s="22"/>
      <c r="H117" s="22">
        <v>196558.2</v>
      </c>
      <c r="I117" s="7"/>
      <c r="J117" s="22">
        <f t="shared" si="3"/>
        <v>2332717.62</v>
      </c>
    </row>
    <row r="118" spans="2:10" hidden="1">
      <c r="B118" t="s">
        <v>127</v>
      </c>
      <c r="C118" s="22"/>
      <c r="D118" s="22"/>
      <c r="E118" s="22">
        <v>872.97</v>
      </c>
      <c r="F118" s="22"/>
      <c r="G118" s="22"/>
      <c r="H118" s="22"/>
      <c r="I118" s="7"/>
      <c r="J118" s="22">
        <f t="shared" si="3"/>
        <v>872.97</v>
      </c>
    </row>
    <row r="119" spans="2:10" hidden="1">
      <c r="B119" t="s">
        <v>128</v>
      </c>
      <c r="C119" s="22"/>
      <c r="D119" s="22"/>
      <c r="E119" s="22">
        <v>6380.91</v>
      </c>
      <c r="F119" s="22"/>
      <c r="G119" s="22"/>
      <c r="H119" s="22"/>
      <c r="I119" s="7"/>
      <c r="J119" s="22">
        <f t="shared" si="3"/>
        <v>6380.91</v>
      </c>
    </row>
    <row r="120" spans="2:10" hidden="1">
      <c r="B120" t="s">
        <v>129</v>
      </c>
      <c r="C120" s="22"/>
      <c r="D120" s="22"/>
      <c r="E120" s="22">
        <v>23766.61</v>
      </c>
      <c r="F120" s="22"/>
      <c r="G120" s="22"/>
      <c r="H120" s="22"/>
      <c r="I120" s="7"/>
      <c r="J120" s="22">
        <f t="shared" si="3"/>
        <v>23766.61</v>
      </c>
    </row>
    <row r="121" spans="2:10" hidden="1">
      <c r="B121" t="s">
        <v>130</v>
      </c>
      <c r="C121" s="22"/>
      <c r="D121" s="22"/>
      <c r="E121" s="22">
        <v>4589.84</v>
      </c>
      <c r="F121" s="22"/>
      <c r="G121" s="22"/>
      <c r="H121" s="22"/>
      <c r="I121" s="7"/>
      <c r="J121" s="22">
        <f t="shared" si="3"/>
        <v>4589.84</v>
      </c>
    </row>
    <row r="122" spans="2:10" hidden="1">
      <c r="B122" t="s">
        <v>131</v>
      </c>
      <c r="C122" s="22"/>
      <c r="D122" s="22"/>
      <c r="E122" s="22">
        <v>16447.72</v>
      </c>
      <c r="F122" s="22"/>
      <c r="G122" s="22"/>
      <c r="H122" s="22"/>
      <c r="I122" s="7"/>
      <c r="J122" s="22">
        <f t="shared" si="3"/>
        <v>16447.72</v>
      </c>
    </row>
    <row r="123" spans="2:10" hidden="1">
      <c r="B123" t="s">
        <v>132</v>
      </c>
      <c r="C123" s="22"/>
      <c r="D123" s="22"/>
      <c r="E123" s="22">
        <v>1007.8</v>
      </c>
      <c r="F123" s="22"/>
      <c r="G123" s="22"/>
      <c r="H123" s="22"/>
      <c r="I123" s="7"/>
      <c r="J123" s="22">
        <f t="shared" si="3"/>
        <v>1007.8</v>
      </c>
    </row>
    <row r="124" spans="2:10" hidden="1">
      <c r="B124" t="s">
        <v>133</v>
      </c>
      <c r="C124" s="22"/>
      <c r="D124" s="22"/>
      <c r="E124" s="22"/>
      <c r="F124" s="22">
        <v>7120.5</v>
      </c>
      <c r="G124" s="22"/>
      <c r="H124" s="22"/>
      <c r="I124" s="7"/>
      <c r="J124" s="22">
        <f t="shared" si="3"/>
        <v>7120.5</v>
      </c>
    </row>
    <row r="125" spans="2:10" hidden="1">
      <c r="B125" t="s">
        <v>134</v>
      </c>
      <c r="C125" s="22"/>
      <c r="D125" s="22"/>
      <c r="E125" s="22">
        <v>6041.75</v>
      </c>
      <c r="F125" s="22">
        <v>1379.19</v>
      </c>
      <c r="G125" s="22"/>
      <c r="H125" s="22"/>
      <c r="I125" s="7"/>
      <c r="J125" s="22">
        <f t="shared" si="3"/>
        <v>7420.9400000000005</v>
      </c>
    </row>
    <row r="126" spans="2:10" hidden="1">
      <c r="B126" t="s">
        <v>135</v>
      </c>
      <c r="C126" s="22"/>
      <c r="D126" s="22"/>
      <c r="E126" s="22">
        <v>155717.04999999999</v>
      </c>
      <c r="F126" s="22">
        <v>7639.17</v>
      </c>
      <c r="G126" s="22"/>
      <c r="H126" s="22"/>
      <c r="I126" s="7"/>
      <c r="J126" s="22">
        <f t="shared" si="3"/>
        <v>163356.22</v>
      </c>
    </row>
    <row r="127" spans="2:10" hidden="1">
      <c r="B127" t="s">
        <v>136</v>
      </c>
      <c r="C127" s="22"/>
      <c r="D127" s="22"/>
      <c r="E127" s="22">
        <v>30243.39</v>
      </c>
      <c r="F127" s="22"/>
      <c r="G127" s="22"/>
      <c r="H127" s="22"/>
      <c r="I127" s="7"/>
      <c r="J127" s="22">
        <f t="shared" si="3"/>
        <v>30243.39</v>
      </c>
    </row>
    <row r="128" spans="2:10" hidden="1">
      <c r="B128" t="s">
        <v>137</v>
      </c>
      <c r="C128" s="22"/>
      <c r="D128" s="22"/>
      <c r="E128" s="22">
        <v>5642.88</v>
      </c>
      <c r="F128" s="22">
        <v>2691.04</v>
      </c>
      <c r="G128" s="22"/>
      <c r="H128" s="22"/>
      <c r="I128" s="7"/>
      <c r="J128" s="22">
        <f t="shared" si="3"/>
        <v>8333.92</v>
      </c>
    </row>
    <row r="129" spans="2:10" hidden="1">
      <c r="B129" t="s">
        <v>138</v>
      </c>
      <c r="C129" s="22"/>
      <c r="D129" s="22"/>
      <c r="E129" s="22">
        <v>7441.16</v>
      </c>
      <c r="F129" s="22">
        <v>17679.650000000001</v>
      </c>
      <c r="G129" s="22"/>
      <c r="H129" s="22"/>
      <c r="I129" s="7"/>
      <c r="J129" s="22">
        <f t="shared" si="3"/>
        <v>25120.81</v>
      </c>
    </row>
    <row r="130" spans="2:10" hidden="1">
      <c r="B130" t="s">
        <v>139</v>
      </c>
      <c r="C130" s="22"/>
      <c r="D130" s="22"/>
      <c r="E130" s="22"/>
      <c r="F130" s="22">
        <v>23423.059999999998</v>
      </c>
      <c r="G130" s="22"/>
      <c r="H130" s="22"/>
      <c r="I130" s="7"/>
      <c r="J130" s="22">
        <f t="shared" si="3"/>
        <v>23423.059999999998</v>
      </c>
    </row>
    <row r="131" spans="2:10" hidden="1">
      <c r="B131" t="s">
        <v>140</v>
      </c>
      <c r="C131" s="22"/>
      <c r="D131" s="22"/>
      <c r="E131" s="22"/>
      <c r="F131" s="22">
        <v>40</v>
      </c>
      <c r="G131" s="22"/>
      <c r="H131" s="22"/>
      <c r="I131" s="7"/>
      <c r="J131" s="22">
        <f t="shared" si="3"/>
        <v>40</v>
      </c>
    </row>
    <row r="132" spans="2:10" hidden="1">
      <c r="B132" t="s">
        <v>141</v>
      </c>
      <c r="C132" s="22">
        <v>324693.06999999995</v>
      </c>
      <c r="D132" s="22">
        <v>4162.3999999999996</v>
      </c>
      <c r="E132" s="22">
        <v>1304407.1100000003</v>
      </c>
      <c r="F132" s="22">
        <v>483356.41</v>
      </c>
      <c r="G132" s="22">
        <v>67778.150000000009</v>
      </c>
      <c r="H132" s="22">
        <v>81719.27</v>
      </c>
      <c r="I132" s="7">
        <v>69396.53</v>
      </c>
      <c r="J132" s="22">
        <f t="shared" si="3"/>
        <v>2335512.94</v>
      </c>
    </row>
    <row r="133" spans="2:10" hidden="1">
      <c r="B133" t="s">
        <v>142</v>
      </c>
      <c r="C133" s="22"/>
      <c r="D133" s="22"/>
      <c r="E133" s="22"/>
      <c r="F133" s="22">
        <v>38258.879999999997</v>
      </c>
      <c r="G133" s="22"/>
      <c r="H133" s="22"/>
      <c r="I133" s="7"/>
      <c r="J133" s="22">
        <f t="shared" si="3"/>
        <v>38258.879999999997</v>
      </c>
    </row>
    <row r="134" spans="2:10" hidden="1">
      <c r="B134" t="s">
        <v>143</v>
      </c>
      <c r="C134" s="22">
        <v>45189.37</v>
      </c>
      <c r="D134" s="22"/>
      <c r="E134" s="22">
        <v>78125.5</v>
      </c>
      <c r="F134" s="22">
        <v>134935.72999999998</v>
      </c>
      <c r="G134" s="22"/>
      <c r="H134" s="22"/>
      <c r="I134" s="7">
        <v>8900.64</v>
      </c>
      <c r="J134" s="22">
        <f t="shared" si="3"/>
        <v>267151.24</v>
      </c>
    </row>
    <row r="135" spans="2:10" hidden="1">
      <c r="B135" t="s">
        <v>144</v>
      </c>
      <c r="C135" s="22"/>
      <c r="D135" s="22"/>
      <c r="E135" s="22"/>
      <c r="F135" s="22">
        <v>439.37</v>
      </c>
      <c r="G135" s="22"/>
      <c r="H135" s="22"/>
      <c r="I135" s="7"/>
      <c r="J135" s="22">
        <f t="shared" si="3"/>
        <v>439.37</v>
      </c>
    </row>
    <row r="136" spans="2:10" hidden="1">
      <c r="B136" t="s">
        <v>145</v>
      </c>
      <c r="C136" s="22"/>
      <c r="D136" s="22"/>
      <c r="E136" s="22">
        <v>53413.94</v>
      </c>
      <c r="F136" s="22">
        <v>60103.100000000006</v>
      </c>
      <c r="G136" s="22"/>
      <c r="H136" s="22"/>
      <c r="I136" s="7"/>
      <c r="J136" s="22">
        <f t="shared" si="3"/>
        <v>113517.04000000001</v>
      </c>
    </row>
    <row r="137" spans="2:10" hidden="1">
      <c r="B137" t="s">
        <v>146</v>
      </c>
      <c r="C137" s="22"/>
      <c r="D137" s="22"/>
      <c r="E137" s="22">
        <v>225524.63</v>
      </c>
      <c r="F137" s="22">
        <v>192763.31999999998</v>
      </c>
      <c r="G137" s="22"/>
      <c r="H137" s="22"/>
      <c r="I137" s="7"/>
      <c r="J137" s="22">
        <f t="shared" si="3"/>
        <v>418287.94999999995</v>
      </c>
    </row>
    <row r="138" spans="2:10" hidden="1">
      <c r="B138" t="s">
        <v>147</v>
      </c>
      <c r="C138" s="22"/>
      <c r="D138" s="22"/>
      <c r="E138" s="22"/>
      <c r="F138" s="22">
        <v>2841.6</v>
      </c>
      <c r="G138" s="22"/>
      <c r="H138" s="22"/>
      <c r="I138" s="7"/>
      <c r="J138" s="22">
        <f t="shared" si="3"/>
        <v>2841.6</v>
      </c>
    </row>
    <row r="139" spans="2:10" hidden="1">
      <c r="B139" t="s">
        <v>148</v>
      </c>
      <c r="C139" s="22"/>
      <c r="D139" s="22"/>
      <c r="E139" s="22">
        <v>5715.98</v>
      </c>
      <c r="F139" s="22"/>
      <c r="G139" s="22"/>
      <c r="H139" s="22"/>
      <c r="I139" s="7"/>
      <c r="J139" s="22">
        <f t="shared" si="3"/>
        <v>5715.98</v>
      </c>
    </row>
    <row r="140" spans="2:10" hidden="1">
      <c r="B140" t="s">
        <v>149</v>
      </c>
      <c r="C140" s="22"/>
      <c r="D140" s="22"/>
      <c r="E140" s="22">
        <v>33169.269999999997</v>
      </c>
      <c r="F140" s="22"/>
      <c r="G140" s="22"/>
      <c r="H140" s="22"/>
      <c r="I140" s="7"/>
      <c r="J140" s="22">
        <f t="shared" si="3"/>
        <v>33169.269999999997</v>
      </c>
    </row>
    <row r="141" spans="2:10" hidden="1">
      <c r="B141" t="s">
        <v>150</v>
      </c>
      <c r="C141" s="22">
        <v>678708.18</v>
      </c>
      <c r="D141" s="22">
        <v>8871.2000000000007</v>
      </c>
      <c r="E141" s="22">
        <v>1841290.62</v>
      </c>
      <c r="F141" s="22">
        <v>461647.73</v>
      </c>
      <c r="G141" s="22">
        <v>138685.15</v>
      </c>
      <c r="H141" s="22">
        <v>90193.23</v>
      </c>
      <c r="I141" s="7">
        <v>137319.19</v>
      </c>
      <c r="J141" s="22">
        <f t="shared" si="3"/>
        <v>3356715.3</v>
      </c>
    </row>
    <row r="142" spans="2:10" hidden="1">
      <c r="B142" t="s">
        <v>151</v>
      </c>
      <c r="C142" s="22"/>
      <c r="D142" s="22"/>
      <c r="E142" s="22">
        <v>11109.29</v>
      </c>
      <c r="F142" s="22"/>
      <c r="G142" s="22"/>
      <c r="H142" s="22"/>
      <c r="I142" s="7"/>
      <c r="J142" s="22">
        <f t="shared" si="3"/>
        <v>11109.29</v>
      </c>
    </row>
    <row r="143" spans="2:10" hidden="1">
      <c r="B143" t="s">
        <v>152</v>
      </c>
      <c r="C143" s="22"/>
      <c r="D143" s="22"/>
      <c r="E143" s="22"/>
      <c r="F143" s="22">
        <v>1731.96</v>
      </c>
      <c r="G143" s="22"/>
      <c r="H143" s="22"/>
      <c r="I143" s="7"/>
      <c r="J143" s="22">
        <f t="shared" si="3"/>
        <v>1731.96</v>
      </c>
    </row>
    <row r="144" spans="2:10" hidden="1">
      <c r="B144" t="s">
        <v>153</v>
      </c>
      <c r="C144" s="22">
        <v>24386.97</v>
      </c>
      <c r="D144" s="22"/>
      <c r="E144" s="22">
        <v>170443.96000000002</v>
      </c>
      <c r="F144" s="22">
        <v>166072.39999999997</v>
      </c>
      <c r="G144" s="22"/>
      <c r="H144" s="22"/>
      <c r="I144" s="7"/>
      <c r="J144" s="22">
        <f t="shared" si="3"/>
        <v>360903.32999999996</v>
      </c>
    </row>
    <row r="145" spans="2:10" hidden="1">
      <c r="B145" t="s">
        <v>154</v>
      </c>
      <c r="C145" s="22">
        <v>731208.3899999999</v>
      </c>
      <c r="D145" s="22">
        <v>12655.53</v>
      </c>
      <c r="E145" s="22">
        <v>1997189.0800000005</v>
      </c>
      <c r="F145" s="22">
        <v>498896.57000000012</v>
      </c>
      <c r="G145" s="22">
        <v>179243.29</v>
      </c>
      <c r="H145" s="22">
        <v>130912.31</v>
      </c>
      <c r="I145" s="7">
        <v>57966.51</v>
      </c>
      <c r="J145" s="22">
        <f t="shared" si="3"/>
        <v>3608071.6800000006</v>
      </c>
    </row>
    <row r="146" spans="2:10" hidden="1">
      <c r="B146" t="s">
        <v>155</v>
      </c>
      <c r="C146" s="22"/>
      <c r="D146" s="22"/>
      <c r="E146" s="22"/>
      <c r="F146" s="22">
        <v>15214.6</v>
      </c>
      <c r="G146" s="22"/>
      <c r="H146" s="22"/>
      <c r="I146" s="7"/>
      <c r="J146" s="22">
        <f t="shared" si="3"/>
        <v>15214.6</v>
      </c>
    </row>
    <row r="147" spans="2:10" hidden="1">
      <c r="B147" t="s">
        <v>156</v>
      </c>
      <c r="C147" s="22"/>
      <c r="D147" s="22"/>
      <c r="E147" s="22"/>
      <c r="F147" s="22">
        <v>7052.1</v>
      </c>
      <c r="G147" s="22"/>
      <c r="H147" s="22"/>
      <c r="I147" s="7"/>
      <c r="J147" s="22">
        <f t="shared" si="3"/>
        <v>7052.1</v>
      </c>
    </row>
    <row r="148" spans="2:10" hidden="1">
      <c r="B148" t="s">
        <v>157</v>
      </c>
      <c r="C148" s="22"/>
      <c r="D148" s="22"/>
      <c r="E148" s="22">
        <v>9325.630000000001</v>
      </c>
      <c r="F148" s="22">
        <v>37175.729999999996</v>
      </c>
      <c r="G148" s="22"/>
      <c r="H148" s="22"/>
      <c r="I148" s="7">
        <v>2280.06</v>
      </c>
      <c r="J148" s="22">
        <f t="shared" si="3"/>
        <v>48781.42</v>
      </c>
    </row>
    <row r="149" spans="2:10" hidden="1">
      <c r="B149" t="s">
        <v>158</v>
      </c>
      <c r="C149" s="22"/>
      <c r="D149" s="22"/>
      <c r="E149" s="22"/>
      <c r="F149" s="22">
        <v>39850.71</v>
      </c>
      <c r="G149" s="22"/>
      <c r="H149" s="22"/>
      <c r="I149" s="7"/>
      <c r="J149" s="22">
        <f t="shared" si="3"/>
        <v>39850.71</v>
      </c>
    </row>
    <row r="150" spans="2:10" hidden="1">
      <c r="B150" t="s">
        <v>159</v>
      </c>
      <c r="C150" s="22">
        <v>11716.04</v>
      </c>
      <c r="D150" s="22"/>
      <c r="E150" s="22">
        <v>68064.12</v>
      </c>
      <c r="F150" s="22">
        <v>707.41</v>
      </c>
      <c r="G150" s="22"/>
      <c r="H150" s="22"/>
      <c r="I150" s="7"/>
      <c r="J150" s="22">
        <f t="shared" si="3"/>
        <v>80487.570000000007</v>
      </c>
    </row>
    <row r="151" spans="2:10" hidden="1">
      <c r="B151" t="s">
        <v>160</v>
      </c>
      <c r="C151" s="22"/>
      <c r="D151" s="22"/>
      <c r="E151" s="22">
        <v>42226.890000000007</v>
      </c>
      <c r="F151" s="22"/>
      <c r="G151" s="22"/>
      <c r="H151" s="22"/>
      <c r="I151" s="7"/>
      <c r="J151" s="22">
        <f t="shared" si="3"/>
        <v>42226.890000000007</v>
      </c>
    </row>
    <row r="152" spans="2:10" hidden="1">
      <c r="B152" t="s">
        <v>161</v>
      </c>
      <c r="C152" s="22"/>
      <c r="D152" s="22"/>
      <c r="E152" s="22"/>
      <c r="F152" s="22">
        <v>1282.81</v>
      </c>
      <c r="G152" s="22"/>
      <c r="H152" s="22"/>
      <c r="I152" s="7"/>
      <c r="J152" s="22">
        <f t="shared" si="3"/>
        <v>1282.81</v>
      </c>
    </row>
    <row r="153" spans="2:10" hidden="1">
      <c r="B153" t="s">
        <v>162</v>
      </c>
      <c r="C153" s="22"/>
      <c r="D153" s="22"/>
      <c r="E153" s="22">
        <v>10967.26</v>
      </c>
      <c r="F153" s="22"/>
      <c r="G153" s="22"/>
      <c r="H153" s="22"/>
      <c r="I153" s="7"/>
      <c r="J153" s="22">
        <f t="shared" si="3"/>
        <v>10967.26</v>
      </c>
    </row>
    <row r="154" spans="2:10" hidden="1">
      <c r="B154" t="s">
        <v>163</v>
      </c>
      <c r="C154" s="22">
        <v>49164.62</v>
      </c>
      <c r="D154" s="22"/>
      <c r="E154" s="22">
        <v>118118.42</v>
      </c>
      <c r="F154" s="22">
        <v>9081.7199999999993</v>
      </c>
      <c r="G154" s="22"/>
      <c r="H154" s="22"/>
      <c r="I154" s="7"/>
      <c r="J154" s="22">
        <f t="shared" si="3"/>
        <v>176364.76</v>
      </c>
    </row>
    <row r="155" spans="2:10" hidden="1">
      <c r="B155" t="s">
        <v>164</v>
      </c>
      <c r="C155" s="22"/>
      <c r="D155" s="22"/>
      <c r="E155" s="22"/>
      <c r="F155" s="22">
        <v>1939.01</v>
      </c>
      <c r="G155" s="22"/>
      <c r="H155" s="22"/>
      <c r="I155" s="7"/>
      <c r="J155" s="22">
        <f t="shared" si="3"/>
        <v>1939.01</v>
      </c>
    </row>
    <row r="156" spans="2:10" hidden="1">
      <c r="B156" t="s">
        <v>165</v>
      </c>
      <c r="C156" s="22"/>
      <c r="D156" s="22"/>
      <c r="E156" s="22"/>
      <c r="F156" s="22">
        <v>48.62</v>
      </c>
      <c r="G156" s="22"/>
      <c r="H156" s="22"/>
      <c r="I156" s="7"/>
      <c r="J156" s="22">
        <f t="shared" si="3"/>
        <v>48.62</v>
      </c>
    </row>
    <row r="157" spans="2:10" hidden="1">
      <c r="B157" t="s">
        <v>166</v>
      </c>
      <c r="C157" s="22"/>
      <c r="D157" s="22"/>
      <c r="E157" s="22">
        <v>9971.82</v>
      </c>
      <c r="F157" s="22"/>
      <c r="G157" s="22"/>
      <c r="H157" s="22"/>
      <c r="I157" s="7"/>
      <c r="J157" s="22">
        <f t="shared" si="3"/>
        <v>9971.82</v>
      </c>
    </row>
    <row r="158" spans="2:10" hidden="1">
      <c r="B158" t="s">
        <v>167</v>
      </c>
      <c r="C158" s="22"/>
      <c r="D158" s="22"/>
      <c r="E158" s="22">
        <v>4994.76</v>
      </c>
      <c r="F158" s="22">
        <v>24095.439999999999</v>
      </c>
      <c r="G158" s="22"/>
      <c r="H158" s="22"/>
      <c r="I158" s="7">
        <v>1494.13</v>
      </c>
      <c r="J158" s="22">
        <f t="shared" si="3"/>
        <v>30584.329999999998</v>
      </c>
    </row>
    <row r="159" spans="2:10" hidden="1">
      <c r="B159" t="s">
        <v>168</v>
      </c>
      <c r="C159" s="22">
        <v>16953.39</v>
      </c>
      <c r="D159" s="22"/>
      <c r="E159" s="22">
        <v>79264.679999999993</v>
      </c>
      <c r="F159" s="22">
        <v>32092.51</v>
      </c>
      <c r="G159" s="22"/>
      <c r="H159" s="22"/>
      <c r="I159" s="7"/>
      <c r="J159" s="22">
        <f t="shared" si="3"/>
        <v>128310.57999999999</v>
      </c>
    </row>
    <row r="160" spans="2:10" hidden="1">
      <c r="B160" t="s">
        <v>169</v>
      </c>
      <c r="C160" s="22"/>
      <c r="D160" s="22"/>
      <c r="E160" s="22"/>
      <c r="F160" s="22">
        <v>298.88</v>
      </c>
      <c r="G160" s="22"/>
      <c r="H160" s="22"/>
      <c r="I160" s="7"/>
      <c r="J160" s="22">
        <f t="shared" si="3"/>
        <v>298.88</v>
      </c>
    </row>
    <row r="161" spans="2:10" hidden="1">
      <c r="B161" t="s">
        <v>170</v>
      </c>
      <c r="C161" s="22"/>
      <c r="D161" s="22"/>
      <c r="E161" s="22">
        <v>10444.02</v>
      </c>
      <c r="F161" s="22"/>
      <c r="G161" s="22"/>
      <c r="H161" s="22"/>
      <c r="I161" s="7"/>
      <c r="J161" s="22">
        <f t="shared" si="3"/>
        <v>10444.02</v>
      </c>
    </row>
    <row r="162" spans="2:10" hidden="1">
      <c r="B162" t="s">
        <v>171</v>
      </c>
      <c r="C162" s="22"/>
      <c r="D162" s="22"/>
      <c r="E162" s="22"/>
      <c r="F162" s="22">
        <v>8952.85</v>
      </c>
      <c r="G162" s="22"/>
      <c r="H162" s="22"/>
      <c r="I162" s="7"/>
      <c r="J162" s="22">
        <f t="shared" si="3"/>
        <v>8952.85</v>
      </c>
    </row>
    <row r="163" spans="2:10" hidden="1">
      <c r="B163" t="s">
        <v>172</v>
      </c>
      <c r="C163" s="22"/>
      <c r="D163" s="22"/>
      <c r="E163" s="22">
        <v>285034.27999999997</v>
      </c>
      <c r="F163" s="22">
        <v>4294.63</v>
      </c>
      <c r="G163" s="22"/>
      <c r="H163" s="22">
        <v>26704.11</v>
      </c>
      <c r="I163" s="7"/>
      <c r="J163" s="22">
        <f t="shared" si="3"/>
        <v>316033.01999999996</v>
      </c>
    </row>
    <row r="164" spans="2:10" hidden="1">
      <c r="B164" t="s">
        <v>173</v>
      </c>
      <c r="C164" s="22">
        <v>274223.33</v>
      </c>
      <c r="D164" s="22"/>
      <c r="E164" s="22">
        <v>935155.30999999994</v>
      </c>
      <c r="F164" s="22">
        <v>292529.06</v>
      </c>
      <c r="G164" s="22"/>
      <c r="H164" s="22">
        <v>78948.920000000013</v>
      </c>
      <c r="I164" s="7"/>
      <c r="J164" s="22">
        <f t="shared" si="3"/>
        <v>1580856.6199999999</v>
      </c>
    </row>
    <row r="165" spans="2:10" hidden="1">
      <c r="B165" t="s">
        <v>174</v>
      </c>
      <c r="C165" s="22">
        <v>59111.519999999997</v>
      </c>
      <c r="D165" s="22"/>
      <c r="E165" s="22">
        <v>11494.2</v>
      </c>
      <c r="F165" s="22">
        <v>13887.88</v>
      </c>
      <c r="G165" s="22"/>
      <c r="H165" s="22"/>
      <c r="I165" s="7"/>
      <c r="J165" s="22">
        <f t="shared" si="3"/>
        <v>84493.6</v>
      </c>
    </row>
    <row r="166" spans="2:10" hidden="1">
      <c r="B166" t="s">
        <v>175</v>
      </c>
      <c r="C166" s="22"/>
      <c r="D166" s="22"/>
      <c r="E166" s="22">
        <v>39496.839999999997</v>
      </c>
      <c r="F166" s="22">
        <v>3905.27</v>
      </c>
      <c r="G166" s="22"/>
      <c r="H166" s="22"/>
      <c r="I166" s="7">
        <v>2833.83</v>
      </c>
      <c r="J166" s="22">
        <f t="shared" si="3"/>
        <v>46235.939999999995</v>
      </c>
    </row>
    <row r="167" spans="2:10" hidden="1">
      <c r="B167" t="s">
        <v>176</v>
      </c>
      <c r="C167" s="22"/>
      <c r="D167" s="22"/>
      <c r="E167" s="22">
        <v>56199.210000000006</v>
      </c>
      <c r="F167" s="22">
        <v>76914.48</v>
      </c>
      <c r="G167" s="22">
        <v>64668.69</v>
      </c>
      <c r="H167" s="22">
        <v>15768.77</v>
      </c>
      <c r="I167" s="7"/>
      <c r="J167" s="22">
        <f t="shared" si="3"/>
        <v>213551.15</v>
      </c>
    </row>
    <row r="168" spans="2:10" hidden="1">
      <c r="B168" t="s">
        <v>177</v>
      </c>
      <c r="C168" s="22"/>
      <c r="D168" s="22"/>
      <c r="E168" s="22">
        <v>71061.790000000008</v>
      </c>
      <c r="F168" s="22">
        <v>156733.37</v>
      </c>
      <c r="G168" s="22"/>
      <c r="H168" s="22"/>
      <c r="I168" s="7"/>
      <c r="J168" s="22">
        <f t="shared" si="3"/>
        <v>227795.16</v>
      </c>
    </row>
    <row r="169" spans="2:10" hidden="1">
      <c r="B169" t="s">
        <v>178</v>
      </c>
      <c r="C169" s="22">
        <v>18506.400000000001</v>
      </c>
      <c r="D169" s="22"/>
      <c r="E169" s="22"/>
      <c r="F169" s="22"/>
      <c r="G169" s="22"/>
      <c r="H169" s="22"/>
      <c r="I169" s="7"/>
      <c r="J169" s="22">
        <f t="shared" si="3"/>
        <v>18506.400000000001</v>
      </c>
    </row>
    <row r="170" spans="2:10" hidden="1">
      <c r="B170" t="s">
        <v>179</v>
      </c>
      <c r="C170" s="22">
        <v>182695.88000000003</v>
      </c>
      <c r="D170" s="22"/>
      <c r="E170" s="22">
        <v>1162251.3199999998</v>
      </c>
      <c r="F170" s="22">
        <v>294199.49000000005</v>
      </c>
      <c r="G170" s="22">
        <v>2148.69</v>
      </c>
      <c r="H170" s="22">
        <v>34405.9</v>
      </c>
      <c r="I170" s="7">
        <v>31452.589999999997</v>
      </c>
      <c r="J170" s="22">
        <f t="shared" ref="J170:J233" si="4">SUM(C170:I170)</f>
        <v>1707153.8699999999</v>
      </c>
    </row>
    <row r="171" spans="2:10" hidden="1">
      <c r="B171" t="s">
        <v>180</v>
      </c>
      <c r="C171" s="22"/>
      <c r="D171" s="22"/>
      <c r="E171" s="22">
        <v>60064.22</v>
      </c>
      <c r="F171" s="22">
        <v>91354.260000000009</v>
      </c>
      <c r="G171" s="22"/>
      <c r="H171" s="22"/>
      <c r="I171" s="7"/>
      <c r="J171" s="22">
        <f t="shared" si="4"/>
        <v>151418.48000000001</v>
      </c>
    </row>
    <row r="172" spans="2:10" hidden="1">
      <c r="B172" t="s">
        <v>181</v>
      </c>
      <c r="C172" s="22"/>
      <c r="D172" s="22"/>
      <c r="E172" s="22">
        <v>22504.5</v>
      </c>
      <c r="F172" s="22"/>
      <c r="G172" s="22"/>
      <c r="H172" s="22"/>
      <c r="I172" s="7"/>
      <c r="J172" s="22">
        <f t="shared" si="4"/>
        <v>22504.5</v>
      </c>
    </row>
    <row r="173" spans="2:10" hidden="1">
      <c r="B173" t="s">
        <v>182</v>
      </c>
      <c r="C173" s="22"/>
      <c r="D173" s="22"/>
      <c r="E173" s="22"/>
      <c r="F173" s="22"/>
      <c r="G173" s="22"/>
      <c r="H173" s="22">
        <v>10569.73</v>
      </c>
      <c r="I173" s="7"/>
      <c r="J173" s="22">
        <f t="shared" si="4"/>
        <v>10569.73</v>
      </c>
    </row>
    <row r="174" spans="2:10" hidden="1">
      <c r="B174" t="s">
        <v>183</v>
      </c>
      <c r="C174" s="22"/>
      <c r="D174" s="22"/>
      <c r="E174" s="22">
        <v>45003.11</v>
      </c>
      <c r="F174" s="22">
        <v>72553.11</v>
      </c>
      <c r="G174" s="22"/>
      <c r="H174" s="22">
        <v>57679.329999999994</v>
      </c>
      <c r="I174" s="7">
        <v>6145.1</v>
      </c>
      <c r="J174" s="22">
        <f t="shared" si="4"/>
        <v>181380.65</v>
      </c>
    </row>
    <row r="175" spans="2:10" hidden="1">
      <c r="B175" t="s">
        <v>184</v>
      </c>
      <c r="C175" s="22"/>
      <c r="D175" s="22"/>
      <c r="E175" s="22"/>
      <c r="F175" s="22">
        <v>181.88</v>
      </c>
      <c r="G175" s="22"/>
      <c r="H175" s="22"/>
      <c r="I175" s="7"/>
      <c r="J175" s="22">
        <f t="shared" si="4"/>
        <v>181.88</v>
      </c>
    </row>
    <row r="176" spans="2:10" hidden="1">
      <c r="B176" t="s">
        <v>185</v>
      </c>
      <c r="C176" s="22"/>
      <c r="D176" s="22"/>
      <c r="E176" s="22"/>
      <c r="F176" s="22">
        <v>1915.28</v>
      </c>
      <c r="G176" s="22"/>
      <c r="H176" s="22"/>
      <c r="I176" s="7"/>
      <c r="J176" s="22">
        <f t="shared" si="4"/>
        <v>1915.28</v>
      </c>
    </row>
    <row r="177" spans="2:10" hidden="1">
      <c r="B177" t="s">
        <v>186</v>
      </c>
      <c r="C177" s="22"/>
      <c r="D177" s="22"/>
      <c r="E177" s="22"/>
      <c r="F177" s="22">
        <v>498.04</v>
      </c>
      <c r="G177" s="22"/>
      <c r="H177" s="22"/>
      <c r="I177" s="7"/>
      <c r="J177" s="22">
        <f t="shared" si="4"/>
        <v>498.04</v>
      </c>
    </row>
    <row r="178" spans="2:10" hidden="1">
      <c r="B178" t="s">
        <v>187</v>
      </c>
      <c r="C178" s="22"/>
      <c r="D178" s="22"/>
      <c r="E178" s="22"/>
      <c r="F178" s="22">
        <v>439.29</v>
      </c>
      <c r="G178" s="22"/>
      <c r="H178" s="22"/>
      <c r="I178" s="7"/>
      <c r="J178" s="22">
        <f t="shared" si="4"/>
        <v>439.29</v>
      </c>
    </row>
    <row r="179" spans="2:10" hidden="1">
      <c r="B179" t="s">
        <v>188</v>
      </c>
      <c r="C179" s="22"/>
      <c r="D179" s="22"/>
      <c r="E179" s="22"/>
      <c r="F179" s="22">
        <v>357.11</v>
      </c>
      <c r="G179" s="22"/>
      <c r="H179" s="22"/>
      <c r="I179" s="7"/>
      <c r="J179" s="22">
        <f t="shared" si="4"/>
        <v>357.11</v>
      </c>
    </row>
    <row r="180" spans="2:10" hidden="1">
      <c r="B180" t="s">
        <v>189</v>
      </c>
      <c r="C180" s="22"/>
      <c r="D180" s="22"/>
      <c r="E180" s="22"/>
      <c r="F180" s="22">
        <v>638.54</v>
      </c>
      <c r="G180" s="22"/>
      <c r="H180" s="22"/>
      <c r="I180" s="7"/>
      <c r="J180" s="22">
        <f t="shared" si="4"/>
        <v>638.54</v>
      </c>
    </row>
    <row r="181" spans="2:10" hidden="1">
      <c r="B181" t="s">
        <v>190</v>
      </c>
      <c r="C181" s="22"/>
      <c r="D181" s="22"/>
      <c r="E181" s="22"/>
      <c r="F181" s="22"/>
      <c r="G181" s="22"/>
      <c r="H181" s="22">
        <v>13367.42</v>
      </c>
      <c r="I181" s="7"/>
      <c r="J181" s="22">
        <f t="shared" si="4"/>
        <v>13367.42</v>
      </c>
    </row>
    <row r="182" spans="2:10" hidden="1">
      <c r="B182" t="s">
        <v>191</v>
      </c>
      <c r="C182" s="22"/>
      <c r="D182" s="22"/>
      <c r="E182" s="22"/>
      <c r="F182" s="22">
        <v>120.41</v>
      </c>
      <c r="G182" s="22"/>
      <c r="H182" s="22"/>
      <c r="I182" s="7"/>
      <c r="J182" s="22">
        <f t="shared" si="4"/>
        <v>120.41</v>
      </c>
    </row>
    <row r="183" spans="2:10" hidden="1">
      <c r="B183" t="s">
        <v>192</v>
      </c>
      <c r="C183" s="22"/>
      <c r="D183" s="22"/>
      <c r="E183" s="22"/>
      <c r="F183" s="22">
        <v>98.08</v>
      </c>
      <c r="G183" s="22"/>
      <c r="H183" s="22"/>
      <c r="I183" s="7"/>
      <c r="J183" s="22">
        <f t="shared" si="4"/>
        <v>98.08</v>
      </c>
    </row>
    <row r="184" spans="2:10" hidden="1">
      <c r="B184" t="s">
        <v>193</v>
      </c>
      <c r="C184" s="22"/>
      <c r="D184" s="22"/>
      <c r="E184" s="22"/>
      <c r="F184" s="22">
        <v>4303.25</v>
      </c>
      <c r="G184" s="22"/>
      <c r="H184" s="22"/>
      <c r="I184" s="7"/>
      <c r="J184" s="22">
        <f t="shared" si="4"/>
        <v>4303.25</v>
      </c>
    </row>
    <row r="185" spans="2:10" hidden="1">
      <c r="B185" t="s">
        <v>194</v>
      </c>
      <c r="C185" s="22"/>
      <c r="D185" s="22"/>
      <c r="E185" s="22">
        <v>8077.52</v>
      </c>
      <c r="F185" s="22">
        <v>3593.3500000000004</v>
      </c>
      <c r="G185" s="22"/>
      <c r="H185" s="22"/>
      <c r="I185" s="7"/>
      <c r="J185" s="22">
        <f t="shared" si="4"/>
        <v>11670.87</v>
      </c>
    </row>
    <row r="186" spans="2:10" hidden="1">
      <c r="B186" t="s">
        <v>195</v>
      </c>
      <c r="C186" s="22">
        <v>5266.48</v>
      </c>
      <c r="D186" s="22">
        <v>11830.86</v>
      </c>
      <c r="E186" s="22">
        <v>248342.08000000002</v>
      </c>
      <c r="F186" s="22">
        <v>50725.88</v>
      </c>
      <c r="G186" s="22"/>
      <c r="H186" s="22">
        <v>56429.179999999993</v>
      </c>
      <c r="I186" s="7"/>
      <c r="J186" s="22">
        <f t="shared" si="4"/>
        <v>372594.48000000004</v>
      </c>
    </row>
    <row r="187" spans="2:10" hidden="1">
      <c r="B187" t="s">
        <v>196</v>
      </c>
      <c r="C187" s="22"/>
      <c r="D187" s="22"/>
      <c r="E187" s="22"/>
      <c r="F187" s="22">
        <v>324.91000000000003</v>
      </c>
      <c r="G187" s="22"/>
      <c r="H187" s="22"/>
      <c r="I187" s="7"/>
      <c r="J187" s="22">
        <f t="shared" si="4"/>
        <v>324.91000000000003</v>
      </c>
    </row>
    <row r="188" spans="2:10" hidden="1">
      <c r="B188" t="s">
        <v>197</v>
      </c>
      <c r="C188" s="22"/>
      <c r="D188" s="22"/>
      <c r="E188" s="22">
        <v>12888.79</v>
      </c>
      <c r="F188" s="22">
        <v>16165.17</v>
      </c>
      <c r="G188" s="22"/>
      <c r="H188" s="22"/>
      <c r="I188" s="7"/>
      <c r="J188" s="22">
        <f t="shared" si="4"/>
        <v>29053.96</v>
      </c>
    </row>
    <row r="189" spans="2:10" hidden="1">
      <c r="B189" t="s">
        <v>198</v>
      </c>
      <c r="C189" s="22"/>
      <c r="D189" s="22"/>
      <c r="E189" s="22"/>
      <c r="F189" s="22">
        <v>924.7</v>
      </c>
      <c r="G189" s="22"/>
      <c r="H189" s="22"/>
      <c r="I189" s="7"/>
      <c r="J189" s="22">
        <f t="shared" si="4"/>
        <v>924.7</v>
      </c>
    </row>
    <row r="190" spans="2:10" hidden="1">
      <c r="B190" t="s">
        <v>199</v>
      </c>
      <c r="C190" s="22">
        <v>919378.55999999994</v>
      </c>
      <c r="D190" s="22">
        <v>15283.08</v>
      </c>
      <c r="E190" s="22">
        <v>2782688.3800000004</v>
      </c>
      <c r="F190" s="22">
        <v>814567.47999999975</v>
      </c>
      <c r="G190" s="22">
        <v>68527.66</v>
      </c>
      <c r="H190" s="22">
        <v>316595.88</v>
      </c>
      <c r="I190" s="7">
        <v>27989.91</v>
      </c>
      <c r="J190" s="22">
        <f t="shared" si="4"/>
        <v>4945030.95</v>
      </c>
    </row>
    <row r="191" spans="2:10" hidden="1">
      <c r="B191" t="s">
        <v>200</v>
      </c>
      <c r="C191" s="22">
        <v>19580.16</v>
      </c>
      <c r="D191" s="22"/>
      <c r="E191" s="22">
        <v>199969.89</v>
      </c>
      <c r="F191" s="22">
        <v>139761.03</v>
      </c>
      <c r="G191" s="22"/>
      <c r="H191" s="22"/>
      <c r="I191" s="7"/>
      <c r="J191" s="22">
        <f t="shared" si="4"/>
        <v>359311.08</v>
      </c>
    </row>
    <row r="192" spans="2:10" hidden="1">
      <c r="B192" t="s">
        <v>201</v>
      </c>
      <c r="C192" s="22"/>
      <c r="D192" s="22"/>
      <c r="E192" s="22"/>
      <c r="F192" s="22">
        <v>10688.8</v>
      </c>
      <c r="G192" s="22"/>
      <c r="H192" s="22"/>
      <c r="I192" s="7"/>
      <c r="J192" s="22">
        <f t="shared" si="4"/>
        <v>10688.8</v>
      </c>
    </row>
    <row r="193" spans="2:10" hidden="1">
      <c r="B193" t="s">
        <v>202</v>
      </c>
      <c r="C193" s="22">
        <v>9016.2199999999993</v>
      </c>
      <c r="D193" s="22"/>
      <c r="E193" s="22">
        <v>12715.6</v>
      </c>
      <c r="F193" s="22"/>
      <c r="G193" s="22">
        <v>69682.17</v>
      </c>
      <c r="H193" s="22"/>
      <c r="I193" s="7"/>
      <c r="J193" s="22">
        <f t="shared" si="4"/>
        <v>91413.989999999991</v>
      </c>
    </row>
    <row r="194" spans="2:10" hidden="1">
      <c r="B194" t="s">
        <v>203</v>
      </c>
      <c r="C194" s="22"/>
      <c r="D194" s="22"/>
      <c r="E194" s="22">
        <v>160722.4</v>
      </c>
      <c r="F194" s="22">
        <v>190494.77000000002</v>
      </c>
      <c r="G194" s="22"/>
      <c r="H194" s="22"/>
      <c r="I194" s="7"/>
      <c r="J194" s="22">
        <f t="shared" si="4"/>
        <v>351217.17000000004</v>
      </c>
    </row>
    <row r="195" spans="2:10" hidden="1">
      <c r="B195" t="s">
        <v>204</v>
      </c>
      <c r="C195" s="22">
        <v>20177.349999999999</v>
      </c>
      <c r="D195" s="22"/>
      <c r="E195" s="22">
        <v>40065.480000000003</v>
      </c>
      <c r="F195" s="22">
        <v>158286.15</v>
      </c>
      <c r="G195" s="22"/>
      <c r="H195" s="22"/>
      <c r="I195" s="7">
        <v>1655.77</v>
      </c>
      <c r="J195" s="22">
        <f t="shared" si="4"/>
        <v>220184.74999999997</v>
      </c>
    </row>
    <row r="196" spans="2:10" hidden="1">
      <c r="B196" t="s">
        <v>205</v>
      </c>
      <c r="C196" s="22"/>
      <c r="D196" s="22"/>
      <c r="E196" s="22"/>
      <c r="F196" s="22">
        <v>48405.33</v>
      </c>
      <c r="G196" s="22"/>
      <c r="H196" s="22"/>
      <c r="I196" s="7"/>
      <c r="J196" s="22">
        <f t="shared" si="4"/>
        <v>48405.33</v>
      </c>
    </row>
    <row r="197" spans="2:10" hidden="1">
      <c r="B197" t="s">
        <v>206</v>
      </c>
      <c r="C197" s="22"/>
      <c r="D197" s="22"/>
      <c r="E197" s="22"/>
      <c r="F197" s="22">
        <v>55468.93</v>
      </c>
      <c r="G197" s="22"/>
      <c r="H197" s="22"/>
      <c r="I197" s="7"/>
      <c r="J197" s="22">
        <f t="shared" si="4"/>
        <v>55468.93</v>
      </c>
    </row>
    <row r="198" spans="2:10" hidden="1">
      <c r="B198" t="s">
        <v>207</v>
      </c>
      <c r="C198" s="22"/>
      <c r="D198" s="22"/>
      <c r="E198" s="22"/>
      <c r="F198" s="22">
        <v>6324.8</v>
      </c>
      <c r="G198" s="22"/>
      <c r="H198" s="22"/>
      <c r="I198" s="7"/>
      <c r="J198" s="22">
        <f t="shared" si="4"/>
        <v>6324.8</v>
      </c>
    </row>
    <row r="199" spans="2:10" hidden="1">
      <c r="B199" t="s">
        <v>208</v>
      </c>
      <c r="C199" s="22"/>
      <c r="D199" s="22"/>
      <c r="E199" s="22">
        <v>23190.2</v>
      </c>
      <c r="F199" s="22"/>
      <c r="G199" s="22"/>
      <c r="H199" s="22"/>
      <c r="I199" s="7"/>
      <c r="J199" s="22">
        <f t="shared" si="4"/>
        <v>23190.2</v>
      </c>
    </row>
    <row r="200" spans="2:10" hidden="1">
      <c r="B200" t="s">
        <v>209</v>
      </c>
      <c r="C200" s="22"/>
      <c r="D200" s="22"/>
      <c r="E200" s="22">
        <v>24793.3</v>
      </c>
      <c r="F200" s="22"/>
      <c r="G200" s="22"/>
      <c r="H200" s="22"/>
      <c r="I200" s="7"/>
      <c r="J200" s="22">
        <f t="shared" si="4"/>
        <v>24793.3</v>
      </c>
    </row>
    <row r="201" spans="2:10" hidden="1">
      <c r="B201" t="s">
        <v>210</v>
      </c>
      <c r="C201" s="22"/>
      <c r="D201" s="22"/>
      <c r="E201" s="22">
        <v>21171.200000000001</v>
      </c>
      <c r="F201" s="22">
        <v>109265.96</v>
      </c>
      <c r="G201" s="22">
        <v>71802.070000000007</v>
      </c>
      <c r="H201" s="22">
        <v>8452.23</v>
      </c>
      <c r="I201" s="7">
        <v>228972.67999999996</v>
      </c>
      <c r="J201" s="22">
        <f t="shared" si="4"/>
        <v>439664.14</v>
      </c>
    </row>
    <row r="202" spans="2:10" hidden="1">
      <c r="B202" t="s">
        <v>211</v>
      </c>
      <c r="C202" s="22">
        <v>88758.76999999999</v>
      </c>
      <c r="D202" s="22">
        <v>11893.1</v>
      </c>
      <c r="E202" s="22">
        <v>293532.06000000006</v>
      </c>
      <c r="F202" s="22">
        <v>97868.55</v>
      </c>
      <c r="G202" s="22"/>
      <c r="H202" s="22">
        <v>33359.56</v>
      </c>
      <c r="I202" s="7">
        <v>14193.630000000001</v>
      </c>
      <c r="J202" s="22">
        <f t="shared" si="4"/>
        <v>539605.67000000004</v>
      </c>
    </row>
    <row r="203" spans="2:10" hidden="1">
      <c r="B203" t="s">
        <v>212</v>
      </c>
      <c r="C203" s="22"/>
      <c r="D203" s="22"/>
      <c r="E203" s="22">
        <v>96107.060000000012</v>
      </c>
      <c r="F203" s="22">
        <v>34691.65</v>
      </c>
      <c r="G203" s="22"/>
      <c r="H203" s="22"/>
      <c r="I203" s="7"/>
      <c r="J203" s="22">
        <f t="shared" si="4"/>
        <v>130798.71000000002</v>
      </c>
    </row>
    <row r="204" spans="2:10" hidden="1">
      <c r="B204" t="s">
        <v>213</v>
      </c>
      <c r="C204" s="22"/>
      <c r="D204" s="22"/>
      <c r="E204" s="22">
        <v>8331.43</v>
      </c>
      <c r="F204" s="22">
        <v>63256.939999999995</v>
      </c>
      <c r="G204" s="22"/>
      <c r="H204" s="22"/>
      <c r="I204" s="7">
        <v>791.74</v>
      </c>
      <c r="J204" s="22">
        <f t="shared" si="4"/>
        <v>72380.11</v>
      </c>
    </row>
    <row r="205" spans="2:10" hidden="1">
      <c r="B205" t="s">
        <v>214</v>
      </c>
      <c r="C205" s="22">
        <v>729257.39</v>
      </c>
      <c r="D205" s="22">
        <v>5476.4</v>
      </c>
      <c r="E205" s="22">
        <v>2377887.6399999987</v>
      </c>
      <c r="F205" s="22">
        <v>1009694.2199999997</v>
      </c>
      <c r="G205" s="22">
        <v>62852.54</v>
      </c>
      <c r="H205" s="22">
        <v>110240.69000000002</v>
      </c>
      <c r="I205" s="7">
        <v>89404.03</v>
      </c>
      <c r="J205" s="22">
        <f t="shared" si="4"/>
        <v>4384812.9099999992</v>
      </c>
    </row>
    <row r="206" spans="2:10" hidden="1">
      <c r="B206" t="s">
        <v>215</v>
      </c>
      <c r="C206" s="22">
        <v>9418.94</v>
      </c>
      <c r="D206" s="22"/>
      <c r="E206" s="22">
        <v>137430.11000000002</v>
      </c>
      <c r="F206" s="22">
        <v>85175.799999999988</v>
      </c>
      <c r="G206" s="22"/>
      <c r="H206" s="22"/>
      <c r="I206" s="7"/>
      <c r="J206" s="22">
        <f t="shared" si="4"/>
        <v>232024.85</v>
      </c>
    </row>
    <row r="207" spans="2:10" hidden="1">
      <c r="B207" t="s">
        <v>216</v>
      </c>
      <c r="C207" s="22"/>
      <c r="D207" s="22"/>
      <c r="E207" s="22">
        <v>25322.309999999998</v>
      </c>
      <c r="F207" s="22">
        <v>69002.319999999992</v>
      </c>
      <c r="G207" s="22"/>
      <c r="H207" s="22"/>
      <c r="I207" s="7"/>
      <c r="J207" s="22">
        <f t="shared" si="4"/>
        <v>94324.62999999999</v>
      </c>
    </row>
    <row r="208" spans="2:10" hidden="1">
      <c r="B208" t="s">
        <v>217</v>
      </c>
      <c r="C208" s="22"/>
      <c r="D208" s="22"/>
      <c r="E208" s="22"/>
      <c r="F208" s="22"/>
      <c r="G208" s="22"/>
      <c r="H208" s="22"/>
      <c r="I208" s="7">
        <v>10546.72</v>
      </c>
      <c r="J208" s="22">
        <f t="shared" si="4"/>
        <v>10546.72</v>
      </c>
    </row>
    <row r="209" spans="2:10" hidden="1">
      <c r="B209" t="s">
        <v>218</v>
      </c>
      <c r="C209" s="22"/>
      <c r="D209" s="22"/>
      <c r="E209" s="22">
        <v>19520.98</v>
      </c>
      <c r="F209" s="22"/>
      <c r="G209" s="22"/>
      <c r="H209" s="22"/>
      <c r="I209" s="7"/>
      <c r="J209" s="22">
        <f t="shared" si="4"/>
        <v>19520.98</v>
      </c>
    </row>
    <row r="210" spans="2:10" hidden="1">
      <c r="B210" t="s">
        <v>219</v>
      </c>
      <c r="C210" s="22"/>
      <c r="D210" s="22"/>
      <c r="E210" s="22"/>
      <c r="F210" s="22">
        <v>37854.720000000001</v>
      </c>
      <c r="G210" s="22"/>
      <c r="H210" s="22"/>
      <c r="I210" s="7"/>
      <c r="J210" s="22">
        <f t="shared" si="4"/>
        <v>37854.720000000001</v>
      </c>
    </row>
    <row r="211" spans="2:10" hidden="1">
      <c r="B211" t="s">
        <v>220</v>
      </c>
      <c r="C211" s="22">
        <v>80226.079999999987</v>
      </c>
      <c r="D211" s="22"/>
      <c r="E211" s="22">
        <v>92654.36</v>
      </c>
      <c r="F211" s="22">
        <v>32611.200000000001</v>
      </c>
      <c r="G211" s="22">
        <v>41828.92</v>
      </c>
      <c r="H211" s="22"/>
      <c r="I211" s="7"/>
      <c r="J211" s="22">
        <f t="shared" si="4"/>
        <v>247320.56</v>
      </c>
    </row>
    <row r="212" spans="2:10" hidden="1">
      <c r="B212" t="s">
        <v>221</v>
      </c>
      <c r="C212" s="22">
        <v>102435.28000000001</v>
      </c>
      <c r="D212" s="22"/>
      <c r="E212" s="22">
        <v>225711.67</v>
      </c>
      <c r="F212" s="22">
        <v>105502.72</v>
      </c>
      <c r="G212" s="22"/>
      <c r="H212" s="22">
        <v>5153.8999999999996</v>
      </c>
      <c r="I212" s="7">
        <v>5247.06</v>
      </c>
      <c r="J212" s="22">
        <f t="shared" si="4"/>
        <v>444050.63000000006</v>
      </c>
    </row>
    <row r="213" spans="2:10" hidden="1">
      <c r="B213" t="s">
        <v>222</v>
      </c>
      <c r="C213" s="22">
        <v>68135.100000000006</v>
      </c>
      <c r="D213" s="22"/>
      <c r="E213" s="22">
        <v>392484.15999999992</v>
      </c>
      <c r="F213" s="22">
        <v>413595.79000000004</v>
      </c>
      <c r="G213" s="22"/>
      <c r="H213" s="22"/>
      <c r="I213" s="7"/>
      <c r="J213" s="22">
        <f t="shared" si="4"/>
        <v>874215.04999999993</v>
      </c>
    </row>
    <row r="214" spans="2:10" hidden="1">
      <c r="B214" t="s">
        <v>223</v>
      </c>
      <c r="C214" s="22">
        <v>7712.54</v>
      </c>
      <c r="D214" s="22"/>
      <c r="E214" s="22">
        <v>24581.41</v>
      </c>
      <c r="F214" s="22"/>
      <c r="G214" s="22"/>
      <c r="H214" s="22"/>
      <c r="I214" s="7"/>
      <c r="J214" s="22">
        <f t="shared" si="4"/>
        <v>32293.95</v>
      </c>
    </row>
    <row r="215" spans="2:10" hidden="1">
      <c r="B215" t="s">
        <v>224</v>
      </c>
      <c r="C215" s="22"/>
      <c r="D215" s="22"/>
      <c r="E215" s="22">
        <v>8386.24</v>
      </c>
      <c r="F215" s="22"/>
      <c r="G215" s="22"/>
      <c r="H215" s="22"/>
      <c r="I215" s="7"/>
      <c r="J215" s="22">
        <f t="shared" si="4"/>
        <v>8386.24</v>
      </c>
    </row>
    <row r="216" spans="2:10" hidden="1">
      <c r="B216" t="s">
        <v>225</v>
      </c>
      <c r="C216" s="22">
        <v>67694.25</v>
      </c>
      <c r="D216" s="22"/>
      <c r="E216" s="22">
        <v>284905.25</v>
      </c>
      <c r="F216" s="22">
        <v>451.23</v>
      </c>
      <c r="G216" s="22">
        <v>15370.02</v>
      </c>
      <c r="H216" s="22">
        <v>33225.35</v>
      </c>
      <c r="I216" s="7"/>
      <c r="J216" s="22">
        <f t="shared" si="4"/>
        <v>401646.1</v>
      </c>
    </row>
    <row r="217" spans="2:10" hidden="1">
      <c r="B217" t="s">
        <v>226</v>
      </c>
      <c r="C217" s="22"/>
      <c r="D217" s="22"/>
      <c r="E217" s="22"/>
      <c r="F217" s="22">
        <v>982.24</v>
      </c>
      <c r="G217" s="22"/>
      <c r="H217" s="22"/>
      <c r="I217" s="7"/>
      <c r="J217" s="22">
        <f t="shared" si="4"/>
        <v>982.24</v>
      </c>
    </row>
    <row r="218" spans="2:10" hidden="1">
      <c r="B218" t="s">
        <v>227</v>
      </c>
      <c r="C218" s="22"/>
      <c r="D218" s="22"/>
      <c r="E218" s="22">
        <v>8743.7099999999991</v>
      </c>
      <c r="F218" s="22">
        <v>32729.460000000003</v>
      </c>
      <c r="G218" s="22"/>
      <c r="H218" s="22">
        <v>14415.1</v>
      </c>
      <c r="I218" s="7"/>
      <c r="J218" s="22">
        <f t="shared" si="4"/>
        <v>55888.27</v>
      </c>
    </row>
    <row r="219" spans="2:10" hidden="1">
      <c r="B219" t="s">
        <v>228</v>
      </c>
      <c r="C219" s="22"/>
      <c r="D219" s="22"/>
      <c r="E219" s="22"/>
      <c r="F219" s="22">
        <v>1012.83</v>
      </c>
      <c r="G219" s="22"/>
      <c r="H219" s="22"/>
      <c r="I219" s="7"/>
      <c r="J219" s="22">
        <f t="shared" si="4"/>
        <v>1012.83</v>
      </c>
    </row>
    <row r="220" spans="2:10" hidden="1">
      <c r="B220" t="s">
        <v>229</v>
      </c>
      <c r="C220" s="22"/>
      <c r="D220" s="22"/>
      <c r="E220" s="22">
        <v>7233.32</v>
      </c>
      <c r="F220" s="22">
        <v>27125.65</v>
      </c>
      <c r="G220" s="22"/>
      <c r="H220" s="22"/>
      <c r="I220" s="7">
        <v>1879.94</v>
      </c>
      <c r="J220" s="22">
        <f t="shared" si="4"/>
        <v>36238.910000000003</v>
      </c>
    </row>
    <row r="221" spans="2:10" hidden="1">
      <c r="B221" t="s">
        <v>230</v>
      </c>
      <c r="C221" s="22">
        <v>246426.71</v>
      </c>
      <c r="D221" s="22"/>
      <c r="E221" s="22">
        <v>1163595.3799999999</v>
      </c>
      <c r="F221" s="22">
        <v>670063.89000000025</v>
      </c>
      <c r="G221" s="22">
        <v>13146.71</v>
      </c>
      <c r="H221" s="22">
        <v>97778.559999999998</v>
      </c>
      <c r="I221" s="7">
        <v>2059.41</v>
      </c>
      <c r="J221" s="22">
        <f t="shared" si="4"/>
        <v>2193070.66</v>
      </c>
    </row>
    <row r="222" spans="2:10" hidden="1">
      <c r="B222" t="s">
        <v>231</v>
      </c>
      <c r="C222" s="22"/>
      <c r="D222" s="22"/>
      <c r="E222" s="22"/>
      <c r="F222" s="22"/>
      <c r="G222" s="22"/>
      <c r="H222" s="22">
        <v>9096.27</v>
      </c>
      <c r="I222" s="7"/>
      <c r="J222" s="22">
        <f t="shared" si="4"/>
        <v>9096.27</v>
      </c>
    </row>
    <row r="223" spans="2:10" hidden="1">
      <c r="B223" t="s">
        <v>232</v>
      </c>
      <c r="C223" s="22"/>
      <c r="D223" s="22"/>
      <c r="E223" s="22"/>
      <c r="F223" s="22">
        <v>273.64999999999998</v>
      </c>
      <c r="G223" s="22"/>
      <c r="H223" s="22"/>
      <c r="I223" s="7"/>
      <c r="J223" s="22">
        <f t="shared" si="4"/>
        <v>273.64999999999998</v>
      </c>
    </row>
    <row r="224" spans="2:10" hidden="1">
      <c r="B224" t="s">
        <v>233</v>
      </c>
      <c r="C224" s="22"/>
      <c r="D224" s="22"/>
      <c r="E224" s="22"/>
      <c r="F224" s="22">
        <v>747.76</v>
      </c>
      <c r="G224" s="22"/>
      <c r="H224" s="22"/>
      <c r="I224" s="7"/>
      <c r="J224" s="22">
        <f t="shared" si="4"/>
        <v>747.76</v>
      </c>
    </row>
    <row r="225" spans="2:10" hidden="1">
      <c r="B225" t="s">
        <v>234</v>
      </c>
      <c r="C225" s="22"/>
      <c r="D225" s="22"/>
      <c r="E225" s="22"/>
      <c r="F225" s="22">
        <v>776.09</v>
      </c>
      <c r="G225" s="22"/>
      <c r="H225" s="22"/>
      <c r="I225" s="7"/>
      <c r="J225" s="22">
        <f t="shared" si="4"/>
        <v>776.09</v>
      </c>
    </row>
    <row r="226" spans="2:10" hidden="1">
      <c r="B226" t="s">
        <v>235</v>
      </c>
      <c r="C226" s="22"/>
      <c r="D226" s="22"/>
      <c r="E226" s="22"/>
      <c r="F226" s="22">
        <v>749.76</v>
      </c>
      <c r="G226" s="22"/>
      <c r="H226" s="22"/>
      <c r="I226" s="7"/>
      <c r="J226" s="22">
        <f t="shared" si="4"/>
        <v>749.76</v>
      </c>
    </row>
    <row r="227" spans="2:10" hidden="1">
      <c r="B227" t="s">
        <v>236</v>
      </c>
      <c r="C227" s="22"/>
      <c r="D227" s="22"/>
      <c r="E227" s="22"/>
      <c r="F227" s="22">
        <v>623.86</v>
      </c>
      <c r="G227" s="22"/>
      <c r="H227" s="22"/>
      <c r="I227" s="7"/>
      <c r="J227" s="22">
        <f t="shared" si="4"/>
        <v>623.86</v>
      </c>
    </row>
    <row r="228" spans="2:10" hidden="1">
      <c r="B228" t="s">
        <v>237</v>
      </c>
      <c r="C228" s="22"/>
      <c r="D228" s="22"/>
      <c r="E228" s="22">
        <v>262903.46000000002</v>
      </c>
      <c r="F228" s="22">
        <v>45693.93</v>
      </c>
      <c r="G228" s="22">
        <v>30764.5</v>
      </c>
      <c r="H228" s="22">
        <v>46680.130000000005</v>
      </c>
      <c r="I228" s="7"/>
      <c r="J228" s="22">
        <f t="shared" si="4"/>
        <v>386042.02</v>
      </c>
    </row>
    <row r="229" spans="2:10" hidden="1">
      <c r="B229" t="s">
        <v>238</v>
      </c>
      <c r="C229" s="22"/>
      <c r="D229" s="22"/>
      <c r="E229" s="22"/>
      <c r="F229" s="22">
        <v>59824.3</v>
      </c>
      <c r="G229" s="22"/>
      <c r="H229" s="22"/>
      <c r="I229" s="7"/>
      <c r="J229" s="22">
        <f t="shared" si="4"/>
        <v>59824.3</v>
      </c>
    </row>
    <row r="230" spans="2:10" hidden="1">
      <c r="B230" t="s">
        <v>239</v>
      </c>
      <c r="C230" s="22">
        <v>129193.09</v>
      </c>
      <c r="D230" s="22"/>
      <c r="E230" s="22">
        <v>2648381.2000000007</v>
      </c>
      <c r="F230" s="22">
        <v>2073932.02</v>
      </c>
      <c r="G230" s="22"/>
      <c r="H230" s="22"/>
      <c r="I230" s="7"/>
      <c r="J230" s="22">
        <f t="shared" si="4"/>
        <v>4851506.3100000005</v>
      </c>
    </row>
    <row r="231" spans="2:10" hidden="1">
      <c r="B231" t="s">
        <v>240</v>
      </c>
      <c r="C231" s="22">
        <v>156639.28</v>
      </c>
      <c r="D231" s="22"/>
      <c r="E231" s="22">
        <v>256575.47999999998</v>
      </c>
      <c r="F231" s="22"/>
      <c r="G231" s="22"/>
      <c r="H231" s="22"/>
      <c r="I231" s="7"/>
      <c r="J231" s="22">
        <f t="shared" si="4"/>
        <v>413214.76</v>
      </c>
    </row>
    <row r="232" spans="2:10" hidden="1">
      <c r="B232" t="s">
        <v>241</v>
      </c>
      <c r="C232" s="22">
        <v>18053.490000000002</v>
      </c>
      <c r="D232" s="22"/>
      <c r="E232" s="22">
        <v>7506.36</v>
      </c>
      <c r="F232" s="22">
        <v>1202318.8000000003</v>
      </c>
      <c r="G232" s="22"/>
      <c r="H232" s="22"/>
      <c r="I232" s="7"/>
      <c r="J232" s="22">
        <f t="shared" si="4"/>
        <v>1227878.6500000004</v>
      </c>
    </row>
    <row r="233" spans="2:10" hidden="1">
      <c r="B233" t="s">
        <v>242</v>
      </c>
      <c r="C233" s="22">
        <v>78246.59</v>
      </c>
      <c r="D233" s="22"/>
      <c r="E233" s="22"/>
      <c r="F233" s="22">
        <v>553447.76</v>
      </c>
      <c r="G233" s="22"/>
      <c r="H233" s="22"/>
      <c r="I233" s="7"/>
      <c r="J233" s="22">
        <f t="shared" si="4"/>
        <v>631694.35</v>
      </c>
    </row>
    <row r="234" spans="2:10" hidden="1">
      <c r="B234" t="s">
        <v>243</v>
      </c>
      <c r="C234" s="22"/>
      <c r="D234" s="22"/>
      <c r="E234" s="22">
        <v>1260937.53</v>
      </c>
      <c r="F234" s="22">
        <v>1114822.3700000001</v>
      </c>
      <c r="G234" s="22"/>
      <c r="H234" s="22"/>
      <c r="I234" s="7"/>
      <c r="J234" s="22">
        <f t="shared" ref="J234:J297" si="5">SUM(C234:I234)</f>
        <v>2375759.9000000004</v>
      </c>
    </row>
    <row r="235" spans="2:10" hidden="1">
      <c r="B235" t="s">
        <v>244</v>
      </c>
      <c r="C235" s="22"/>
      <c r="D235" s="22"/>
      <c r="E235" s="22">
        <v>85675.72</v>
      </c>
      <c r="F235" s="22">
        <v>40481.660000000003</v>
      </c>
      <c r="G235" s="22"/>
      <c r="H235" s="22"/>
      <c r="I235" s="7"/>
      <c r="J235" s="22">
        <f t="shared" si="5"/>
        <v>126157.38</v>
      </c>
    </row>
    <row r="236" spans="2:10" hidden="1">
      <c r="B236" t="s">
        <v>245</v>
      </c>
      <c r="C236" s="22"/>
      <c r="D236" s="22"/>
      <c r="E236" s="22">
        <v>98773.73</v>
      </c>
      <c r="F236" s="22">
        <v>76040.100000000006</v>
      </c>
      <c r="G236" s="22">
        <v>206818.38</v>
      </c>
      <c r="H236" s="22">
        <v>314416.82</v>
      </c>
      <c r="I236" s="7">
        <v>56141.26</v>
      </c>
      <c r="J236" s="22">
        <f t="shared" si="5"/>
        <v>752190.29</v>
      </c>
    </row>
    <row r="237" spans="2:10" hidden="1">
      <c r="B237" t="s">
        <v>246</v>
      </c>
      <c r="C237" s="22"/>
      <c r="D237" s="22"/>
      <c r="E237" s="22"/>
      <c r="F237" s="22"/>
      <c r="G237" s="22"/>
      <c r="H237" s="22">
        <v>96540.58</v>
      </c>
      <c r="I237" s="7"/>
      <c r="J237" s="22">
        <f t="shared" si="5"/>
        <v>96540.58</v>
      </c>
    </row>
    <row r="238" spans="2:10" hidden="1">
      <c r="B238" t="s">
        <v>247</v>
      </c>
      <c r="C238" s="22"/>
      <c r="D238" s="22"/>
      <c r="E238" s="22"/>
      <c r="F238" s="22"/>
      <c r="G238" s="22"/>
      <c r="H238" s="22"/>
      <c r="I238" s="7">
        <v>634497.76</v>
      </c>
      <c r="J238" s="22">
        <f t="shared" si="5"/>
        <v>634497.76</v>
      </c>
    </row>
    <row r="239" spans="2:10" hidden="1">
      <c r="B239" t="s">
        <v>248</v>
      </c>
      <c r="C239" s="22"/>
      <c r="D239" s="22"/>
      <c r="E239" s="22"/>
      <c r="F239" s="22">
        <v>85825.4</v>
      </c>
      <c r="G239" s="22">
        <v>116575.92</v>
      </c>
      <c r="H239" s="22"/>
      <c r="I239" s="7">
        <v>414299.23</v>
      </c>
      <c r="J239" s="22">
        <f t="shared" si="5"/>
        <v>616700.55000000005</v>
      </c>
    </row>
    <row r="240" spans="2:10" hidden="1">
      <c r="B240" t="s">
        <v>249</v>
      </c>
      <c r="C240" s="22"/>
      <c r="D240" s="22"/>
      <c r="E240" s="22">
        <v>354077.88</v>
      </c>
      <c r="F240" s="22"/>
      <c r="G240" s="22"/>
      <c r="H240" s="22">
        <v>221117.97</v>
      </c>
      <c r="I240" s="7">
        <v>148373.81</v>
      </c>
      <c r="J240" s="22">
        <f t="shared" si="5"/>
        <v>723569.65999999992</v>
      </c>
    </row>
    <row r="241" spans="2:10" hidden="1">
      <c r="B241" t="s">
        <v>250</v>
      </c>
      <c r="C241" s="22">
        <v>181547.29</v>
      </c>
      <c r="D241" s="22"/>
      <c r="E241" s="22">
        <v>4821576.4799999995</v>
      </c>
      <c r="F241" s="22">
        <v>1860499.6000000006</v>
      </c>
      <c r="G241" s="22"/>
      <c r="H241" s="22">
        <v>1440600.9099999997</v>
      </c>
      <c r="I241" s="7">
        <v>1766853.4800000002</v>
      </c>
      <c r="J241" s="22">
        <f t="shared" si="5"/>
        <v>10071077.76</v>
      </c>
    </row>
    <row r="242" spans="2:10" hidden="1">
      <c r="B242" t="s">
        <v>251</v>
      </c>
      <c r="C242" s="22">
        <v>182219.63999999998</v>
      </c>
      <c r="D242" s="22"/>
      <c r="E242" s="22">
        <v>135126.81</v>
      </c>
      <c r="F242" s="22">
        <v>30860.98</v>
      </c>
      <c r="G242" s="22"/>
      <c r="H242" s="22">
        <v>7473.44</v>
      </c>
      <c r="I242" s="7"/>
      <c r="J242" s="22">
        <f t="shared" si="5"/>
        <v>355680.86999999994</v>
      </c>
    </row>
    <row r="243" spans="2:10" hidden="1">
      <c r="B243" t="s">
        <v>252</v>
      </c>
      <c r="C243" s="22">
        <v>38285.660000000003</v>
      </c>
      <c r="D243" s="22"/>
      <c r="E243" s="22">
        <v>195459.27</v>
      </c>
      <c r="F243" s="22">
        <v>1492720.8</v>
      </c>
      <c r="G243" s="22"/>
      <c r="H243" s="22">
        <v>97238.6</v>
      </c>
      <c r="I243" s="7">
        <v>2812792.95</v>
      </c>
      <c r="J243" s="22">
        <f t="shared" si="5"/>
        <v>4636497.28</v>
      </c>
    </row>
    <row r="244" spans="2:10" hidden="1">
      <c r="B244" t="s">
        <v>253</v>
      </c>
      <c r="C244" s="22">
        <v>10254.14</v>
      </c>
      <c r="D244" s="22"/>
      <c r="E244" s="22"/>
      <c r="F244" s="22">
        <v>1222732.46</v>
      </c>
      <c r="G244" s="22"/>
      <c r="H244" s="22">
        <v>98659.56</v>
      </c>
      <c r="I244" s="7">
        <v>847676.03</v>
      </c>
      <c r="J244" s="22">
        <f t="shared" si="5"/>
        <v>2179322.19</v>
      </c>
    </row>
    <row r="245" spans="2:10" hidden="1">
      <c r="B245" t="s">
        <v>254</v>
      </c>
      <c r="C245" s="22">
        <v>23929.81</v>
      </c>
      <c r="D245" s="22"/>
      <c r="E245" s="22">
        <v>1915284.4199999995</v>
      </c>
      <c r="F245" s="22">
        <v>24820.61</v>
      </c>
      <c r="G245" s="22"/>
      <c r="H245" s="22">
        <v>815197.05</v>
      </c>
      <c r="I245" s="7">
        <v>84479.08</v>
      </c>
      <c r="J245" s="22">
        <f t="shared" si="5"/>
        <v>2863710.9699999997</v>
      </c>
    </row>
    <row r="246" spans="2:10" hidden="1">
      <c r="B246" t="s">
        <v>255</v>
      </c>
      <c r="C246" s="22"/>
      <c r="D246" s="22"/>
      <c r="E246" s="22"/>
      <c r="F246" s="22">
        <v>1291.21</v>
      </c>
      <c r="G246" s="22"/>
      <c r="H246" s="22"/>
      <c r="I246" s="7"/>
      <c r="J246" s="22">
        <f t="shared" si="5"/>
        <v>1291.21</v>
      </c>
    </row>
    <row r="247" spans="2:10" hidden="1">
      <c r="B247" t="s">
        <v>256</v>
      </c>
      <c r="C247" s="22">
        <v>153352.07</v>
      </c>
      <c r="D247" s="22"/>
      <c r="E247" s="22">
        <v>503175.25000000012</v>
      </c>
      <c r="F247" s="22">
        <v>193226.84999999998</v>
      </c>
      <c r="G247" s="22"/>
      <c r="H247" s="22">
        <v>18437.900000000001</v>
      </c>
      <c r="I247" s="7">
        <v>33042.46</v>
      </c>
      <c r="J247" s="22">
        <f t="shared" si="5"/>
        <v>901234.53</v>
      </c>
    </row>
    <row r="248" spans="2:10" hidden="1">
      <c r="B248" t="s">
        <v>257</v>
      </c>
      <c r="C248" s="22"/>
      <c r="D248" s="22"/>
      <c r="E248" s="22">
        <v>27067.98</v>
      </c>
      <c r="F248" s="22">
        <v>7056.54</v>
      </c>
      <c r="G248" s="22"/>
      <c r="H248" s="22"/>
      <c r="I248" s="7"/>
      <c r="J248" s="22">
        <f t="shared" si="5"/>
        <v>34124.519999999997</v>
      </c>
    </row>
    <row r="249" spans="2:10" hidden="1">
      <c r="B249" t="s">
        <v>258</v>
      </c>
      <c r="C249" s="22"/>
      <c r="D249" s="22"/>
      <c r="E249" s="22">
        <v>59333.7</v>
      </c>
      <c r="F249" s="22"/>
      <c r="G249" s="22"/>
      <c r="H249" s="22"/>
      <c r="I249" s="7"/>
      <c r="J249" s="22">
        <f t="shared" si="5"/>
        <v>59333.7</v>
      </c>
    </row>
    <row r="250" spans="2:10" hidden="1">
      <c r="B250" t="s">
        <v>259</v>
      </c>
      <c r="C250" s="22"/>
      <c r="D250" s="22"/>
      <c r="E250" s="22">
        <v>18049.21</v>
      </c>
      <c r="F250" s="22">
        <v>82391.28</v>
      </c>
      <c r="G250" s="22"/>
      <c r="H250" s="22"/>
      <c r="I250" s="7">
        <v>5135.92</v>
      </c>
      <c r="J250" s="22">
        <f t="shared" si="5"/>
        <v>105576.40999999999</v>
      </c>
    </row>
    <row r="251" spans="2:10" hidden="1">
      <c r="B251" t="s">
        <v>260</v>
      </c>
      <c r="C251" s="22">
        <v>55052.12</v>
      </c>
      <c r="D251" s="22"/>
      <c r="E251" s="22"/>
      <c r="F251" s="22">
        <v>36866.439999999995</v>
      </c>
      <c r="G251" s="22"/>
      <c r="H251" s="22"/>
      <c r="I251" s="7">
        <v>29789.43</v>
      </c>
      <c r="J251" s="22">
        <f t="shared" si="5"/>
        <v>121707.98999999999</v>
      </c>
    </row>
    <row r="252" spans="2:10" hidden="1">
      <c r="B252" t="s">
        <v>261</v>
      </c>
      <c r="C252" s="22"/>
      <c r="D252" s="22"/>
      <c r="E252" s="22"/>
      <c r="F252" s="22">
        <v>289.26</v>
      </c>
      <c r="G252" s="22"/>
      <c r="H252" s="22"/>
      <c r="I252" s="7"/>
      <c r="J252" s="22">
        <f t="shared" si="5"/>
        <v>289.26</v>
      </c>
    </row>
    <row r="253" spans="2:10" hidden="1">
      <c r="B253" t="s">
        <v>262</v>
      </c>
      <c r="C253" s="22"/>
      <c r="D253" s="22"/>
      <c r="E253" s="22">
        <v>9826.5999999999985</v>
      </c>
      <c r="F253" s="22">
        <v>87842.18</v>
      </c>
      <c r="G253" s="22"/>
      <c r="H253" s="22"/>
      <c r="I253" s="7">
        <v>1203.57</v>
      </c>
      <c r="J253" s="22">
        <f t="shared" si="5"/>
        <v>98872.35</v>
      </c>
    </row>
    <row r="254" spans="2:10" hidden="1">
      <c r="B254" t="s">
        <v>263</v>
      </c>
      <c r="C254" s="22">
        <v>15475.77</v>
      </c>
      <c r="D254" s="22"/>
      <c r="E254" s="22"/>
      <c r="F254" s="22"/>
      <c r="G254" s="22"/>
      <c r="H254" s="22"/>
      <c r="I254" s="7"/>
      <c r="J254" s="22">
        <f t="shared" si="5"/>
        <v>15475.77</v>
      </c>
    </row>
    <row r="255" spans="2:10" hidden="1">
      <c r="B255" t="s">
        <v>264</v>
      </c>
      <c r="C255" s="22"/>
      <c r="D255" s="22"/>
      <c r="E255" s="22"/>
      <c r="F255" s="22">
        <v>239.4</v>
      </c>
      <c r="G255" s="22"/>
      <c r="H255" s="22"/>
      <c r="I255" s="7"/>
      <c r="J255" s="22">
        <f t="shared" si="5"/>
        <v>239.4</v>
      </c>
    </row>
    <row r="256" spans="2:10" hidden="1">
      <c r="B256" t="s">
        <v>265</v>
      </c>
      <c r="C256" s="22"/>
      <c r="D256" s="22"/>
      <c r="E256" s="22">
        <v>10953.5</v>
      </c>
      <c r="F256" s="22">
        <v>76235.599999999991</v>
      </c>
      <c r="G256" s="22"/>
      <c r="H256" s="22"/>
      <c r="I256" s="7">
        <v>1350.54</v>
      </c>
      <c r="J256" s="22">
        <f t="shared" si="5"/>
        <v>88539.639999999985</v>
      </c>
    </row>
    <row r="257" spans="2:10" hidden="1">
      <c r="B257" t="s">
        <v>266</v>
      </c>
      <c r="C257" s="22"/>
      <c r="D257" s="22"/>
      <c r="E257" s="22">
        <v>103150.89</v>
      </c>
      <c r="F257" s="22">
        <v>47317.42</v>
      </c>
      <c r="G257" s="22"/>
      <c r="H257" s="22">
        <v>34532.61</v>
      </c>
      <c r="I257" s="7">
        <v>69227.009999999995</v>
      </c>
      <c r="J257" s="22">
        <f t="shared" si="5"/>
        <v>254227.93</v>
      </c>
    </row>
    <row r="258" spans="2:10" hidden="1">
      <c r="B258" t="s">
        <v>267</v>
      </c>
      <c r="C258" s="22">
        <v>92798.19</v>
      </c>
      <c r="D258" s="22"/>
      <c r="E258" s="22">
        <v>4330832.7</v>
      </c>
      <c r="F258" s="22">
        <v>311148.87000000005</v>
      </c>
      <c r="G258" s="22"/>
      <c r="H258" s="22">
        <v>1078871.0300000003</v>
      </c>
      <c r="I258" s="7">
        <v>110268.81</v>
      </c>
      <c r="J258" s="22">
        <f t="shared" si="5"/>
        <v>5923919.6000000006</v>
      </c>
    </row>
    <row r="259" spans="2:10" hidden="1">
      <c r="B259" t="s">
        <v>268</v>
      </c>
      <c r="C259" s="22">
        <v>580578.54</v>
      </c>
      <c r="D259" s="22">
        <v>9180.42</v>
      </c>
      <c r="E259" s="22">
        <v>1688612.5000000002</v>
      </c>
      <c r="F259" s="22">
        <v>588716.72999999975</v>
      </c>
      <c r="G259" s="22">
        <v>131203.87</v>
      </c>
      <c r="H259" s="22">
        <v>101976.58</v>
      </c>
      <c r="I259" s="7">
        <v>47734.13</v>
      </c>
      <c r="J259" s="22">
        <f t="shared" si="5"/>
        <v>3148002.7700000005</v>
      </c>
    </row>
    <row r="260" spans="2:10" hidden="1">
      <c r="B260" t="s">
        <v>269</v>
      </c>
      <c r="C260" s="22"/>
      <c r="D260" s="22"/>
      <c r="E260" s="22"/>
      <c r="F260" s="22">
        <v>13368.61</v>
      </c>
      <c r="G260" s="22">
        <v>29553.79</v>
      </c>
      <c r="H260" s="22"/>
      <c r="I260" s="7"/>
      <c r="J260" s="22">
        <f t="shared" si="5"/>
        <v>42922.400000000001</v>
      </c>
    </row>
    <row r="261" spans="2:10" hidden="1">
      <c r="B261" t="s">
        <v>270</v>
      </c>
      <c r="C261" s="22"/>
      <c r="D261" s="22"/>
      <c r="E261" s="22"/>
      <c r="F261" s="22">
        <v>92809.42</v>
      </c>
      <c r="G261" s="22"/>
      <c r="H261" s="22"/>
      <c r="I261" s="7"/>
      <c r="J261" s="22">
        <f t="shared" si="5"/>
        <v>92809.42</v>
      </c>
    </row>
    <row r="262" spans="2:10" hidden="1">
      <c r="B262" t="s">
        <v>271</v>
      </c>
      <c r="C262" s="22"/>
      <c r="D262" s="22"/>
      <c r="E262" s="22">
        <v>27001.5</v>
      </c>
      <c r="F262" s="22"/>
      <c r="G262" s="22"/>
      <c r="H262" s="22"/>
      <c r="I262" s="7"/>
      <c r="J262" s="22">
        <f t="shared" si="5"/>
        <v>27001.5</v>
      </c>
    </row>
    <row r="263" spans="2:10" hidden="1">
      <c r="B263" t="s">
        <v>272</v>
      </c>
      <c r="C263" s="22">
        <v>12855.9</v>
      </c>
      <c r="D263" s="22"/>
      <c r="E263" s="22"/>
      <c r="F263" s="22"/>
      <c r="G263" s="22"/>
      <c r="H263" s="22"/>
      <c r="I263" s="7"/>
      <c r="J263" s="22">
        <f t="shared" si="5"/>
        <v>12855.9</v>
      </c>
    </row>
    <row r="264" spans="2:10" hidden="1">
      <c r="B264" t="s">
        <v>273</v>
      </c>
      <c r="C264" s="22">
        <v>5238.3599999999997</v>
      </c>
      <c r="D264" s="22"/>
      <c r="E264" s="22">
        <v>481602.6399999999</v>
      </c>
      <c r="F264" s="22">
        <v>164053.10999999999</v>
      </c>
      <c r="G264" s="22"/>
      <c r="H264" s="22"/>
      <c r="I264" s="7"/>
      <c r="J264" s="22">
        <f t="shared" si="5"/>
        <v>650894.10999999987</v>
      </c>
    </row>
    <row r="265" spans="2:10" hidden="1">
      <c r="B265" t="s">
        <v>274</v>
      </c>
      <c r="C265" s="22"/>
      <c r="D265" s="22"/>
      <c r="E265" s="22">
        <v>11720.76</v>
      </c>
      <c r="F265" s="22">
        <v>86938.98000000001</v>
      </c>
      <c r="G265" s="22"/>
      <c r="H265" s="22"/>
      <c r="I265" s="7">
        <v>977.76</v>
      </c>
      <c r="J265" s="22">
        <f t="shared" si="5"/>
        <v>99637.5</v>
      </c>
    </row>
    <row r="266" spans="2:10" hidden="1">
      <c r="B266" t="s">
        <v>275</v>
      </c>
      <c r="C266" s="22">
        <v>160594.37</v>
      </c>
      <c r="D266" s="22"/>
      <c r="E266" s="22">
        <v>565798.53000000014</v>
      </c>
      <c r="F266" s="22">
        <v>586690.67000000016</v>
      </c>
      <c r="G266" s="22"/>
      <c r="H266" s="22">
        <v>14117.779999999999</v>
      </c>
      <c r="I266" s="7"/>
      <c r="J266" s="22">
        <f t="shared" si="5"/>
        <v>1327201.3500000003</v>
      </c>
    </row>
    <row r="267" spans="2:10" hidden="1">
      <c r="B267" t="s">
        <v>276</v>
      </c>
      <c r="C267" s="22">
        <v>38318.75</v>
      </c>
      <c r="D267" s="22"/>
      <c r="E267" s="22"/>
      <c r="F267" s="22"/>
      <c r="G267" s="22">
        <v>40215.39</v>
      </c>
      <c r="H267" s="22"/>
      <c r="I267" s="7"/>
      <c r="J267" s="22">
        <f t="shared" si="5"/>
        <v>78534.14</v>
      </c>
    </row>
    <row r="268" spans="2:10" hidden="1">
      <c r="B268" t="s">
        <v>277</v>
      </c>
      <c r="C268" s="22"/>
      <c r="D268" s="22"/>
      <c r="E268" s="22"/>
      <c r="F268" s="22">
        <v>23228.39</v>
      </c>
      <c r="G268" s="22"/>
      <c r="H268" s="22"/>
      <c r="I268" s="7"/>
      <c r="J268" s="22">
        <f t="shared" si="5"/>
        <v>23228.39</v>
      </c>
    </row>
    <row r="269" spans="2:10" hidden="1">
      <c r="B269" t="s">
        <v>278</v>
      </c>
      <c r="C269" s="22">
        <v>71126.899999999994</v>
      </c>
      <c r="D269" s="22"/>
      <c r="E269" s="22">
        <v>109475.65</v>
      </c>
      <c r="F269" s="22">
        <v>510115.37000000005</v>
      </c>
      <c r="G269" s="22"/>
      <c r="H269" s="22"/>
      <c r="I269" s="7">
        <v>31043.48</v>
      </c>
      <c r="J269" s="22">
        <f t="shared" si="5"/>
        <v>721761.4</v>
      </c>
    </row>
    <row r="270" spans="2:10" hidden="1">
      <c r="B270" t="s">
        <v>279</v>
      </c>
      <c r="C270" s="22">
        <v>58651.96</v>
      </c>
      <c r="D270" s="22"/>
      <c r="E270" s="22">
        <v>43868.32</v>
      </c>
      <c r="F270" s="22">
        <v>58550.26</v>
      </c>
      <c r="G270" s="22"/>
      <c r="H270" s="22">
        <v>7270.9</v>
      </c>
      <c r="I270" s="7"/>
      <c r="J270" s="22">
        <f t="shared" si="5"/>
        <v>168341.44</v>
      </c>
    </row>
    <row r="271" spans="2:10" hidden="1">
      <c r="B271" t="s">
        <v>280</v>
      </c>
      <c r="C271" s="22"/>
      <c r="D271" s="22"/>
      <c r="E271" s="22">
        <v>114352.98999999999</v>
      </c>
      <c r="F271" s="22"/>
      <c r="G271" s="22"/>
      <c r="H271" s="22">
        <v>8047.46</v>
      </c>
      <c r="I271" s="7"/>
      <c r="J271" s="22">
        <f t="shared" si="5"/>
        <v>122400.45</v>
      </c>
    </row>
    <row r="272" spans="2:10" hidden="1">
      <c r="B272" t="s">
        <v>281</v>
      </c>
      <c r="C272" s="22"/>
      <c r="D272" s="22"/>
      <c r="E272" s="22">
        <v>4338.7299999999996</v>
      </c>
      <c r="F272" s="22">
        <v>45760</v>
      </c>
      <c r="G272" s="22"/>
      <c r="H272" s="22"/>
      <c r="I272" s="7"/>
      <c r="J272" s="22">
        <f t="shared" si="5"/>
        <v>50098.729999999996</v>
      </c>
    </row>
    <row r="273" spans="2:10" hidden="1">
      <c r="B273" t="s">
        <v>282</v>
      </c>
      <c r="C273" s="22"/>
      <c r="D273" s="22"/>
      <c r="E273" s="22">
        <v>9883.3100000000013</v>
      </c>
      <c r="F273" s="22"/>
      <c r="G273" s="22"/>
      <c r="H273" s="22"/>
      <c r="I273" s="7"/>
      <c r="J273" s="22">
        <f t="shared" si="5"/>
        <v>9883.3100000000013</v>
      </c>
    </row>
    <row r="274" spans="2:10" hidden="1">
      <c r="B274" t="s">
        <v>283</v>
      </c>
      <c r="C274" s="22"/>
      <c r="D274" s="22"/>
      <c r="E274" s="22"/>
      <c r="F274" s="22">
        <v>1553.91</v>
      </c>
      <c r="G274" s="22"/>
      <c r="H274" s="22"/>
      <c r="I274" s="7"/>
      <c r="J274" s="22">
        <f t="shared" si="5"/>
        <v>1553.91</v>
      </c>
    </row>
    <row r="275" spans="2:10" hidden="1">
      <c r="B275" t="s">
        <v>284</v>
      </c>
      <c r="C275" s="22"/>
      <c r="D275" s="22"/>
      <c r="E275" s="22"/>
      <c r="F275" s="22">
        <v>1514.1</v>
      </c>
      <c r="G275" s="22"/>
      <c r="H275" s="22"/>
      <c r="I275" s="7"/>
      <c r="J275" s="22">
        <f t="shared" si="5"/>
        <v>1514.1</v>
      </c>
    </row>
    <row r="276" spans="2:10" hidden="1">
      <c r="B276" t="s">
        <v>285</v>
      </c>
      <c r="C276" s="22"/>
      <c r="D276" s="22"/>
      <c r="E276" s="22"/>
      <c r="F276" s="22">
        <v>11910.24</v>
      </c>
      <c r="G276" s="22"/>
      <c r="H276" s="22"/>
      <c r="I276" s="7"/>
      <c r="J276" s="22">
        <f t="shared" si="5"/>
        <v>11910.24</v>
      </c>
    </row>
    <row r="277" spans="2:10" hidden="1">
      <c r="B277" t="s">
        <v>286</v>
      </c>
      <c r="C277" s="22"/>
      <c r="D277" s="22"/>
      <c r="E277" s="22"/>
      <c r="F277" s="22">
        <v>45744.020000000004</v>
      </c>
      <c r="G277" s="22"/>
      <c r="H277" s="22"/>
      <c r="I277" s="7"/>
      <c r="J277" s="22">
        <f t="shared" si="5"/>
        <v>45744.020000000004</v>
      </c>
    </row>
    <row r="278" spans="2:10" hidden="1">
      <c r="B278" t="s">
        <v>287</v>
      </c>
      <c r="C278" s="22"/>
      <c r="D278" s="22"/>
      <c r="E278" s="22"/>
      <c r="F278" s="22">
        <v>844.86</v>
      </c>
      <c r="G278" s="22"/>
      <c r="H278" s="22"/>
      <c r="I278" s="7"/>
      <c r="J278" s="22">
        <f t="shared" si="5"/>
        <v>844.86</v>
      </c>
    </row>
    <row r="279" spans="2:10" hidden="1">
      <c r="B279" t="s">
        <v>288</v>
      </c>
      <c r="C279" s="22"/>
      <c r="D279" s="22"/>
      <c r="E279" s="22"/>
      <c r="F279" s="22">
        <v>61.32</v>
      </c>
      <c r="G279" s="22"/>
      <c r="H279" s="22"/>
      <c r="I279" s="7"/>
      <c r="J279" s="22">
        <f t="shared" si="5"/>
        <v>61.32</v>
      </c>
    </row>
    <row r="280" spans="2:10" hidden="1">
      <c r="B280" t="s">
        <v>289</v>
      </c>
      <c r="C280" s="22"/>
      <c r="D280" s="22"/>
      <c r="E280" s="22"/>
      <c r="F280" s="22">
        <v>1976.11</v>
      </c>
      <c r="G280" s="22"/>
      <c r="H280" s="22"/>
      <c r="I280" s="7"/>
      <c r="J280" s="22">
        <f t="shared" si="5"/>
        <v>1976.11</v>
      </c>
    </row>
    <row r="281" spans="2:10" hidden="1">
      <c r="B281" t="s">
        <v>290</v>
      </c>
      <c r="C281" s="22"/>
      <c r="D281" s="22"/>
      <c r="E281" s="22"/>
      <c r="F281" s="22">
        <v>24861.54</v>
      </c>
      <c r="G281" s="22"/>
      <c r="H281" s="22"/>
      <c r="I281" s="7"/>
      <c r="J281" s="22">
        <f t="shared" si="5"/>
        <v>24861.54</v>
      </c>
    </row>
    <row r="282" spans="2:10" hidden="1">
      <c r="B282" t="s">
        <v>291</v>
      </c>
      <c r="C282" s="22"/>
      <c r="D282" s="22"/>
      <c r="E282" s="22"/>
      <c r="F282" s="22">
        <v>6890.56</v>
      </c>
      <c r="G282" s="22"/>
      <c r="H282" s="22"/>
      <c r="I282" s="7"/>
      <c r="J282" s="22">
        <f t="shared" si="5"/>
        <v>6890.56</v>
      </c>
    </row>
    <row r="283" spans="2:10" hidden="1">
      <c r="B283" t="s">
        <v>292</v>
      </c>
      <c r="C283" s="22"/>
      <c r="D283" s="22"/>
      <c r="E283" s="22"/>
      <c r="F283" s="22">
        <v>1097.32</v>
      </c>
      <c r="G283" s="22"/>
      <c r="H283" s="22"/>
      <c r="I283" s="7">
        <v>10049.34</v>
      </c>
      <c r="J283" s="22">
        <f t="shared" si="5"/>
        <v>11146.66</v>
      </c>
    </row>
    <row r="284" spans="2:10" hidden="1">
      <c r="B284" t="s">
        <v>293</v>
      </c>
      <c r="C284" s="22"/>
      <c r="D284" s="22"/>
      <c r="E284" s="22"/>
      <c r="F284" s="22">
        <v>5984.0700000000006</v>
      </c>
      <c r="G284" s="22"/>
      <c r="H284" s="22"/>
      <c r="I284" s="7"/>
      <c r="J284" s="22">
        <f t="shared" si="5"/>
        <v>5984.0700000000006</v>
      </c>
    </row>
    <row r="285" spans="2:10" hidden="1">
      <c r="B285" t="s">
        <v>294</v>
      </c>
      <c r="C285" s="22"/>
      <c r="D285" s="22"/>
      <c r="E285" s="22"/>
      <c r="F285" s="22">
        <v>40052.54</v>
      </c>
      <c r="G285" s="22"/>
      <c r="H285" s="22"/>
      <c r="I285" s="7"/>
      <c r="J285" s="22">
        <f t="shared" si="5"/>
        <v>40052.54</v>
      </c>
    </row>
    <row r="286" spans="2:10" hidden="1">
      <c r="B286" t="s">
        <v>295</v>
      </c>
      <c r="C286" s="22"/>
      <c r="D286" s="22"/>
      <c r="E286" s="22">
        <v>6509.6</v>
      </c>
      <c r="F286" s="22">
        <v>16558.400000000001</v>
      </c>
      <c r="G286" s="22"/>
      <c r="H286" s="22"/>
      <c r="I286" s="7"/>
      <c r="J286" s="22">
        <f t="shared" si="5"/>
        <v>23068</v>
      </c>
    </row>
    <row r="287" spans="2:10" hidden="1">
      <c r="B287" t="s">
        <v>296</v>
      </c>
      <c r="C287" s="22"/>
      <c r="D287" s="22"/>
      <c r="E287" s="22">
        <v>4924.78</v>
      </c>
      <c r="F287" s="22"/>
      <c r="G287" s="22"/>
      <c r="H287" s="22"/>
      <c r="I287" s="7"/>
      <c r="J287" s="22">
        <f t="shared" si="5"/>
        <v>4924.78</v>
      </c>
    </row>
    <row r="288" spans="2:10" hidden="1">
      <c r="B288" t="s">
        <v>297</v>
      </c>
      <c r="C288" s="22">
        <v>8151.02</v>
      </c>
      <c r="D288" s="22"/>
      <c r="E288" s="22">
        <v>82698.98</v>
      </c>
      <c r="F288" s="22">
        <v>5266.93</v>
      </c>
      <c r="G288" s="22">
        <v>44520.61</v>
      </c>
      <c r="H288" s="22"/>
      <c r="I288" s="7"/>
      <c r="J288" s="22">
        <f t="shared" si="5"/>
        <v>140637.53999999998</v>
      </c>
    </row>
    <row r="289" spans="2:10" hidden="1">
      <c r="B289" t="s">
        <v>298</v>
      </c>
      <c r="C289" s="22">
        <v>33377.56</v>
      </c>
      <c r="D289" s="22"/>
      <c r="E289" s="22">
        <v>72932.83</v>
      </c>
      <c r="F289" s="22">
        <v>123636.27</v>
      </c>
      <c r="G289" s="22"/>
      <c r="H289" s="22"/>
      <c r="I289" s="7"/>
      <c r="J289" s="22">
        <f t="shared" si="5"/>
        <v>229946.66</v>
      </c>
    </row>
    <row r="290" spans="2:10" hidden="1">
      <c r="B290" t="s">
        <v>299</v>
      </c>
      <c r="C290" s="22">
        <v>1608234.8300000003</v>
      </c>
      <c r="D290" s="22">
        <v>11482.76</v>
      </c>
      <c r="E290" s="22">
        <v>7714262.9900000021</v>
      </c>
      <c r="F290" s="22">
        <v>2602697.9399999995</v>
      </c>
      <c r="G290" s="22">
        <v>182235.43</v>
      </c>
      <c r="H290" s="22">
        <v>1122066.3599999999</v>
      </c>
      <c r="I290" s="7">
        <v>113677.31000000001</v>
      </c>
      <c r="J290" s="22">
        <f t="shared" si="5"/>
        <v>13354657.620000001</v>
      </c>
    </row>
    <row r="291" spans="2:10" hidden="1">
      <c r="B291" t="s">
        <v>300</v>
      </c>
      <c r="C291" s="22"/>
      <c r="D291" s="22"/>
      <c r="E291" s="22">
        <v>63781.479999999996</v>
      </c>
      <c r="F291" s="22">
        <v>74194.53</v>
      </c>
      <c r="G291" s="22"/>
      <c r="H291" s="22"/>
      <c r="I291" s="7"/>
      <c r="J291" s="22">
        <f t="shared" si="5"/>
        <v>137976.01</v>
      </c>
    </row>
    <row r="292" spans="2:10" hidden="1">
      <c r="B292" t="s">
        <v>301</v>
      </c>
      <c r="C292" s="22"/>
      <c r="D292" s="22"/>
      <c r="E292" s="22">
        <v>10465.1</v>
      </c>
      <c r="F292" s="22">
        <v>72429.17</v>
      </c>
      <c r="G292" s="22"/>
      <c r="H292" s="22"/>
      <c r="I292" s="7">
        <v>1284.3</v>
      </c>
      <c r="J292" s="22">
        <f t="shared" si="5"/>
        <v>84178.57</v>
      </c>
    </row>
    <row r="293" spans="2:10" hidden="1">
      <c r="B293" t="s">
        <v>302</v>
      </c>
      <c r="C293" s="22">
        <v>496802.28</v>
      </c>
      <c r="D293" s="22"/>
      <c r="E293" s="22">
        <v>916319.06</v>
      </c>
      <c r="F293" s="22">
        <v>236122.78999999998</v>
      </c>
      <c r="G293" s="22">
        <v>25768.58</v>
      </c>
      <c r="H293" s="22">
        <v>47120.95</v>
      </c>
      <c r="I293" s="7">
        <v>1557.82</v>
      </c>
      <c r="J293" s="22">
        <f t="shared" si="5"/>
        <v>1723691.4800000002</v>
      </c>
    </row>
    <row r="294" spans="2:10" hidden="1">
      <c r="B294" t="s">
        <v>303</v>
      </c>
      <c r="C294" s="22">
        <v>55478.63</v>
      </c>
      <c r="D294" s="22"/>
      <c r="E294" s="22"/>
      <c r="F294" s="22">
        <v>17813.27</v>
      </c>
      <c r="G294" s="22"/>
      <c r="H294" s="22"/>
      <c r="I294" s="7"/>
      <c r="J294" s="22">
        <f t="shared" si="5"/>
        <v>73291.899999999994</v>
      </c>
    </row>
    <row r="295" spans="2:10" hidden="1">
      <c r="B295" t="s">
        <v>304</v>
      </c>
      <c r="C295" s="22"/>
      <c r="D295" s="22"/>
      <c r="E295" s="22"/>
      <c r="F295" s="22">
        <v>48180.69</v>
      </c>
      <c r="G295" s="22"/>
      <c r="H295" s="22"/>
      <c r="I295" s="7"/>
      <c r="J295" s="22">
        <f t="shared" si="5"/>
        <v>48180.69</v>
      </c>
    </row>
    <row r="296" spans="2:10" hidden="1">
      <c r="B296" t="s">
        <v>305</v>
      </c>
      <c r="C296" s="22"/>
      <c r="D296" s="22"/>
      <c r="E296" s="22"/>
      <c r="F296" s="22">
        <v>1059.53</v>
      </c>
      <c r="G296" s="22"/>
      <c r="H296" s="22"/>
      <c r="I296" s="7"/>
      <c r="J296" s="22">
        <f t="shared" si="5"/>
        <v>1059.53</v>
      </c>
    </row>
    <row r="297" spans="2:10" hidden="1">
      <c r="B297" t="s">
        <v>306</v>
      </c>
      <c r="C297" s="22"/>
      <c r="D297" s="22"/>
      <c r="E297" s="22"/>
      <c r="F297" s="22">
        <v>15064.92</v>
      </c>
      <c r="G297" s="22"/>
      <c r="H297" s="22"/>
      <c r="I297" s="7"/>
      <c r="J297" s="22">
        <f t="shared" si="5"/>
        <v>15064.92</v>
      </c>
    </row>
    <row r="298" spans="2:10" hidden="1">
      <c r="B298" t="s">
        <v>307</v>
      </c>
      <c r="C298" s="22"/>
      <c r="D298" s="22"/>
      <c r="E298" s="22"/>
      <c r="F298" s="22">
        <v>14898.21</v>
      </c>
      <c r="G298" s="22"/>
      <c r="H298" s="22"/>
      <c r="I298" s="7"/>
      <c r="J298" s="22">
        <f t="shared" ref="J298:J361" si="6">SUM(C298:I298)</f>
        <v>14898.21</v>
      </c>
    </row>
    <row r="299" spans="2:10" hidden="1">
      <c r="B299" t="s">
        <v>308</v>
      </c>
      <c r="C299" s="22"/>
      <c r="D299" s="22"/>
      <c r="E299" s="22">
        <v>2406.94</v>
      </c>
      <c r="F299" s="22">
        <v>3729.7</v>
      </c>
      <c r="G299" s="22">
        <v>2210.64</v>
      </c>
      <c r="H299" s="22">
        <v>1005.66</v>
      </c>
      <c r="I299" s="7"/>
      <c r="J299" s="22">
        <f t="shared" si="6"/>
        <v>9352.9399999999987</v>
      </c>
    </row>
    <row r="300" spans="2:10" hidden="1">
      <c r="B300" t="s">
        <v>309</v>
      </c>
      <c r="C300" s="22"/>
      <c r="D300" s="22"/>
      <c r="E300" s="22"/>
      <c r="F300" s="22">
        <v>1058.75</v>
      </c>
      <c r="G300" s="22"/>
      <c r="H300" s="22"/>
      <c r="I300" s="7"/>
      <c r="J300" s="22">
        <f t="shared" si="6"/>
        <v>1058.75</v>
      </c>
    </row>
    <row r="301" spans="2:10" hidden="1">
      <c r="B301" t="s">
        <v>310</v>
      </c>
      <c r="C301" s="22">
        <v>12433.43</v>
      </c>
      <c r="D301" s="22"/>
      <c r="E301" s="22">
        <v>172567.43999999997</v>
      </c>
      <c r="F301" s="22">
        <v>50490.789999999994</v>
      </c>
      <c r="G301" s="22"/>
      <c r="H301" s="22"/>
      <c r="I301" s="7"/>
      <c r="J301" s="22">
        <f t="shared" si="6"/>
        <v>235491.65999999997</v>
      </c>
    </row>
    <row r="302" spans="2:10" hidden="1">
      <c r="B302" t="s">
        <v>311</v>
      </c>
      <c r="C302" s="22"/>
      <c r="D302" s="22"/>
      <c r="E302" s="22">
        <v>15589.25</v>
      </c>
      <c r="F302" s="22">
        <v>60521.26</v>
      </c>
      <c r="G302" s="22"/>
      <c r="H302" s="22"/>
      <c r="I302" s="7"/>
      <c r="J302" s="22">
        <f t="shared" si="6"/>
        <v>76110.510000000009</v>
      </c>
    </row>
    <row r="303" spans="2:10" hidden="1">
      <c r="B303" t="s">
        <v>312</v>
      </c>
      <c r="C303" s="22"/>
      <c r="D303" s="22"/>
      <c r="E303" s="22"/>
      <c r="F303" s="22">
        <v>2652.67</v>
      </c>
      <c r="G303" s="22"/>
      <c r="H303" s="22"/>
      <c r="I303" s="7"/>
      <c r="J303" s="22">
        <f t="shared" si="6"/>
        <v>2652.67</v>
      </c>
    </row>
    <row r="304" spans="2:10" hidden="1">
      <c r="B304" t="s">
        <v>313</v>
      </c>
      <c r="C304" s="22"/>
      <c r="D304" s="22"/>
      <c r="E304" s="22"/>
      <c r="F304" s="22">
        <v>2037</v>
      </c>
      <c r="G304" s="22"/>
      <c r="H304" s="22"/>
      <c r="I304" s="7"/>
      <c r="J304" s="22">
        <f t="shared" si="6"/>
        <v>2037</v>
      </c>
    </row>
    <row r="305" spans="2:10" hidden="1">
      <c r="B305" t="s">
        <v>314</v>
      </c>
      <c r="C305" s="22">
        <v>32318.75</v>
      </c>
      <c r="D305" s="22"/>
      <c r="E305" s="22"/>
      <c r="F305" s="22"/>
      <c r="G305" s="22"/>
      <c r="H305" s="22">
        <v>3133.64</v>
      </c>
      <c r="I305" s="7"/>
      <c r="J305" s="22">
        <f t="shared" si="6"/>
        <v>35452.39</v>
      </c>
    </row>
    <row r="306" spans="2:10" hidden="1">
      <c r="B306" t="s">
        <v>315</v>
      </c>
      <c r="C306" s="22">
        <v>10900.64</v>
      </c>
      <c r="D306" s="22"/>
      <c r="E306" s="22">
        <v>16696.88</v>
      </c>
      <c r="F306" s="22"/>
      <c r="G306" s="22"/>
      <c r="H306" s="22">
        <v>10517.19</v>
      </c>
      <c r="I306" s="7"/>
      <c r="J306" s="22">
        <f t="shared" si="6"/>
        <v>38114.71</v>
      </c>
    </row>
    <row r="307" spans="2:10" hidden="1">
      <c r="B307" t="s">
        <v>316</v>
      </c>
      <c r="C307" s="22"/>
      <c r="D307" s="22"/>
      <c r="E307" s="22">
        <v>11003.05</v>
      </c>
      <c r="F307" s="22"/>
      <c r="G307" s="22"/>
      <c r="H307" s="22"/>
      <c r="I307" s="7"/>
      <c r="J307" s="22">
        <f t="shared" si="6"/>
        <v>11003.05</v>
      </c>
    </row>
    <row r="308" spans="2:10" hidden="1">
      <c r="B308" t="s">
        <v>317</v>
      </c>
      <c r="C308" s="22">
        <v>92273.24</v>
      </c>
      <c r="D308" s="22"/>
      <c r="E308" s="22">
        <v>504465.76</v>
      </c>
      <c r="F308" s="22">
        <v>261410.78999999998</v>
      </c>
      <c r="G308" s="22">
        <v>4721.12</v>
      </c>
      <c r="H308" s="22">
        <v>167096.84</v>
      </c>
      <c r="I308" s="7">
        <v>1232.8399999999999</v>
      </c>
      <c r="J308" s="22">
        <f t="shared" si="6"/>
        <v>1031200.59</v>
      </c>
    </row>
    <row r="309" spans="2:10" hidden="1">
      <c r="B309" t="s">
        <v>318</v>
      </c>
      <c r="C309" s="22"/>
      <c r="D309" s="22"/>
      <c r="E309" s="22">
        <v>44652.97</v>
      </c>
      <c r="F309" s="22"/>
      <c r="G309" s="22"/>
      <c r="H309" s="22"/>
      <c r="I309" s="7"/>
      <c r="J309" s="22">
        <f t="shared" si="6"/>
        <v>44652.97</v>
      </c>
    </row>
    <row r="310" spans="2:10" hidden="1">
      <c r="B310" t="s">
        <v>319</v>
      </c>
      <c r="C310" s="22"/>
      <c r="D310" s="22"/>
      <c r="E310" s="22"/>
      <c r="F310" s="22">
        <v>129023.47</v>
      </c>
      <c r="G310" s="22"/>
      <c r="H310" s="22"/>
      <c r="I310" s="7"/>
      <c r="J310" s="22">
        <f t="shared" si="6"/>
        <v>129023.47</v>
      </c>
    </row>
    <row r="311" spans="2:10" hidden="1">
      <c r="B311" t="s">
        <v>320</v>
      </c>
      <c r="C311" s="22"/>
      <c r="D311" s="22"/>
      <c r="E311" s="22">
        <v>1630</v>
      </c>
      <c r="F311" s="22"/>
      <c r="G311" s="22"/>
      <c r="H311" s="22"/>
      <c r="I311" s="7"/>
      <c r="J311" s="22">
        <f t="shared" si="6"/>
        <v>1630</v>
      </c>
    </row>
    <row r="312" spans="2:10" hidden="1">
      <c r="B312" t="s">
        <v>321</v>
      </c>
      <c r="C312" s="22"/>
      <c r="D312" s="22"/>
      <c r="E312" s="22"/>
      <c r="F312" s="22"/>
      <c r="G312" s="22"/>
      <c r="H312" s="22"/>
      <c r="I312" s="7">
        <v>19970.169999999998</v>
      </c>
      <c r="J312" s="22">
        <f t="shared" si="6"/>
        <v>19970.169999999998</v>
      </c>
    </row>
    <row r="313" spans="2:10" hidden="1">
      <c r="B313" t="s">
        <v>322</v>
      </c>
      <c r="C313" s="22"/>
      <c r="D313" s="22"/>
      <c r="E313" s="22"/>
      <c r="F313" s="22">
        <v>166.31</v>
      </c>
      <c r="G313" s="22"/>
      <c r="H313" s="22"/>
      <c r="I313" s="7"/>
      <c r="J313" s="22">
        <f t="shared" si="6"/>
        <v>166.31</v>
      </c>
    </row>
    <row r="314" spans="2:10" hidden="1">
      <c r="B314" t="s">
        <v>323</v>
      </c>
      <c r="C314" s="22"/>
      <c r="D314" s="22"/>
      <c r="E314" s="22">
        <v>23535.35</v>
      </c>
      <c r="F314" s="22"/>
      <c r="G314" s="22"/>
      <c r="H314" s="22"/>
      <c r="I314" s="7"/>
      <c r="J314" s="22">
        <f t="shared" si="6"/>
        <v>23535.35</v>
      </c>
    </row>
    <row r="315" spans="2:10" hidden="1">
      <c r="B315" t="s">
        <v>324</v>
      </c>
      <c r="C315" s="22"/>
      <c r="D315" s="22"/>
      <c r="E315" s="22">
        <v>11044.05</v>
      </c>
      <c r="F315" s="22">
        <v>11605.72</v>
      </c>
      <c r="G315" s="22"/>
      <c r="H315" s="22"/>
      <c r="I315" s="7"/>
      <c r="J315" s="22">
        <f t="shared" si="6"/>
        <v>22649.769999999997</v>
      </c>
    </row>
    <row r="316" spans="2:10" hidden="1">
      <c r="B316" t="s">
        <v>325</v>
      </c>
      <c r="C316" s="22"/>
      <c r="D316" s="22"/>
      <c r="E316" s="22"/>
      <c r="F316" s="22">
        <v>396.74</v>
      </c>
      <c r="G316" s="22"/>
      <c r="H316" s="22"/>
      <c r="I316" s="7"/>
      <c r="J316" s="22">
        <f t="shared" si="6"/>
        <v>396.74</v>
      </c>
    </row>
    <row r="317" spans="2:10" hidden="1">
      <c r="B317" t="s">
        <v>326</v>
      </c>
      <c r="C317" s="22">
        <v>10099.66</v>
      </c>
      <c r="D317" s="22"/>
      <c r="E317" s="22">
        <v>88902.390000000014</v>
      </c>
      <c r="F317" s="22">
        <v>78125.02</v>
      </c>
      <c r="G317" s="22"/>
      <c r="H317" s="22"/>
      <c r="I317" s="7">
        <v>2335.19</v>
      </c>
      <c r="J317" s="22">
        <f t="shared" si="6"/>
        <v>179462.26</v>
      </c>
    </row>
    <row r="318" spans="2:10" hidden="1">
      <c r="B318" t="s">
        <v>327</v>
      </c>
      <c r="C318" s="22"/>
      <c r="D318" s="22"/>
      <c r="E318" s="22">
        <v>12365.880000000001</v>
      </c>
      <c r="F318" s="22">
        <v>170439.16999999998</v>
      </c>
      <c r="G318" s="22"/>
      <c r="H318" s="22">
        <v>6555.21</v>
      </c>
      <c r="I318" s="7"/>
      <c r="J318" s="22">
        <f t="shared" si="6"/>
        <v>189360.25999999998</v>
      </c>
    </row>
    <row r="319" spans="2:10" hidden="1">
      <c r="B319" t="s">
        <v>328</v>
      </c>
      <c r="C319" s="22"/>
      <c r="D319" s="22"/>
      <c r="E319" s="22"/>
      <c r="F319" s="22">
        <v>3239.01</v>
      </c>
      <c r="G319" s="22"/>
      <c r="H319" s="22"/>
      <c r="I319" s="7"/>
      <c r="J319" s="22">
        <f t="shared" si="6"/>
        <v>3239.01</v>
      </c>
    </row>
    <row r="320" spans="2:10" hidden="1">
      <c r="B320" t="s">
        <v>329</v>
      </c>
      <c r="C320" s="22"/>
      <c r="D320" s="22"/>
      <c r="E320" s="22"/>
      <c r="F320" s="22">
        <v>45599.86</v>
      </c>
      <c r="G320" s="22"/>
      <c r="H320" s="22"/>
      <c r="I320" s="7"/>
      <c r="J320" s="22">
        <f t="shared" si="6"/>
        <v>45599.86</v>
      </c>
    </row>
    <row r="321" spans="2:10" hidden="1">
      <c r="B321" t="s">
        <v>330</v>
      </c>
      <c r="C321" s="22"/>
      <c r="D321" s="22"/>
      <c r="E321" s="22">
        <v>49614.33</v>
      </c>
      <c r="F321" s="22"/>
      <c r="G321" s="22"/>
      <c r="H321" s="22"/>
      <c r="I321" s="7"/>
      <c r="J321" s="22">
        <f t="shared" si="6"/>
        <v>49614.33</v>
      </c>
    </row>
    <row r="322" spans="2:10" hidden="1">
      <c r="B322" t="s">
        <v>331</v>
      </c>
      <c r="C322" s="22"/>
      <c r="D322" s="22"/>
      <c r="E322" s="22"/>
      <c r="F322" s="22">
        <v>52054.15</v>
      </c>
      <c r="G322" s="22"/>
      <c r="H322" s="22"/>
      <c r="I322" s="7"/>
      <c r="J322" s="22">
        <f t="shared" si="6"/>
        <v>52054.15</v>
      </c>
    </row>
    <row r="323" spans="2:10" hidden="1">
      <c r="B323" t="s">
        <v>332</v>
      </c>
      <c r="C323" s="22"/>
      <c r="D323" s="22"/>
      <c r="E323" s="22">
        <v>171904.44</v>
      </c>
      <c r="F323" s="22"/>
      <c r="G323" s="22"/>
      <c r="H323" s="22"/>
      <c r="I323" s="7"/>
      <c r="J323" s="22">
        <f t="shared" si="6"/>
        <v>171904.44</v>
      </c>
    </row>
    <row r="324" spans="2:10" hidden="1">
      <c r="B324" t="s">
        <v>333</v>
      </c>
      <c r="C324" s="22"/>
      <c r="D324" s="22"/>
      <c r="E324" s="22">
        <v>78755.709999999992</v>
      </c>
      <c r="F324" s="22">
        <v>128.47999999999999</v>
      </c>
      <c r="G324" s="22"/>
      <c r="H324" s="22"/>
      <c r="I324" s="7"/>
      <c r="J324" s="22">
        <f t="shared" si="6"/>
        <v>78884.189999999988</v>
      </c>
    </row>
    <row r="325" spans="2:10" hidden="1">
      <c r="B325" t="s">
        <v>334</v>
      </c>
      <c r="C325" s="22"/>
      <c r="D325" s="22"/>
      <c r="E325" s="22"/>
      <c r="F325" s="22">
        <v>390.35</v>
      </c>
      <c r="G325" s="22"/>
      <c r="H325" s="22"/>
      <c r="I325" s="7"/>
      <c r="J325" s="22">
        <f t="shared" si="6"/>
        <v>390.35</v>
      </c>
    </row>
    <row r="326" spans="2:10" hidden="1">
      <c r="B326" t="s">
        <v>335</v>
      </c>
      <c r="C326" s="22">
        <v>73891.66</v>
      </c>
      <c r="D326" s="22"/>
      <c r="E326" s="22">
        <v>227589.12</v>
      </c>
      <c r="F326" s="22"/>
      <c r="G326" s="22"/>
      <c r="H326" s="22"/>
      <c r="I326" s="7"/>
      <c r="J326" s="22">
        <f t="shared" si="6"/>
        <v>301480.78000000003</v>
      </c>
    </row>
    <row r="327" spans="2:10" hidden="1">
      <c r="B327" t="s">
        <v>336</v>
      </c>
      <c r="C327" s="22"/>
      <c r="D327" s="22"/>
      <c r="E327" s="22"/>
      <c r="F327" s="22">
        <v>31662.400000000001</v>
      </c>
      <c r="G327" s="22"/>
      <c r="H327" s="22"/>
      <c r="I327" s="7"/>
      <c r="J327" s="22">
        <f t="shared" si="6"/>
        <v>31662.400000000001</v>
      </c>
    </row>
    <row r="328" spans="2:10" hidden="1">
      <c r="B328" t="s">
        <v>337</v>
      </c>
      <c r="C328" s="22"/>
      <c r="D328" s="22"/>
      <c r="E328" s="22"/>
      <c r="F328" s="22">
        <v>3612.59</v>
      </c>
      <c r="G328" s="22"/>
      <c r="H328" s="22"/>
      <c r="I328" s="7"/>
      <c r="J328" s="22">
        <f t="shared" si="6"/>
        <v>3612.59</v>
      </c>
    </row>
    <row r="329" spans="2:10" hidden="1">
      <c r="B329" t="s">
        <v>338</v>
      </c>
      <c r="C329" s="22"/>
      <c r="D329" s="22"/>
      <c r="E329" s="22">
        <v>29540.59</v>
      </c>
      <c r="F329" s="22">
        <v>7505.5</v>
      </c>
      <c r="G329" s="22"/>
      <c r="H329" s="22"/>
      <c r="I329" s="7"/>
      <c r="J329" s="22">
        <f t="shared" si="6"/>
        <v>37046.089999999997</v>
      </c>
    </row>
    <row r="330" spans="2:10" hidden="1">
      <c r="B330" t="s">
        <v>339</v>
      </c>
      <c r="C330" s="22"/>
      <c r="D330" s="22"/>
      <c r="E330" s="22">
        <v>16678.870000000003</v>
      </c>
      <c r="F330" s="22"/>
      <c r="G330" s="22"/>
      <c r="H330" s="22"/>
      <c r="I330" s="7"/>
      <c r="J330" s="22">
        <f t="shared" si="6"/>
        <v>16678.870000000003</v>
      </c>
    </row>
    <row r="331" spans="2:10" hidden="1">
      <c r="B331" t="s">
        <v>340</v>
      </c>
      <c r="C331" s="22"/>
      <c r="D331" s="22"/>
      <c r="E331" s="22"/>
      <c r="F331" s="22">
        <v>2480.11</v>
      </c>
      <c r="G331" s="22"/>
      <c r="H331" s="22"/>
      <c r="I331" s="7"/>
      <c r="J331" s="22">
        <f t="shared" si="6"/>
        <v>2480.11</v>
      </c>
    </row>
    <row r="332" spans="2:10" hidden="1">
      <c r="B332" t="s">
        <v>341</v>
      </c>
      <c r="C332" s="22"/>
      <c r="D332" s="22"/>
      <c r="E332" s="22"/>
      <c r="F332" s="22">
        <v>5126.53</v>
      </c>
      <c r="G332" s="22"/>
      <c r="H332" s="22"/>
      <c r="I332" s="7"/>
      <c r="J332" s="22">
        <f t="shared" si="6"/>
        <v>5126.53</v>
      </c>
    </row>
    <row r="333" spans="2:10" hidden="1">
      <c r="B333" t="s">
        <v>342</v>
      </c>
      <c r="C333" s="22"/>
      <c r="D333" s="22"/>
      <c r="E333" s="22">
        <v>52172.160000000003</v>
      </c>
      <c r="F333" s="22">
        <v>126056.07</v>
      </c>
      <c r="G333" s="22"/>
      <c r="H333" s="22"/>
      <c r="I333" s="7"/>
      <c r="J333" s="22">
        <f t="shared" si="6"/>
        <v>178228.23</v>
      </c>
    </row>
    <row r="334" spans="2:10" hidden="1">
      <c r="B334" t="s">
        <v>343</v>
      </c>
      <c r="C334" s="22"/>
      <c r="D334" s="22"/>
      <c r="E334" s="22">
        <v>53199.74</v>
      </c>
      <c r="F334" s="22">
        <v>93068.340000000011</v>
      </c>
      <c r="G334" s="22"/>
      <c r="H334" s="22">
        <v>6749.21</v>
      </c>
      <c r="I334" s="7">
        <v>2310.31</v>
      </c>
      <c r="J334" s="22">
        <f t="shared" si="6"/>
        <v>155327.6</v>
      </c>
    </row>
    <row r="335" spans="2:10" hidden="1">
      <c r="B335" t="s">
        <v>344</v>
      </c>
      <c r="C335" s="22">
        <v>27709.489999999998</v>
      </c>
      <c r="D335" s="22"/>
      <c r="E335" s="22">
        <v>984325.22000000009</v>
      </c>
      <c r="F335" s="22">
        <v>376695.6100000001</v>
      </c>
      <c r="G335" s="22"/>
      <c r="H335" s="22"/>
      <c r="I335" s="7"/>
      <c r="J335" s="22">
        <f t="shared" si="6"/>
        <v>1388730.3200000003</v>
      </c>
    </row>
    <row r="336" spans="2:10" hidden="1">
      <c r="B336" t="s">
        <v>345</v>
      </c>
      <c r="C336" s="22"/>
      <c r="D336" s="22"/>
      <c r="E336" s="22"/>
      <c r="F336" s="22">
        <v>32955.119999999995</v>
      </c>
      <c r="G336" s="22"/>
      <c r="H336" s="22"/>
      <c r="I336" s="7"/>
      <c r="J336" s="22">
        <f t="shared" si="6"/>
        <v>32955.119999999995</v>
      </c>
    </row>
    <row r="337" spans="2:10" hidden="1">
      <c r="B337" t="s">
        <v>346</v>
      </c>
      <c r="C337" s="22"/>
      <c r="D337" s="22"/>
      <c r="E337" s="22"/>
      <c r="F337" s="22"/>
      <c r="G337" s="22"/>
      <c r="H337" s="22"/>
      <c r="I337" s="7">
        <v>55963.85</v>
      </c>
      <c r="J337" s="22">
        <f t="shared" si="6"/>
        <v>55963.85</v>
      </c>
    </row>
    <row r="338" spans="2:10" hidden="1">
      <c r="B338" t="s">
        <v>347</v>
      </c>
      <c r="C338" s="22"/>
      <c r="D338" s="22"/>
      <c r="E338" s="22"/>
      <c r="F338" s="22">
        <v>3880</v>
      </c>
      <c r="G338" s="22"/>
      <c r="H338" s="22"/>
      <c r="I338" s="7"/>
      <c r="J338" s="22">
        <f t="shared" si="6"/>
        <v>3880</v>
      </c>
    </row>
    <row r="339" spans="2:10" hidden="1">
      <c r="B339" t="s">
        <v>348</v>
      </c>
      <c r="C339" s="22"/>
      <c r="D339" s="22"/>
      <c r="E339" s="22"/>
      <c r="F339" s="22">
        <v>28689.279999999999</v>
      </c>
      <c r="G339" s="22"/>
      <c r="H339" s="22"/>
      <c r="I339" s="7"/>
      <c r="J339" s="22">
        <f t="shared" si="6"/>
        <v>28689.279999999999</v>
      </c>
    </row>
    <row r="340" spans="2:10" hidden="1">
      <c r="B340" t="s">
        <v>349</v>
      </c>
      <c r="C340" s="22"/>
      <c r="D340" s="22"/>
      <c r="E340" s="22"/>
      <c r="F340" s="22">
        <v>31282.3</v>
      </c>
      <c r="G340" s="22"/>
      <c r="H340" s="22"/>
      <c r="I340" s="7"/>
      <c r="J340" s="22">
        <f t="shared" si="6"/>
        <v>31282.3</v>
      </c>
    </row>
    <row r="341" spans="2:10" hidden="1">
      <c r="B341" t="s">
        <v>350</v>
      </c>
      <c r="C341" s="22"/>
      <c r="D341" s="22"/>
      <c r="E341" s="22">
        <v>29967.67</v>
      </c>
      <c r="F341" s="22"/>
      <c r="G341" s="22"/>
      <c r="H341" s="22"/>
      <c r="I341" s="7"/>
      <c r="J341" s="22">
        <f t="shared" si="6"/>
        <v>29967.67</v>
      </c>
    </row>
    <row r="342" spans="2:10" hidden="1">
      <c r="B342" t="s">
        <v>351</v>
      </c>
      <c r="C342" s="22"/>
      <c r="D342" s="22"/>
      <c r="E342" s="22">
        <v>13511.06</v>
      </c>
      <c r="F342" s="22">
        <v>13850.240000000002</v>
      </c>
      <c r="G342" s="22"/>
      <c r="H342" s="22"/>
      <c r="I342" s="7"/>
      <c r="J342" s="22">
        <f t="shared" si="6"/>
        <v>27361.300000000003</v>
      </c>
    </row>
    <row r="343" spans="2:10" hidden="1">
      <c r="B343" t="s">
        <v>352</v>
      </c>
      <c r="C343" s="22"/>
      <c r="D343" s="22"/>
      <c r="E343" s="22">
        <v>91196.34</v>
      </c>
      <c r="F343" s="22">
        <v>91650.53</v>
      </c>
      <c r="G343" s="22"/>
      <c r="H343" s="22"/>
      <c r="I343" s="7">
        <v>2293.96</v>
      </c>
      <c r="J343" s="22">
        <f t="shared" si="6"/>
        <v>185140.83</v>
      </c>
    </row>
    <row r="344" spans="2:10" hidden="1">
      <c r="B344" t="s">
        <v>353</v>
      </c>
      <c r="C344" s="22"/>
      <c r="D344" s="22"/>
      <c r="E344" s="22">
        <v>8282.06</v>
      </c>
      <c r="F344" s="22">
        <v>10449.07</v>
      </c>
      <c r="G344" s="22"/>
      <c r="H344" s="22"/>
      <c r="I344" s="7"/>
      <c r="J344" s="22">
        <f t="shared" si="6"/>
        <v>18731.129999999997</v>
      </c>
    </row>
    <row r="345" spans="2:10" hidden="1">
      <c r="B345" t="s">
        <v>354</v>
      </c>
      <c r="C345" s="22"/>
      <c r="D345" s="22"/>
      <c r="E345" s="22"/>
      <c r="F345" s="22">
        <v>10214.099999999999</v>
      </c>
      <c r="G345" s="22"/>
      <c r="H345" s="22"/>
      <c r="I345" s="7"/>
      <c r="J345" s="22">
        <f t="shared" si="6"/>
        <v>10214.099999999999</v>
      </c>
    </row>
    <row r="346" spans="2:10" hidden="1">
      <c r="B346" t="s">
        <v>355</v>
      </c>
      <c r="C346" s="22"/>
      <c r="D346" s="22"/>
      <c r="E346" s="22">
        <v>56094.79</v>
      </c>
      <c r="F346" s="22">
        <v>2998.42</v>
      </c>
      <c r="G346" s="22"/>
      <c r="H346" s="22"/>
      <c r="I346" s="7"/>
      <c r="J346" s="22">
        <f t="shared" si="6"/>
        <v>59093.21</v>
      </c>
    </row>
    <row r="347" spans="2:10" hidden="1">
      <c r="B347" t="s">
        <v>356</v>
      </c>
      <c r="C347" s="22">
        <v>103585.66</v>
      </c>
      <c r="D347" s="22"/>
      <c r="E347" s="22">
        <v>71174.48000000001</v>
      </c>
      <c r="F347" s="22">
        <v>20311.400000000001</v>
      </c>
      <c r="G347" s="22"/>
      <c r="H347" s="22"/>
      <c r="I347" s="7"/>
      <c r="J347" s="22">
        <f t="shared" si="6"/>
        <v>195071.54</v>
      </c>
    </row>
    <row r="348" spans="2:10" hidden="1">
      <c r="B348" t="s">
        <v>357</v>
      </c>
      <c r="C348" s="22"/>
      <c r="D348" s="22"/>
      <c r="E348" s="22">
        <v>47729.27</v>
      </c>
      <c r="F348" s="22">
        <v>4141.4799999999996</v>
      </c>
      <c r="G348" s="22"/>
      <c r="H348" s="22"/>
      <c r="I348" s="7"/>
      <c r="J348" s="22">
        <f t="shared" si="6"/>
        <v>51870.75</v>
      </c>
    </row>
    <row r="349" spans="2:10" hidden="1">
      <c r="B349" t="s">
        <v>358</v>
      </c>
      <c r="C349" s="22"/>
      <c r="D349" s="22"/>
      <c r="E349" s="22"/>
      <c r="F349" s="22"/>
      <c r="G349" s="22"/>
      <c r="H349" s="22"/>
      <c r="I349" s="7">
        <v>3890.17</v>
      </c>
      <c r="J349" s="22">
        <f t="shared" si="6"/>
        <v>3890.17</v>
      </c>
    </row>
    <row r="350" spans="2:10" hidden="1">
      <c r="B350" t="s">
        <v>359</v>
      </c>
      <c r="C350" s="22"/>
      <c r="D350" s="22"/>
      <c r="E350" s="22"/>
      <c r="F350" s="22">
        <v>858.08999999999992</v>
      </c>
      <c r="G350" s="22"/>
      <c r="H350" s="22"/>
      <c r="I350" s="7"/>
      <c r="J350" s="22">
        <f t="shared" si="6"/>
        <v>858.08999999999992</v>
      </c>
    </row>
    <row r="351" spans="2:10" hidden="1">
      <c r="B351" t="s">
        <v>360</v>
      </c>
      <c r="C351" s="22"/>
      <c r="D351" s="22"/>
      <c r="E351" s="22">
        <v>17913.920000000002</v>
      </c>
      <c r="F351" s="22">
        <v>4900.25</v>
      </c>
      <c r="G351" s="22">
        <v>3321.12</v>
      </c>
      <c r="H351" s="22">
        <v>2943.72</v>
      </c>
      <c r="I351" s="7"/>
      <c r="J351" s="22">
        <f t="shared" si="6"/>
        <v>29079.010000000002</v>
      </c>
    </row>
    <row r="352" spans="2:10" hidden="1">
      <c r="B352" t="s">
        <v>361</v>
      </c>
      <c r="C352" s="22"/>
      <c r="D352" s="22"/>
      <c r="E352" s="22">
        <v>57505.399999999994</v>
      </c>
      <c r="F352" s="22">
        <v>1487.75</v>
      </c>
      <c r="G352" s="22"/>
      <c r="H352" s="22"/>
      <c r="I352" s="7"/>
      <c r="J352" s="22">
        <f t="shared" si="6"/>
        <v>58993.149999999994</v>
      </c>
    </row>
    <row r="353" spans="2:12" hidden="1">
      <c r="B353" t="s">
        <v>362</v>
      </c>
      <c r="C353" s="22"/>
      <c r="D353" s="22"/>
      <c r="E353" s="22">
        <v>14117.4</v>
      </c>
      <c r="F353" s="22"/>
      <c r="G353" s="22"/>
      <c r="H353" s="22"/>
      <c r="I353" s="7"/>
      <c r="J353" s="22">
        <f t="shared" si="6"/>
        <v>14117.4</v>
      </c>
    </row>
    <row r="354" spans="2:12" hidden="1">
      <c r="B354" t="s">
        <v>363</v>
      </c>
      <c r="C354" s="22"/>
      <c r="D354" s="22"/>
      <c r="E354" s="22">
        <v>3611.33</v>
      </c>
      <c r="F354" s="22"/>
      <c r="G354" s="22"/>
      <c r="H354" s="22"/>
      <c r="I354" s="7"/>
      <c r="J354" s="22">
        <f t="shared" si="6"/>
        <v>3611.33</v>
      </c>
    </row>
    <row r="355" spans="2:12" hidden="1">
      <c r="B355" t="s">
        <v>364</v>
      </c>
      <c r="C355" s="22"/>
      <c r="D355" s="22"/>
      <c r="E355" s="22"/>
      <c r="F355" s="22">
        <v>56655.56</v>
      </c>
      <c r="G355" s="22"/>
      <c r="H355" s="22"/>
      <c r="I355" s="7"/>
      <c r="J355" s="22">
        <f t="shared" si="6"/>
        <v>56655.56</v>
      </c>
    </row>
    <row r="356" spans="2:12" hidden="1">
      <c r="B356" t="s">
        <v>365</v>
      </c>
      <c r="C356" s="22"/>
      <c r="D356" s="22"/>
      <c r="E356" s="22">
        <v>31828.05</v>
      </c>
      <c r="F356" s="22"/>
      <c r="G356" s="22"/>
      <c r="H356" s="22"/>
      <c r="I356" s="7"/>
      <c r="J356" s="22">
        <f t="shared" si="6"/>
        <v>31828.05</v>
      </c>
    </row>
    <row r="357" spans="2:12" hidden="1">
      <c r="B357" t="s">
        <v>366</v>
      </c>
      <c r="C357" s="22"/>
      <c r="D357" s="22"/>
      <c r="E357" s="22">
        <v>2159.0300000000002</v>
      </c>
      <c r="F357" s="22">
        <v>24738.000000000004</v>
      </c>
      <c r="G357" s="22"/>
      <c r="H357" s="22"/>
      <c r="I357" s="7">
        <v>1608.51</v>
      </c>
      <c r="J357" s="22">
        <f t="shared" si="6"/>
        <v>28505.54</v>
      </c>
    </row>
    <row r="358" spans="2:12" hidden="1">
      <c r="B358" t="s">
        <v>367</v>
      </c>
      <c r="C358" s="22">
        <v>62561.740000000005</v>
      </c>
      <c r="D358" s="22"/>
      <c r="E358" s="22">
        <v>1665438.0199999991</v>
      </c>
      <c r="F358" s="22">
        <v>698028.45</v>
      </c>
      <c r="G358" s="22">
        <v>50652.24</v>
      </c>
      <c r="H358" s="22">
        <v>201550.97999999998</v>
      </c>
      <c r="I358" s="7">
        <v>62404.02</v>
      </c>
      <c r="J358" s="22">
        <f t="shared" si="6"/>
        <v>2740635.4499999993</v>
      </c>
    </row>
    <row r="359" spans="2:12" hidden="1">
      <c r="B359" t="s">
        <v>368</v>
      </c>
      <c r="C359" s="22"/>
      <c r="D359" s="22"/>
      <c r="E359" s="22">
        <v>38116.94</v>
      </c>
      <c r="F359" s="22">
        <v>70776.59</v>
      </c>
      <c r="G359" s="22"/>
      <c r="H359" s="22">
        <v>13837.11</v>
      </c>
      <c r="I359" s="7"/>
      <c r="J359" s="22">
        <f t="shared" si="6"/>
        <v>122730.64</v>
      </c>
    </row>
    <row r="360" spans="2:12" hidden="1">
      <c r="B360" t="s">
        <v>369</v>
      </c>
      <c r="C360" s="22">
        <f t="shared" ref="C360:I360" si="7">SUM(C3:C359)</f>
        <v>35560746.209999993</v>
      </c>
      <c r="D360" s="22">
        <f t="shared" si="7"/>
        <v>161841.06</v>
      </c>
      <c r="E360" s="22">
        <f t="shared" si="7"/>
        <v>198620599.87999988</v>
      </c>
      <c r="F360" s="22">
        <f t="shared" si="7"/>
        <v>90203405.320000038</v>
      </c>
      <c r="G360" s="22">
        <f t="shared" si="7"/>
        <v>3451756.66</v>
      </c>
      <c r="H360" s="22">
        <f t="shared" si="7"/>
        <v>17212058.410000008</v>
      </c>
      <c r="I360" s="7">
        <f t="shared" si="7"/>
        <v>12604189.729999999</v>
      </c>
      <c r="J360" s="28">
        <f>SUM(J15:J359)</f>
        <v>319846323.35999984</v>
      </c>
    </row>
    <row r="361" spans="2:12" hidden="1"/>
    <row r="362" spans="2:12" hidden="1"/>
    <row r="363" spans="2:12" hidden="1"/>
    <row r="364" spans="2:12">
      <c r="L364" s="31">
        <f>L39+L20</f>
        <v>0.5603039484317931</v>
      </c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headerFooter>
    <oddHeader>&amp;C&amp;Z&amp;F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AAECD4FFAEC24881DE1F6007DB1196" ma:contentTypeVersion="19" ma:contentTypeDescription="Create a new document." ma:contentTypeScope="" ma:versionID="dfaa4fe9fdfaebd2b3fb94fdbc0e2fd9">
  <xsd:schema xmlns:xsd="http://www.w3.org/2001/XMLSchema" xmlns:xs="http://www.w3.org/2001/XMLSchema" xmlns:p="http://schemas.microsoft.com/office/2006/metadata/properties" xmlns:ns2="b6f0f157-b05d-47b5-a4ad-9104388b9e00" xmlns:ns3="695474d6-1b83-4b70-99c6-99f4784a3023" xmlns:ns4="28c4117a-bbb3-4e1f-8a90-b630a637c5f5" targetNamespace="http://schemas.microsoft.com/office/2006/metadata/properties" ma:root="true" ma:fieldsID="87f642a867bb127e08f296f551362199" ns2:_="" ns3:_="" ns4:_="">
    <xsd:import namespace="b6f0f157-b05d-47b5-a4ad-9104388b9e00"/>
    <xsd:import namespace="695474d6-1b83-4b70-99c6-99f4784a3023"/>
    <xsd:import namespace="28c4117a-bbb3-4e1f-8a90-b630a637c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0f157-b05d-47b5-a4ad-9104388b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0616e0a-51ce-457b-a9c4-6ff1e00dfc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474d6-1b83-4b70-99c6-99f4784a3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4117a-bbb3-4e1f-8a90-b630a637c5f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d9efa9e-e86d-421a-b29c-68cba4ec1ac4}" ma:internalName="TaxCatchAll" ma:showField="CatchAllData" ma:web="695474d6-1b83-4b70-99c6-99f4784a30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c4117a-bbb3-4e1f-8a90-b630a637c5f5" xsi:nil="true"/>
    <lcf76f155ced4ddcb4097134ff3c332f xmlns="b6f0f157-b05d-47b5-a4ad-9104388b9e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F44C17-1AC5-4539-93C1-7AA06E92E557}"/>
</file>

<file path=customXml/itemProps2.xml><?xml version="1.0" encoding="utf-8"?>
<ds:datastoreItem xmlns:ds="http://schemas.openxmlformats.org/officeDocument/2006/customXml" ds:itemID="{45E4C314-14B9-4D31-9A4C-A816524526A2}"/>
</file>

<file path=customXml/itemProps3.xml><?xml version="1.0" encoding="utf-8"?>
<ds:datastoreItem xmlns:ds="http://schemas.openxmlformats.org/officeDocument/2006/customXml" ds:itemID="{3485FA9E-088F-44EC-816C-7556A45B890E}"/>
</file>

<file path=docMetadata/LabelInfo.xml><?xml version="1.0" encoding="utf-8"?>
<clbl:labelList xmlns:clbl="http://schemas.microsoft.com/office/2020/mipLabelMetadata">
  <clbl:label id="{f34583ae-50f5-4173-a209-c3f4cf536101}" enabled="1" method="Standard" siteId="{c64d49cd-d138-4cdb-a5d4-324a4040c7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Harding</dc:creator>
  <cp:keywords/>
  <dc:description/>
  <cp:lastModifiedBy>Goran Sekulovski</cp:lastModifiedBy>
  <cp:revision/>
  <dcterms:created xsi:type="dcterms:W3CDTF">2025-11-07T06:23:08Z</dcterms:created>
  <dcterms:modified xsi:type="dcterms:W3CDTF">2026-02-06T03:43:40Z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0x010100F1AAECD4FFAEC24881DE1F6007DB1196</vt:lpwstr>
  </property>
  <property fmtid="{D5CDD505-2E9C-101B-9397-08002B2CF9AE}" pid="3" name="MediaServiceImageTags">
    <vt:lpwstr/>
  </property>
</Properties>
</file>