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66925"/>
  <mc:AlternateContent xmlns:mc="http://schemas.openxmlformats.org/markup-compatibility/2006">
    <mc:Choice Requires="x15">
      <x15ac:absPath xmlns:x15ac="http://schemas.microsoft.com/office/spreadsheetml/2010/11/ac" url="https://ampgroup.sharepoint.com/teams/AMPWrapInv/Shared Documents/Partnered Managed Portfolios/04. PMP's - New (in progress)/03. In Progress/Minerds Bell/04. DD/"/>
    </mc:Choice>
  </mc:AlternateContent>
  <xr:revisionPtr revIDLastSave="216" documentId="8_{94DA1E1E-A4E9-4A88-98B5-D45DD32726C8}" xr6:coauthVersionLast="47" xr6:coauthVersionMax="47" xr10:uidLastSave="{AF42DE87-D532-43E7-B450-FDE711AE825C}"/>
  <bookViews>
    <workbookView xWindow="-20100" yWindow="-1290" windowWidth="20190" windowHeight="13035" tabRatio="769" firstSheet="2" activeTab="1" xr2:uid="{2FE64075-1501-4EFC-920D-0E7DFD9B273F}"/>
  </bookViews>
  <sheets>
    <sheet name="Practice Onboarding" sheetId="5" r:id="rId1"/>
    <sheet name="Authorised Representatives" sheetId="15" r:id="rId2"/>
    <sheet name="Calcs" sheetId="16" r:id="rId3"/>
  </sheets>
  <definedNames>
    <definedName name="_xlnm.Print_Area" localSheetId="0">'Practice Onboarding'!$A$1:$C$41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1" i="5" l="1"/>
  <c r="D15" i="16"/>
  <c r="D16" i="16"/>
  <c r="D17" i="16"/>
  <c r="D14" i="16"/>
  <c r="D11" i="16"/>
  <c r="D7" i="16"/>
  <c r="D8" i="16"/>
  <c r="D9" i="16"/>
  <c r="D10" i="16"/>
  <c r="D6" i="16"/>
  <c r="C10" i="16"/>
  <c r="C17" i="16"/>
  <c r="E32" i="5" l="1"/>
  <c r="E5" i="5" l="1"/>
  <c r="E40" i="5" l="1"/>
</calcChain>
</file>

<file path=xl/sharedStrings.xml><?xml version="1.0" encoding="utf-8"?>
<sst xmlns="http://schemas.openxmlformats.org/spreadsheetml/2006/main" count="110" uniqueCount="95">
  <si>
    <t>MyNorth Practice Onboarding Questionnaire</t>
  </si>
  <si>
    <t>MinerdsBell Consultancy Group</t>
  </si>
  <si>
    <t>7th November 2025</t>
  </si>
  <si>
    <t>v3.0</t>
  </si>
  <si>
    <t>Part 1 - Practice Structure</t>
  </si>
  <si>
    <t>Response</t>
  </si>
  <si>
    <t>Progress</t>
  </si>
  <si>
    <t>Practice name (entity name, trading name, ABNs)</t>
  </si>
  <si>
    <t>Clive Harris &amp; Associates Pty Ltd trading as Minerds Bell Consultancy Group ABN 97 008 019 163</t>
  </si>
  <si>
    <t>Practice authorised representative number</t>
  </si>
  <si>
    <t>Licensee (name, AFSL number)</t>
  </si>
  <si>
    <t>Charter Financial PlanningLimited, licensee number 234665</t>
  </si>
  <si>
    <t>Length of time with licensee</t>
  </si>
  <si>
    <t>20+ years (AXAFP, then Charter whan AMP acquired AXA)</t>
  </si>
  <si>
    <t>Detail the ownership of your organisation and the entity structures of your firm (including how many FSCGs you have).
Please detail whether your practice is structured as a company or trust. If structured as a trust, provide the date of the trust deed and the trust deed parties.</t>
  </si>
  <si>
    <t>The trading name Minerds Bell Consultancy Group is solely owned by Clive Harris &amp; Associates Pty Ltd (CHA). CHA has 4 owners, Andrew Harris, his family trust, Natalie Bordun's familty trust and Daran Thompson's family trust. The business has a single FSCG.</t>
  </si>
  <si>
    <t>Provide the name and email address of the directors / company secretary of your company that will execute your Legal agreement (please specify whether they are a director or company secretary).</t>
  </si>
  <si>
    <t>Andrew Harris - Director - email andrew.harris@minerdsbell.com.au</t>
  </si>
  <si>
    <t>Does this entity own your branding? If not, provide the above details for that entity.</t>
  </si>
  <si>
    <t>Yes</t>
  </si>
  <si>
    <t>Do you wish to offer the portfolios through any other entity (other than stated above)? If so, provide the above details.</t>
  </si>
  <si>
    <t>No</t>
  </si>
  <si>
    <t>Provide a list of authorised representatives attached to your practice. Include relevant Authorised Representative IDs and North Adviser IDs. Please fill this out in the 'Authorised Representatives' tab in this spreadsheet.</t>
  </si>
  <si>
    <t>See next tab</t>
  </si>
  <si>
    <t>Provide the following contact details: phone number, address, email, website.</t>
  </si>
  <si>
    <t>Andrew Harris, Phone:  08 8373 1711 or 0413 601 963, Address: Unit 1/ 35 King William Road, UNLEY SA 5061, Email: minerdsbell@minerdsbell.com,au, Website: www.minerdsbell.com.au</t>
  </si>
  <si>
    <t>Provide a brief description on your practice (max 100 words). The description is to include factual information only as it is intended for disclosure documentation.</t>
  </si>
  <si>
    <t>Minerds Bell Consultancy Group has been providing tailored strategic financial planning advice to our clients for over 50 years. We specialise in advice to pre and post retirees. Our qualified and experienced advisers and well resourced team are guided by the belief that our purpose is to use our skill, expertise and care to make a positive difference  to your financial future to help you achieve your own goals.</t>
  </si>
  <si>
    <t>What is your overall FUA?</t>
  </si>
  <si>
    <t>At 31 October 2025 - North FUA is $348,486,572</t>
  </si>
  <si>
    <t>What percentage of this FUA sits in the following client segments:
- Accumulator (30-44)
- Pre-retiree (55-64)
- Retiree (65+)
- HNW (&gt;$1mil)
- Other (special interest segments e.g. ESG, active investments etc)</t>
  </si>
  <si>
    <t>Refer Calcs Sheet</t>
  </si>
  <si>
    <t>What percentage of this FUA sits in the following tax structures: super, pension, IDPS.</t>
  </si>
  <si>
    <t>Part 2 - Current Investment</t>
  </si>
  <si>
    <t>State your practice's investment philosophy and how it supports the client segments you work with.</t>
  </si>
  <si>
    <t>We construct portfolios using a disciplined blend of high-quality active managers—selected for their proven ability to outperform benchmarks—and passive strategies to enhance cost efficiency where markets are efficient. Sector specialists provide targeted asset allocation, enabling dynamic responses to market trends. We use a combinatiom of growth and defensive portfolios, balancing capital appreciation with risk management and liquidity for income needs. Our approach integrates rigorous due diligence, ongoing governance, and behavioral insights to optimize outcomes, ensuring portfolios remain resilient, adaptive, and aligned with each client’s objectives.</t>
  </si>
  <si>
    <t>Detail the model portfolios that are currently being used within the practice (detail can be provided in a separate spreadsheet). Please include:
- Composition of the portfolios including underlying weights
- 1,3 and 5 year returns
- management costs for each portfolio</t>
  </si>
  <si>
    <t>Previously provided in a seperate excel spreadsheet</t>
  </si>
  <si>
    <t>How long (in years) has your practice been recommending practice based model portfolios to clients?</t>
  </si>
  <si>
    <t>15+ years</t>
  </si>
  <si>
    <t>How many clients are currently invested in model portfolios, and what percentage is this of your total client base?</t>
  </si>
  <si>
    <t>90% of clients hold a sector fund portfolio.</t>
  </si>
  <si>
    <t>What platforms do you operate your model portfolios on?</t>
  </si>
  <si>
    <t>North only</t>
  </si>
  <si>
    <t>What is the value of funds currently invested in model portfolios?</t>
  </si>
  <si>
    <t>Funds from our model represent 56% of FUA excl Cash and TDs. See attached</t>
  </si>
  <si>
    <t>Do you use the professional services of an asset consultant or other entity to assist with the construction and ongoing management of model portfolios? If so, please name the consultant / entity that you use and how long you have been using their services.</t>
  </si>
  <si>
    <t>Not currently</t>
  </si>
  <si>
    <t>List any previous asset consultants with which you have formal affiliations and state the length of these relationships.</t>
  </si>
  <si>
    <t>Not applicable</t>
  </si>
  <si>
    <t>What is the proposed manager(s) for the partnered managed portfolios? How does your investment philosophy align with that of your chosen manager?</t>
  </si>
  <si>
    <t>Salita - As per model amended by consultation</t>
  </si>
  <si>
    <t>Part 3 - Commercial Overview</t>
  </si>
  <si>
    <t>Does your practice need a distinct partnered managed portfolio offer? Would there be any needs of the practice not met by our existing range of portfolios?</t>
  </si>
  <si>
    <r>
      <t xml:space="preserve">Yes, we need a partnered managed portfolio solution, We believe the existing range of portfilios does </t>
    </r>
    <r>
      <rPr>
        <b/>
        <sz val="11"/>
        <color theme="1"/>
        <rFont val="Calibri"/>
        <family val="2"/>
        <scheme val="minor"/>
      </rPr>
      <t>not</t>
    </r>
    <r>
      <rPr>
        <sz val="11"/>
        <color theme="1"/>
        <rFont val="Calibri"/>
        <family val="2"/>
        <scheme val="minor"/>
      </rPr>
      <t xml:space="preserve"> meet our needs and 2 new poartfolios are required.</t>
    </r>
  </si>
  <si>
    <t>How will offering partnered managed portfolios better meet your client's needs?</t>
  </si>
  <si>
    <t xml:space="preserve">Delivery of more timely portfolio adjustments to the entire client base rather than waiting for the annually review.  in additional being to react to market conditions more effeciently. Reporting should provide clients with improved and more frequent transparency around their portfolios. </t>
  </si>
  <si>
    <t>Outline your strategy to grow your business.</t>
  </si>
  <si>
    <t>2 main strategies, acquisition of new clients thorugh strategic Centres of Influence &amp; existig clients referrals; and by ensuring on-going advice fees are maintained at levels required by the business that reflect fair value.</t>
  </si>
  <si>
    <t>Outline your strategy to transition clients to these portfolios.</t>
  </si>
  <si>
    <t>Our strategy is yet to be fully developed. Our objective is to transtion as many clients to the new portfolios over a 12-18 month period as we are able to, potentially based on our cliet review cycle sibject to consultation with the portfilio provider, North, licensee requirements, business capabilty and client suitability. Adopt the investment approach across all new client from inception.</t>
  </si>
  <si>
    <t>Can you confirm that will not charge any fees to clients in connection to the investment management or administration of the managed portfolios, as these will be charged by the platform?</t>
  </si>
  <si>
    <t>Can you confirm you will not enter into an arrangement involving conflicted remuneration in connection to the managed portfolios?</t>
  </si>
  <si>
    <t>Part 4 - Branding Information</t>
  </si>
  <si>
    <t>Name of the proposed managed portfolios (noting this should not include the practice's name).</t>
  </si>
  <si>
    <t>To be determined</t>
  </si>
  <si>
    <t>Use of branding material:</t>
  </si>
  <si>
    <t>We will contact you separately if we can use your practice's branding material in our disclosure and reporting. If so, we may request your:
- Practice logo (.png or .jpg file formats with a resolution of at least 144 DPI)
- PDS Front Cover image / graphic
- Corporate colours (including primary / secondary colour RGB, CYMK or HEX codes)
- Corporate style guide</t>
  </si>
  <si>
    <t>As per Part 1 question 9, please provide a list of your authorised representatives:</t>
  </si>
  <si>
    <t>Authorised Representative Name</t>
  </si>
  <si>
    <t>Authorised Representative ID</t>
  </si>
  <si>
    <t>North Adviser ID</t>
  </si>
  <si>
    <t>Andrew Harris</t>
  </si>
  <si>
    <t>NAEVF-A</t>
  </si>
  <si>
    <t>Natalie Bordun</t>
  </si>
  <si>
    <t>NDPVR-Y</t>
  </si>
  <si>
    <t>NDPVR-Y &amp; NEBGY-H</t>
  </si>
  <si>
    <t>Daran Thompson</t>
  </si>
  <si>
    <t>NDPVP-W</t>
  </si>
  <si>
    <t>William Nicodin</t>
  </si>
  <si>
    <t>NEWOJ-X</t>
  </si>
  <si>
    <t>Paul Cameron</t>
  </si>
  <si>
    <t>NFRYE-M</t>
  </si>
  <si>
    <t>Client Segments</t>
  </si>
  <si>
    <t>FUA $</t>
  </si>
  <si>
    <t>FUA %</t>
  </si>
  <si>
    <t>Accumulators (30-44)</t>
  </si>
  <si>
    <t>Pre-Retireees (55-64)</t>
  </si>
  <si>
    <t>Retirees (65+)</t>
  </si>
  <si>
    <t>Non Individuals (Trust, etc.)</t>
  </si>
  <si>
    <t>HNW (FUA&gt;$1m)</t>
  </si>
  <si>
    <t>Tax Structures</t>
  </si>
  <si>
    <t>Super</t>
  </si>
  <si>
    <t xml:space="preserve">Pension </t>
  </si>
  <si>
    <t>IDPS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</si>
</sst>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quot;$&quot;#,##0"/>
  </numFmts>
  <fonts count="7">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6"/>
      <color theme="0"/>
      <name val="Calibri"/>
      <family val="2"/>
      <scheme val="minor"/>
    </font>
    <font>
      <b/>
      <sz val="12"/>
      <name val="Calibri"/>
      <family val="2"/>
      <scheme val="minor"/>
    </font>
    <font>
      <sz val="11"/>
      <name val="Calibri"/>
      <family val="2"/>
      <scheme val="minor"/>
    </font>
  </fonts>
  <fills count="9">
    <fill>
      <patternFill patternType="none"/>
    </fill>
    <fill>
      <patternFill patternType="gray125"/>
    </fill>
    <fill>
      <patternFill patternType="solid">
        <fgColor rgb="FF001E41"/>
        <bgColor indexed="64"/>
      </patternFill>
    </fill>
    <fill>
      <patternFill patternType="solid">
        <fgColor rgb="FF004F5D"/>
        <bgColor indexed="64"/>
      </patternFill>
    </fill>
    <fill>
      <patternFill patternType="solid">
        <fgColor theme="0" tint="-4.9989318521683403E-2"/>
        <bgColor indexed="64"/>
      </patternFill>
    </fill>
    <fill>
      <patternFill patternType="solid">
        <fgColor theme="0"/>
        <bgColor indexed="64"/>
      </patternFill>
    </fill>
    <fill>
      <patternFill patternType="solid">
        <fgColor rgb="FFDED1FA"/>
        <bgColor indexed="64"/>
      </patternFill>
    </fill>
    <fill>
      <patternFill patternType="solid">
        <fgColor rgb="FFD2F5FC"/>
        <bgColor indexed="64"/>
      </patternFill>
    </fill>
    <fill>
      <patternFill patternType="solid">
        <fgColor rgb="FFFFFF00"/>
        <bgColor indexed="64"/>
      </patternFill>
    </fill>
  </fills>
  <borders count="13">
    <border>
      <left/>
      <right/>
      <top/>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top/>
      <bottom/>
      <diagonal/>
    </border>
    <border>
      <left style="medium">
        <color theme="0"/>
      </left>
      <right/>
      <top style="medium">
        <color theme="0"/>
      </top>
      <bottom/>
      <diagonal/>
    </border>
    <border>
      <left/>
      <right style="medium">
        <color theme="0"/>
      </right>
      <top style="medium">
        <color theme="0"/>
      </top>
      <bottom/>
      <diagonal/>
    </border>
    <border>
      <left style="medium">
        <color theme="0"/>
      </left>
      <right style="medium">
        <color theme="0"/>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top style="thin">
        <color indexed="64"/>
      </top>
      <bottom style="double">
        <color indexed="64"/>
      </bottom>
      <diagonal/>
    </border>
  </borders>
  <cellStyleXfs count="2">
    <xf numFmtId="0" fontId="0" fillId="0" borderId="0"/>
    <xf numFmtId="9" fontId="1" fillId="0" borderId="0" applyFont="0" applyFill="0" applyBorder="0" applyAlignment="0" applyProtection="0"/>
  </cellStyleXfs>
  <cellXfs count="41">
    <xf numFmtId="0" fontId="0" fillId="0" borderId="0" xfId="0"/>
    <xf numFmtId="0" fontId="0" fillId="5" borderId="0" xfId="0" applyFill="1" applyAlignment="1">
      <alignment vertical="center"/>
    </xf>
    <xf numFmtId="0" fontId="0" fillId="5" borderId="0" xfId="0" applyFill="1" applyAlignment="1">
      <alignment horizontal="center" vertical="center"/>
    </xf>
    <xf numFmtId="0" fontId="0" fillId="5" borderId="0" xfId="0" applyFill="1"/>
    <xf numFmtId="0" fontId="0" fillId="5" borderId="8" xfId="0" applyFill="1" applyBorder="1" applyAlignment="1">
      <alignment vertical="center"/>
    </xf>
    <xf numFmtId="0" fontId="2" fillId="2" borderId="8" xfId="0" applyFont="1" applyFill="1" applyBorder="1" applyAlignment="1">
      <alignment horizontal="left" vertical="center"/>
    </xf>
    <xf numFmtId="0" fontId="2" fillId="2" borderId="8" xfId="0" applyFont="1" applyFill="1" applyBorder="1" applyAlignment="1">
      <alignment vertical="center"/>
    </xf>
    <xf numFmtId="0" fontId="2" fillId="3" borderId="9" xfId="0" applyFont="1" applyFill="1" applyBorder="1" applyAlignment="1">
      <alignment vertical="center"/>
    </xf>
    <xf numFmtId="9" fontId="2" fillId="3" borderId="10" xfId="1" applyFont="1" applyFill="1" applyBorder="1" applyAlignment="1">
      <alignment vertical="center"/>
    </xf>
    <xf numFmtId="0" fontId="3" fillId="4" borderId="8" xfId="0" applyFont="1" applyFill="1" applyBorder="1" applyAlignment="1">
      <alignment horizontal="center" vertical="center"/>
    </xf>
    <xf numFmtId="0" fontId="0" fillId="4" borderId="8" xfId="0" applyFill="1" applyBorder="1" applyAlignment="1">
      <alignment vertical="center" wrapText="1"/>
    </xf>
    <xf numFmtId="0" fontId="3" fillId="4" borderId="8" xfId="0" applyFont="1" applyFill="1" applyBorder="1" applyAlignment="1">
      <alignment horizontal="center" vertical="center" wrapText="1"/>
    </xf>
    <xf numFmtId="0" fontId="0" fillId="4" borderId="9" xfId="0" applyFill="1" applyBorder="1" applyAlignment="1">
      <alignment vertical="center" wrapText="1"/>
    </xf>
    <xf numFmtId="0" fontId="0" fillId="4" borderId="10" xfId="0" applyFill="1" applyBorder="1" applyAlignment="1">
      <alignment vertical="center" wrapText="1"/>
    </xf>
    <xf numFmtId="0" fontId="0" fillId="4" borderId="0" xfId="0" applyFill="1" applyAlignment="1">
      <alignment vertical="center"/>
    </xf>
    <xf numFmtId="0" fontId="2" fillId="2" borderId="8" xfId="0" applyFont="1" applyFill="1" applyBorder="1" applyAlignment="1">
      <alignment vertical="center" wrapText="1"/>
    </xf>
    <xf numFmtId="0" fontId="0" fillId="0" borderId="8" xfId="0" applyBorder="1" applyAlignment="1">
      <alignment vertical="center"/>
    </xf>
    <xf numFmtId="164" fontId="5" fillId="7" borderId="7" xfId="0" applyNumberFormat="1" applyFont="1" applyFill="1" applyBorder="1" applyAlignment="1">
      <alignment horizontal="center" vertical="center" wrapText="1"/>
    </xf>
    <xf numFmtId="0" fontId="3" fillId="6" borderId="9" xfId="0" applyFont="1" applyFill="1" applyBorder="1"/>
    <xf numFmtId="0" fontId="3" fillId="6" borderId="11" xfId="0" applyFont="1" applyFill="1" applyBorder="1"/>
    <xf numFmtId="0" fontId="3" fillId="6" borderId="10" xfId="0" applyFont="1" applyFill="1" applyBorder="1"/>
    <xf numFmtId="0" fontId="3" fillId="4" borderId="8" xfId="0" applyFont="1" applyFill="1" applyBorder="1" applyAlignment="1">
      <alignment vertical="center" wrapText="1"/>
    </xf>
    <xf numFmtId="0" fontId="0" fillId="5" borderId="8" xfId="0" applyFill="1" applyBorder="1" applyAlignment="1">
      <alignment vertical="center" wrapText="1"/>
    </xf>
    <xf numFmtId="0" fontId="0" fillId="8" borderId="8" xfId="0" applyFill="1" applyBorder="1" applyAlignment="1">
      <alignment vertical="center"/>
    </xf>
    <xf numFmtId="0" fontId="6" fillId="0" borderId="8" xfId="0" applyFont="1" applyBorder="1" applyAlignment="1">
      <alignment vertical="center" wrapText="1"/>
    </xf>
    <xf numFmtId="0" fontId="0" fillId="0" borderId="0" xfId="0" applyAlignment="1">
      <alignment horizontal="center"/>
    </xf>
    <xf numFmtId="9" fontId="0" fillId="0" borderId="0" xfId="0" applyNumberFormat="1" applyAlignment="1">
      <alignment horizontal="center"/>
    </xf>
    <xf numFmtId="165" fontId="0" fillId="0" borderId="0" xfId="0" applyNumberFormat="1" applyAlignment="1">
      <alignment horizontal="center"/>
    </xf>
    <xf numFmtId="0" fontId="3" fillId="0" borderId="0" xfId="0" applyFont="1" applyAlignment="1">
      <alignment horizontal="center"/>
    </xf>
    <xf numFmtId="0" fontId="3" fillId="0" borderId="0" xfId="0" applyFont="1"/>
    <xf numFmtId="165" fontId="3" fillId="0" borderId="12" xfId="0" applyNumberFormat="1" applyFont="1" applyBorder="1" applyAlignment="1">
      <alignment horizontal="center"/>
    </xf>
    <xf numFmtId="9" fontId="3" fillId="0" borderId="12" xfId="0" applyNumberFormat="1" applyFont="1" applyBorder="1" applyAlignment="1">
      <alignment horizontal="center"/>
    </xf>
    <xf numFmtId="0" fontId="0" fillId="0" borderId="0" xfId="0" applyAlignment="1">
      <alignment vertical="center"/>
    </xf>
    <xf numFmtId="0" fontId="0" fillId="0" borderId="4" xfId="0" applyBorder="1" applyAlignment="1">
      <alignment vertical="center"/>
    </xf>
    <xf numFmtId="0" fontId="0" fillId="5" borderId="8" xfId="0" applyFill="1" applyBorder="1" applyAlignment="1">
      <alignment horizontal="center" vertical="center"/>
    </xf>
    <xf numFmtId="0" fontId="0" fillId="0" borderId="0" xfId="0" applyAlignment="1">
      <alignment wrapText="1"/>
    </xf>
    <xf numFmtId="0" fontId="5" fillId="6" borderId="5" xfId="0" applyFont="1" applyFill="1" applyBorder="1" applyAlignment="1">
      <alignment horizontal="center" vertical="center"/>
    </xf>
    <xf numFmtId="0" fontId="5" fillId="6" borderId="6" xfId="0" applyFont="1" applyFill="1" applyBorder="1" applyAlignment="1">
      <alignment horizontal="center" vertical="center"/>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cellXfs>
  <cellStyles count="2">
    <cellStyle name="Normal" xfId="0" builtinId="0"/>
    <cellStyle name="Percent" xfId="1" builtinId="5"/>
  </cellStyles>
  <dxfs count="0"/>
  <tableStyles count="0" defaultTableStyle="TableStyleMedium2" defaultPivotStyle="PivotStyleLight16"/>
  <colors>
    <mruColors>
      <color rgb="FF00C2F3"/>
      <color rgb="FFDED1FA"/>
      <color rgb="FFD2F5FC"/>
      <color rgb="FF001E41"/>
      <color rgb="FFD0C2ED"/>
      <color rgb="FF004F5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4041779</xdr:colOff>
      <xdr:row>0</xdr:row>
      <xdr:rowOff>85917</xdr:rowOff>
    </xdr:from>
    <xdr:to>
      <xdr:col>2</xdr:col>
      <xdr:colOff>6097254</xdr:colOff>
      <xdr:row>1</xdr:row>
      <xdr:rowOff>330074</xdr:rowOff>
    </xdr:to>
    <xdr:pic>
      <xdr:nvPicPr>
        <xdr:cNvPr id="4" name="Picture 3">
          <a:extLst>
            <a:ext uri="{FF2B5EF4-FFF2-40B4-BE49-F238E27FC236}">
              <a16:creationId xmlns:a16="http://schemas.microsoft.com/office/drawing/2014/main" id="{FC051D3C-EF3F-4007-858C-2F6F75389E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1954" y="85917"/>
          <a:ext cx="2055475" cy="6651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02B83-CC09-49D4-8904-08E4049EC3B1}">
  <sheetPr codeName="Sheet1">
    <tabColor rgb="FF001E41"/>
  </sheetPr>
  <dimension ref="A1:F43"/>
  <sheetViews>
    <sheetView view="pageLayout" topLeftCell="A26" zoomScale="115" zoomScaleNormal="100" zoomScalePageLayoutView="115" workbookViewId="0">
      <selection activeCell="C8" sqref="C8"/>
    </sheetView>
  </sheetViews>
  <sheetFormatPr defaultColWidth="8.85546875" defaultRowHeight="14.45"/>
  <cols>
    <col min="1" max="1" width="5.5703125" style="2" customWidth="1"/>
    <col min="2" max="2" width="72.5703125" style="1" customWidth="1"/>
    <col min="3" max="3" width="94.28515625" style="1" customWidth="1"/>
    <col min="4" max="4" width="9.5703125" style="1" customWidth="1"/>
    <col min="5" max="5" width="7.5703125" style="1" customWidth="1"/>
    <col min="6" max="6" width="20.5703125" style="1" customWidth="1"/>
    <col min="7" max="16384" width="8.85546875" style="1"/>
  </cols>
  <sheetData>
    <row r="1" spans="1:6" ht="33" customHeight="1" thickBot="1">
      <c r="A1" s="38" t="s">
        <v>0</v>
      </c>
      <c r="B1" s="39"/>
      <c r="C1" s="40"/>
      <c r="D1" s="33"/>
      <c r="E1" s="32"/>
      <c r="F1" s="32"/>
    </row>
    <row r="2" spans="1:6" ht="32.25" customHeight="1">
      <c r="A2" s="36" t="s">
        <v>1</v>
      </c>
      <c r="B2" s="37"/>
      <c r="C2" s="17" t="s">
        <v>2</v>
      </c>
      <c r="D2" s="33"/>
      <c r="E2" s="32"/>
      <c r="F2" s="32"/>
    </row>
    <row r="3" spans="1:6">
      <c r="D3" s="1" t="s">
        <v>3</v>
      </c>
    </row>
    <row r="5" spans="1:6">
      <c r="A5" s="5" t="s">
        <v>4</v>
      </c>
      <c r="B5" s="6"/>
      <c r="C5" s="6" t="s">
        <v>5</v>
      </c>
      <c r="D5" s="7" t="s">
        <v>6</v>
      </c>
      <c r="E5" s="8">
        <f>COUNTA(C6:C19)/ROWS(C6:C19)</f>
        <v>1</v>
      </c>
    </row>
    <row r="6" spans="1:6">
      <c r="A6" s="9">
        <v>1</v>
      </c>
      <c r="B6" s="10" t="s">
        <v>7</v>
      </c>
      <c r="C6" s="4" t="s">
        <v>8</v>
      </c>
      <c r="D6" s="3"/>
      <c r="E6" s="3"/>
    </row>
    <row r="7" spans="1:6">
      <c r="A7" s="9">
        <v>2</v>
      </c>
      <c r="B7" s="10" t="s">
        <v>9</v>
      </c>
      <c r="C7" s="34">
        <v>253165</v>
      </c>
      <c r="D7" s="3"/>
      <c r="E7" s="3"/>
    </row>
    <row r="8" spans="1:6">
      <c r="A8" s="9">
        <v>3</v>
      </c>
      <c r="B8" s="10" t="s">
        <v>10</v>
      </c>
      <c r="C8" s="4" t="s">
        <v>11</v>
      </c>
      <c r="D8" s="3"/>
      <c r="E8" s="3"/>
    </row>
    <row r="9" spans="1:6">
      <c r="A9" s="9">
        <v>4</v>
      </c>
      <c r="B9" s="10" t="s">
        <v>12</v>
      </c>
      <c r="C9" s="4" t="s">
        <v>13</v>
      </c>
      <c r="D9" s="3"/>
      <c r="E9" s="3"/>
    </row>
    <row r="10" spans="1:6" ht="57.6">
      <c r="A10" s="9">
        <v>5</v>
      </c>
      <c r="B10" s="10" t="s">
        <v>14</v>
      </c>
      <c r="C10" s="22" t="s">
        <v>15</v>
      </c>
      <c r="D10" s="3"/>
      <c r="E10" s="3"/>
    </row>
    <row r="11" spans="1:6" ht="43.15">
      <c r="A11" s="9">
        <v>6</v>
      </c>
      <c r="B11" s="10" t="s">
        <v>16</v>
      </c>
      <c r="C11" s="22" t="s">
        <v>17</v>
      </c>
      <c r="D11" s="3"/>
      <c r="E11" s="3"/>
    </row>
    <row r="12" spans="1:6">
      <c r="A12" s="9">
        <v>7</v>
      </c>
      <c r="B12" s="10" t="s">
        <v>18</v>
      </c>
      <c r="C12" s="22" t="s">
        <v>19</v>
      </c>
      <c r="D12" s="3"/>
      <c r="E12" s="3"/>
    </row>
    <row r="13" spans="1:6" ht="28.9">
      <c r="A13" s="9">
        <v>8</v>
      </c>
      <c r="B13" s="10" t="s">
        <v>20</v>
      </c>
      <c r="C13" s="22" t="s">
        <v>21</v>
      </c>
      <c r="D13" s="3"/>
      <c r="E13" s="3"/>
    </row>
    <row r="14" spans="1:6" ht="43.15">
      <c r="A14" s="9">
        <v>9</v>
      </c>
      <c r="B14" s="10" t="s">
        <v>22</v>
      </c>
      <c r="C14" s="22" t="s">
        <v>23</v>
      </c>
      <c r="D14" s="3"/>
      <c r="E14" s="3"/>
    </row>
    <row r="15" spans="1:6" ht="60" customHeight="1">
      <c r="A15" s="9">
        <v>10</v>
      </c>
      <c r="B15" s="10" t="s">
        <v>24</v>
      </c>
      <c r="C15" s="22" t="s">
        <v>25</v>
      </c>
      <c r="D15" s="3"/>
      <c r="E15" s="3"/>
    </row>
    <row r="16" spans="1:6" ht="96.75" customHeight="1">
      <c r="A16" s="9">
        <v>11</v>
      </c>
      <c r="B16" s="10" t="s">
        <v>26</v>
      </c>
      <c r="C16" s="22" t="s">
        <v>27</v>
      </c>
      <c r="D16" s="3"/>
      <c r="E16" s="3"/>
    </row>
    <row r="17" spans="1:5">
      <c r="A17" s="9">
        <v>12</v>
      </c>
      <c r="B17" s="10" t="s">
        <v>28</v>
      </c>
      <c r="C17" s="24" t="s">
        <v>29</v>
      </c>
      <c r="D17" s="3"/>
      <c r="E17" s="3"/>
    </row>
    <row r="18" spans="1:5" ht="86.45">
      <c r="A18" s="9">
        <v>13</v>
      </c>
      <c r="B18" s="10" t="s">
        <v>30</v>
      </c>
      <c r="C18" s="24" t="s">
        <v>31</v>
      </c>
      <c r="D18" s="3"/>
      <c r="E18" s="3"/>
    </row>
    <row r="19" spans="1:5">
      <c r="A19" s="9">
        <v>14</v>
      </c>
      <c r="B19" s="10" t="s">
        <v>32</v>
      </c>
      <c r="C19" s="24" t="s">
        <v>31</v>
      </c>
      <c r="D19" s="3"/>
      <c r="E19" s="3"/>
    </row>
    <row r="21" spans="1:5">
      <c r="A21" s="5" t="s">
        <v>33</v>
      </c>
      <c r="B21" s="6"/>
      <c r="C21" s="6" t="s">
        <v>5</v>
      </c>
      <c r="D21" s="7" t="s">
        <v>6</v>
      </c>
      <c r="E21" s="8">
        <f>COUNTA(C22:C30)/ROWS(C22:C30)</f>
        <v>1</v>
      </c>
    </row>
    <row r="22" spans="1:5" ht="118.5" customHeight="1">
      <c r="A22" s="9">
        <v>1</v>
      </c>
      <c r="B22" s="10" t="s">
        <v>34</v>
      </c>
      <c r="C22" s="35" t="s">
        <v>35</v>
      </c>
    </row>
    <row r="23" spans="1:5" ht="72">
      <c r="A23" s="9">
        <v>2</v>
      </c>
      <c r="B23" s="10" t="s">
        <v>36</v>
      </c>
      <c r="C23" s="4" t="s">
        <v>37</v>
      </c>
    </row>
    <row r="24" spans="1:5" ht="28.9">
      <c r="A24" s="9">
        <v>3</v>
      </c>
      <c r="B24" s="10" t="s">
        <v>38</v>
      </c>
      <c r="C24" s="4" t="s">
        <v>39</v>
      </c>
    </row>
    <row r="25" spans="1:5" ht="28.9">
      <c r="A25" s="9">
        <v>4</v>
      </c>
      <c r="B25" s="10" t="s">
        <v>40</v>
      </c>
      <c r="C25" s="4" t="s">
        <v>41</v>
      </c>
    </row>
    <row r="26" spans="1:5">
      <c r="A26" s="9">
        <v>5</v>
      </c>
      <c r="B26" s="10" t="s">
        <v>42</v>
      </c>
      <c r="C26" s="4" t="s">
        <v>43</v>
      </c>
    </row>
    <row r="27" spans="1:5">
      <c r="A27" s="9">
        <v>6</v>
      </c>
      <c r="B27" s="10" t="s">
        <v>44</v>
      </c>
      <c r="C27" s="4" t="s">
        <v>45</v>
      </c>
    </row>
    <row r="28" spans="1:5" ht="57.6">
      <c r="A28" s="9">
        <v>7</v>
      </c>
      <c r="B28" s="10" t="s">
        <v>46</v>
      </c>
      <c r="C28" s="4" t="s">
        <v>47</v>
      </c>
    </row>
    <row r="29" spans="1:5" ht="28.9">
      <c r="A29" s="9">
        <v>8</v>
      </c>
      <c r="B29" s="10" t="s">
        <v>48</v>
      </c>
      <c r="C29" s="4" t="s">
        <v>49</v>
      </c>
    </row>
    <row r="30" spans="1:5" ht="28.9">
      <c r="A30" s="9">
        <v>9</v>
      </c>
      <c r="B30" s="10" t="s">
        <v>50</v>
      </c>
      <c r="C30" s="4" t="s">
        <v>51</v>
      </c>
    </row>
    <row r="32" spans="1:5">
      <c r="A32" s="5" t="s">
        <v>52</v>
      </c>
      <c r="B32" s="6"/>
      <c r="C32" s="6" t="s">
        <v>5</v>
      </c>
      <c r="D32" s="7" t="s">
        <v>6</v>
      </c>
      <c r="E32" s="8">
        <f>COUNTA(C33:C38)/ROWS(C33:C38)</f>
        <v>1</v>
      </c>
    </row>
    <row r="33" spans="1:5" ht="42.75" customHeight="1">
      <c r="A33" s="9">
        <v>1</v>
      </c>
      <c r="B33" s="10" t="s">
        <v>53</v>
      </c>
      <c r="C33" s="22" t="s">
        <v>54</v>
      </c>
    </row>
    <row r="34" spans="1:5" ht="55.5" customHeight="1">
      <c r="A34" s="9">
        <v>2</v>
      </c>
      <c r="B34" s="10" t="s">
        <v>55</v>
      </c>
      <c r="C34" s="22" t="s">
        <v>56</v>
      </c>
    </row>
    <row r="35" spans="1:5" ht="36.75" customHeight="1">
      <c r="A35" s="9">
        <v>3</v>
      </c>
      <c r="B35" s="10" t="s">
        <v>57</v>
      </c>
      <c r="C35" s="22" t="s">
        <v>58</v>
      </c>
    </row>
    <row r="36" spans="1:5" ht="64.5" customHeight="1">
      <c r="A36" s="9">
        <v>4</v>
      </c>
      <c r="B36" s="10" t="s">
        <v>59</v>
      </c>
      <c r="C36" s="22" t="s">
        <v>60</v>
      </c>
    </row>
    <row r="37" spans="1:5" ht="43.15">
      <c r="A37" s="9">
        <v>5</v>
      </c>
      <c r="B37" s="10" t="s">
        <v>61</v>
      </c>
      <c r="C37" s="4" t="s">
        <v>19</v>
      </c>
    </row>
    <row r="38" spans="1:5" ht="28.9">
      <c r="A38" s="9">
        <v>6</v>
      </c>
      <c r="B38" s="10" t="s">
        <v>62</v>
      </c>
      <c r="C38" s="4" t="s">
        <v>19</v>
      </c>
    </row>
    <row r="40" spans="1:5">
      <c r="A40" s="5" t="s">
        <v>63</v>
      </c>
      <c r="B40" s="6"/>
      <c r="C40" s="6" t="s">
        <v>5</v>
      </c>
      <c r="D40" s="7" t="s">
        <v>6</v>
      </c>
      <c r="E40" s="8">
        <f>COUNTA(C41:C41)/ROWS(C41:C41)</f>
        <v>1</v>
      </c>
    </row>
    <row r="41" spans="1:5" ht="28.9">
      <c r="A41" s="9">
        <v>1</v>
      </c>
      <c r="B41" s="21" t="s">
        <v>64</v>
      </c>
      <c r="C41" s="23" t="s">
        <v>65</v>
      </c>
    </row>
    <row r="42" spans="1:5" s="3" customFormat="1">
      <c r="A42" s="18" t="s">
        <v>66</v>
      </c>
      <c r="B42" s="19"/>
      <c r="C42" s="20"/>
    </row>
    <row r="43" spans="1:5" ht="86.45">
      <c r="A43" s="11"/>
      <c r="B43" s="12" t="s">
        <v>67</v>
      </c>
      <c r="C43" s="13"/>
    </row>
  </sheetData>
  <mergeCells count="2">
    <mergeCell ref="A2:B2"/>
    <mergeCell ref="A1:C1"/>
  </mergeCells>
  <pageMargins left="0.70866141732283472" right="0.70866141732283472" top="0.74803149606299213" bottom="0.74803149606299213" header="0.31496062992125984" footer="0.31496062992125984"/>
  <pageSetup paperSize="8" scale="95" orientation="landscape" r:id="rId1"/>
  <headerFooter>
    <oddHeader>&amp;C&amp;Z&amp;F</oddHeader>
  </headerFooter>
  <rowBreaks count="1" manualBreakCount="1">
    <brk id="19"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DB472-B99F-4CDD-8490-BC44F92D20B0}">
  <sheetPr>
    <tabColor rgb="FF001E41"/>
  </sheetPr>
  <dimension ref="A1:C299"/>
  <sheetViews>
    <sheetView tabSelected="1" zoomScaleNormal="100" workbookViewId="0">
      <pane ySplit="2" topLeftCell="B3" activePane="bottomLeft" state="frozen"/>
      <selection pane="bottomLeft" activeCell="B9" sqref="B9"/>
    </sheetView>
  </sheetViews>
  <sheetFormatPr defaultColWidth="8.85546875" defaultRowHeight="14.45"/>
  <cols>
    <col min="1" max="3" width="30.5703125" style="1" customWidth="1"/>
    <col min="4" max="16384" width="8.85546875" style="1"/>
  </cols>
  <sheetData>
    <row r="1" spans="1:3">
      <c r="A1" s="14" t="s">
        <v>68</v>
      </c>
      <c r="B1" s="14"/>
      <c r="C1" s="14"/>
    </row>
    <row r="2" spans="1:3" ht="33" customHeight="1">
      <c r="A2" s="15" t="s">
        <v>69</v>
      </c>
      <c r="B2" s="15" t="s">
        <v>70</v>
      </c>
      <c r="C2" s="15" t="s">
        <v>71</v>
      </c>
    </row>
    <row r="3" spans="1:3">
      <c r="A3" s="4" t="s">
        <v>72</v>
      </c>
      <c r="B3" s="4" t="s">
        <v>73</v>
      </c>
      <c r="C3" s="4" t="s">
        <v>73</v>
      </c>
    </row>
    <row r="4" spans="1:3">
      <c r="A4" s="4" t="s">
        <v>74</v>
      </c>
      <c r="B4" s="4" t="s">
        <v>75</v>
      </c>
      <c r="C4" s="4" t="s">
        <v>76</v>
      </c>
    </row>
    <row r="5" spans="1:3">
      <c r="A5" s="4" t="s">
        <v>77</v>
      </c>
      <c r="B5" s="4" t="s">
        <v>78</v>
      </c>
      <c r="C5" s="4" t="s">
        <v>78</v>
      </c>
    </row>
    <row r="6" spans="1:3">
      <c r="A6" s="4" t="s">
        <v>79</v>
      </c>
      <c r="B6" s="4" t="s">
        <v>80</v>
      </c>
      <c r="C6" s="4" t="s">
        <v>80</v>
      </c>
    </row>
    <row r="7" spans="1:3">
      <c r="A7" s="4" t="s">
        <v>81</v>
      </c>
      <c r="B7" s="4" t="s">
        <v>82</v>
      </c>
      <c r="C7" s="4" t="s">
        <v>82</v>
      </c>
    </row>
    <row r="8" spans="1:3">
      <c r="A8" s="4"/>
      <c r="B8" s="4"/>
      <c r="C8" s="4"/>
    </row>
    <row r="9" spans="1:3">
      <c r="A9" s="4"/>
      <c r="B9" s="4"/>
      <c r="C9" s="4"/>
    </row>
    <row r="10" spans="1:3">
      <c r="A10" s="4"/>
      <c r="B10" s="4"/>
      <c r="C10" s="4"/>
    </row>
    <row r="11" spans="1:3">
      <c r="A11" s="4"/>
      <c r="B11" s="4"/>
      <c r="C11" s="4"/>
    </row>
    <row r="12" spans="1:3">
      <c r="A12" s="4"/>
      <c r="B12" s="4"/>
      <c r="C12" s="4"/>
    </row>
    <row r="13" spans="1:3">
      <c r="A13" s="4"/>
      <c r="B13" s="4"/>
      <c r="C13" s="4"/>
    </row>
    <row r="14" spans="1:3">
      <c r="A14" s="4"/>
      <c r="B14" s="4"/>
      <c r="C14" s="4"/>
    </row>
    <row r="15" spans="1:3">
      <c r="A15" s="4"/>
      <c r="B15" s="4"/>
      <c r="C15" s="4"/>
    </row>
    <row r="16" spans="1:3">
      <c r="A16" s="4"/>
      <c r="B16" s="4"/>
      <c r="C16" s="4"/>
    </row>
    <row r="17" spans="1:3">
      <c r="A17" s="4"/>
      <c r="B17" s="4"/>
      <c r="C17" s="4"/>
    </row>
    <row r="18" spans="1:3">
      <c r="A18" s="4"/>
      <c r="B18" s="4"/>
      <c r="C18" s="4"/>
    </row>
    <row r="19" spans="1:3">
      <c r="A19" s="4"/>
      <c r="B19" s="4"/>
      <c r="C19" s="4"/>
    </row>
    <row r="20" spans="1:3">
      <c r="A20" s="4"/>
      <c r="B20" s="4"/>
      <c r="C20" s="4"/>
    </row>
    <row r="21" spans="1:3">
      <c r="A21" s="4"/>
      <c r="B21" s="4"/>
      <c r="C21" s="4"/>
    </row>
    <row r="22" spans="1:3">
      <c r="A22" s="4"/>
      <c r="B22" s="4"/>
      <c r="C22" s="4"/>
    </row>
    <row r="23" spans="1:3">
      <c r="A23" s="4"/>
      <c r="B23" s="4"/>
      <c r="C23" s="4"/>
    </row>
    <row r="24" spans="1:3">
      <c r="A24" s="4"/>
      <c r="B24" s="4"/>
      <c r="C24" s="4"/>
    </row>
    <row r="25" spans="1:3">
      <c r="A25" s="4"/>
      <c r="B25" s="4"/>
      <c r="C25" s="4"/>
    </row>
    <row r="26" spans="1:3">
      <c r="A26" s="4"/>
      <c r="B26" s="4"/>
      <c r="C26" s="4"/>
    </row>
    <row r="27" spans="1:3">
      <c r="A27" s="4"/>
      <c r="B27" s="4"/>
      <c r="C27" s="4"/>
    </row>
    <row r="28" spans="1:3">
      <c r="A28" s="4"/>
      <c r="B28" s="4"/>
      <c r="C28" s="4"/>
    </row>
    <row r="29" spans="1:3">
      <c r="A29" s="4"/>
      <c r="B29" s="4"/>
      <c r="C29" s="4"/>
    </row>
    <row r="30" spans="1:3">
      <c r="A30" s="4"/>
      <c r="B30" s="4"/>
      <c r="C30" s="4"/>
    </row>
    <row r="31" spans="1:3">
      <c r="A31" s="4"/>
      <c r="B31" s="4"/>
      <c r="C31" s="4"/>
    </row>
    <row r="32" spans="1:3">
      <c r="A32" s="4"/>
      <c r="B32" s="4"/>
      <c r="C32" s="4"/>
    </row>
    <row r="33" spans="1:3">
      <c r="A33" s="4"/>
      <c r="B33" s="4"/>
      <c r="C33" s="4"/>
    </row>
    <row r="34" spans="1:3">
      <c r="A34" s="4"/>
      <c r="B34" s="4"/>
      <c r="C34" s="4"/>
    </row>
    <row r="35" spans="1:3">
      <c r="A35" s="4"/>
      <c r="B35" s="4"/>
      <c r="C35" s="4"/>
    </row>
    <row r="36" spans="1:3">
      <c r="A36" s="4"/>
      <c r="B36" s="4"/>
      <c r="C36" s="4"/>
    </row>
    <row r="37" spans="1:3">
      <c r="A37" s="4"/>
      <c r="B37" s="4"/>
      <c r="C37" s="4"/>
    </row>
    <row r="38" spans="1:3">
      <c r="A38" s="4"/>
      <c r="B38" s="4"/>
      <c r="C38" s="4"/>
    </row>
    <row r="39" spans="1:3">
      <c r="A39" s="4"/>
      <c r="B39" s="4"/>
      <c r="C39" s="4"/>
    </row>
    <row r="40" spans="1:3">
      <c r="A40" s="4"/>
      <c r="B40" s="4"/>
      <c r="C40" s="4"/>
    </row>
    <row r="41" spans="1:3">
      <c r="A41" s="4"/>
      <c r="B41" s="4"/>
      <c r="C41" s="4"/>
    </row>
    <row r="42" spans="1:3">
      <c r="A42" s="4"/>
      <c r="B42" s="4"/>
      <c r="C42" s="4"/>
    </row>
    <row r="43" spans="1:3">
      <c r="A43" s="4"/>
      <c r="B43" s="4"/>
      <c r="C43" s="4"/>
    </row>
    <row r="44" spans="1:3">
      <c r="A44" s="4"/>
      <c r="B44" s="4"/>
      <c r="C44" s="4"/>
    </row>
    <row r="45" spans="1:3">
      <c r="A45" s="4"/>
      <c r="B45" s="4"/>
      <c r="C45" s="4"/>
    </row>
    <row r="46" spans="1:3">
      <c r="A46" s="4"/>
      <c r="B46" s="4"/>
      <c r="C46" s="4"/>
    </row>
    <row r="47" spans="1:3">
      <c r="A47" s="4"/>
      <c r="B47" s="4"/>
      <c r="C47" s="4"/>
    </row>
    <row r="48" spans="1:3">
      <c r="A48" s="4"/>
      <c r="B48" s="4"/>
      <c r="C48" s="4"/>
    </row>
    <row r="49" spans="1:3">
      <c r="A49" s="16"/>
      <c r="B49" s="16"/>
      <c r="C49" s="16"/>
    </row>
    <row r="50" spans="1:3">
      <c r="A50" s="16"/>
      <c r="B50" s="16"/>
      <c r="C50" s="16"/>
    </row>
    <row r="51" spans="1:3">
      <c r="A51" s="16"/>
      <c r="B51" s="16"/>
      <c r="C51" s="16"/>
    </row>
    <row r="52" spans="1:3">
      <c r="A52" s="16"/>
      <c r="B52" s="16"/>
      <c r="C52" s="16"/>
    </row>
    <row r="53" spans="1:3">
      <c r="A53" s="16"/>
      <c r="B53" s="16"/>
      <c r="C53" s="16"/>
    </row>
    <row r="54" spans="1:3">
      <c r="A54" s="16"/>
      <c r="B54" s="16"/>
      <c r="C54" s="16"/>
    </row>
    <row r="55" spans="1:3">
      <c r="A55" s="16"/>
      <c r="B55" s="16"/>
      <c r="C55" s="16"/>
    </row>
    <row r="56" spans="1:3">
      <c r="A56" s="16"/>
      <c r="B56" s="16"/>
      <c r="C56" s="16"/>
    </row>
    <row r="57" spans="1:3">
      <c r="A57" s="16"/>
      <c r="B57" s="16"/>
      <c r="C57" s="16"/>
    </row>
    <row r="58" spans="1:3">
      <c r="A58" s="16"/>
      <c r="B58" s="16"/>
      <c r="C58" s="16"/>
    </row>
    <row r="59" spans="1:3">
      <c r="A59" s="16"/>
      <c r="B59" s="16"/>
      <c r="C59" s="16"/>
    </row>
    <row r="60" spans="1:3">
      <c r="A60" s="16"/>
      <c r="B60" s="16"/>
      <c r="C60" s="16"/>
    </row>
    <row r="61" spans="1:3">
      <c r="A61" s="16"/>
      <c r="B61" s="16"/>
      <c r="C61" s="16"/>
    </row>
    <row r="62" spans="1:3">
      <c r="A62" s="16"/>
      <c r="B62" s="16"/>
      <c r="C62" s="16"/>
    </row>
    <row r="63" spans="1:3">
      <c r="A63" s="16"/>
      <c r="B63" s="16"/>
      <c r="C63" s="16"/>
    </row>
    <row r="64" spans="1:3">
      <c r="A64" s="16"/>
      <c r="B64" s="16"/>
      <c r="C64" s="16"/>
    </row>
    <row r="65" spans="1:3">
      <c r="A65" s="16"/>
      <c r="B65" s="16"/>
      <c r="C65" s="16"/>
    </row>
    <row r="66" spans="1:3">
      <c r="A66" s="16"/>
      <c r="B66" s="16"/>
      <c r="C66" s="16"/>
    </row>
    <row r="67" spans="1:3">
      <c r="A67" s="16"/>
      <c r="B67" s="16"/>
      <c r="C67" s="16"/>
    </row>
    <row r="68" spans="1:3">
      <c r="A68" s="16"/>
      <c r="B68" s="16"/>
      <c r="C68" s="16"/>
    </row>
    <row r="69" spans="1:3">
      <c r="A69" s="16"/>
      <c r="B69" s="16"/>
      <c r="C69" s="16"/>
    </row>
    <row r="70" spans="1:3">
      <c r="A70" s="16"/>
      <c r="B70" s="16"/>
      <c r="C70" s="16"/>
    </row>
    <row r="71" spans="1:3">
      <c r="A71" s="16"/>
      <c r="B71" s="16"/>
      <c r="C71" s="16"/>
    </row>
    <row r="72" spans="1:3">
      <c r="A72" s="16"/>
      <c r="B72" s="16"/>
      <c r="C72" s="16"/>
    </row>
    <row r="73" spans="1:3">
      <c r="A73" s="16"/>
      <c r="B73" s="16"/>
      <c r="C73" s="16"/>
    </row>
    <row r="74" spans="1:3">
      <c r="A74" s="16"/>
      <c r="B74" s="16"/>
      <c r="C74" s="16"/>
    </row>
    <row r="75" spans="1:3">
      <c r="A75" s="16"/>
      <c r="B75" s="16"/>
      <c r="C75" s="16"/>
    </row>
    <row r="76" spans="1:3">
      <c r="A76" s="16"/>
      <c r="B76" s="16"/>
      <c r="C76" s="16"/>
    </row>
    <row r="77" spans="1:3">
      <c r="A77" s="16"/>
      <c r="B77" s="16"/>
      <c r="C77" s="16"/>
    </row>
    <row r="78" spans="1:3">
      <c r="A78" s="16"/>
      <c r="B78" s="16"/>
      <c r="C78" s="16"/>
    </row>
    <row r="79" spans="1:3">
      <c r="A79" s="16"/>
      <c r="B79" s="16"/>
      <c r="C79" s="16"/>
    </row>
    <row r="80" spans="1:3">
      <c r="A80" s="16"/>
      <c r="B80" s="16"/>
      <c r="C80" s="16"/>
    </row>
    <row r="81" spans="1:3">
      <c r="A81" s="16"/>
      <c r="B81" s="16"/>
      <c r="C81" s="16"/>
    </row>
    <row r="82" spans="1:3">
      <c r="A82" s="16"/>
      <c r="B82" s="16"/>
      <c r="C82" s="16"/>
    </row>
    <row r="83" spans="1:3">
      <c r="A83" s="16"/>
      <c r="B83" s="16"/>
      <c r="C83" s="16"/>
    </row>
    <row r="84" spans="1:3">
      <c r="A84" s="16"/>
      <c r="B84" s="16"/>
      <c r="C84" s="16"/>
    </row>
    <row r="85" spans="1:3">
      <c r="A85" s="16"/>
      <c r="B85" s="16"/>
      <c r="C85" s="16"/>
    </row>
    <row r="86" spans="1:3">
      <c r="A86" s="16"/>
      <c r="B86" s="16"/>
      <c r="C86" s="16"/>
    </row>
    <row r="87" spans="1:3">
      <c r="A87" s="16"/>
      <c r="B87" s="16"/>
      <c r="C87" s="16"/>
    </row>
    <row r="88" spans="1:3">
      <c r="A88" s="16"/>
      <c r="B88" s="16"/>
      <c r="C88" s="16"/>
    </row>
    <row r="89" spans="1:3">
      <c r="A89" s="16"/>
      <c r="B89" s="16"/>
      <c r="C89" s="16"/>
    </row>
    <row r="90" spans="1:3">
      <c r="A90" s="16"/>
      <c r="B90" s="16"/>
      <c r="C90" s="16"/>
    </row>
    <row r="91" spans="1:3">
      <c r="A91" s="16"/>
      <c r="B91" s="16"/>
      <c r="C91" s="16"/>
    </row>
    <row r="92" spans="1:3">
      <c r="A92" s="16"/>
      <c r="B92" s="16"/>
      <c r="C92" s="16"/>
    </row>
    <row r="93" spans="1:3">
      <c r="A93" s="16"/>
      <c r="B93" s="16"/>
      <c r="C93" s="16"/>
    </row>
    <row r="94" spans="1:3">
      <c r="A94" s="16"/>
      <c r="B94" s="16"/>
      <c r="C94" s="16"/>
    </row>
    <row r="95" spans="1:3">
      <c r="A95" s="16"/>
      <c r="B95" s="16"/>
      <c r="C95" s="16"/>
    </row>
    <row r="96" spans="1:3">
      <c r="A96" s="16"/>
      <c r="B96" s="16"/>
      <c r="C96" s="16"/>
    </row>
    <row r="97" spans="1:3">
      <c r="A97" s="16"/>
      <c r="B97" s="16"/>
      <c r="C97" s="16"/>
    </row>
    <row r="98" spans="1:3">
      <c r="A98" s="16"/>
      <c r="B98" s="16"/>
      <c r="C98" s="16"/>
    </row>
    <row r="99" spans="1:3">
      <c r="A99" s="16"/>
      <c r="B99" s="16"/>
      <c r="C99" s="16"/>
    </row>
    <row r="100" spans="1:3">
      <c r="A100" s="16"/>
      <c r="B100" s="16"/>
      <c r="C100" s="16"/>
    </row>
    <row r="101" spans="1:3">
      <c r="A101" s="16"/>
      <c r="B101" s="16"/>
      <c r="C101" s="16"/>
    </row>
    <row r="102" spans="1:3">
      <c r="A102" s="16"/>
      <c r="B102" s="16"/>
      <c r="C102" s="16"/>
    </row>
    <row r="103" spans="1:3">
      <c r="A103" s="16"/>
      <c r="B103" s="16"/>
      <c r="C103" s="16"/>
    </row>
    <row r="104" spans="1:3">
      <c r="A104" s="16"/>
      <c r="B104" s="16"/>
      <c r="C104" s="16"/>
    </row>
    <row r="105" spans="1:3">
      <c r="A105" s="16"/>
      <c r="B105" s="16"/>
      <c r="C105" s="16"/>
    </row>
    <row r="106" spans="1:3">
      <c r="A106" s="16"/>
      <c r="B106" s="16"/>
      <c r="C106" s="16"/>
    </row>
    <row r="107" spans="1:3">
      <c r="A107" s="16"/>
      <c r="B107" s="16"/>
      <c r="C107" s="16"/>
    </row>
    <row r="108" spans="1:3">
      <c r="A108" s="16"/>
      <c r="B108" s="16"/>
      <c r="C108" s="16"/>
    </row>
    <row r="109" spans="1:3">
      <c r="A109" s="16"/>
      <c r="B109" s="16"/>
      <c r="C109" s="16"/>
    </row>
    <row r="110" spans="1:3">
      <c r="A110" s="16"/>
      <c r="B110" s="16"/>
      <c r="C110" s="16"/>
    </row>
    <row r="111" spans="1:3">
      <c r="A111" s="16"/>
      <c r="B111" s="16"/>
      <c r="C111" s="16"/>
    </row>
    <row r="112" spans="1:3">
      <c r="A112" s="16"/>
      <c r="B112" s="16"/>
      <c r="C112" s="16"/>
    </row>
    <row r="113" spans="1:3">
      <c r="A113" s="16"/>
      <c r="B113" s="16"/>
      <c r="C113" s="16"/>
    </row>
    <row r="114" spans="1:3">
      <c r="A114" s="16"/>
      <c r="B114" s="16"/>
      <c r="C114" s="16"/>
    </row>
    <row r="115" spans="1:3">
      <c r="A115" s="16"/>
      <c r="B115" s="16"/>
      <c r="C115" s="16"/>
    </row>
    <row r="116" spans="1:3">
      <c r="A116" s="16"/>
      <c r="B116" s="16"/>
      <c r="C116" s="16"/>
    </row>
    <row r="117" spans="1:3">
      <c r="A117" s="16"/>
      <c r="B117" s="16"/>
      <c r="C117" s="16"/>
    </row>
    <row r="118" spans="1:3">
      <c r="A118" s="16"/>
      <c r="B118" s="16"/>
      <c r="C118" s="16"/>
    </row>
    <row r="119" spans="1:3">
      <c r="A119" s="16"/>
      <c r="B119" s="16"/>
      <c r="C119" s="16"/>
    </row>
    <row r="120" spans="1:3">
      <c r="A120" s="16"/>
      <c r="B120" s="16"/>
      <c r="C120" s="16"/>
    </row>
    <row r="121" spans="1:3">
      <c r="A121" s="16"/>
      <c r="B121" s="16"/>
      <c r="C121" s="16"/>
    </row>
    <row r="122" spans="1:3">
      <c r="A122" s="16"/>
      <c r="B122" s="16"/>
      <c r="C122" s="16"/>
    </row>
    <row r="123" spans="1:3">
      <c r="A123" s="16"/>
      <c r="B123" s="16"/>
      <c r="C123" s="16"/>
    </row>
    <row r="124" spans="1:3">
      <c r="A124" s="16"/>
      <c r="B124" s="16"/>
      <c r="C124" s="16"/>
    </row>
    <row r="125" spans="1:3">
      <c r="A125" s="16"/>
      <c r="B125" s="16"/>
      <c r="C125" s="16"/>
    </row>
    <row r="126" spans="1:3">
      <c r="A126" s="16"/>
      <c r="B126" s="16"/>
      <c r="C126" s="16"/>
    </row>
    <row r="127" spans="1:3">
      <c r="A127" s="16"/>
      <c r="B127" s="16"/>
      <c r="C127" s="16"/>
    </row>
    <row r="128" spans="1:3">
      <c r="A128" s="16"/>
      <c r="B128" s="16"/>
      <c r="C128" s="16"/>
    </row>
    <row r="129" spans="1:3">
      <c r="A129" s="16"/>
      <c r="B129" s="16"/>
      <c r="C129" s="16"/>
    </row>
    <row r="130" spans="1:3">
      <c r="A130" s="16"/>
      <c r="B130" s="16"/>
      <c r="C130" s="16"/>
    </row>
    <row r="131" spans="1:3">
      <c r="A131" s="16"/>
      <c r="B131" s="16"/>
      <c r="C131" s="16"/>
    </row>
    <row r="132" spans="1:3">
      <c r="A132" s="16"/>
      <c r="B132" s="16"/>
      <c r="C132" s="16"/>
    </row>
    <row r="133" spans="1:3">
      <c r="A133" s="16"/>
      <c r="B133" s="16"/>
      <c r="C133" s="16"/>
    </row>
    <row r="134" spans="1:3">
      <c r="A134" s="16"/>
      <c r="B134" s="16"/>
      <c r="C134" s="16"/>
    </row>
    <row r="135" spans="1:3">
      <c r="A135" s="16"/>
      <c r="B135" s="16"/>
      <c r="C135" s="16"/>
    </row>
    <row r="136" spans="1:3">
      <c r="A136" s="16"/>
      <c r="B136" s="16"/>
      <c r="C136" s="16"/>
    </row>
    <row r="137" spans="1:3">
      <c r="A137" s="16"/>
      <c r="B137" s="16"/>
      <c r="C137" s="16"/>
    </row>
    <row r="138" spans="1:3">
      <c r="A138" s="16"/>
      <c r="B138" s="16"/>
      <c r="C138" s="16"/>
    </row>
    <row r="139" spans="1:3">
      <c r="A139" s="16"/>
      <c r="B139" s="16"/>
      <c r="C139" s="16"/>
    </row>
    <row r="140" spans="1:3">
      <c r="A140" s="16"/>
      <c r="B140" s="16"/>
      <c r="C140" s="16"/>
    </row>
    <row r="141" spans="1:3">
      <c r="A141" s="16"/>
      <c r="B141" s="16"/>
      <c r="C141" s="16"/>
    </row>
    <row r="142" spans="1:3">
      <c r="A142" s="16"/>
      <c r="B142" s="16"/>
      <c r="C142" s="16"/>
    </row>
    <row r="143" spans="1:3">
      <c r="A143" s="16"/>
      <c r="B143" s="16"/>
      <c r="C143" s="16"/>
    </row>
    <row r="144" spans="1:3">
      <c r="A144" s="16"/>
      <c r="B144" s="16"/>
      <c r="C144" s="16"/>
    </row>
    <row r="145" spans="1:3">
      <c r="A145" s="16"/>
      <c r="B145" s="16"/>
      <c r="C145" s="16"/>
    </row>
    <row r="146" spans="1:3">
      <c r="A146" s="16"/>
      <c r="B146" s="16"/>
      <c r="C146" s="16"/>
    </row>
    <row r="147" spans="1:3">
      <c r="A147" s="16"/>
      <c r="B147" s="16"/>
      <c r="C147" s="16"/>
    </row>
    <row r="148" spans="1:3">
      <c r="A148" s="16"/>
      <c r="B148" s="16"/>
      <c r="C148" s="16"/>
    </row>
    <row r="149" spans="1:3">
      <c r="A149" s="16"/>
      <c r="B149" s="16"/>
      <c r="C149" s="16"/>
    </row>
    <row r="150" spans="1:3">
      <c r="A150" s="16"/>
      <c r="B150" s="16"/>
      <c r="C150" s="16"/>
    </row>
    <row r="151" spans="1:3">
      <c r="A151" s="16"/>
      <c r="B151" s="16"/>
      <c r="C151" s="16"/>
    </row>
    <row r="152" spans="1:3">
      <c r="A152" s="16"/>
      <c r="B152" s="16"/>
      <c r="C152" s="16"/>
    </row>
    <row r="153" spans="1:3">
      <c r="A153" s="16"/>
      <c r="B153" s="16"/>
      <c r="C153" s="16"/>
    </row>
    <row r="154" spans="1:3">
      <c r="A154" s="16"/>
      <c r="B154" s="16"/>
      <c r="C154" s="16"/>
    </row>
    <row r="155" spans="1:3">
      <c r="A155" s="16"/>
      <c r="B155" s="16"/>
      <c r="C155" s="16"/>
    </row>
    <row r="156" spans="1:3">
      <c r="A156" s="16"/>
      <c r="B156" s="16"/>
      <c r="C156" s="16"/>
    </row>
    <row r="157" spans="1:3">
      <c r="A157" s="16"/>
      <c r="B157" s="16"/>
      <c r="C157" s="16"/>
    </row>
    <row r="158" spans="1:3">
      <c r="A158" s="16"/>
      <c r="B158" s="16"/>
      <c r="C158" s="16"/>
    </row>
    <row r="159" spans="1:3">
      <c r="A159" s="16"/>
      <c r="B159" s="16"/>
      <c r="C159" s="16"/>
    </row>
    <row r="160" spans="1:3">
      <c r="A160" s="16"/>
      <c r="B160" s="16"/>
      <c r="C160" s="16"/>
    </row>
    <row r="161" spans="1:3">
      <c r="A161" s="16"/>
      <c r="B161" s="16"/>
      <c r="C161" s="16"/>
    </row>
    <row r="162" spans="1:3">
      <c r="A162" s="16"/>
      <c r="B162" s="16"/>
      <c r="C162" s="16"/>
    </row>
    <row r="163" spans="1:3">
      <c r="A163" s="16"/>
      <c r="B163" s="16"/>
      <c r="C163" s="16"/>
    </row>
    <row r="164" spans="1:3">
      <c r="A164" s="16"/>
      <c r="B164" s="16"/>
      <c r="C164" s="16"/>
    </row>
    <row r="165" spans="1:3">
      <c r="A165" s="16"/>
      <c r="B165" s="16"/>
      <c r="C165" s="16"/>
    </row>
    <row r="166" spans="1:3">
      <c r="A166" s="16"/>
      <c r="B166" s="16"/>
      <c r="C166" s="16"/>
    </row>
    <row r="167" spans="1:3">
      <c r="A167" s="16"/>
      <c r="B167" s="16"/>
      <c r="C167" s="16"/>
    </row>
    <row r="168" spans="1:3">
      <c r="A168" s="16"/>
      <c r="B168" s="16"/>
      <c r="C168" s="16"/>
    </row>
    <row r="169" spans="1:3">
      <c r="A169" s="16"/>
      <c r="B169" s="16"/>
      <c r="C169" s="16"/>
    </row>
    <row r="170" spans="1:3">
      <c r="A170" s="16"/>
      <c r="B170" s="16"/>
      <c r="C170" s="16"/>
    </row>
    <row r="171" spans="1:3">
      <c r="A171" s="16"/>
      <c r="B171" s="16"/>
      <c r="C171" s="16"/>
    </row>
    <row r="172" spans="1:3">
      <c r="A172" s="16"/>
      <c r="B172" s="16"/>
      <c r="C172" s="16"/>
    </row>
    <row r="173" spans="1:3">
      <c r="A173" s="16"/>
      <c r="B173" s="16"/>
      <c r="C173" s="16"/>
    </row>
    <row r="174" spans="1:3">
      <c r="A174" s="16"/>
      <c r="B174" s="16"/>
      <c r="C174" s="16"/>
    </row>
    <row r="175" spans="1:3">
      <c r="A175" s="16"/>
      <c r="B175" s="16"/>
      <c r="C175" s="16"/>
    </row>
    <row r="176" spans="1:3">
      <c r="A176" s="16"/>
      <c r="B176" s="16"/>
      <c r="C176" s="16"/>
    </row>
    <row r="177" spans="1:3">
      <c r="A177" s="16"/>
      <c r="B177" s="16"/>
      <c r="C177" s="16"/>
    </row>
    <row r="178" spans="1:3">
      <c r="A178" s="16"/>
      <c r="B178" s="16"/>
      <c r="C178" s="16"/>
    </row>
    <row r="179" spans="1:3">
      <c r="A179" s="16"/>
      <c r="B179" s="16"/>
      <c r="C179" s="16"/>
    </row>
    <row r="180" spans="1:3">
      <c r="A180" s="16"/>
      <c r="B180" s="16"/>
      <c r="C180" s="16"/>
    </row>
    <row r="181" spans="1:3">
      <c r="A181" s="16"/>
      <c r="B181" s="16"/>
      <c r="C181" s="16"/>
    </row>
    <row r="182" spans="1:3">
      <c r="A182" s="16"/>
      <c r="B182" s="16"/>
      <c r="C182" s="16"/>
    </row>
    <row r="183" spans="1:3">
      <c r="A183" s="16"/>
      <c r="B183" s="16"/>
      <c r="C183" s="16"/>
    </row>
    <row r="184" spans="1:3">
      <c r="A184" s="16"/>
      <c r="B184" s="16"/>
      <c r="C184" s="16"/>
    </row>
    <row r="185" spans="1:3">
      <c r="A185" s="16"/>
      <c r="B185" s="16"/>
      <c r="C185" s="16"/>
    </row>
    <row r="186" spans="1:3">
      <c r="A186" s="16"/>
      <c r="B186" s="16"/>
      <c r="C186" s="16"/>
    </row>
    <row r="187" spans="1:3">
      <c r="A187" s="16"/>
      <c r="B187" s="16"/>
      <c r="C187" s="16"/>
    </row>
    <row r="188" spans="1:3">
      <c r="A188" s="16"/>
      <c r="B188" s="16"/>
      <c r="C188" s="16"/>
    </row>
    <row r="189" spans="1:3">
      <c r="A189" s="16"/>
      <c r="B189" s="16"/>
      <c r="C189" s="16"/>
    </row>
    <row r="190" spans="1:3">
      <c r="A190" s="16"/>
      <c r="B190" s="16"/>
      <c r="C190" s="16"/>
    </row>
    <row r="191" spans="1:3">
      <c r="A191" s="16"/>
      <c r="B191" s="16"/>
      <c r="C191" s="16"/>
    </row>
    <row r="192" spans="1:3">
      <c r="A192" s="16"/>
      <c r="B192" s="16"/>
      <c r="C192" s="16"/>
    </row>
    <row r="193" spans="1:3">
      <c r="A193" s="16"/>
      <c r="B193" s="16"/>
      <c r="C193" s="16"/>
    </row>
    <row r="194" spans="1:3">
      <c r="A194" s="16"/>
      <c r="B194" s="16"/>
      <c r="C194" s="16"/>
    </row>
    <row r="195" spans="1:3">
      <c r="A195" s="16"/>
      <c r="B195" s="16"/>
      <c r="C195" s="16"/>
    </row>
    <row r="196" spans="1:3">
      <c r="A196" s="16"/>
      <c r="B196" s="16"/>
      <c r="C196" s="16"/>
    </row>
    <row r="197" spans="1:3">
      <c r="A197" s="16"/>
      <c r="B197" s="16"/>
      <c r="C197" s="16"/>
    </row>
    <row r="198" spans="1:3">
      <c r="A198" s="16"/>
      <c r="B198" s="16"/>
      <c r="C198" s="16"/>
    </row>
    <row r="199" spans="1:3">
      <c r="A199" s="16"/>
      <c r="B199" s="16"/>
      <c r="C199" s="16"/>
    </row>
    <row r="200" spans="1:3">
      <c r="A200" s="16"/>
      <c r="B200" s="16"/>
      <c r="C200" s="16"/>
    </row>
    <row r="201" spans="1:3">
      <c r="A201" s="16"/>
      <c r="B201" s="16"/>
      <c r="C201" s="16"/>
    </row>
    <row r="202" spans="1:3">
      <c r="A202" s="16"/>
      <c r="B202" s="16"/>
      <c r="C202" s="16"/>
    </row>
    <row r="203" spans="1:3">
      <c r="A203" s="16"/>
      <c r="B203" s="16"/>
      <c r="C203" s="16"/>
    </row>
    <row r="204" spans="1:3">
      <c r="A204" s="16"/>
      <c r="B204" s="16"/>
      <c r="C204" s="16"/>
    </row>
    <row r="205" spans="1:3">
      <c r="A205" s="16"/>
      <c r="B205" s="16"/>
      <c r="C205" s="16"/>
    </row>
    <row r="206" spans="1:3">
      <c r="A206" s="16"/>
      <c r="B206" s="16"/>
      <c r="C206" s="16"/>
    </row>
    <row r="207" spans="1:3">
      <c r="A207" s="16"/>
      <c r="B207" s="16"/>
      <c r="C207" s="16"/>
    </row>
    <row r="208" spans="1:3">
      <c r="A208" s="16"/>
      <c r="B208" s="16"/>
      <c r="C208" s="16"/>
    </row>
    <row r="209" spans="1:3">
      <c r="A209" s="16"/>
      <c r="B209" s="16"/>
      <c r="C209" s="16"/>
    </row>
    <row r="210" spans="1:3">
      <c r="A210" s="16"/>
      <c r="B210" s="16"/>
      <c r="C210" s="16"/>
    </row>
    <row r="211" spans="1:3">
      <c r="A211" s="16"/>
      <c r="B211" s="16"/>
      <c r="C211" s="16"/>
    </row>
    <row r="212" spans="1:3">
      <c r="A212" s="16"/>
      <c r="B212" s="16"/>
      <c r="C212" s="16"/>
    </row>
    <row r="213" spans="1:3">
      <c r="A213" s="16"/>
      <c r="B213" s="16"/>
      <c r="C213" s="16"/>
    </row>
    <row r="214" spans="1:3">
      <c r="A214" s="16"/>
      <c r="B214" s="16"/>
      <c r="C214" s="16"/>
    </row>
    <row r="215" spans="1:3">
      <c r="A215" s="16"/>
      <c r="B215" s="16"/>
      <c r="C215" s="16"/>
    </row>
    <row r="216" spans="1:3">
      <c r="A216" s="16"/>
      <c r="B216" s="16"/>
      <c r="C216" s="16"/>
    </row>
    <row r="217" spans="1:3">
      <c r="A217" s="16"/>
      <c r="B217" s="16"/>
      <c r="C217" s="16"/>
    </row>
    <row r="218" spans="1:3">
      <c r="A218" s="16"/>
      <c r="B218" s="16"/>
      <c r="C218" s="16"/>
    </row>
    <row r="219" spans="1:3">
      <c r="A219" s="16"/>
      <c r="B219" s="16"/>
      <c r="C219" s="16"/>
    </row>
    <row r="220" spans="1:3">
      <c r="A220" s="16"/>
      <c r="B220" s="16"/>
      <c r="C220" s="16"/>
    </row>
    <row r="221" spans="1:3">
      <c r="A221" s="16"/>
      <c r="B221" s="16"/>
      <c r="C221" s="16"/>
    </row>
    <row r="222" spans="1:3">
      <c r="A222" s="16"/>
      <c r="B222" s="16"/>
      <c r="C222" s="16"/>
    </row>
    <row r="223" spans="1:3">
      <c r="A223" s="16"/>
      <c r="B223" s="16"/>
      <c r="C223" s="16"/>
    </row>
    <row r="224" spans="1:3">
      <c r="A224" s="16"/>
      <c r="B224" s="16"/>
      <c r="C224" s="16"/>
    </row>
    <row r="225" spans="1:3">
      <c r="A225" s="16"/>
      <c r="B225" s="16"/>
      <c r="C225" s="16"/>
    </row>
    <row r="226" spans="1:3">
      <c r="A226" s="16"/>
      <c r="B226" s="16"/>
      <c r="C226" s="16"/>
    </row>
    <row r="227" spans="1:3">
      <c r="A227" s="16"/>
      <c r="B227" s="16"/>
      <c r="C227" s="16"/>
    </row>
    <row r="228" spans="1:3">
      <c r="A228" s="16"/>
      <c r="B228" s="16"/>
      <c r="C228" s="16"/>
    </row>
    <row r="229" spans="1:3">
      <c r="A229" s="16"/>
      <c r="B229" s="16"/>
      <c r="C229" s="16"/>
    </row>
    <row r="230" spans="1:3">
      <c r="A230" s="16"/>
      <c r="B230" s="16"/>
      <c r="C230" s="16"/>
    </row>
    <row r="231" spans="1:3">
      <c r="A231" s="16"/>
      <c r="B231" s="16"/>
      <c r="C231" s="16"/>
    </row>
    <row r="232" spans="1:3">
      <c r="A232" s="16"/>
      <c r="B232" s="16"/>
      <c r="C232" s="16"/>
    </row>
    <row r="233" spans="1:3">
      <c r="A233" s="16"/>
      <c r="B233" s="16"/>
      <c r="C233" s="16"/>
    </row>
    <row r="234" spans="1:3">
      <c r="A234" s="16"/>
      <c r="B234" s="16"/>
      <c r="C234" s="16"/>
    </row>
    <row r="235" spans="1:3">
      <c r="A235" s="16"/>
      <c r="B235" s="16"/>
      <c r="C235" s="16"/>
    </row>
    <row r="236" spans="1:3">
      <c r="A236" s="16"/>
      <c r="B236" s="16"/>
      <c r="C236" s="16"/>
    </row>
    <row r="237" spans="1:3">
      <c r="A237" s="16"/>
      <c r="B237" s="16"/>
      <c r="C237" s="16"/>
    </row>
    <row r="238" spans="1:3">
      <c r="A238" s="16"/>
      <c r="B238" s="16"/>
      <c r="C238" s="16"/>
    </row>
    <row r="239" spans="1:3">
      <c r="A239" s="16"/>
      <c r="B239" s="16"/>
      <c r="C239" s="16"/>
    </row>
    <row r="240" spans="1:3">
      <c r="A240" s="16"/>
      <c r="B240" s="16"/>
      <c r="C240" s="16"/>
    </row>
    <row r="241" spans="1:3">
      <c r="A241" s="16"/>
      <c r="B241" s="16"/>
      <c r="C241" s="16"/>
    </row>
    <row r="242" spans="1:3">
      <c r="A242" s="16"/>
      <c r="B242" s="16"/>
      <c r="C242" s="16"/>
    </row>
    <row r="243" spans="1:3">
      <c r="A243" s="16"/>
      <c r="B243" s="16"/>
      <c r="C243" s="16"/>
    </row>
    <row r="244" spans="1:3">
      <c r="A244" s="16"/>
      <c r="B244" s="16"/>
      <c r="C244" s="16"/>
    </row>
    <row r="245" spans="1:3">
      <c r="A245" s="16"/>
      <c r="B245" s="16"/>
      <c r="C245" s="16"/>
    </row>
    <row r="246" spans="1:3">
      <c r="A246" s="16"/>
      <c r="B246" s="16"/>
      <c r="C246" s="16"/>
    </row>
    <row r="247" spans="1:3">
      <c r="A247" s="16"/>
      <c r="B247" s="16"/>
      <c r="C247" s="16"/>
    </row>
    <row r="248" spans="1:3">
      <c r="A248" s="16"/>
      <c r="B248" s="16"/>
      <c r="C248" s="16"/>
    </row>
    <row r="249" spans="1:3">
      <c r="A249" s="16"/>
      <c r="B249" s="16"/>
      <c r="C249" s="16"/>
    </row>
    <row r="250" spans="1:3">
      <c r="A250" s="16"/>
      <c r="B250" s="16"/>
      <c r="C250" s="16"/>
    </row>
    <row r="251" spans="1:3">
      <c r="A251" s="16"/>
      <c r="B251" s="16"/>
      <c r="C251" s="16"/>
    </row>
    <row r="252" spans="1:3">
      <c r="A252" s="16"/>
      <c r="B252" s="16"/>
      <c r="C252" s="16"/>
    </row>
    <row r="253" spans="1:3">
      <c r="A253" s="16"/>
      <c r="B253" s="16"/>
      <c r="C253" s="16"/>
    </row>
    <row r="254" spans="1:3">
      <c r="A254" s="16"/>
      <c r="B254" s="16"/>
      <c r="C254" s="16"/>
    </row>
    <row r="255" spans="1:3">
      <c r="A255" s="16"/>
      <c r="B255" s="16"/>
      <c r="C255" s="16"/>
    </row>
    <row r="256" spans="1:3">
      <c r="A256" s="16"/>
      <c r="B256" s="16"/>
      <c r="C256" s="16"/>
    </row>
    <row r="257" spans="1:3">
      <c r="A257" s="16"/>
      <c r="B257" s="16"/>
      <c r="C257" s="16"/>
    </row>
    <row r="258" spans="1:3">
      <c r="A258" s="16"/>
      <c r="B258" s="16"/>
      <c r="C258" s="16"/>
    </row>
    <row r="259" spans="1:3">
      <c r="A259" s="16"/>
      <c r="B259" s="16"/>
      <c r="C259" s="16"/>
    </row>
    <row r="260" spans="1:3">
      <c r="A260" s="16"/>
      <c r="B260" s="16"/>
      <c r="C260" s="16"/>
    </row>
    <row r="261" spans="1:3">
      <c r="A261" s="16"/>
      <c r="B261" s="16"/>
      <c r="C261" s="16"/>
    </row>
    <row r="262" spans="1:3">
      <c r="A262" s="16"/>
      <c r="B262" s="16"/>
      <c r="C262" s="16"/>
    </row>
    <row r="263" spans="1:3">
      <c r="A263" s="16"/>
      <c r="B263" s="16"/>
      <c r="C263" s="16"/>
    </row>
    <row r="264" spans="1:3">
      <c r="A264" s="16"/>
      <c r="B264" s="16"/>
      <c r="C264" s="16"/>
    </row>
    <row r="265" spans="1:3">
      <c r="A265" s="16"/>
      <c r="B265" s="16"/>
      <c r="C265" s="16"/>
    </row>
    <row r="266" spans="1:3">
      <c r="A266" s="16"/>
      <c r="B266" s="16"/>
      <c r="C266" s="16"/>
    </row>
    <row r="267" spans="1:3">
      <c r="A267" s="16"/>
      <c r="B267" s="16"/>
      <c r="C267" s="16"/>
    </row>
    <row r="268" spans="1:3">
      <c r="A268" s="16"/>
      <c r="B268" s="16"/>
      <c r="C268" s="16"/>
    </row>
    <row r="269" spans="1:3">
      <c r="A269" s="16"/>
      <c r="B269" s="16"/>
      <c r="C269" s="16"/>
    </row>
    <row r="270" spans="1:3">
      <c r="A270" s="16"/>
      <c r="B270" s="16"/>
      <c r="C270" s="16"/>
    </row>
    <row r="271" spans="1:3">
      <c r="A271" s="16"/>
      <c r="B271" s="16"/>
      <c r="C271" s="16"/>
    </row>
    <row r="272" spans="1:3">
      <c r="A272" s="16"/>
      <c r="B272" s="16"/>
      <c r="C272" s="16"/>
    </row>
    <row r="273" spans="1:3">
      <c r="A273" s="16"/>
      <c r="B273" s="16"/>
      <c r="C273" s="16"/>
    </row>
    <row r="274" spans="1:3">
      <c r="A274" s="16"/>
      <c r="B274" s="16"/>
      <c r="C274" s="16"/>
    </row>
    <row r="275" spans="1:3">
      <c r="A275" s="16"/>
      <c r="B275" s="16"/>
      <c r="C275" s="16"/>
    </row>
    <row r="276" spans="1:3">
      <c r="A276" s="16"/>
      <c r="B276" s="16"/>
      <c r="C276" s="16"/>
    </row>
    <row r="277" spans="1:3">
      <c r="A277" s="16"/>
      <c r="B277" s="16"/>
      <c r="C277" s="16"/>
    </row>
    <row r="278" spans="1:3">
      <c r="A278" s="16"/>
      <c r="B278" s="16"/>
      <c r="C278" s="16"/>
    </row>
    <row r="279" spans="1:3">
      <c r="A279" s="16"/>
      <c r="B279" s="16"/>
      <c r="C279" s="16"/>
    </row>
    <row r="280" spans="1:3">
      <c r="A280" s="16"/>
      <c r="B280" s="16"/>
      <c r="C280" s="16"/>
    </row>
    <row r="281" spans="1:3">
      <c r="A281" s="16"/>
      <c r="B281" s="16"/>
      <c r="C281" s="16"/>
    </row>
    <row r="282" spans="1:3">
      <c r="A282" s="16"/>
      <c r="B282" s="16"/>
      <c r="C282" s="16"/>
    </row>
    <row r="283" spans="1:3">
      <c r="A283" s="16"/>
      <c r="B283" s="16"/>
      <c r="C283" s="16"/>
    </row>
    <row r="284" spans="1:3">
      <c r="A284" s="16"/>
      <c r="B284" s="16"/>
      <c r="C284" s="16"/>
    </row>
    <row r="285" spans="1:3">
      <c r="A285" s="16"/>
      <c r="B285" s="16"/>
      <c r="C285" s="16"/>
    </row>
    <row r="286" spans="1:3">
      <c r="A286" s="16"/>
      <c r="B286" s="16"/>
      <c r="C286" s="16"/>
    </row>
    <row r="287" spans="1:3">
      <c r="A287" s="16"/>
      <c r="B287" s="16"/>
      <c r="C287" s="16"/>
    </row>
    <row r="288" spans="1:3">
      <c r="A288" s="16"/>
      <c r="B288" s="16"/>
      <c r="C288" s="16"/>
    </row>
    <row r="289" spans="1:3">
      <c r="A289" s="16"/>
      <c r="B289" s="16"/>
      <c r="C289" s="16"/>
    </row>
    <row r="290" spans="1:3">
      <c r="A290" s="16"/>
      <c r="B290" s="16"/>
      <c r="C290" s="16"/>
    </row>
    <row r="291" spans="1:3">
      <c r="A291" s="16"/>
      <c r="B291" s="16"/>
      <c r="C291" s="16"/>
    </row>
    <row r="292" spans="1:3">
      <c r="A292" s="16"/>
      <c r="B292" s="16"/>
      <c r="C292" s="16"/>
    </row>
    <row r="293" spans="1:3">
      <c r="A293" s="16"/>
      <c r="B293" s="16"/>
      <c r="C293" s="16"/>
    </row>
    <row r="294" spans="1:3">
      <c r="A294" s="16"/>
      <c r="B294" s="16"/>
      <c r="C294" s="16"/>
    </row>
    <row r="295" spans="1:3">
      <c r="A295" s="16"/>
      <c r="B295" s="16"/>
      <c r="C295" s="16"/>
    </row>
    <row r="296" spans="1:3">
      <c r="A296" s="16"/>
      <c r="B296" s="16"/>
      <c r="C296" s="16"/>
    </row>
    <row r="297" spans="1:3">
      <c r="A297" s="16"/>
      <c r="B297" s="16"/>
      <c r="C297" s="16"/>
    </row>
    <row r="298" spans="1:3">
      <c r="A298" s="16"/>
      <c r="B298" s="16"/>
      <c r="C298" s="16"/>
    </row>
    <row r="299" spans="1:3">
      <c r="A299" s="16"/>
      <c r="B299" s="16"/>
      <c r="C299" s="16"/>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2B071-909C-4FDF-A061-430246A697A5}">
  <sheetPr>
    <tabColor rgb="FF001E41"/>
  </sheetPr>
  <dimension ref="B5:D20"/>
  <sheetViews>
    <sheetView workbookViewId="0">
      <selection activeCell="C13" sqref="C13"/>
    </sheetView>
  </sheetViews>
  <sheetFormatPr defaultRowHeight="14.45"/>
  <cols>
    <col min="2" max="2" width="25.28515625" customWidth="1"/>
    <col min="3" max="3" width="12.140625" style="25" bestFit="1" customWidth="1"/>
    <col min="4" max="4" width="9.140625" style="25"/>
  </cols>
  <sheetData>
    <row r="5" spans="2:4">
      <c r="B5" s="29" t="s">
        <v>83</v>
      </c>
      <c r="C5" s="28" t="s">
        <v>84</v>
      </c>
      <c r="D5" s="28" t="s">
        <v>85</v>
      </c>
    </row>
    <row r="6" spans="2:4">
      <c r="B6" t="s">
        <v>86</v>
      </c>
      <c r="C6" s="27">
        <v>8370705</v>
      </c>
      <c r="D6" s="26">
        <f>C6/$C$10</f>
        <v>2.4046287635403812E-2</v>
      </c>
    </row>
    <row r="7" spans="2:4">
      <c r="B7" t="s">
        <v>87</v>
      </c>
      <c r="C7" s="27">
        <v>117030308</v>
      </c>
      <c r="D7" s="26">
        <f t="shared" ref="D7:D11" si="0">C7/$C$10</f>
        <v>0.33618965764865683</v>
      </c>
    </row>
    <row r="8" spans="2:4">
      <c r="B8" t="s">
        <v>88</v>
      </c>
      <c r="C8" s="27">
        <v>206159636</v>
      </c>
      <c r="D8" s="26">
        <f t="shared" si="0"/>
        <v>0.5922289587395746</v>
      </c>
    </row>
    <row r="9" spans="2:4">
      <c r="B9" t="s">
        <v>89</v>
      </c>
      <c r="C9" s="27">
        <v>16547347</v>
      </c>
      <c r="D9" s="26">
        <f t="shared" si="0"/>
        <v>4.7535095976364759E-2</v>
      </c>
    </row>
    <row r="10" spans="2:4" ht="15" thickBot="1">
      <c r="C10" s="30">
        <f>SUM(C6:C9)</f>
        <v>348107996</v>
      </c>
      <c r="D10" s="31">
        <f t="shared" si="0"/>
        <v>1</v>
      </c>
    </row>
    <row r="11" spans="2:4" ht="15" thickTop="1">
      <c r="B11" t="s">
        <v>90</v>
      </c>
      <c r="C11" s="27">
        <v>77850503</v>
      </c>
      <c r="D11" s="26">
        <f t="shared" si="0"/>
        <v>0.22363893933651555</v>
      </c>
    </row>
    <row r="12" spans="2:4">
      <c r="C12" s="27"/>
      <c r="D12" s="26"/>
    </row>
    <row r="13" spans="2:4">
      <c r="B13" s="29" t="s">
        <v>91</v>
      </c>
      <c r="C13" s="28" t="s">
        <v>84</v>
      </c>
      <c r="D13" s="28" t="s">
        <v>85</v>
      </c>
    </row>
    <row r="14" spans="2:4">
      <c r="B14" t="s">
        <v>92</v>
      </c>
      <c r="C14" s="27">
        <v>101000000</v>
      </c>
      <c r="D14" s="26">
        <f>C14/$C$17</f>
        <v>0.28857142857142859</v>
      </c>
    </row>
    <row r="15" spans="2:4">
      <c r="B15" t="s">
        <v>93</v>
      </c>
      <c r="C15" s="27">
        <v>214000000</v>
      </c>
      <c r="D15" s="26">
        <f t="shared" ref="D15:D17" si="1">C15/$C$17</f>
        <v>0.61142857142857143</v>
      </c>
    </row>
    <row r="16" spans="2:4">
      <c r="B16" t="s">
        <v>94</v>
      </c>
      <c r="C16" s="27">
        <v>35000000</v>
      </c>
      <c r="D16" s="26">
        <f t="shared" si="1"/>
        <v>0.1</v>
      </c>
    </row>
    <row r="17" spans="3:4" ht="15" thickBot="1">
      <c r="C17" s="30">
        <f>SUM(C14:C16)</f>
        <v>350000000</v>
      </c>
      <c r="D17" s="31">
        <f t="shared" si="1"/>
        <v>1</v>
      </c>
    </row>
    <row r="18" spans="3:4" ht="15" thickTop="1">
      <c r="C18" s="27"/>
      <c r="D18" s="26"/>
    </row>
    <row r="19" spans="3:4">
      <c r="C19" s="27"/>
    </row>
    <row r="20" spans="3:4">
      <c r="C20" s="27"/>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1AAECD4FFAEC24881DE1F6007DB1196" ma:contentTypeVersion="19" ma:contentTypeDescription="Create a new document." ma:contentTypeScope="" ma:versionID="dfaa4fe9fdfaebd2b3fb94fdbc0e2fd9">
  <xsd:schema xmlns:xsd="http://www.w3.org/2001/XMLSchema" xmlns:xs="http://www.w3.org/2001/XMLSchema" xmlns:p="http://schemas.microsoft.com/office/2006/metadata/properties" xmlns:ns2="b6f0f157-b05d-47b5-a4ad-9104388b9e00" xmlns:ns3="695474d6-1b83-4b70-99c6-99f4784a3023" xmlns:ns4="28c4117a-bbb3-4e1f-8a90-b630a637c5f5" targetNamespace="http://schemas.microsoft.com/office/2006/metadata/properties" ma:root="true" ma:fieldsID="87f642a867bb127e08f296f551362199" ns2:_="" ns3:_="" ns4:_="">
    <xsd:import namespace="b6f0f157-b05d-47b5-a4ad-9104388b9e00"/>
    <xsd:import namespace="695474d6-1b83-4b70-99c6-99f4784a3023"/>
    <xsd:import namespace="28c4117a-bbb3-4e1f-8a90-b630a637c5f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AutoTags" minOccurs="0"/>
                <xsd:element ref="ns2:MediaServiceLocation" minOccurs="0"/>
                <xsd:element ref="ns2:MediaServiceGenerationTime" minOccurs="0"/>
                <xsd:element ref="ns2:MediaServiceEventHashCode" minOccurs="0"/>
                <xsd:element ref="ns2:MediaServiceOCR" minOccurs="0"/>
                <xsd:element ref="ns2:MediaLengthInSeconds" minOccurs="0"/>
                <xsd:element ref="ns2:lcf76f155ced4ddcb4097134ff3c332f" minOccurs="0"/>
                <xsd:element ref="ns4: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f0f157-b05d-47b5-a4ad-9104388b9e0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b0616e0a-51ce-457b-a9c4-6ff1e00dfc5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95474d6-1b83-4b70-99c6-99f4784a302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8c4117a-bbb3-4e1f-8a90-b630a637c5f5"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2d9efa9e-e86d-421a-b29c-68cba4ec1ac4}" ma:internalName="TaxCatchAll" ma:showField="CatchAllData" ma:web="695474d6-1b83-4b70-99c6-99f4784a30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28c4117a-bbb3-4e1f-8a90-b630a637c5f5" xsi:nil="true"/>
    <lcf76f155ced4ddcb4097134ff3c332f xmlns="b6f0f157-b05d-47b5-a4ad-9104388b9e0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A339ED2-A170-42C5-A036-DFD765427351}"/>
</file>

<file path=customXml/itemProps2.xml><?xml version="1.0" encoding="utf-8"?>
<ds:datastoreItem xmlns:ds="http://schemas.openxmlformats.org/officeDocument/2006/customXml" ds:itemID="{DC452DF7-5356-4C03-A3BD-0FC1AB135787}"/>
</file>

<file path=customXml/itemProps3.xml><?xml version="1.0" encoding="utf-8"?>
<ds:datastoreItem xmlns:ds="http://schemas.openxmlformats.org/officeDocument/2006/customXml" ds:itemID="{3196EC7A-BDDC-4D37-A364-307BDFF691F1}"/>
</file>

<file path=docMetadata/LabelInfo.xml><?xml version="1.0" encoding="utf-8"?>
<clbl:labelList xmlns:clbl="http://schemas.microsoft.com/office/2020/mipLabelMetadata">
  <clbl:label id="{7d8a056e-981a-4d0b-83ea-062214276430}" enabled="1" method="Standard" siteId="{c64d49cd-d138-4cdb-a5d4-324a4040c74a}"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 Leonardi</dc:creator>
  <cp:keywords/>
  <dc:description/>
  <cp:lastModifiedBy>Goran Sekulovski</cp:lastModifiedBy>
  <cp:revision/>
  <dcterms:created xsi:type="dcterms:W3CDTF">2022-06-09T23:46:16Z</dcterms:created>
  <dcterms:modified xsi:type="dcterms:W3CDTF">2026-02-06T03:56:00Z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d8a056e-981a-4d0b-83ea-062214276430_Enabled">
    <vt:lpwstr>true</vt:lpwstr>
  </property>
  <property fmtid="{D5CDD505-2E9C-101B-9397-08002B2CF9AE}" pid="3" name="MSIP_Label_7d8a056e-981a-4d0b-83ea-062214276430_SetDate">
    <vt:lpwstr>2022-06-09T23:46:17Z</vt:lpwstr>
  </property>
  <property fmtid="{D5CDD505-2E9C-101B-9397-08002B2CF9AE}" pid="4" name="MSIP_Label_7d8a056e-981a-4d0b-83ea-062214276430_Method">
    <vt:lpwstr>Standard</vt:lpwstr>
  </property>
  <property fmtid="{D5CDD505-2E9C-101B-9397-08002B2CF9AE}" pid="5" name="MSIP_Label_7d8a056e-981a-4d0b-83ea-062214276430_Name">
    <vt:lpwstr>General</vt:lpwstr>
  </property>
  <property fmtid="{D5CDD505-2E9C-101B-9397-08002B2CF9AE}" pid="6" name="MSIP_Label_7d8a056e-981a-4d0b-83ea-062214276430_SiteId">
    <vt:lpwstr>c64d49cd-d138-4cdb-a5d4-324a4040c74a</vt:lpwstr>
  </property>
  <property fmtid="{D5CDD505-2E9C-101B-9397-08002B2CF9AE}" pid="7" name="MSIP_Label_7d8a056e-981a-4d0b-83ea-062214276430_ActionId">
    <vt:lpwstr>0f136d24-e819-47ef-b96b-eeb3d4e76ade</vt:lpwstr>
  </property>
  <property fmtid="{D5CDD505-2E9C-101B-9397-08002B2CF9AE}" pid="8" name="MSIP_Label_7d8a056e-981a-4d0b-83ea-062214276430_ContentBits">
    <vt:lpwstr>0</vt:lpwstr>
  </property>
  <property fmtid="{D5CDD505-2E9C-101B-9397-08002B2CF9AE}" pid="9" name="ContentTypeId">
    <vt:lpwstr>0x010100F1AAECD4FFAEC24881DE1F6007DB1196</vt:lpwstr>
  </property>
  <property fmtid="{D5CDD505-2E9C-101B-9397-08002B2CF9AE}" pid="10" name="MediaServiceImageTags">
    <vt:lpwstr/>
  </property>
</Properties>
</file>