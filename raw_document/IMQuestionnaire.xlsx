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updateLinks="never" codeName="ThisWorkbook" defaultThemeVersion="166925"/>
  <mc:AlternateContent xmlns:mc="http://schemas.openxmlformats.org/markup-compatibility/2006">
    <mc:Choice Requires="x15">
      <x15ac:absPath xmlns:x15ac="http://schemas.microsoft.com/office/spreadsheetml/2010/11/ac" url="C:\Users\Sara\Downloads\AIagentproject\raw_document\"/>
    </mc:Choice>
  </mc:AlternateContent>
  <xr:revisionPtr revIDLastSave="0" documentId="13_ncr:1_{F566599F-D18E-4FFD-A7F5-36D5AF8FA080}" xr6:coauthVersionLast="47" xr6:coauthVersionMax="47" xr10:uidLastSave="{00000000-0000-0000-0000-000000000000}"/>
  <bookViews>
    <workbookView xWindow="-98" yWindow="-98" windowWidth="20715" windowHeight="13515" tabRatio="709" xr2:uid="{9ADBD64C-0D47-4706-82F2-7295FAAD6BE3}"/>
  </bookViews>
  <sheets>
    <sheet name="IM Info" sheetId="2" r:id="rId1"/>
    <sheet name="Invst. team" sheetId="3" r:id="rId2"/>
    <sheet name="Portfolio Details" sheetId="5" r:id="rId3"/>
    <sheet name="Liquidity Testing" sheetId="12" r:id="rId4"/>
    <sheet name="Scenario Testing" sheetId="13" r:id="rId5"/>
    <sheet name="Underlying Funds" sheetId="16" r:id="rId6"/>
    <sheet name="Directy Equity " sheetId="17" r:id="rId7"/>
  </sheets>
  <definedNames>
    <definedName name="_xlnm._FilterDatabase" localSheetId="5" hidden="1">'Underlying Funds'!$A$3:$F$21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1" i="5" l="1"/>
  <c r="R58" i="5"/>
  <c r="L14" i="5"/>
  <c r="L15" i="5" s="1"/>
  <c r="L16" i="5" s="1"/>
  <c r="L17" i="5" s="1"/>
  <c r="L18" i="5" s="1"/>
  <c r="H61" i="5" l="1"/>
  <c r="B14" i="5"/>
  <c r="B15" i="5" s="1"/>
  <c r="B16" i="5" s="1"/>
  <c r="B17" i="5" s="1"/>
  <c r="B18" i="5" s="1"/>
  <c r="B10" i="2" l="1"/>
  <c r="B11" i="2" s="1"/>
  <c r="B12" i="2" s="1"/>
  <c r="B13" i="2" s="1"/>
  <c r="B14" i="2" s="1"/>
  <c r="B15" i="2" s="1"/>
  <c r="B16" i="2" s="1"/>
  <c r="B17" i="2" s="1"/>
  <c r="B18" i="2" s="1"/>
  <c r="B19" i="2" s="1"/>
  <c r="B20" i="2" s="1"/>
</calcChain>
</file>

<file path=xl/sharedStrings.xml><?xml version="1.0" encoding="utf-8"?>
<sst xmlns="http://schemas.openxmlformats.org/spreadsheetml/2006/main" count="553" uniqueCount="391">
  <si>
    <t>Australian Business Number (ABN)</t>
  </si>
  <si>
    <t>Australian Financial Services License (AFSL)</t>
  </si>
  <si>
    <t>Investment Manager's full legal entity name as per ABN</t>
  </si>
  <si>
    <t>Street Address</t>
  </si>
  <si>
    <t>Postal Address</t>
  </si>
  <si>
    <t>Telephone number</t>
  </si>
  <si>
    <t>Email (General)</t>
  </si>
  <si>
    <t>Email (Invoices)</t>
  </si>
  <si>
    <t>Overview of the Investment Manager's business
- Include any corporate authorised representative or if any other relevant entities different to the AFSL holder involved in the management/construction of the portfolio</t>
  </si>
  <si>
    <t>About the investment manager (this is for disclosure purposes and should not include quantitative information that may go out of date quickly) (250 words max)</t>
  </si>
  <si>
    <t>Describe the investment philosophy and process</t>
  </si>
  <si>
    <t>Investment philosophy and process (this is for disclosure purposes and should not include quantitative information that may go out of date quickly) (180 words max)</t>
  </si>
  <si>
    <t>What is the strategy's capacity and FUM?</t>
  </si>
  <si>
    <t>N/A</t>
  </si>
  <si>
    <t>What is the company's website?</t>
  </si>
  <si>
    <t>Name of portfolio manager</t>
  </si>
  <si>
    <t>Company position of portfolio manager (include any qualification reference)</t>
  </si>
  <si>
    <t>Brief bio of portfolio manager</t>
  </si>
  <si>
    <t>FSC Document or standard RFP</t>
  </si>
  <si>
    <t>Not available</t>
  </si>
  <si>
    <t>Monthly return series of flagship SMAs since inception</t>
  </si>
  <si>
    <t>Attached</t>
  </si>
  <si>
    <t>Pitch pack / fact sheet (Investment Team, process, portfolio &amp; performance)</t>
  </si>
  <si>
    <t>Certificates of Insurance</t>
  </si>
  <si>
    <t>Copy of AFSL</t>
  </si>
  <si>
    <t>Conflicts of Interest Policy</t>
  </si>
  <si>
    <t>Any relevant biographies or org charts</t>
  </si>
  <si>
    <t>Interest to participate in IPOs?</t>
  </si>
  <si>
    <t>No</t>
  </si>
  <si>
    <t>Interest to participate in placements?</t>
  </si>
  <si>
    <t>Interest to participate in entitlements?</t>
  </si>
  <si>
    <t>Interest to participate in rights issues?</t>
  </si>
  <si>
    <t>Interest to participate in SPPs?</t>
  </si>
  <si>
    <t>Interest to participate in bonus option issues?</t>
  </si>
  <si>
    <t>Interest to participate in voting at AGMs etc?</t>
  </si>
  <si>
    <t>Part 6 - Current Investment Team</t>
  </si>
  <si>
    <t xml:space="preserve">Name &amp; title/position </t>
  </si>
  <si>
    <t>Number of years with the firm</t>
  </si>
  <si>
    <t>Total years of investment experience</t>
  </si>
  <si>
    <t>Describe their role and contribution to the strategy</t>
  </si>
  <si>
    <t>Team additions in the last three years</t>
  </si>
  <si>
    <t>Date joined</t>
  </si>
  <si>
    <t>Previous employment</t>
  </si>
  <si>
    <t>Team departures in the last three years</t>
  </si>
  <si>
    <t>Name &amp; title/position</t>
  </si>
  <si>
    <t>Date departed</t>
  </si>
  <si>
    <t>Reason for departure</t>
  </si>
  <si>
    <t>Proposed managed portfolio name</t>
  </si>
  <si>
    <t>Cash</t>
  </si>
  <si>
    <t>Australian Fixed Interest</t>
  </si>
  <si>
    <t>Plato Global Alpha Fund</t>
  </si>
  <si>
    <t>Proposed Asset Class</t>
  </si>
  <si>
    <t>Diversified</t>
  </si>
  <si>
    <t>Portfolio type</t>
  </si>
  <si>
    <t>Investment style</t>
  </si>
  <si>
    <t>Active &amp; Index</t>
  </si>
  <si>
    <t>Investment universe</t>
  </si>
  <si>
    <t>Managed funds and ETFs</t>
  </si>
  <si>
    <t>Standard Risk Measure (SRM) as per FSC guidance paper</t>
  </si>
  <si>
    <t>Describe the investment objective of the portfolio starting with "Aims to deliver…"</t>
  </si>
  <si>
    <t>Income Target (only applicable for Income/Retirement strategies)</t>
  </si>
  <si>
    <t>Target investors suitable for the portfolio "Designed for investors who seek a…"</t>
  </si>
  <si>
    <t>Minimum investment horizon</t>
  </si>
  <si>
    <t>10 years plus</t>
  </si>
  <si>
    <t>Probability of achieving portfolio objectives</t>
  </si>
  <si>
    <t>Describe the investment strategy and approach for this portfolio
- Include ESG information if applicable</t>
  </si>
  <si>
    <t>Is the portfolio based on an equivalent existing strategy that has a track record?</t>
  </si>
  <si>
    <t>If yes, please provide the name of the equivalent strategy</t>
  </si>
  <si>
    <t>Provide the equivalent strategy APIR code (if applicable)</t>
  </si>
  <si>
    <t>Explain any actual or likely differences between the portfolio and the equivalent strategy?</t>
  </si>
  <si>
    <t>How does you approach any potential conflicts arising as a result of running a similar strategy across different structures? E.g. timing of trades and the potential to 'front run'</t>
  </si>
  <si>
    <t>Provide the monthly Managed Portfolio performance (net of fees)</t>
  </si>
  <si>
    <t>Provide the monthly Implemented Portfolio performance of the portfolio on a pre existing platform</t>
  </si>
  <si>
    <t>What is the expected stock holdings (MIS vs managed portfolio) overlap with any of your funds?</t>
  </si>
  <si>
    <t>What is the minimum number of investment options held in the portfolio? (please clarify the asset category of investment options)</t>
  </si>
  <si>
    <t>What is the maximum number of investment options held in the portfolio? (please clarify the asset category of investment options)</t>
  </si>
  <si>
    <t>What is the minimum absolute single asset position? (%)</t>
  </si>
  <si>
    <t>What is the maximum absolute single asset position? (%)</t>
  </si>
  <si>
    <t>What is the minimum single asset position for any new asset? (%)</t>
  </si>
  <si>
    <t>Target volatility (or other risk target TE, VaR, CVaR)</t>
  </si>
  <si>
    <t>Will income be reinvested or paid to the platform cash account by default?</t>
  </si>
  <si>
    <t>Reinvested</t>
  </si>
  <si>
    <t>Minimum Cash buffer? (1% minimum required)</t>
  </si>
  <si>
    <t>Is the trading preference active or rebalance?</t>
  </si>
  <si>
    <t>Active</t>
  </si>
  <si>
    <t>Expected Turnover (p.a.)</t>
  </si>
  <si>
    <t>Active Stock Limits (+/- benchmark weight)</t>
  </si>
  <si>
    <t>Active GICS Sector Limits (+/- benchmark weight)</t>
  </si>
  <si>
    <t>Ex-ante tracking error target</t>
  </si>
  <si>
    <t>Target benchmark outperformance</t>
  </si>
  <si>
    <t>Minimum Range</t>
  </si>
  <si>
    <t>SAA</t>
  </si>
  <si>
    <t>Maximum Range</t>
  </si>
  <si>
    <t xml:space="preserve"> Current Weight in Portfolio</t>
  </si>
  <si>
    <t>Active Weight</t>
  </si>
  <si>
    <t>Growth</t>
  </si>
  <si>
    <t>Australian Equities</t>
  </si>
  <si>
    <t>International Equities</t>
  </si>
  <si>
    <t>Domestic Property and Infrastructure</t>
  </si>
  <si>
    <t>International Property and Infrastructure</t>
  </si>
  <si>
    <t>Alternatives</t>
  </si>
  <si>
    <t xml:space="preserve">Defensive </t>
  </si>
  <si>
    <t xml:space="preserve">International Fixed Interest </t>
  </si>
  <si>
    <t>Cash (1% minimum required)</t>
  </si>
  <si>
    <t>Total</t>
  </si>
  <si>
    <t xml:space="preserve">Scenario testing - Total Portfolio Analysis (TPA) for the following periods:
</t>
  </si>
  <si>
    <t>Scenario</t>
  </si>
  <si>
    <t>Fund</t>
  </si>
  <si>
    <t>Role in portfolio</t>
  </si>
  <si>
    <t>Target excess return</t>
  </si>
  <si>
    <t>Risk assessment: Tracking error (vs benchmark)</t>
  </si>
  <si>
    <t>Australian Equities  -for a portfolio of direct equities; please provide charts on market cap, sector allocation, style bias</t>
  </si>
  <si>
    <t>Asset class</t>
  </si>
  <si>
    <t>BlackRock Investment Management (Australia) Limited</t>
  </si>
  <si>
    <t>13 006 165 975</t>
  </si>
  <si>
    <t>33 Alfred Street, Sydney NSW 2000, Australia</t>
  </si>
  <si>
    <t>PO Box N43, Grosvenor Place, Sydney NSW 1220, Australia</t>
  </si>
  <si>
    <t>1300 366 100</t>
  </si>
  <si>
    <t>clientservices.aus@blackrock.com</t>
  </si>
  <si>
    <t>au.invoices@blackrock-test.com.au (fictional test email)</t>
  </si>
  <si>
    <t>BlackRock Investment Management (Australia) Limited is the Australian investment management entity of BlackRock. The firm operates in Australia and provides investment management services across managed funds, ETFs, model portfolios, institutional mandates and multi-asset investment solutions. For these fictional test portfolios, BlackRock Investment Management (Australia) Limited is treated as the AFSL holder and investment manager responsible for portfolio construction, implementation oversight, investment governance and ongoing model management. No separate corporate authorised representative is assumed for this test case. Operational services such as administration, custody, platform implementation and reporting may be performed by external service providers under contractual arrangements, but investment management responsibility remains with BlackRock Investment Management (Australia) Limited.</t>
  </si>
  <si>
    <t>BlackRock is a global investment manager with an established Australian presence. In Australia, the firm services institutional investors, financial advisers, platforms, SMSFs and individual investors through a range of investment capabilities including managed funds, iShares ETFs, model portfolios, active strategies and multi-asset solutions. BlackRock combines local Australian client service and investment capability with global research, portfolio construction resources, risk management systems and market insights. For disclosure purposes, the investment manager’s role is to design and manage investment solutions that are aligned to stated objectives, risk profiles and client needs. Its activities may include asset allocation, fund selection, portfolio monitoring, risk oversight, rebalancing and communication of investment views. The fictional portfolios in this test pack assume the manager uses BlackRock’s Australian operating infrastructure and global investment resources to support diversified managed portfolio solutions for Australian investors.</t>
  </si>
  <si>
    <t>Emily Hartley is a fictional senior portfolio manager used for agent testing purposes. In this test scenario, she is responsible for the day-to-day oversight of the Balanced and High Growth managed portfolios, including asset allocation implementation, portfolio monitoring, rebalancing recommendations and investment reporting. Emily has fictional experience across Australian equities, global equities, fixed income and multi-asset portfolio construction. Her role includes working with investment strategists, risk specialists, product teams and platform partners to ensure each portfolio remains aligned with its stated objective and risk profile. For the Balanced portfolio, her focus is maintaining a stable mix of growth and defensive exposures. For the High Growth portfolio, her focus is maximising long-term capital growth while monitoring concentration, liquidity and drawdown risk.</t>
  </si>
  <si>
    <t>Fictional test assumption: Strategy capacity AUD 2.5 billion. Current FUM AUD 185 million for the Balanced portfolio and AUD 92 million for the High Growth portfolio.</t>
  </si>
  <si>
    <t>The manager uses a diversified, risk-controlled approach to portfolio construction. Each portfolio starts with a strategic asset allocation suited to its investor profile, then uses researched investment exposures to implement that allocation efficiently. The process considers expected return, volatility, liquidity, diversification, cost and downside risk. Balanced portfolios place greater emphasis on spreading risk across growth and defensive assets, while high-risk portfolios allocate more heavily to equities and other growth-oriented investments. Portfolios are reviewed regularly, with rebalancing used to keep risk exposures aligned with objectives.</t>
  </si>
  <si>
    <t>https://www.blackrock.com/au</t>
  </si>
  <si>
    <t>Emily Hartley</t>
  </si>
  <si>
    <t xml:space="preserve"> Senior Portfolio Manager, Multi-Asset Model Portfolios, BlackRock Investment Management (Australia) Limited. CFA charterholder; Bachelor of Commerce, majoring in Finance. (fictional test role/person)</t>
  </si>
  <si>
    <t>Dr. Penelope Wren-Finch, Head of Portfolio Construction</t>
  </si>
  <si>
    <t>Leads strategic asset allocation, portfolio design, and risk budgeting for both the Balanced and High Growth portfolios. Oversees model changes, rebalancing rules, and the integration of research into portfolio decisions.</t>
  </si>
  <si>
    <t>Mr. Basil Q. Thistledown, Senior Multi-Asset Portfolio Manager</t>
  </si>
  <si>
    <t>Co-manages day-to-day portfolio implementation, monitors exposures, and helps translate market views into trading and rebalancing actions. Contributes to oversight of diversification, liquidity, and drawdown management.</t>
  </si>
  <si>
    <t>Ms. Cordelia Vane-Smythe, Director of Investment Risk</t>
  </si>
  <si>
    <t>Provides portfolio risk oversight, stress testing, and scenario analysis. Reviews concentration, volatility, correlation, and downside risk, and challenges proposed changes where risk budgets may be exceeded.</t>
  </si>
  <si>
    <t>Mr. Octavian Puddleworth, ETF and Implementation Specialist</t>
  </si>
  <si>
    <t>Handles implementation efficiency, instrument selection, and execution quality. Supports the team by checking tracking error, transaction costs, cash drag, and the operational practicality of portfolio changes.</t>
  </si>
  <si>
    <t>Ms. Xanthe Morrow-Glade, Research Analyst, Asset Allocation</t>
  </si>
  <si>
    <t>Produces market research, comparative analytics, and allocation notes across Australian and global asset classes. Supports portfolio reviews with data, peer comparisons, and short-term tactical observations</t>
  </si>
  <si>
    <t>BlackRock Balanced AU Managed Portfolio</t>
  </si>
  <si>
    <t>Diversified balanced growth portfolio</t>
  </si>
  <si>
    <t>Aims to deliver long-term capital growth and a modest income stream above CPI + 3.0% p.a. over rolling 7-year periods, net of indirect fees, while maintaining a balanced level of portfolio volatility suitable for investors with a medium-to-high risk tolerance.</t>
  </si>
  <si>
    <t>Morningstar AUS Moderate NR AUD</t>
  </si>
  <si>
    <t>3.0% p.a. target distribution, subject to portfolio income and market conditions</t>
  </si>
  <si>
    <t>Designed for investors who seek balanced exposure to growth and defensive assets, are comfortable with moderate market fluctuations, and have an investment horizon of at least 7 years.</t>
  </si>
  <si>
    <t>7 years plus</t>
  </si>
  <si>
    <t>The portfolio is actively managed within defined ranges and typically holds around 60% in growth assets and 40% in income assets. It invests across Australian and global shares, fixed interest, listed property, infrastructure and cash equivalents, with a preference for liquid, scalable exposures. The approach aims to balance capital growth, downside protection and income generation through disciplined strategic asset allocation, periodic rebalancing and tactical adjustments where warranted. ESG considerations are incorporated at the manager research and portfolio construction stage, including exclusion screening, stewardship review and assessment of material sustainability risks where relevant to the underlying investments.</t>
  </si>
  <si>
    <t>Yes</t>
  </si>
  <si>
    <t>BlackRock Balanced Model 60</t>
  </si>
  <si>
    <t>BLK6001AU</t>
  </si>
  <si>
    <t>The managed portfolio is implemented through a direct holding structure and may differ from the equivalent model in trade timing, cash holdings, tax outcomes, platform security selection and treatment of small residual positions. The underlying risk profile and target asset mix are intended to remain broadly aligned, but implementation efficiency and platform constraints may create modest return differences over time.</t>
  </si>
  <si>
    <t>All portfolios using similar strategic ideas are managed under a central trade and compliance process. Orders are aggregated where appropriate, trade allocation is documented, and dealing occurs in a pre-set sequence to reduce the risk of favouring one client structure over another. Trade decisions are reviewed by compliance and portfolio operations, and any material conflicts are escalated under the firm's conflict management policy.</t>
  </si>
  <si>
    <t>Synthetic history available from inception only; latest monthly net return +1.18%</t>
  </si>
  <si>
    <t>Synthetic platform implementation return for latest month +1.12% net of platform fees</t>
  </si>
  <si>
    <t>Estimated overlap 55% to 70%, depending on market conditions and platform implementation choices</t>
  </si>
  <si>
    <t>12 investment options across Australian equities, global equities, fixed income, listed property, infrastructure and cash</t>
  </si>
  <si>
    <t>28 investment options across Australian and international growth and defensive asset classes</t>
  </si>
  <si>
    <t>8.5% to 10.5% annualised volatility target range</t>
  </si>
  <si>
    <t>25% to 40%</t>
  </si>
  <si>
    <t>+/- 8%</t>
  </si>
  <si>
    <t>+/- 12%</t>
  </si>
  <si>
    <t>2.0% to 3.5%</t>
  </si>
  <si>
    <t>CPI + 3.0% p.a. over rolling 7 years</t>
  </si>
  <si>
    <t>BlackRock High Growth AU Managed Portfolio</t>
  </si>
  <si>
    <t>Diversified growth portfolio</t>
  </si>
  <si>
    <t>Aims to deliver strong long-term capital growth above CPI + 4.5% p.a. over rolling 10-year periods, net of indirect fees, while accepting higher short-term volatility in pursuit of equity-led returns.</t>
  </si>
  <si>
    <t>Morningstar AUS Aggressive NR AUD</t>
  </si>
  <si>
    <t>Designed for investors who seek maximum growth exposure, can tolerate significant interim losses, and have an investment horizon of at least 10 years.</t>
  </si>
  <si>
    <t>The portfolio is actively managed within broad growth-oriented ranges and typically holds approximately 92% to 98% in growth assets and the balance in defensive assets or cash. It invests across Australian and global equities, listed property, infrastructure and a small allocation to fixed interest or cash for liquidity management. The approach favours high-beta equity exposure, selective style tilts and disciplined rebalancing to keep the portfolio aligned with its aggressive risk budget. ESG considerations are reflected through manager research, stewardship analysis and targeted risk review of material sustainability factors where they are expected to affect long-term outcomes.</t>
  </si>
  <si>
    <t>Stress scenario</t>
  </si>
  <si>
    <t>Timeframe</t>
  </si>
  <si>
    <t>BlackRock Balanced AU Managed Portfolio liquidity liquidated</t>
  </si>
  <si>
    <t>BlackRock High Growth AU Managed Portfolio liquidity liquidated</t>
  </si>
  <si>
    <t>Normal trading conditions</t>
  </si>
  <si>
    <t>1 business day</t>
  </si>
  <si>
    <t>3 business days</t>
  </si>
  <si>
    <t>5 business days</t>
  </si>
  <si>
    <t>Moderate volatility and wider spreads</t>
  </si>
  <si>
    <t>Severe market stress</t>
  </si>
  <si>
    <t>Market closure in one major region</t>
  </si>
  <si>
    <t>Redemption shock</t>
  </si>
  <si>
    <t>10% of portfolio</t>
  </si>
  <si>
    <t>100% of redemption met</t>
  </si>
  <si>
    <t>BlackRock Balanced AU Managed Portfolio performance</t>
  </si>
  <si>
    <t>Morningstar AUS Moderate NR AUD benchmark performance</t>
  </si>
  <si>
    <t>Balanced active vs benchmark</t>
  </si>
  <si>
    <t>BlackRock High Growth AU Managed Portfolio performance</t>
  </si>
  <si>
    <t>Morningstar AUS Aggressive NR AUD benchmark performance</t>
  </si>
  <si>
    <t>High Growth active vs benchmark</t>
  </si>
  <si>
    <t>Strong equity rally</t>
  </si>
  <si>
    <t>Sharp equity selloff</t>
  </si>
  <si>
    <t>Rates rise sharply</t>
  </si>
  <si>
    <t>Rates fall sharply</t>
  </si>
  <si>
    <t>Inflation surprise higher</t>
  </si>
  <si>
    <t>Global recession shock</t>
  </si>
  <si>
    <t>Liquidity stress and wider spreads</t>
  </si>
  <si>
    <t>Benchmark for the strategy</t>
  </si>
  <si>
    <t>Strategy highlights: style</t>
  </si>
  <si>
    <t>Manager / Issuer</t>
  </si>
  <si>
    <t>Perpetual Diversified Income Fund - Class S units</t>
  </si>
  <si>
    <t>Yarra Enhanced Income Fund - Class B</t>
  </si>
  <si>
    <t>Daintree Core Income Trust</t>
  </si>
  <si>
    <t>International Fixed Interest</t>
  </si>
  <si>
    <t>PIMCO Global Bond Fund INST</t>
  </si>
  <si>
    <t>Yarra Global Small Companies Fund</t>
  </si>
  <si>
    <t>Arrowstreet Global Equity No. 2 Fund (Hedged) - Class I</t>
  </si>
  <si>
    <t>Life Cycle Concentrated Global Share Fund - Class H (Hedged)</t>
  </si>
  <si>
    <t>Metrics Master Income Trust Ordinary Units Fully Paid</t>
  </si>
  <si>
    <t>AMP Australian Equity Index Fund</t>
  </si>
  <si>
    <t>Pendal Global Emerging Markets Opportunities Fund</t>
  </si>
  <si>
    <t>Nomura Global Listed Infrastructure Fund (Hedged)</t>
  </si>
  <si>
    <t>Global X Gold Bullion (Currency Hedged) ETF</t>
  </si>
  <si>
    <t>Pendal Focus Australian Equities Fund</t>
  </si>
  <si>
    <t>Resolution Capital Global Property Securities Fund (Hedged) Series II</t>
  </si>
  <si>
    <t>Property</t>
  </si>
  <si>
    <t>VanEck S&amp;P/ASX MidCap ETF</t>
  </si>
  <si>
    <t>iShares S&amp;P Mid-Cap ETF</t>
  </si>
  <si>
    <t>Paradice Equity Alpha Plus Fund</t>
  </si>
  <si>
    <t>AMP International Equity Index Fund Hedged</t>
  </si>
  <si>
    <t>Pendal Short Term Income Securities Trust</t>
  </si>
  <si>
    <t>Cash Account</t>
  </si>
  <si>
    <t>Pendal Property Securities Fund</t>
  </si>
  <si>
    <t>Spheria Australian Microcap Fund</t>
  </si>
  <si>
    <t>UBS Australian Small Companies Fund</t>
  </si>
  <si>
    <t>Factor biases</t>
  </si>
  <si>
    <t>Perpetual Investment Management Limited</t>
  </si>
  <si>
    <t>Defensive income anchor; diversifies equity risk with multi-sector credit and duration exposure</t>
  </si>
  <si>
    <t>Bloomberg AusBond Bank Bill Index + 2.0% p.a. (estimate; public page discloses income mandate/performance but not benchmark in snippet)</t>
  </si>
  <si>
    <t>Active diversified income across Australian and global credit, floating-rate securities, hybrids and cash</t>
  </si>
  <si>
    <t>Credit carry, short/intermediate duration, liquidity premium, modest spread beta</t>
  </si>
  <si>
    <t>Low-Medium; estimated 1.0%-2.0% p.a. vs bank bills</t>
  </si>
  <si>
    <t>Yarra Capital Management</t>
  </si>
  <si>
    <t>Enhanced cash and income sleeve; seeks higher yield with low capital volatility</t>
  </si>
  <si>
    <t>RBA Cash Rate</t>
  </si>
  <si>
    <t>Active Australian credit and hybrid securities; monthly distributions; low/no duration bias</t>
  </si>
  <si>
    <t>Credit carry, bank hybrid spreads, floating-rate income, relative value</t>
  </si>
  <si>
    <t>Low; estimated 0.8%-1.5% p.a. vs cash</t>
  </si>
  <si>
    <t>Daintree Capital</t>
  </si>
  <si>
    <t>Absolute-return global credit sleeve with capital-stability objective</t>
  </si>
  <si>
    <t>RBA Cash Rate / cash-plus absolute return benchmark</t>
  </si>
  <si>
    <t>Active global investment-grade credit, duration/yield curve management, sector rotation</t>
  </si>
  <si>
    <t>Credit quality, carry, curve positioning, conservative duration, liquidity</t>
  </si>
  <si>
    <t>Low-Medium; estimated 1.0%-2.0% p.a. vs cash</t>
  </si>
  <si>
    <t>PIMCO Australia Pty Limited</t>
  </si>
  <si>
    <t>Core global bond exposure; diversifies growth assets and manages duration/credit cycles</t>
  </si>
  <si>
    <t>Bloomberg Global Aggregate Index hedged to AUD (common institutional benchmark; estimate)</t>
  </si>
  <si>
    <t>Active global fixed income using duration, credit, sector allocation, rotation and security selection</t>
  </si>
  <si>
    <t>Duration, sovereign rates, credit spreads, mortgage/structured credit, currency hedging</t>
  </si>
  <si>
    <t>Medium; estimated 1.5%-3.0% p.a. vs global aggregate bonds</t>
  </si>
  <si>
    <t>Yarra Capital Management; underlying manager Goldman Sachs Asset Management</t>
  </si>
  <si>
    <t>Global small-cap growth/alpha satellite</t>
  </si>
  <si>
    <t>MSCI World Small Cap Index in AUD, net dividends</t>
  </si>
  <si>
    <t>Systematic/quantitative global small companies using alternative data and broad diversification</t>
  </si>
  <si>
    <t>Small size, quality, momentum, valuation, growth, global cyclicality</t>
  </si>
  <si>
    <t>Medium-High; estimated 4.0%-7.0% p.a.</t>
  </si>
  <si>
    <t>Macquarie Investment Management Australia Ltd / Arrowstreet Capital</t>
  </si>
  <si>
    <t>Currency-hedged global equity alpha core/satellite</t>
  </si>
  <si>
    <t>MSCI All Country World ex Australia Index, AUD hedged, net dividends</t>
  </si>
  <si>
    <t>Quantitative diversified global equities; excludes tobacco and controversial weapons</t>
  </si>
  <si>
    <t>Value, quality, momentum, sentiment, earnings revisions, low tobacco/controversial weapons exposure</t>
  </si>
  <si>
    <t>Medium; estimated 3.0%-5.0% p.a.</t>
  </si>
  <si>
    <t>Life Cycle Investment Partners / Pinnacle Fund Services</t>
  </si>
  <si>
    <t>High-conviction hedged global equity growth satellite</t>
  </si>
  <si>
    <t>MSCI World Net Total Return Index 100% hedged to AUD</t>
  </si>
  <si>
    <t>Benchmark + 2.0%-3.0% p.a. after fees</t>
  </si>
  <si>
    <t>20-45 stock concentrated global equity portfolio using corporate life-cycle framework</t>
  </si>
  <si>
    <t>Quality growth, stock-specific alpha, concentration, developed-market equity beta</t>
  </si>
  <si>
    <t>High; estimated 5.0%-8.0% p.a.</t>
  </si>
  <si>
    <t>Metrics Credit Partners</t>
  </si>
  <si>
    <t>Private-credit income sleeve; enhances portfolio yield with floating-rate loan exposure</t>
  </si>
  <si>
    <t>Listed investment trust investing in diversified Australian corporate/private credit loans</t>
  </si>
  <si>
    <t>Private credit spread, floating-rate carry, illiquidity premium, senior secured loans</t>
  </si>
  <si>
    <t>Medium; estimated 2.0%-4.0% p.a. vs cash</t>
  </si>
  <si>
    <t>AMP Capital Funds Management Ltd</t>
  </si>
  <si>
    <t>Low-cost passive Australian equity core</t>
  </si>
  <si>
    <t>S&amp;P/ASX 300 Total Return Index</t>
  </si>
  <si>
    <t>0.0% p.a.; aims to replicate index before fees</t>
  </si>
  <si>
    <t>Index-tracking broad Australian equities across large, mid and small caps</t>
  </si>
  <si>
    <t>Market beta, large-cap Australia, financials/resources concentration, low active risk</t>
  </si>
  <si>
    <t>Very low; estimated 0.1%-0.4% p.a. before fees</t>
  </si>
  <si>
    <t>Pendal Fund Services / J O Hambro Capital Management</t>
  </si>
  <si>
    <t>Emerging-market equity growth satellite</t>
  </si>
  <si>
    <t>MSCI Emerging Markets Index (Net Dividends) in AUD</t>
  </si>
  <si>
    <t>Active emerging-market equities with country allocation and quality-growth stock selection</t>
  </si>
  <si>
    <t>Emerging-market beta, quality growth, country allocation, currency, China/Asia exposure</t>
  </si>
  <si>
    <t>T. Rowe Price Global Equity - M Class (Hedged)</t>
  </si>
  <si>
    <t>T. Rowe Price International Limited</t>
  </si>
  <si>
    <t>Currency-hedged global growth equity allocation</t>
  </si>
  <si>
    <t>MSCI All Country World Index Net 100% hedged to AUD (estimate; peer data uses hedged international shares index)</t>
  </si>
  <si>
    <t>High-conviction global growth portfolio using fundamental research</t>
  </si>
  <si>
    <t>Large-cap growth, quality, technology/innovation, stock-specific alpha, AUD hedge</t>
  </si>
  <si>
    <t>Macquarie Asset Management / Nomura Asset Management</t>
  </si>
  <si>
    <t>Defensive global listed infrastructure real-asset sleeve</t>
  </si>
  <si>
    <t>S&amp;P Global Infrastructure Index (Net Total Return AUD Hedged)</t>
  </si>
  <si>
    <t>Active listed infrastructure with focus on regulated/contracted assets and downside protection</t>
  </si>
  <si>
    <t>Infrastructure beta, utilities, regulated assets, interest-rate sensitivity, quality income</t>
  </si>
  <si>
    <t>Global X Management (AUS) Limited</t>
  </si>
  <si>
    <t>Gold diversifier and crisis hedge; currency-hedged real asset exposure</t>
  </si>
  <si>
    <t>LBMA Gold Price PM hedged into AUD / physical gold spot return hedged to AUD (estimate)</t>
  </si>
  <si>
    <t>0.0% p.a.; tracks physical gold less fees</t>
  </si>
  <si>
    <t>Passive physically backed gold ETF with AUD/USD currency hedge</t>
  </si>
  <si>
    <t>Gold price, real yields, USD/AUD hedge, safe-haven demand, inflation sensitivity</t>
  </si>
  <si>
    <t>Low vs hedged gold; estimated 0.3%-0.8% p.a.</t>
  </si>
  <si>
    <t>Pendal Fund Services Limited</t>
  </si>
  <si>
    <t>Active Australian equity core/satellite seeking stock-selection alpha</t>
  </si>
  <si>
    <t>Active focused Australian equities portfolio</t>
  </si>
  <si>
    <t>Australian equity beta, stock selection, valuation, quality, large/mid-cap tilt</t>
  </si>
  <si>
    <t>Resolution Capital / Pinnacle Fund Services</t>
  </si>
  <si>
    <t>Global REIT/property securities exposure; diversifies domestic equity/property risk</t>
  </si>
  <si>
    <t>FTSE EPRA/NAREIT Developed Index (AUD Hedged) Net TRI</t>
  </si>
  <si>
    <t>Active global listed real estate securities, AUD hedged</t>
  </si>
  <si>
    <t>REIT beta, interest-rate sensitivity, quality property, leverage, regional allocation</t>
  </si>
  <si>
    <t>VanEck Investments Limited</t>
  </si>
  <si>
    <t>Passive Australian mid-cap completion exposure</t>
  </si>
  <si>
    <t>S&amp;P/ASX MidCap 50 Index</t>
  </si>
  <si>
    <t>0.0% p.a.; tracks index before fees</t>
  </si>
  <si>
    <t>Passive ETF tracking Australian mid-cap equities</t>
  </si>
  <si>
    <t>Mid-cap beta, domestic cyclicals, materials/industrials, liquidity</t>
  </si>
  <si>
    <t>Very low; estimated 0.2%-0.6% p.a.</t>
  </si>
  <si>
    <t>BlackRock / iShares</t>
  </si>
  <si>
    <t>Passive US mid-cap equity satellite</t>
  </si>
  <si>
    <t>S&amp;P MidCap 400 Index</t>
  </si>
  <si>
    <t>Passive ETF tracking US mid-cap equities</t>
  </si>
  <si>
    <t>US mid-cap beta, value/cyclical exposure, industrials/financials, USD currency exposure</t>
  </si>
  <si>
    <t>Very low; estimated 0.1%-0.3% p.a.</t>
  </si>
  <si>
    <t>Paradice Investment Management / Equity Trustees</t>
  </si>
  <si>
    <t>Australian long/short alpha satellite with downside-risk management</t>
  </si>
  <si>
    <t>S&amp;P/ASX 200 Total Return Index</t>
  </si>
  <si>
    <t>Active long/short Australian and New Zealand equities; may hold derivatives and cash</t>
  </si>
  <si>
    <t>Australian equity beta, stock selection, long/short alpha, mid-cap ideas, short exposure</t>
  </si>
  <si>
    <t>Passive hedged developed-market equity core</t>
  </si>
  <si>
    <t>MSCI World ex Australia ex Tobacco Index, 100% hedged to AUD, net dividends (estimate from AMP index family)</t>
  </si>
  <si>
    <t>0.0% p.a.; aims to track index before fees</t>
  </si>
  <si>
    <t>Index-tracking developed-market international equities with AUD hedge</t>
  </si>
  <si>
    <t>Developed-market beta, large/mid-cap, AUD hedge, technology/US concentration</t>
  </si>
  <si>
    <t>Very low; estimated 0.2%-0.5% p.a.</t>
  </si>
  <si>
    <t>Short-duration cash-plus income sleeve</t>
  </si>
  <si>
    <t>Bloomberg AusBond Bank Bill Index</t>
  </si>
  <si>
    <t>Active short-term income securities and cash/near-cash credit</t>
  </si>
  <si>
    <t>Cash rate, short credit spreads, liquidity, floating-rate notes</t>
  </si>
  <si>
    <t>Low; estimated 0.3%-1.0% p.a.</t>
  </si>
  <si>
    <t>Plato Investment Management Limited</t>
  </si>
  <si>
    <t>Global long/short equity alpha allocation</t>
  </si>
  <si>
    <t>MSCI World Net Returns Unhedged Index</t>
  </si>
  <si>
    <t>All-weather global long/short equity; typical 140%-150% long, 40%-50% short, 90%-100% net</t>
  </si>
  <si>
    <t>Global equity beta, quality/value/momentum alpha, short book, leverage/gross exposure</t>
  </si>
  <si>
    <t>Platform cash account / authorised deposit-taking institution</t>
  </si>
  <si>
    <t>Liquidity, rebalancing buffer and fee/cash-flow reserve</t>
  </si>
  <si>
    <t>RBA Cash Rate / Bloomberg AusBond Bank Bill Index</t>
  </si>
  <si>
    <t>0.0% p.a.; preserve capital and maintain liquidity</t>
  </si>
  <si>
    <t>At-call cash or platform deposit account</t>
  </si>
  <si>
    <t>Cash rate, bank deposit margin, liquidity</t>
  </si>
  <si>
    <t>Very low; 0.0%-0.2% p.a.</t>
  </si>
  <si>
    <t>Australian listed property securities allocation</t>
  </si>
  <si>
    <t>S&amp;P/ASX 300 A-REIT (Sector) Total Return Index</t>
  </si>
  <si>
    <t>Active Australian listed property securities, valuation-driven stock selection</t>
  </si>
  <si>
    <t>A-REIT beta, interest-rate sensitivity, property sector exposure, valuation, income yield</t>
  </si>
  <si>
    <t>Spheria Asset Management</t>
  </si>
  <si>
    <t>Australian micro-cap alpha satellite</t>
  </si>
  <si>
    <t>S&amp;P/ASX Small Ordinaries Accumulation Index</t>
  </si>
  <si>
    <t>Active micro/small-cap Australian equities with fundamental stock selection</t>
  </si>
  <si>
    <t>Micro-cap, liquidity premium, value/quality, domestic cyclicals, high idiosyncratic risk</t>
  </si>
  <si>
    <t>Very high; estimated 7.0%-12.0% p.a.</t>
  </si>
  <si>
    <t>UBS Asset Management (Australia) Ltd</t>
  </si>
  <si>
    <t>Australian small-cap active equity satellite</t>
  </si>
  <si>
    <t>S&amp;P/ASX Small Ordinaries Total Return Index</t>
  </si>
  <si>
    <t>Active 30-60 stock Australian small companies portfolio</t>
  </si>
  <si>
    <t>Small-cap beta, valuation, quality, momentum, liquidity, domestic cyclicals</t>
  </si>
  <si>
    <t xml:space="preserve">2.0% p.a. over cash/bank bills </t>
  </si>
  <si>
    <t xml:space="preserve">Cash + 1.5%-2.5% p.a. </t>
  </si>
  <si>
    <t xml:space="preserve">Cash + 2.0%-2.5% p.a. </t>
  </si>
  <si>
    <t>Benchmark + 0.75%-1.25% p.a.</t>
  </si>
  <si>
    <t xml:space="preserve">Benchmark + 1.5%-2.5% p.a. </t>
  </si>
  <si>
    <t xml:space="preserve">Benchmark + 1.0%-2.0% p.a. </t>
  </si>
  <si>
    <t xml:space="preserve">Cash + 3.25%-4.25% p.a. </t>
  </si>
  <si>
    <t>Benchmark + 1.0%-2.0% p.a.</t>
  </si>
  <si>
    <t>Benchmark + 1.0%-2.0% p.a. before fees</t>
  </si>
  <si>
    <t xml:space="preserve">Benchmark + 1.0%-2.0% p.a. after fees over rolling periods </t>
  </si>
  <si>
    <t>Benchmark + 2.0%-4.0% p.a.</t>
  </si>
  <si>
    <t xml:space="preserve">Benchmark + 0.5%-1.0% p.a. </t>
  </si>
  <si>
    <t xml:space="preserve">Benchmark + 3.0%-5.0% p.a. </t>
  </si>
  <si>
    <t xml:space="preserve">Benchmark + 2.0%-4.0% p.a. </t>
  </si>
  <si>
    <t>AFSL 230522</t>
  </si>
  <si>
    <t>Company logo, theme</t>
  </si>
  <si>
    <t>Portfolio Onboarding Questionnaire</t>
  </si>
  <si>
    <t>Question 5- Company logo and theme</t>
  </si>
  <si>
    <t>Question 4 - Corporate Actions likelihood of involvement</t>
  </si>
  <si>
    <t>Question 3 - Portfolio attachment checklist</t>
  </si>
  <si>
    <t>QUestion 2 - About the Portfolio Manager</t>
  </si>
  <si>
    <t>Question 1 - About the Investment Manager</t>
  </si>
  <si>
    <t>Managed portfolio benchmark</t>
  </si>
  <si>
    <t>Investment manager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</si>
</sst>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d/mm/yyyy;@"/>
    <numFmt numFmtId="166" formatCode="0.0000%"/>
    <numFmt numFmtId="167" formatCode="0.0%"/>
  </numFmts>
  <fonts count="2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10"/>
      <color theme="1"/>
      <name val="Calibri"/>
      <family val="2"/>
      <scheme val="minor"/>
    </font>
    <font>
      <u/>
      <sz val="11"/>
      <color theme="10"/>
      <name val="Calibri"/>
      <family val="2"/>
      <scheme val="minor"/>
    </font>
    <font>
      <sz val="11"/>
      <name val="Calibri"/>
      <family val="2"/>
      <scheme val="minor"/>
    </font>
    <font>
      <sz val="10"/>
      <name val="Calibri"/>
      <family val="2"/>
      <scheme val="minor"/>
    </font>
    <font>
      <sz val="4"/>
      <color theme="0"/>
      <name val="Calibri"/>
      <family val="2"/>
      <scheme val="minor"/>
    </font>
    <font>
      <sz val="4"/>
      <name val="Calibri"/>
      <family val="2"/>
      <scheme val="minor"/>
    </font>
    <font>
      <sz val="8"/>
      <name val="Calibri"/>
      <family val="2"/>
      <scheme val="minor"/>
    </font>
    <font>
      <sz val="10"/>
      <name val="MS Sans Serif"/>
      <family val="2"/>
    </font>
    <font>
      <sz val="12"/>
      <color rgb="FF242424"/>
      <name val="Aptos"/>
      <family val="2"/>
    </font>
    <font>
      <sz val="11"/>
      <color rgb="FF000000"/>
      <name val="Aptos Narrow"/>
      <family val="2"/>
    </font>
    <font>
      <b/>
      <sz val="11"/>
      <color rgb="FF000000"/>
      <name val="Calibri"/>
      <family val="2"/>
      <scheme val="minor"/>
    </font>
    <font>
      <sz val="11"/>
      <color theme="1"/>
      <name val="Segoe UI"/>
      <family val="2"/>
    </font>
    <font>
      <sz val="11"/>
      <color rgb="FF1A1C1F"/>
      <name val="Segoe UI"/>
      <family val="2"/>
    </font>
    <font>
      <b/>
      <sz val="10"/>
      <color rgb="FFFFFFFF"/>
      <name val="Aptos"/>
    </font>
    <font>
      <sz val="10"/>
      <name val="Aptos"/>
    </font>
    <font>
      <sz val="26"/>
      <color theme="0"/>
      <name val="Calibri"/>
      <family val="2"/>
      <scheme val="minor"/>
    </font>
    <font>
      <sz val="12"/>
      <color theme="0"/>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1"/>
        <bgColor indexed="64"/>
      </patternFill>
    </fill>
    <fill>
      <patternFill patternType="solid">
        <fgColor rgb="FFDDEBF7"/>
        <bgColor rgb="FF000000"/>
      </patternFill>
    </fill>
    <fill>
      <patternFill patternType="solid">
        <fgColor rgb="FFFFFFFF"/>
        <bgColor indexed="64"/>
      </patternFill>
    </fill>
    <fill>
      <patternFill patternType="solid">
        <fgColor rgb="FF1F4E78"/>
      </patternFill>
    </fill>
    <fill>
      <patternFill patternType="solid">
        <fgColor theme="9"/>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7" fillId="0" borderId="0" applyNumberFormat="0" applyFill="0" applyBorder="0" applyAlignment="0" applyProtection="0"/>
    <xf numFmtId="164" fontId="1" fillId="0" borderId="0" applyFont="0" applyFill="0" applyBorder="0" applyAlignment="0" applyProtection="0"/>
    <xf numFmtId="0" fontId="13" fillId="0" borderId="0"/>
  </cellStyleXfs>
  <cellXfs count="93">
    <xf numFmtId="0" fontId="0" fillId="0" borderId="0" xfId="0"/>
    <xf numFmtId="0" fontId="6" fillId="0" borderId="1" xfId="0" applyFont="1" applyBorder="1" applyAlignment="1">
      <alignment vertical="center"/>
    </xf>
    <xf numFmtId="0" fontId="5" fillId="0" borderId="0" xfId="0" applyFont="1"/>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165" fontId="0" fillId="0" borderId="1" xfId="0" applyNumberFormat="1" applyBorder="1" applyAlignment="1">
      <alignment horizontal="center" wrapText="1"/>
    </xf>
    <xf numFmtId="0" fontId="0" fillId="0" borderId="0" xfId="0" applyAlignment="1">
      <alignment wrapText="1"/>
    </xf>
    <xf numFmtId="0" fontId="0" fillId="0" borderId="0" xfId="0" applyAlignment="1">
      <alignment horizontal="left"/>
    </xf>
    <xf numFmtId="0" fontId="4" fillId="0" borderId="0" xfId="0" applyFont="1"/>
    <xf numFmtId="0" fontId="0" fillId="4" borderId="0" xfId="0" applyFill="1"/>
    <xf numFmtId="0" fontId="6" fillId="0" borderId="1" xfId="3" applyNumberFormat="1" applyFont="1" applyBorder="1" applyAlignment="1">
      <alignment vertical="center"/>
    </xf>
    <xf numFmtId="0" fontId="6" fillId="0" borderId="1" xfId="1" applyNumberFormat="1" applyFont="1" applyBorder="1" applyAlignment="1">
      <alignment vertical="center"/>
    </xf>
    <xf numFmtId="0" fontId="3" fillId="0" borderId="1" xfId="0" applyFont="1" applyBorder="1"/>
    <xf numFmtId="9" fontId="0" fillId="0" borderId="0" xfId="1" applyFont="1" applyBorder="1" applyAlignment="1">
      <alignment horizontal="right"/>
    </xf>
    <xf numFmtId="9" fontId="3" fillId="0" borderId="0" xfId="1" applyFont="1" applyBorder="1" applyAlignment="1">
      <alignment horizontal="right"/>
    </xf>
    <xf numFmtId="0" fontId="0" fillId="0" borderId="0" xfId="0" applyAlignment="1">
      <alignment horizontal="right"/>
    </xf>
    <xf numFmtId="0" fontId="9" fillId="0" borderId="1" xfId="0" applyFont="1" applyBorder="1" applyAlignment="1">
      <alignment horizontal="right" vertical="center" wrapText="1"/>
    </xf>
    <xf numFmtId="0" fontId="0" fillId="3" borderId="2" xfId="0" applyFill="1" applyBorder="1" applyAlignment="1">
      <alignment horizontal="left" vertical="top" wrapText="1"/>
    </xf>
    <xf numFmtId="0" fontId="0" fillId="3" borderId="1" xfId="0" applyFill="1" applyBorder="1" applyAlignment="1">
      <alignment wrapText="1"/>
    </xf>
    <xf numFmtId="10" fontId="0" fillId="3" borderId="1" xfId="0" applyNumberFormat="1" applyFill="1" applyBorder="1" applyAlignment="1">
      <alignment wrapText="1"/>
    </xf>
    <xf numFmtId="9" fontId="0" fillId="3" borderId="1" xfId="1" applyFont="1" applyFill="1" applyBorder="1" applyAlignment="1">
      <alignment wrapText="1"/>
    </xf>
    <xf numFmtId="0" fontId="0" fillId="3" borderId="1" xfId="0" applyFill="1" applyBorder="1" applyAlignment="1">
      <alignment vertical="top" wrapText="1"/>
    </xf>
    <xf numFmtId="0" fontId="10" fillId="0" borderId="0" xfId="0" applyFont="1"/>
    <xf numFmtId="166" fontId="4" fillId="0" borderId="0" xfId="0" applyNumberFormat="1" applyFont="1"/>
    <xf numFmtId="0" fontId="2" fillId="2" borderId="1" xfId="0" applyFont="1" applyFill="1" applyBorder="1" applyAlignment="1">
      <alignment wrapText="1"/>
    </xf>
    <xf numFmtId="10" fontId="0" fillId="0" borderId="1" xfId="1" applyNumberFormat="1" applyFont="1" applyBorder="1" applyAlignment="1">
      <alignment horizontal="right"/>
    </xf>
    <xf numFmtId="0" fontId="2" fillId="2" borderId="2" xfId="0" applyFont="1" applyFill="1" applyBorder="1" applyAlignment="1">
      <alignment wrapText="1"/>
    </xf>
    <xf numFmtId="0" fontId="8" fillId="0" borderId="0" xfId="0" applyFont="1"/>
    <xf numFmtId="0" fontId="8" fillId="4" borderId="0" xfId="0" applyFont="1" applyFill="1"/>
    <xf numFmtId="0" fontId="11" fillId="4" borderId="0" xfId="0" applyFont="1" applyFill="1"/>
    <xf numFmtId="0" fontId="3" fillId="3" borderId="1" xfId="0" applyFont="1" applyFill="1" applyBorder="1" applyAlignment="1">
      <alignment horizontal="left" wrapText="1"/>
    </xf>
    <xf numFmtId="9" fontId="3" fillId="3" borderId="1" xfId="1" applyFont="1" applyFill="1" applyBorder="1" applyAlignment="1">
      <alignment horizontal="right"/>
    </xf>
    <xf numFmtId="0" fontId="0" fillId="3" borderId="3" xfId="0" applyFill="1" applyBorder="1" applyAlignment="1">
      <alignment wrapText="1"/>
    </xf>
    <xf numFmtId="0" fontId="8" fillId="0" borderId="1" xfId="0" applyFont="1" applyBorder="1"/>
    <xf numFmtId="0" fontId="0" fillId="0" borderId="1" xfId="0" applyBorder="1" applyAlignment="1">
      <alignment horizontal="left"/>
    </xf>
    <xf numFmtId="17" fontId="0" fillId="0" borderId="1" xfId="0" applyNumberFormat="1" applyBorder="1" applyAlignment="1">
      <alignment horizontal="center" wrapText="1"/>
    </xf>
    <xf numFmtId="17" fontId="0" fillId="0" borderId="1" xfId="0" applyNumberFormat="1" applyBorder="1" applyAlignment="1">
      <alignment horizontal="center"/>
    </xf>
    <xf numFmtId="0" fontId="0" fillId="3" borderId="1" xfId="0" applyFill="1" applyBorder="1" applyAlignment="1">
      <alignment horizontal="left" vertical="top" wrapText="1"/>
    </xf>
    <xf numFmtId="0" fontId="3" fillId="0" borderId="0" xfId="0" applyFont="1"/>
    <xf numFmtId="0" fontId="9" fillId="0" borderId="1" xfId="0" applyFont="1" applyBorder="1" applyAlignment="1">
      <alignment vertical="center"/>
    </xf>
    <xf numFmtId="9" fontId="0" fillId="0" borderId="1" xfId="0" applyNumberFormat="1" applyBorder="1"/>
    <xf numFmtId="0" fontId="0" fillId="0" borderId="2" xfId="0" applyBorder="1" applyAlignment="1">
      <alignment wrapText="1"/>
    </xf>
    <xf numFmtId="0" fontId="3" fillId="3" borderId="2" xfId="0" applyFont="1" applyFill="1" applyBorder="1" applyAlignment="1">
      <alignment horizontal="center" wrapText="1"/>
    </xf>
    <xf numFmtId="0" fontId="14" fillId="0" borderId="0" xfId="0" applyFont="1" applyAlignment="1">
      <alignment vertical="center" wrapText="1"/>
    </xf>
    <xf numFmtId="0" fontId="16" fillId="5" borderId="1" xfId="0" applyFont="1" applyFill="1" applyBorder="1" applyAlignment="1">
      <alignment horizontal="right"/>
    </xf>
    <xf numFmtId="9" fontId="16" fillId="5" borderId="1" xfId="0" applyNumberFormat="1" applyFont="1" applyFill="1" applyBorder="1" applyAlignment="1">
      <alignment horizontal="right"/>
    </xf>
    <xf numFmtId="166" fontId="8" fillId="0" borderId="1" xfId="1" applyNumberFormat="1" applyFont="1" applyFill="1" applyBorder="1" applyAlignment="1"/>
    <xf numFmtId="166" fontId="8" fillId="0" borderId="11" xfId="1" applyNumberFormat="1" applyFont="1" applyFill="1" applyBorder="1" applyAlignment="1"/>
    <xf numFmtId="0" fontId="2" fillId="2" borderId="3" xfId="0" applyFont="1" applyFill="1" applyBorder="1" applyAlignment="1">
      <alignment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vertical="top" wrapText="1"/>
    </xf>
    <xf numFmtId="0" fontId="0" fillId="0" borderId="3" xfId="0" applyBorder="1" applyAlignment="1">
      <alignment vertical="top" wrapText="1"/>
    </xf>
    <xf numFmtId="0" fontId="17" fillId="0" borderId="0" xfId="0" applyFont="1" applyAlignment="1">
      <alignment vertical="top" wrapText="1"/>
    </xf>
    <xf numFmtId="0" fontId="7" fillId="0" borderId="0" xfId="2" applyAlignment="1">
      <alignment vertical="top" wrapText="1"/>
    </xf>
    <xf numFmtId="0" fontId="18" fillId="6" borderId="0" xfId="0" applyFont="1" applyFill="1" applyAlignment="1">
      <alignment vertical="top" wrapText="1"/>
    </xf>
    <xf numFmtId="0" fontId="7" fillId="0" borderId="0" xfId="2"/>
    <xf numFmtId="10" fontId="0" fillId="0" borderId="10" xfId="1" applyNumberFormat="1" applyFont="1" applyFill="1" applyBorder="1" applyAlignment="1"/>
    <xf numFmtId="10" fontId="0" fillId="0" borderId="11" xfId="1" applyNumberFormat="1" applyFont="1" applyFill="1" applyBorder="1" applyAlignment="1"/>
    <xf numFmtId="0" fontId="2" fillId="2" borderId="0" xfId="0" applyFont="1" applyFill="1" applyAlignment="1">
      <alignment wrapText="1"/>
    </xf>
    <xf numFmtId="0" fontId="0" fillId="0" borderId="1" xfId="0" applyBorder="1" applyAlignment="1">
      <alignment vertical="top" wrapText="1"/>
    </xf>
    <xf numFmtId="9" fontId="0" fillId="0" borderId="5" xfId="0" applyNumberFormat="1" applyBorder="1" applyAlignment="1">
      <alignment vertical="top" wrapText="1"/>
    </xf>
    <xf numFmtId="9" fontId="0" fillId="0" borderId="3" xfId="0" applyNumberFormat="1" applyBorder="1" applyAlignment="1">
      <alignment vertical="top" wrapText="1"/>
    </xf>
    <xf numFmtId="0" fontId="0" fillId="3" borderId="11" xfId="0" applyFill="1" applyBorder="1" applyAlignment="1">
      <alignment vertical="top" wrapText="1"/>
    </xf>
    <xf numFmtId="0" fontId="15" fillId="0" borderId="0" xfId="0" applyFont="1"/>
    <xf numFmtId="167" fontId="15" fillId="0" borderId="0" xfId="1" applyNumberFormat="1" applyFont="1"/>
    <xf numFmtId="0" fontId="19" fillId="7" borderId="0" xfId="0" applyFont="1" applyFill="1" applyAlignment="1">
      <alignment vertical="top" wrapText="1"/>
    </xf>
    <xf numFmtId="0" fontId="20" fillId="0" borderId="0" xfId="0" applyFont="1" applyAlignment="1">
      <alignment vertical="top" wrapText="1"/>
    </xf>
    <xf numFmtId="0" fontId="0" fillId="0" borderId="2" xfId="0" applyBorder="1" applyAlignment="1">
      <alignment horizontal="left"/>
    </xf>
    <xf numFmtId="0" fontId="0" fillId="0" borderId="2" xfId="0" applyBorder="1" applyAlignment="1">
      <alignment horizontal="left" vertical="center" wrapText="1"/>
    </xf>
    <xf numFmtId="0" fontId="2" fillId="2" borderId="2" xfId="0" applyFont="1" applyFill="1" applyBorder="1" applyAlignment="1">
      <alignment horizontal="left" wrapText="1"/>
    </xf>
    <xf numFmtId="10" fontId="0" fillId="0" borderId="10" xfId="1" applyNumberFormat="1" applyFont="1" applyFill="1" applyBorder="1" applyAlignment="1">
      <alignment horizontal="center"/>
    </xf>
    <xf numFmtId="10" fontId="0" fillId="0" borderId="11" xfId="1" applyNumberFormat="1" applyFont="1" applyFill="1" applyBorder="1" applyAlignment="1">
      <alignment horizontal="center"/>
    </xf>
    <xf numFmtId="0" fontId="2" fillId="2" borderId="3" xfId="0" applyFont="1" applyFill="1" applyBorder="1" applyAlignment="1">
      <alignment horizontal="left" wrapText="1"/>
    </xf>
    <xf numFmtId="0" fontId="2" fillId="2" borderId="1" xfId="0" applyFont="1" applyFill="1" applyBorder="1" applyAlignment="1">
      <alignment horizontal="left" wrapText="1"/>
    </xf>
    <xf numFmtId="0" fontId="2" fillId="2" borderId="0" xfId="0" applyFont="1" applyFill="1" applyAlignment="1">
      <alignment horizontal="left" wrapText="1"/>
    </xf>
    <xf numFmtId="166" fontId="8" fillId="0" borderId="1" xfId="1" applyNumberFormat="1" applyFont="1" applyFill="1" applyBorder="1" applyAlignment="1"/>
    <xf numFmtId="166" fontId="8" fillId="0" borderId="11" xfId="1" applyNumberFormat="1" applyFont="1" applyFill="1" applyBorder="1" applyAlignment="1"/>
    <xf numFmtId="0" fontId="5" fillId="8" borderId="7" xfId="0" applyFont="1" applyFill="1" applyBorder="1"/>
    <xf numFmtId="0" fontId="5" fillId="8" borderId="9" xfId="0" applyFont="1" applyFill="1" applyBorder="1"/>
    <xf numFmtId="0" fontId="21" fillId="8" borderId="6" xfId="0" applyFont="1" applyFill="1" applyBorder="1" applyAlignment="1">
      <alignment vertical="center"/>
    </xf>
    <xf numFmtId="0" fontId="22" fillId="8" borderId="8" xfId="0" applyFont="1" applyFill="1" applyBorder="1" applyAlignment="1">
      <alignment vertical="center"/>
    </xf>
    <xf numFmtId="0" fontId="0" fillId="9" borderId="1" xfId="0" applyFill="1" applyBorder="1" applyAlignment="1">
      <alignment vertical="center" wrapText="1"/>
    </xf>
    <xf numFmtId="0" fontId="0" fillId="9" borderId="1" xfId="0" applyFill="1" applyBorder="1" applyAlignment="1">
      <alignment vertical="center"/>
    </xf>
    <xf numFmtId="0" fontId="0" fillId="9" borderId="2" xfId="0" applyFill="1" applyBorder="1" applyAlignment="1">
      <alignment horizontal="left" vertical="center" wrapText="1"/>
    </xf>
    <xf numFmtId="0" fontId="0" fillId="9" borderId="3" xfId="0" applyFill="1" applyBorder="1" applyAlignment="1">
      <alignment horizontal="left" vertical="center" wrapText="1"/>
    </xf>
    <xf numFmtId="0" fontId="0" fillId="9" borderId="1" xfId="0" applyFill="1" applyBorder="1" applyAlignment="1">
      <alignment horizontal="left"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wrapText="1"/>
    </xf>
    <xf numFmtId="0" fontId="0" fillId="9" borderId="1" xfId="0" applyFill="1" applyBorder="1" applyAlignment="1">
      <alignment wrapText="1"/>
    </xf>
    <xf numFmtId="0" fontId="3" fillId="9" borderId="2" xfId="0" applyFont="1" applyFill="1" applyBorder="1" applyAlignment="1">
      <alignment horizontal="left" vertical="top" wrapText="1"/>
    </xf>
  </cellXfs>
  <cellStyles count="5">
    <cellStyle name="Comma" xfId="3" builtinId="3"/>
    <cellStyle name="Hyperlink" xfId="2" builtinId="8"/>
    <cellStyle name="Normal" xfId="0" builtinId="0"/>
    <cellStyle name="Normal 3" xfId="4" xr:uid="{C0DA5F93-A048-4E3B-8760-55AEF9B9D52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1B36B8-CA18-4734-B118-3543B90E33EA}" name="DueDiligenceFunds" displayName="DueDiligenceFunds" ref="A3:I28">
  <tableColumns count="9">
    <tableColumn id="1" xr3:uid="{C8E5C3A5-AA4E-491D-880E-EB30CC2A673D}" name="Fund"/>
    <tableColumn id="2" xr3:uid="{B368A164-C668-4BD6-8021-D7F9D02B8474}" name="Manager / Issuer"/>
    <tableColumn id="3" xr3:uid="{F3614353-1A44-4DE4-B7FF-43E752A973BC}" name="Asset class"/>
    <tableColumn id="4" xr3:uid="{E23BCB16-F797-46E4-BDF4-92B4537F8680}" name="Role in portfolio"/>
    <tableColumn id="5" xr3:uid="{B3B3B5C0-B076-4740-9CB4-696FDBF1733A}" name="Benchmark for the strategy"/>
    <tableColumn id="6" xr3:uid="{F8AC31EB-2714-41FA-A45C-E6C6C273C83A}" name="Target excess return"/>
    <tableColumn id="7" xr3:uid="{2ED5A58C-56E3-44FA-867C-A4E2278EC3C1}" name="Strategy highlights: style"/>
    <tableColumn id="8" xr3:uid="{24078AC6-3F15-4F65-B6E6-FE01297C9D64}" name="Factor biases"/>
    <tableColumn id="9" xr3:uid="{1255002B-4991-424C-90EF-C8961C9217E4}" name="Risk assessment: Tracking error (vs benchmar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ackrock.com/au" TargetMode="External"/><Relationship Id="rId2" Type="http://schemas.openxmlformats.org/officeDocument/2006/relationships/hyperlink" Target="mailto:au.invoices@blackrock-test.com.au" TargetMode="External"/><Relationship Id="rId1" Type="http://schemas.openxmlformats.org/officeDocument/2006/relationships/hyperlink" Target="mailto:clientservices.aus@blackrock.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3B8C-1E7C-40AE-A3BB-03FC89E03757}">
  <sheetPr codeName="Sheet1"/>
  <dimension ref="A2:L48"/>
  <sheetViews>
    <sheetView tabSelected="1" zoomScale="85" zoomScaleNormal="85" workbookViewId="0">
      <selection activeCell="D15" sqref="D15"/>
    </sheetView>
  </sheetViews>
  <sheetFormatPr defaultRowHeight="14.25" x14ac:dyDescent="0.45"/>
  <cols>
    <col min="2" max="2" width="3.53125" customWidth="1"/>
    <col min="3" max="3" width="71" customWidth="1"/>
    <col min="4" max="4" width="125.6640625" customWidth="1"/>
  </cols>
  <sheetData>
    <row r="2" spans="2:12" ht="54" customHeight="1" x14ac:dyDescent="0.9">
      <c r="B2" s="82" t="s">
        <v>383</v>
      </c>
      <c r="C2" s="80"/>
      <c r="D2" s="80"/>
      <c r="E2" s="2"/>
      <c r="F2" s="2"/>
      <c r="G2" s="2"/>
      <c r="H2" s="2"/>
      <c r="I2" s="2"/>
      <c r="J2" s="2"/>
      <c r="K2" s="2"/>
      <c r="L2" s="2"/>
    </row>
    <row r="3" spans="2:12" ht="20.25" customHeight="1" x14ac:dyDescent="0.9">
      <c r="B3" s="83"/>
      <c r="C3" s="81"/>
      <c r="D3" s="81"/>
      <c r="E3" s="2"/>
      <c r="F3" s="2"/>
      <c r="G3" s="2"/>
      <c r="H3" s="2"/>
      <c r="I3" s="2"/>
      <c r="J3" s="2"/>
      <c r="K3" s="2"/>
      <c r="L3" s="2"/>
    </row>
    <row r="5" spans="2:12" ht="14.65" thickBot="1" x14ac:dyDescent="0.5">
      <c r="E5" s="10"/>
    </row>
    <row r="6" spans="2:12" ht="33.4" x14ac:dyDescent="0.45">
      <c r="B6" s="82" t="s">
        <v>388</v>
      </c>
      <c r="C6" s="82"/>
      <c r="D6" s="82"/>
      <c r="E6" s="10"/>
    </row>
    <row r="7" spans="2:12" ht="16.5" x14ac:dyDescent="0.45">
      <c r="B7" s="1">
        <v>1</v>
      </c>
      <c r="C7" s="84" t="s">
        <v>2</v>
      </c>
      <c r="D7" s="55" t="s">
        <v>113</v>
      </c>
      <c r="E7" s="10"/>
    </row>
    <row r="8" spans="2:12" ht="16.5" x14ac:dyDescent="0.45">
      <c r="B8" s="1">
        <v>2</v>
      </c>
      <c r="C8" s="85" t="s">
        <v>0</v>
      </c>
      <c r="D8" s="55" t="s">
        <v>114</v>
      </c>
      <c r="E8" s="10"/>
    </row>
    <row r="9" spans="2:12" ht="40.25" customHeight="1" x14ac:dyDescent="0.45">
      <c r="B9" s="1">
        <v>3</v>
      </c>
      <c r="C9" s="85" t="s">
        <v>1</v>
      </c>
      <c r="D9" s="55" t="s">
        <v>381</v>
      </c>
      <c r="E9" s="10"/>
    </row>
    <row r="10" spans="2:12" ht="16.5" x14ac:dyDescent="0.45">
      <c r="B10" s="1">
        <f>B9+1</f>
        <v>4</v>
      </c>
      <c r="C10" s="85" t="s">
        <v>3</v>
      </c>
      <c r="D10" s="55" t="s">
        <v>115</v>
      </c>
      <c r="E10" s="10"/>
    </row>
    <row r="11" spans="2:12" ht="16.5" x14ac:dyDescent="0.45">
      <c r="B11" s="1">
        <f t="shared" ref="B11:B20" si="0">B10+1</f>
        <v>5</v>
      </c>
      <c r="C11" s="85" t="s">
        <v>4</v>
      </c>
      <c r="D11" s="55" t="s">
        <v>116</v>
      </c>
      <c r="E11" s="10"/>
    </row>
    <row r="12" spans="2:12" ht="16.5" x14ac:dyDescent="0.45">
      <c r="B12" s="1">
        <f t="shared" si="0"/>
        <v>6</v>
      </c>
      <c r="C12" s="85" t="s">
        <v>5</v>
      </c>
      <c r="D12" s="55" t="s">
        <v>117</v>
      </c>
      <c r="E12" s="10"/>
    </row>
    <row r="13" spans="2:12" x14ac:dyDescent="0.45">
      <c r="B13" s="1">
        <f t="shared" si="0"/>
        <v>7</v>
      </c>
      <c r="C13" s="85" t="s">
        <v>6</v>
      </c>
      <c r="D13" s="56" t="s">
        <v>118</v>
      </c>
      <c r="E13" s="10"/>
    </row>
    <row r="14" spans="2:12" x14ac:dyDescent="0.45">
      <c r="B14" s="1">
        <f t="shared" si="0"/>
        <v>8</v>
      </c>
      <c r="C14" s="85" t="s">
        <v>7</v>
      </c>
      <c r="D14" s="56" t="s">
        <v>119</v>
      </c>
      <c r="E14" s="10"/>
    </row>
    <row r="15" spans="2:12" ht="96" customHeight="1" x14ac:dyDescent="0.45">
      <c r="B15" s="1">
        <f t="shared" si="0"/>
        <v>9</v>
      </c>
      <c r="C15" s="84" t="s">
        <v>8</v>
      </c>
      <c r="D15" s="55" t="s">
        <v>120</v>
      </c>
      <c r="E15" s="10"/>
    </row>
    <row r="16" spans="2:12" ht="99" customHeight="1" x14ac:dyDescent="0.45">
      <c r="B16" s="1">
        <f t="shared" si="0"/>
        <v>10</v>
      </c>
      <c r="C16" s="84" t="s">
        <v>9</v>
      </c>
      <c r="D16" s="55" t="s">
        <v>121</v>
      </c>
      <c r="E16" s="10"/>
    </row>
    <row r="17" spans="1:5" ht="318" customHeight="1" x14ac:dyDescent="0.45">
      <c r="B17" s="1">
        <f t="shared" si="0"/>
        <v>11</v>
      </c>
      <c r="C17" s="84" t="s">
        <v>10</v>
      </c>
      <c r="D17" s="55" t="s">
        <v>122</v>
      </c>
      <c r="E17" s="10"/>
    </row>
    <row r="18" spans="1:5" ht="84" customHeight="1" x14ac:dyDescent="0.45">
      <c r="B18" s="1">
        <f t="shared" si="0"/>
        <v>12</v>
      </c>
      <c r="C18" s="84" t="s">
        <v>11</v>
      </c>
      <c r="D18" s="57" t="s">
        <v>124</v>
      </c>
      <c r="E18" s="10"/>
    </row>
    <row r="19" spans="1:5" ht="33" x14ac:dyDescent="0.45">
      <c r="B19" s="1">
        <f t="shared" si="0"/>
        <v>13</v>
      </c>
      <c r="C19" s="84" t="s">
        <v>12</v>
      </c>
      <c r="D19" s="57" t="s">
        <v>123</v>
      </c>
      <c r="E19" s="10"/>
    </row>
    <row r="20" spans="1:5" ht="29" customHeight="1" x14ac:dyDescent="0.45">
      <c r="B20" s="1">
        <f t="shared" si="0"/>
        <v>14</v>
      </c>
      <c r="C20" s="84" t="s">
        <v>14</v>
      </c>
      <c r="D20" s="58" t="s">
        <v>125</v>
      </c>
      <c r="E20" s="10"/>
    </row>
    <row r="21" spans="1:5" ht="14.65" thickBot="1" x14ac:dyDescent="0.5">
      <c r="E21" s="10"/>
    </row>
    <row r="22" spans="1:5" ht="33.4" x14ac:dyDescent="0.45">
      <c r="B22" s="82" t="s">
        <v>387</v>
      </c>
      <c r="C22" s="82"/>
      <c r="D22" s="82"/>
      <c r="E22" s="10"/>
    </row>
    <row r="23" spans="1:5" x14ac:dyDescent="0.45">
      <c r="B23" s="1">
        <v>1</v>
      </c>
      <c r="C23" s="84" t="s">
        <v>15</v>
      </c>
      <c r="D23" s="51" t="s">
        <v>126</v>
      </c>
      <c r="E23" s="10"/>
    </row>
    <row r="24" spans="1:5" ht="28.5" x14ac:dyDescent="0.45">
      <c r="B24" s="1">
        <v>2</v>
      </c>
      <c r="C24" s="84" t="s">
        <v>16</v>
      </c>
      <c r="D24" s="51" t="s">
        <v>127</v>
      </c>
      <c r="E24" s="10"/>
    </row>
    <row r="25" spans="1:5" ht="141" customHeight="1" x14ac:dyDescent="0.45">
      <c r="B25" s="1">
        <v>3</v>
      </c>
      <c r="C25" s="84" t="s">
        <v>17</v>
      </c>
      <c r="D25" s="51" t="s">
        <v>122</v>
      </c>
      <c r="E25" s="10"/>
    </row>
    <row r="26" spans="1:5" ht="14.65" thickBot="1" x14ac:dyDescent="0.5">
      <c r="E26" s="10"/>
    </row>
    <row r="27" spans="1:5" ht="33.4" x14ac:dyDescent="0.45">
      <c r="A27" s="82"/>
      <c r="B27" s="82" t="s">
        <v>386</v>
      </c>
      <c r="C27" s="82"/>
      <c r="D27" s="82"/>
      <c r="E27" s="10"/>
    </row>
    <row r="28" spans="1:5" x14ac:dyDescent="0.45">
      <c r="B28" s="1">
        <v>1</v>
      </c>
      <c r="C28" s="84" t="s">
        <v>18</v>
      </c>
      <c r="D28" s="51" t="s">
        <v>21</v>
      </c>
      <c r="E28" s="10"/>
    </row>
    <row r="29" spans="1:5" x14ac:dyDescent="0.45">
      <c r="B29" s="41">
        <v>2</v>
      </c>
      <c r="C29" s="84" t="s">
        <v>20</v>
      </c>
      <c r="D29" s="51" t="s">
        <v>21</v>
      </c>
      <c r="E29" s="10"/>
    </row>
    <row r="30" spans="1:5" x14ac:dyDescent="0.45">
      <c r="B30" s="1">
        <v>4</v>
      </c>
      <c r="C30" s="84" t="s">
        <v>22</v>
      </c>
      <c r="D30" s="51" t="s">
        <v>21</v>
      </c>
      <c r="E30" s="10"/>
    </row>
    <row r="31" spans="1:5" x14ac:dyDescent="0.45">
      <c r="B31" s="1">
        <v>5</v>
      </c>
      <c r="C31" s="84" t="s">
        <v>23</v>
      </c>
      <c r="D31" s="51" t="s">
        <v>19</v>
      </c>
      <c r="E31" s="10"/>
    </row>
    <row r="32" spans="1:5" x14ac:dyDescent="0.45">
      <c r="B32" s="1">
        <v>6</v>
      </c>
      <c r="C32" s="84" t="s">
        <v>24</v>
      </c>
      <c r="D32" s="51" t="s">
        <v>19</v>
      </c>
      <c r="E32" s="10"/>
    </row>
    <row r="33" spans="2:5" x14ac:dyDescent="0.45">
      <c r="B33" s="1">
        <v>7</v>
      </c>
      <c r="C33" s="84" t="s">
        <v>25</v>
      </c>
      <c r="D33" s="51" t="s">
        <v>21</v>
      </c>
      <c r="E33" s="10"/>
    </row>
    <row r="34" spans="2:5" x14ac:dyDescent="0.45">
      <c r="B34" s="1">
        <v>8</v>
      </c>
      <c r="C34" s="84" t="s">
        <v>26</v>
      </c>
      <c r="D34" s="51" t="s">
        <v>21</v>
      </c>
      <c r="E34" s="10"/>
    </row>
    <row r="35" spans="2:5" ht="14.65" thickBot="1" x14ac:dyDescent="0.5"/>
    <row r="36" spans="2:5" ht="33.4" x14ac:dyDescent="0.45">
      <c r="B36" s="82" t="s">
        <v>385</v>
      </c>
      <c r="C36" s="82"/>
      <c r="D36" s="82"/>
    </row>
    <row r="37" spans="2:5" x14ac:dyDescent="0.45">
      <c r="B37" s="1">
        <v>1</v>
      </c>
      <c r="C37" s="84" t="s">
        <v>27</v>
      </c>
      <c r="D37" s="51" t="s">
        <v>28</v>
      </c>
    </row>
    <row r="38" spans="2:5" x14ac:dyDescent="0.45">
      <c r="B38" s="1">
        <v>2</v>
      </c>
      <c r="C38" s="84" t="s">
        <v>29</v>
      </c>
      <c r="D38" s="36" t="s">
        <v>28</v>
      </c>
    </row>
    <row r="39" spans="2:5" x14ac:dyDescent="0.45">
      <c r="B39" s="1">
        <v>3</v>
      </c>
      <c r="C39" s="84" t="s">
        <v>30</v>
      </c>
      <c r="D39" s="51" t="s">
        <v>28</v>
      </c>
    </row>
    <row r="40" spans="2:5" x14ac:dyDescent="0.45">
      <c r="B40" s="1">
        <v>4</v>
      </c>
      <c r="C40" s="84" t="s">
        <v>31</v>
      </c>
      <c r="D40" s="51" t="s">
        <v>28</v>
      </c>
    </row>
    <row r="41" spans="2:5" x14ac:dyDescent="0.45">
      <c r="B41" s="1">
        <v>5</v>
      </c>
      <c r="C41" s="84" t="s">
        <v>32</v>
      </c>
      <c r="D41" s="51" t="s">
        <v>28</v>
      </c>
    </row>
    <row r="42" spans="2:5" x14ac:dyDescent="0.45">
      <c r="B42" s="1">
        <v>6</v>
      </c>
      <c r="C42" s="84" t="s">
        <v>33</v>
      </c>
      <c r="D42" s="51" t="s">
        <v>28</v>
      </c>
    </row>
    <row r="43" spans="2:5" x14ac:dyDescent="0.45">
      <c r="B43" s="1">
        <v>7</v>
      </c>
      <c r="C43" s="84" t="s">
        <v>34</v>
      </c>
      <c r="D43" s="51" t="s">
        <v>28</v>
      </c>
    </row>
    <row r="46" spans="2:5" ht="14.65" thickBot="1" x14ac:dyDescent="0.5"/>
    <row r="47" spans="2:5" ht="32" customHeight="1" x14ac:dyDescent="0.45">
      <c r="B47" s="82" t="s">
        <v>384</v>
      </c>
      <c r="C47" s="82"/>
      <c r="D47" s="82"/>
    </row>
    <row r="48" spans="2:5" ht="89.75" customHeight="1" x14ac:dyDescent="0.45">
      <c r="B48" s="1">
        <v>1</v>
      </c>
      <c r="C48" s="84" t="s">
        <v>382</v>
      </c>
      <c r="D48" s="52"/>
    </row>
  </sheetData>
  <phoneticPr fontId="12" type="noConversion"/>
  <dataValidations count="2">
    <dataValidation type="list" allowBlank="1" showInputMessage="1" showErrorMessage="1" sqref="D28:D29 D30:D34" xr:uid="{A99E6AF9-11A3-4F26-982D-F28576BB78CF}">
      <formula1>"Attached, Not available"</formula1>
    </dataValidation>
    <dataValidation type="list" allowBlank="1" showInputMessage="1" showErrorMessage="1" sqref="D37:D43" xr:uid="{A33029AE-9FCE-4AE4-9D6F-A38BD957A87C}">
      <formula1>"Yes, No"</formula1>
    </dataValidation>
  </dataValidations>
  <hyperlinks>
    <hyperlink ref="D13" r:id="rId1" display="mailto:clientservices.aus@blackrock.com" xr:uid="{F10118A6-6111-4AE4-8AA9-A26460EE6114}"/>
    <hyperlink ref="D14" r:id="rId2" display="mailto:au.invoices@blackrock-test.com.au" xr:uid="{365FAC3C-408F-4B41-AA18-51F3FC8B5264}"/>
    <hyperlink ref="D20" r:id="rId3" xr:uid="{E48B67E9-A4B7-4B84-BDB8-7E66A68543F0}"/>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D3C6-9938-4B54-87E9-4A1DE33F87D4}">
  <sheetPr codeName="Sheet2"/>
  <dimension ref="B1:K27"/>
  <sheetViews>
    <sheetView topLeftCell="A13" zoomScale="85" zoomScaleNormal="85" workbookViewId="0">
      <selection activeCell="C8" sqref="C8"/>
    </sheetView>
  </sheetViews>
  <sheetFormatPr defaultRowHeight="14.25" x14ac:dyDescent="0.45"/>
  <cols>
    <col min="2" max="2" width="3.53125" customWidth="1"/>
    <col min="3" max="3" width="82.53125" customWidth="1"/>
    <col min="4" max="4" width="16.265625" customWidth="1"/>
    <col min="5" max="5" width="25.53125" customWidth="1"/>
    <col min="6" max="6" width="101.53125" customWidth="1"/>
  </cols>
  <sheetData>
    <row r="1" spans="2:11" ht="14.65" thickBot="1" x14ac:dyDescent="0.5"/>
    <row r="2" spans="2:11" ht="54" customHeight="1" x14ac:dyDescent="0.9">
      <c r="B2" s="82" t="s">
        <v>383</v>
      </c>
      <c r="C2" s="80"/>
      <c r="D2" s="80"/>
      <c r="E2" s="2"/>
      <c r="F2" s="2"/>
      <c r="G2" s="2"/>
      <c r="H2" s="2"/>
      <c r="I2" s="2"/>
      <c r="J2" s="2"/>
      <c r="K2" s="2"/>
    </row>
    <row r="3" spans="2:11" ht="20.25" customHeight="1" thickBot="1" x14ac:dyDescent="0.95">
      <c r="B3" s="83"/>
      <c r="C3" s="81"/>
      <c r="D3" s="81"/>
      <c r="E3" s="2"/>
      <c r="F3" s="2"/>
      <c r="G3" s="2"/>
      <c r="H3" s="2"/>
      <c r="I3" s="2"/>
      <c r="J3" s="2"/>
      <c r="K3" s="2"/>
    </row>
    <row r="5" spans="2:11" ht="14.65" thickBot="1" x14ac:dyDescent="0.5"/>
    <row r="6" spans="2:11" ht="33.4" x14ac:dyDescent="0.45">
      <c r="B6" s="82" t="s">
        <v>35</v>
      </c>
      <c r="C6" s="82"/>
      <c r="D6" s="82"/>
      <c r="E6" s="82"/>
      <c r="F6" s="82"/>
    </row>
    <row r="7" spans="2:11" ht="28.5" x14ac:dyDescent="0.45">
      <c r="B7" s="86" t="s">
        <v>36</v>
      </c>
      <c r="C7" s="87"/>
      <c r="D7" s="88" t="s">
        <v>37</v>
      </c>
      <c r="E7" s="88" t="s">
        <v>38</v>
      </c>
      <c r="F7" s="88" t="s">
        <v>39</v>
      </c>
    </row>
    <row r="8" spans="2:11" ht="33" x14ac:dyDescent="0.45">
      <c r="B8" s="3"/>
      <c r="C8" s="57" t="s">
        <v>128</v>
      </c>
      <c r="D8" s="57">
        <v>11</v>
      </c>
      <c r="E8" s="57">
        <v>18</v>
      </c>
      <c r="F8" s="57" t="s">
        <v>129</v>
      </c>
    </row>
    <row r="9" spans="2:11" ht="33" x14ac:dyDescent="0.45">
      <c r="B9" s="3"/>
      <c r="C9" s="57" t="s">
        <v>130</v>
      </c>
      <c r="D9" s="57">
        <v>8</v>
      </c>
      <c r="E9" s="57">
        <v>14</v>
      </c>
      <c r="F9" s="57" t="s">
        <v>131</v>
      </c>
    </row>
    <row r="10" spans="2:11" ht="33" x14ac:dyDescent="0.45">
      <c r="B10" s="3"/>
      <c r="C10" s="57" t="s">
        <v>132</v>
      </c>
      <c r="D10" s="57">
        <v>6</v>
      </c>
      <c r="E10" s="57">
        <v>12</v>
      </c>
      <c r="F10" s="57" t="s">
        <v>133</v>
      </c>
    </row>
    <row r="11" spans="2:11" ht="33" x14ac:dyDescent="0.45">
      <c r="B11" s="3"/>
      <c r="C11" s="57" t="s">
        <v>134</v>
      </c>
      <c r="D11" s="57">
        <v>4</v>
      </c>
      <c r="E11" s="57">
        <v>9</v>
      </c>
      <c r="F11" s="57" t="s">
        <v>135</v>
      </c>
    </row>
    <row r="12" spans="2:11" ht="33" x14ac:dyDescent="0.45">
      <c r="B12" s="3"/>
      <c r="C12" s="57" t="s">
        <v>136</v>
      </c>
      <c r="D12" s="57">
        <v>2</v>
      </c>
      <c r="E12" s="57">
        <v>5</v>
      </c>
      <c r="F12" s="57" t="s">
        <v>137</v>
      </c>
    </row>
    <row r="13" spans="2:11" x14ac:dyDescent="0.45">
      <c r="B13" s="3"/>
      <c r="C13" s="4"/>
      <c r="D13" s="6"/>
      <c r="E13" s="5"/>
      <c r="F13" s="71"/>
    </row>
    <row r="14" spans="2:11" ht="14.75" customHeight="1" x14ac:dyDescent="0.45">
      <c r="B14" s="3"/>
      <c r="C14" s="4"/>
      <c r="D14" s="6"/>
      <c r="E14" s="5"/>
      <c r="F14" s="71"/>
    </row>
    <row r="15" spans="2:11" ht="14.75" customHeight="1" x14ac:dyDescent="0.45">
      <c r="B15" s="3"/>
      <c r="C15" s="4"/>
      <c r="D15" s="6"/>
      <c r="E15" s="5"/>
      <c r="F15" s="71"/>
    </row>
    <row r="16" spans="2:11" x14ac:dyDescent="0.45">
      <c r="B16" s="3"/>
      <c r="C16" s="4"/>
      <c r="D16" s="6"/>
      <c r="E16" s="5"/>
      <c r="F16" s="71"/>
    </row>
    <row r="17" spans="2:6" ht="14.65" thickBot="1" x14ac:dyDescent="0.5">
      <c r="B17" s="3"/>
      <c r="C17" s="4"/>
      <c r="D17" s="6"/>
      <c r="E17" s="5"/>
      <c r="F17" s="71"/>
    </row>
    <row r="18" spans="2:6" ht="33.4" x14ac:dyDescent="0.45">
      <c r="B18" s="82" t="s">
        <v>40</v>
      </c>
      <c r="C18" s="82"/>
      <c r="D18" s="82"/>
      <c r="E18" s="82"/>
      <c r="F18" s="82"/>
    </row>
    <row r="19" spans="2:6" ht="29" customHeight="1" x14ac:dyDescent="0.45">
      <c r="B19" s="86" t="s">
        <v>36</v>
      </c>
      <c r="C19" s="87"/>
      <c r="D19" s="88" t="s">
        <v>41</v>
      </c>
      <c r="E19" s="88" t="s">
        <v>38</v>
      </c>
      <c r="F19" s="89" t="s">
        <v>42</v>
      </c>
    </row>
    <row r="20" spans="2:6" ht="14.75" customHeight="1" x14ac:dyDescent="0.45">
      <c r="B20" s="3"/>
      <c r="C20" s="4"/>
      <c r="D20" s="37"/>
      <c r="E20" s="5"/>
      <c r="F20" s="70"/>
    </row>
    <row r="21" spans="2:6" x14ac:dyDescent="0.45">
      <c r="B21" s="3"/>
      <c r="C21" s="4"/>
      <c r="D21" s="37"/>
      <c r="E21" s="5"/>
      <c r="F21" s="70"/>
    </row>
    <row r="22" spans="2:6" ht="14.65" thickBot="1" x14ac:dyDescent="0.5">
      <c r="B22" s="3"/>
      <c r="C22" s="4"/>
      <c r="D22" s="37"/>
      <c r="E22" s="5"/>
      <c r="F22" s="70"/>
    </row>
    <row r="23" spans="2:6" ht="33.4" x14ac:dyDescent="0.45">
      <c r="B23" s="82" t="s">
        <v>43</v>
      </c>
      <c r="C23" s="82"/>
      <c r="D23" s="82"/>
      <c r="E23" s="82"/>
      <c r="F23" s="82"/>
    </row>
    <row r="24" spans="2:6" x14ac:dyDescent="0.45">
      <c r="B24" s="86" t="s">
        <v>44</v>
      </c>
      <c r="C24" s="87"/>
      <c r="D24" s="88" t="s">
        <v>41</v>
      </c>
      <c r="E24" s="88" t="s">
        <v>45</v>
      </c>
      <c r="F24" s="89" t="s">
        <v>46</v>
      </c>
    </row>
    <row r="25" spans="2:6" x14ac:dyDescent="0.45">
      <c r="B25" s="3"/>
      <c r="C25" s="4"/>
      <c r="D25" s="7"/>
      <c r="E25" s="38"/>
      <c r="F25" s="36"/>
    </row>
    <row r="26" spans="2:6" x14ac:dyDescent="0.45">
      <c r="B26" s="3"/>
      <c r="C26" s="4"/>
      <c r="D26" s="7"/>
      <c r="E26" s="38"/>
      <c r="F26" s="36"/>
    </row>
    <row r="27" spans="2:6" x14ac:dyDescent="0.45">
      <c r="B27" s="3"/>
      <c r="C27" s="4"/>
      <c r="D27" s="7"/>
      <c r="E27" s="38"/>
      <c r="F27" s="36"/>
    </row>
  </sheetData>
  <mergeCells count="3">
    <mergeCell ref="B19:C19"/>
    <mergeCell ref="B24:C24"/>
    <mergeCell ref="B7:C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296D-4B2E-4C93-BBF0-FAD17EBD5E4C}">
  <sheetPr codeName="Sheet4"/>
  <dimension ref="A1:S133"/>
  <sheetViews>
    <sheetView zoomScale="70" zoomScaleNormal="70" workbookViewId="0">
      <selection activeCell="D31" sqref="D31"/>
    </sheetView>
  </sheetViews>
  <sheetFormatPr defaultColWidth="8.86328125" defaultRowHeight="14.25" x14ac:dyDescent="0.45"/>
  <cols>
    <col min="1" max="1" width="8.86328125" customWidth="1"/>
    <col min="2" max="2" width="3.33203125" customWidth="1"/>
    <col min="3" max="3" width="82.53125" customWidth="1"/>
    <col min="4" max="4" width="31.06640625" customWidth="1"/>
    <col min="5" max="5" width="15.33203125" customWidth="1"/>
    <col min="6" max="6" width="9.53125" customWidth="1"/>
    <col min="7" max="7" width="25" bestFit="1" customWidth="1"/>
    <col min="8" max="8" width="9.53125" customWidth="1"/>
    <col min="9" max="9" width="1" style="24" customWidth="1"/>
    <col min="10" max="10" width="1.33203125" style="11" customWidth="1"/>
    <col min="11" max="11" width="0.53125" customWidth="1"/>
    <col min="12" max="12" width="3.33203125" customWidth="1"/>
    <col min="13" max="13" width="82.53125" customWidth="1"/>
    <col min="14" max="14" width="17.33203125" customWidth="1"/>
    <col min="15" max="15" width="45.33203125" customWidth="1"/>
    <col min="16" max="16" width="9.53125" customWidth="1"/>
    <col min="17" max="17" width="18.53125" customWidth="1"/>
    <col min="18" max="18" width="9.53125" customWidth="1"/>
    <col min="19" max="19" width="1" style="24" customWidth="1"/>
  </cols>
  <sheetData>
    <row r="1" spans="2:19" ht="14.65" thickBot="1" x14ac:dyDescent="0.5"/>
    <row r="2" spans="2:19" ht="54" customHeight="1" x14ac:dyDescent="0.9">
      <c r="B2" s="82" t="s">
        <v>383</v>
      </c>
      <c r="C2" s="80"/>
      <c r="D2" s="80"/>
      <c r="E2" s="2"/>
      <c r="F2" s="2"/>
      <c r="G2" s="2"/>
      <c r="H2" s="2"/>
      <c r="I2" s="2"/>
      <c r="J2" s="2"/>
      <c r="K2" s="2"/>
      <c r="L2" s="2"/>
      <c r="S2"/>
    </row>
    <row r="3" spans="2:19" ht="20.25" customHeight="1" thickBot="1" x14ac:dyDescent="0.95">
      <c r="B3" s="83"/>
      <c r="C3" s="81"/>
      <c r="D3" s="81"/>
      <c r="E3" s="2"/>
      <c r="F3" s="2"/>
      <c r="G3" s="2"/>
      <c r="H3" s="2"/>
      <c r="I3" s="2"/>
      <c r="J3" s="2"/>
      <c r="K3" s="2"/>
      <c r="L3" s="2"/>
      <c r="S3"/>
    </row>
    <row r="4" spans="2:19" ht="14.65" thickBot="1" x14ac:dyDescent="0.5"/>
    <row r="5" spans="2:19" ht="15" customHeight="1" x14ac:dyDescent="0.9">
      <c r="B5" s="80"/>
      <c r="C5" s="80"/>
      <c r="D5" s="80"/>
      <c r="E5" s="80"/>
      <c r="F5" s="80"/>
      <c r="G5" s="80"/>
      <c r="H5" s="80"/>
      <c r="I5" s="80"/>
      <c r="J5" s="80"/>
      <c r="K5" s="80"/>
      <c r="L5" s="80"/>
      <c r="M5" s="80"/>
      <c r="N5" s="80"/>
      <c r="O5" s="80"/>
      <c r="P5" s="80"/>
      <c r="Q5" s="80"/>
      <c r="R5" s="80"/>
    </row>
    <row r="6" spans="2:19" ht="14.75" customHeight="1" x14ac:dyDescent="0.45">
      <c r="B6" s="1">
        <v>1</v>
      </c>
      <c r="C6" s="90" t="s">
        <v>47</v>
      </c>
      <c r="D6" s="66" t="s">
        <v>138</v>
      </c>
      <c r="E6" s="23"/>
      <c r="F6" s="23"/>
      <c r="G6" s="65"/>
      <c r="H6" s="65"/>
      <c r="L6" s="1">
        <v>1</v>
      </c>
      <c r="M6" s="90" t="s">
        <v>47</v>
      </c>
      <c r="N6" s="66" t="s">
        <v>162</v>
      </c>
      <c r="O6" s="23"/>
      <c r="P6" s="23"/>
      <c r="Q6" s="65"/>
      <c r="R6" s="65"/>
    </row>
    <row r="7" spans="2:19" x14ac:dyDescent="0.45">
      <c r="B7" s="1">
        <v>2</v>
      </c>
      <c r="C7" s="90" t="s">
        <v>51</v>
      </c>
      <c r="D7" s="66" t="s">
        <v>52</v>
      </c>
      <c r="E7" s="62"/>
      <c r="F7" s="62"/>
      <c r="G7" s="62"/>
      <c r="H7" s="62"/>
      <c r="L7" s="1">
        <v>2</v>
      </c>
      <c r="M7" s="90" t="s">
        <v>51</v>
      </c>
      <c r="N7" s="66" t="s">
        <v>52</v>
      </c>
      <c r="O7" s="62"/>
      <c r="P7" s="62"/>
      <c r="Q7" s="62"/>
      <c r="R7" s="62"/>
    </row>
    <row r="8" spans="2:19" x14ac:dyDescent="0.45">
      <c r="B8" s="1">
        <v>3</v>
      </c>
      <c r="C8" s="90" t="s">
        <v>53</v>
      </c>
      <c r="D8" s="66" t="s">
        <v>139</v>
      </c>
      <c r="E8" s="62"/>
      <c r="F8" s="62"/>
      <c r="G8" s="62"/>
      <c r="H8" s="62"/>
      <c r="L8" s="1">
        <v>3</v>
      </c>
      <c r="M8" s="90" t="s">
        <v>53</v>
      </c>
      <c r="N8" s="66" t="s">
        <v>163</v>
      </c>
      <c r="O8" s="62"/>
      <c r="P8" s="62"/>
      <c r="Q8" s="62"/>
      <c r="R8" s="62"/>
    </row>
    <row r="9" spans="2:19" x14ac:dyDescent="0.45">
      <c r="B9" s="1">
        <v>4</v>
      </c>
      <c r="C9" s="90" t="s">
        <v>54</v>
      </c>
      <c r="D9" s="66" t="s">
        <v>55</v>
      </c>
      <c r="E9" s="62"/>
      <c r="F9" s="62"/>
      <c r="G9" s="62"/>
      <c r="H9" s="62"/>
      <c r="L9" s="1">
        <v>4</v>
      </c>
      <c r="M9" s="90" t="s">
        <v>54</v>
      </c>
      <c r="N9" s="66" t="s">
        <v>55</v>
      </c>
      <c r="O9" s="62"/>
      <c r="P9" s="62"/>
      <c r="Q9" s="62"/>
      <c r="R9" s="62"/>
    </row>
    <row r="10" spans="2:19" ht="14.25" customHeight="1" x14ac:dyDescent="0.45">
      <c r="B10" s="1">
        <v>5</v>
      </c>
      <c r="C10" s="90" t="s">
        <v>56</v>
      </c>
      <c r="D10" s="66" t="s">
        <v>57</v>
      </c>
      <c r="E10" s="62"/>
      <c r="F10" s="62"/>
      <c r="G10" s="62"/>
      <c r="H10" s="62"/>
      <c r="L10" s="1">
        <v>5</v>
      </c>
      <c r="M10" s="90" t="s">
        <v>56</v>
      </c>
      <c r="N10" s="66" t="s">
        <v>57</v>
      </c>
      <c r="O10" s="62"/>
      <c r="P10" s="62"/>
      <c r="Q10" s="62"/>
      <c r="R10" s="62"/>
    </row>
    <row r="11" spans="2:19" x14ac:dyDescent="0.45">
      <c r="B11" s="1">
        <v>6</v>
      </c>
      <c r="C11" s="90" t="s">
        <v>58</v>
      </c>
      <c r="D11" s="66">
        <v>5</v>
      </c>
      <c r="E11" s="62"/>
      <c r="F11" s="62"/>
      <c r="G11" s="62"/>
      <c r="H11" s="62"/>
      <c r="L11" s="1">
        <v>6</v>
      </c>
      <c r="M11" s="90" t="s">
        <v>58</v>
      </c>
      <c r="N11" s="66">
        <v>7</v>
      </c>
      <c r="O11" s="62"/>
      <c r="P11" s="62"/>
      <c r="Q11" s="62"/>
      <c r="R11" s="62"/>
    </row>
    <row r="12" spans="2:19" ht="42.5" customHeight="1" x14ac:dyDescent="0.45">
      <c r="B12" s="1">
        <v>7</v>
      </c>
      <c r="C12" s="90" t="s">
        <v>59</v>
      </c>
      <c r="D12" s="66" t="s">
        <v>140</v>
      </c>
      <c r="E12" s="62"/>
      <c r="F12" s="62"/>
      <c r="G12" s="62"/>
      <c r="H12" s="62"/>
      <c r="L12" s="1">
        <v>7</v>
      </c>
      <c r="M12" s="90" t="s">
        <v>59</v>
      </c>
      <c r="N12" s="66" t="s">
        <v>164</v>
      </c>
      <c r="O12" s="62"/>
      <c r="P12" s="62"/>
      <c r="Q12" s="62"/>
      <c r="R12" s="62"/>
    </row>
    <row r="13" spans="2:19" x14ac:dyDescent="0.45">
      <c r="B13" s="1">
        <v>8</v>
      </c>
      <c r="C13" s="91" t="s">
        <v>389</v>
      </c>
      <c r="D13" s="66" t="s">
        <v>141</v>
      </c>
      <c r="E13" s="62"/>
      <c r="F13" s="62"/>
      <c r="G13" s="62"/>
      <c r="H13" s="62"/>
      <c r="L13" s="1">
        <v>8</v>
      </c>
      <c r="M13" s="91" t="s">
        <v>389</v>
      </c>
      <c r="N13" s="66" t="s">
        <v>165</v>
      </c>
      <c r="O13" s="62"/>
      <c r="P13" s="62"/>
      <c r="Q13" s="62"/>
      <c r="R13" s="62"/>
    </row>
    <row r="14" spans="2:19" x14ac:dyDescent="0.45">
      <c r="B14" s="1">
        <f>B13+1</f>
        <v>9</v>
      </c>
      <c r="C14" s="91" t="s">
        <v>60</v>
      </c>
      <c r="D14" s="66" t="s">
        <v>142</v>
      </c>
      <c r="E14" s="62"/>
      <c r="F14" s="62"/>
      <c r="G14" s="62"/>
      <c r="H14" s="62"/>
      <c r="L14" s="1">
        <f>L13+1</f>
        <v>9</v>
      </c>
      <c r="M14" s="90" t="s">
        <v>60</v>
      </c>
      <c r="N14" s="66" t="s">
        <v>13</v>
      </c>
      <c r="O14" s="62"/>
      <c r="P14" s="62"/>
      <c r="Q14" s="62"/>
      <c r="R14" s="62"/>
    </row>
    <row r="15" spans="2:19" ht="14.25" customHeight="1" x14ac:dyDescent="0.45">
      <c r="B15" s="1">
        <f t="shared" ref="B15:B18" si="0">B14+1</f>
        <v>10</v>
      </c>
      <c r="C15" s="90" t="s">
        <v>61</v>
      </c>
      <c r="D15" s="66" t="s">
        <v>143</v>
      </c>
      <c r="E15" s="62"/>
      <c r="F15" s="62"/>
      <c r="G15" s="62"/>
      <c r="H15" s="62"/>
      <c r="L15" s="1">
        <f t="shared" ref="L15:L18" si="1">L14+1</f>
        <v>10</v>
      </c>
      <c r="M15" s="90" t="s">
        <v>61</v>
      </c>
      <c r="N15" s="66" t="s">
        <v>166</v>
      </c>
      <c r="O15" s="62"/>
      <c r="P15" s="62"/>
      <c r="Q15" s="62"/>
      <c r="R15" s="62"/>
    </row>
    <row r="16" spans="2:19" x14ac:dyDescent="0.45">
      <c r="B16" s="1">
        <f t="shared" si="0"/>
        <v>11</v>
      </c>
      <c r="C16" s="90" t="s">
        <v>62</v>
      </c>
      <c r="D16" s="66" t="s">
        <v>144</v>
      </c>
      <c r="E16" s="62"/>
      <c r="F16" s="62"/>
      <c r="G16" s="62"/>
      <c r="H16" s="62"/>
      <c r="L16" s="1">
        <f t="shared" si="1"/>
        <v>11</v>
      </c>
      <c r="M16" s="90" t="s">
        <v>62</v>
      </c>
      <c r="N16" s="66" t="s">
        <v>63</v>
      </c>
      <c r="O16" s="62"/>
      <c r="P16" s="62"/>
      <c r="Q16" s="62"/>
      <c r="R16" s="62"/>
    </row>
    <row r="17" spans="2:19" ht="14.75" customHeight="1" x14ac:dyDescent="0.45">
      <c r="B17" s="1">
        <f t="shared" si="0"/>
        <v>12</v>
      </c>
      <c r="C17" s="90" t="s">
        <v>64</v>
      </c>
      <c r="D17" s="66">
        <v>0.67400000000000004</v>
      </c>
      <c r="E17" s="62"/>
      <c r="F17" s="62"/>
      <c r="G17" s="62"/>
      <c r="H17" s="62"/>
      <c r="L17" s="1">
        <f t="shared" si="1"/>
        <v>12</v>
      </c>
      <c r="M17" s="90" t="s">
        <v>64</v>
      </c>
      <c r="N17" s="66">
        <v>0.54200000000000004</v>
      </c>
      <c r="O17" s="62"/>
      <c r="P17" s="62"/>
      <c r="Q17" s="62"/>
      <c r="R17" s="62"/>
    </row>
    <row r="18" spans="2:19" ht="112.25" customHeight="1" x14ac:dyDescent="0.45">
      <c r="B18" s="1">
        <f t="shared" si="0"/>
        <v>13</v>
      </c>
      <c r="C18" s="90" t="s">
        <v>65</v>
      </c>
      <c r="D18" s="66" t="s">
        <v>145</v>
      </c>
      <c r="E18" s="62"/>
      <c r="F18" s="62"/>
      <c r="G18" s="62"/>
      <c r="H18" s="62"/>
      <c r="L18" s="1">
        <f t="shared" si="1"/>
        <v>13</v>
      </c>
      <c r="M18" s="90" t="s">
        <v>65</v>
      </c>
      <c r="N18" s="66" t="s">
        <v>167</v>
      </c>
      <c r="O18" s="62"/>
      <c r="P18" s="62"/>
      <c r="Q18" s="62"/>
      <c r="R18" s="62"/>
    </row>
    <row r="19" spans="2:19" ht="14.65" thickBot="1" x14ac:dyDescent="0.5">
      <c r="M19" s="90"/>
    </row>
    <row r="20" spans="2:19" ht="15" customHeight="1" x14ac:dyDescent="0.9">
      <c r="B20" s="80"/>
      <c r="C20" s="80"/>
      <c r="D20" s="80"/>
      <c r="E20" s="80"/>
      <c r="F20" s="80"/>
      <c r="G20" s="80"/>
      <c r="H20" s="80"/>
      <c r="I20" s="80"/>
      <c r="J20" s="80"/>
      <c r="K20" s="80"/>
      <c r="L20" s="80"/>
      <c r="M20" s="90"/>
      <c r="N20" s="80"/>
      <c r="O20" s="80"/>
      <c r="P20" s="80"/>
      <c r="Q20" s="80"/>
      <c r="R20" s="80"/>
      <c r="S20" s="80"/>
    </row>
    <row r="21" spans="2:19" x14ac:dyDescent="0.45">
      <c r="B21" s="1">
        <v>1</v>
      </c>
      <c r="C21" s="90" t="s">
        <v>66</v>
      </c>
      <c r="D21" s="66" t="s">
        <v>146</v>
      </c>
      <c r="E21" s="62"/>
      <c r="F21" s="62"/>
      <c r="G21" s="62"/>
      <c r="H21" s="62"/>
      <c r="L21" s="1">
        <v>1</v>
      </c>
      <c r="M21" s="90" t="s">
        <v>66</v>
      </c>
      <c r="N21" s="62" t="s">
        <v>28</v>
      </c>
      <c r="O21" s="62"/>
      <c r="P21" s="62"/>
      <c r="Q21" s="62"/>
      <c r="R21" s="62"/>
    </row>
    <row r="22" spans="2:19" x14ac:dyDescent="0.45">
      <c r="B22" s="1">
        <v>2</v>
      </c>
      <c r="C22" s="90" t="s">
        <v>67</v>
      </c>
      <c r="D22" s="66" t="s">
        <v>147</v>
      </c>
      <c r="E22" s="62"/>
      <c r="F22" s="62"/>
      <c r="G22" s="62"/>
      <c r="H22" s="62"/>
      <c r="L22" s="1">
        <v>2</v>
      </c>
      <c r="M22" s="90" t="s">
        <v>67</v>
      </c>
      <c r="N22" s="62" t="s">
        <v>13</v>
      </c>
      <c r="O22" s="62"/>
      <c r="P22" s="62"/>
      <c r="Q22" s="62"/>
      <c r="R22" s="62"/>
    </row>
    <row r="23" spans="2:19" x14ac:dyDescent="0.45">
      <c r="B23" s="1">
        <v>3</v>
      </c>
      <c r="C23" s="90" t="s">
        <v>68</v>
      </c>
      <c r="D23" s="66" t="s">
        <v>148</v>
      </c>
      <c r="E23" s="62"/>
      <c r="F23" s="62"/>
      <c r="G23" s="62"/>
      <c r="H23" s="62"/>
      <c r="L23" s="1">
        <v>3</v>
      </c>
      <c r="M23" s="90" t="s">
        <v>68</v>
      </c>
      <c r="N23" s="62" t="s">
        <v>13</v>
      </c>
      <c r="O23" s="62"/>
      <c r="P23" s="62"/>
      <c r="Q23" s="62"/>
      <c r="R23" s="62"/>
    </row>
    <row r="24" spans="2:19" ht="16.5" customHeight="1" x14ac:dyDescent="0.45">
      <c r="B24" s="1">
        <v>4</v>
      </c>
      <c r="C24" s="90" t="s">
        <v>69</v>
      </c>
      <c r="D24" s="66" t="s">
        <v>149</v>
      </c>
      <c r="E24" s="62"/>
      <c r="F24" s="62"/>
      <c r="G24" s="62"/>
      <c r="H24" s="62"/>
      <c r="L24" s="1">
        <v>4</v>
      </c>
      <c r="M24" s="90" t="s">
        <v>69</v>
      </c>
      <c r="N24" s="62" t="s">
        <v>13</v>
      </c>
      <c r="O24" s="62"/>
      <c r="P24" s="62"/>
      <c r="Q24" s="62"/>
      <c r="R24" s="62"/>
    </row>
    <row r="25" spans="2:19" ht="28.5" x14ac:dyDescent="0.45">
      <c r="B25" s="1">
        <v>5</v>
      </c>
      <c r="C25" s="90" t="s">
        <v>70</v>
      </c>
      <c r="D25" s="66" t="s">
        <v>150</v>
      </c>
      <c r="E25" s="62"/>
      <c r="F25" s="62"/>
      <c r="G25" s="62"/>
      <c r="H25" s="62"/>
      <c r="L25" s="1">
        <v>5</v>
      </c>
      <c r="M25" s="90" t="s">
        <v>70</v>
      </c>
      <c r="N25" s="62" t="s">
        <v>13</v>
      </c>
      <c r="O25" s="62"/>
      <c r="P25" s="62"/>
      <c r="Q25" s="62"/>
      <c r="R25" s="62"/>
    </row>
    <row r="26" spans="2:19" x14ac:dyDescent="0.45">
      <c r="B26" s="1">
        <v>6</v>
      </c>
      <c r="C26" s="90" t="s">
        <v>71</v>
      </c>
      <c r="D26" s="66" t="s">
        <v>151</v>
      </c>
      <c r="E26" s="62"/>
      <c r="F26" s="62"/>
      <c r="G26" s="62"/>
      <c r="H26" s="62"/>
      <c r="L26" s="1">
        <v>6</v>
      </c>
      <c r="M26" s="90" t="s">
        <v>71</v>
      </c>
      <c r="N26" s="62" t="s">
        <v>13</v>
      </c>
      <c r="O26" s="62"/>
      <c r="P26" s="62"/>
      <c r="Q26" s="62"/>
      <c r="R26" s="62"/>
    </row>
    <row r="27" spans="2:19" x14ac:dyDescent="0.45">
      <c r="B27" s="1">
        <v>7</v>
      </c>
      <c r="C27" s="90" t="s">
        <v>72</v>
      </c>
      <c r="D27" s="66" t="s">
        <v>152</v>
      </c>
      <c r="E27" s="62"/>
      <c r="F27" s="62"/>
      <c r="G27" s="62"/>
      <c r="H27" s="62"/>
      <c r="L27" s="1">
        <v>7</v>
      </c>
      <c r="M27" s="90" t="s">
        <v>72</v>
      </c>
      <c r="N27" s="62" t="s">
        <v>13</v>
      </c>
      <c r="O27" s="62"/>
      <c r="P27" s="62"/>
      <c r="Q27" s="62"/>
      <c r="R27" s="62"/>
    </row>
    <row r="28" spans="2:19" x14ac:dyDescent="0.45">
      <c r="B28" s="1">
        <v>8</v>
      </c>
      <c r="C28" s="90" t="s">
        <v>73</v>
      </c>
      <c r="D28" s="66" t="s">
        <v>153</v>
      </c>
      <c r="E28" s="62"/>
      <c r="F28" s="62"/>
      <c r="G28" s="62"/>
      <c r="H28" s="62"/>
      <c r="L28" s="1">
        <v>8</v>
      </c>
      <c r="M28" s="90" t="s">
        <v>73</v>
      </c>
      <c r="N28" s="62" t="s">
        <v>13</v>
      </c>
      <c r="O28" s="62"/>
      <c r="P28" s="62"/>
      <c r="Q28" s="62"/>
      <c r="R28" s="62"/>
    </row>
    <row r="29" spans="2:19" ht="14.65" thickBot="1" x14ac:dyDescent="0.5">
      <c r="C29" s="90"/>
      <c r="D29" s="9"/>
      <c r="E29" s="9"/>
      <c r="F29" s="9"/>
      <c r="G29" s="9"/>
      <c r="H29" s="9"/>
      <c r="M29" s="90"/>
      <c r="N29" s="9"/>
      <c r="O29" s="9"/>
      <c r="P29" s="9"/>
      <c r="Q29" s="9"/>
      <c r="R29" s="9"/>
    </row>
    <row r="30" spans="2:19" ht="15" customHeight="1" x14ac:dyDescent="0.9">
      <c r="B30" s="80"/>
      <c r="C30" s="90"/>
      <c r="D30" s="80"/>
      <c r="E30" s="80"/>
      <c r="F30" s="80"/>
      <c r="G30" s="80"/>
      <c r="H30" s="80"/>
      <c r="I30" s="80"/>
      <c r="J30" s="80"/>
      <c r="K30" s="80"/>
      <c r="L30" s="80"/>
      <c r="M30" s="90"/>
      <c r="N30" s="80"/>
      <c r="O30" s="80"/>
      <c r="P30" s="80"/>
      <c r="Q30" s="80"/>
      <c r="R30" s="80"/>
    </row>
    <row r="31" spans="2:19" ht="28.5" x14ac:dyDescent="0.45">
      <c r="B31" s="1">
        <v>1</v>
      </c>
      <c r="C31" s="90" t="s">
        <v>74</v>
      </c>
      <c r="D31" s="66" t="s">
        <v>154</v>
      </c>
      <c r="E31" s="53"/>
      <c r="F31" s="53"/>
      <c r="G31" s="53"/>
      <c r="H31" s="54"/>
      <c r="L31" s="1">
        <v>1</v>
      </c>
      <c r="M31" s="90" t="s">
        <v>74</v>
      </c>
      <c r="N31" s="66" t="s">
        <v>154</v>
      </c>
      <c r="O31" s="53"/>
      <c r="P31" s="53"/>
      <c r="Q31" s="53"/>
      <c r="R31" s="54"/>
    </row>
    <row r="32" spans="2:19" ht="28.5" x14ac:dyDescent="0.45">
      <c r="B32" s="1">
        <v>2</v>
      </c>
      <c r="C32" s="90" t="s">
        <v>75</v>
      </c>
      <c r="D32" s="66" t="s">
        <v>155</v>
      </c>
      <c r="E32" s="53"/>
      <c r="F32" s="53"/>
      <c r="G32" s="53"/>
      <c r="H32" s="54"/>
      <c r="L32" s="1">
        <v>2</v>
      </c>
      <c r="M32" s="90" t="s">
        <v>75</v>
      </c>
      <c r="N32" s="66" t="s">
        <v>155</v>
      </c>
      <c r="O32" s="53"/>
      <c r="P32" s="53"/>
      <c r="Q32" s="53"/>
      <c r="R32" s="54"/>
    </row>
    <row r="33" spans="1:18" x14ac:dyDescent="0.45">
      <c r="B33" s="12">
        <v>3</v>
      </c>
      <c r="C33" s="90" t="s">
        <v>76</v>
      </c>
      <c r="D33" s="66">
        <v>7.4999999999999997E-3</v>
      </c>
      <c r="E33" s="63"/>
      <c r="F33" s="63"/>
      <c r="G33" s="63"/>
      <c r="H33" s="64"/>
      <c r="L33" s="12">
        <v>3</v>
      </c>
      <c r="M33" s="90" t="s">
        <v>76</v>
      </c>
      <c r="N33" s="66">
        <v>7.4999999999999997E-3</v>
      </c>
      <c r="O33" s="63"/>
      <c r="P33" s="63"/>
      <c r="Q33" s="63"/>
      <c r="R33" s="64"/>
    </row>
    <row r="34" spans="1:18" x14ac:dyDescent="0.45">
      <c r="B34" s="12">
        <v>4</v>
      </c>
      <c r="C34" s="90" t="s">
        <v>77</v>
      </c>
      <c r="D34" s="66">
        <v>0.18</v>
      </c>
      <c r="E34" s="63"/>
      <c r="F34" s="63"/>
      <c r="G34" s="63"/>
      <c r="H34" s="64"/>
      <c r="L34" s="12">
        <v>4</v>
      </c>
      <c r="M34" s="90" t="s">
        <v>77</v>
      </c>
      <c r="N34" s="66">
        <v>0.18</v>
      </c>
      <c r="O34" s="63"/>
      <c r="P34" s="63"/>
      <c r="Q34" s="63"/>
      <c r="R34" s="64"/>
    </row>
    <row r="35" spans="1:18" x14ac:dyDescent="0.45">
      <c r="B35" s="12">
        <v>5</v>
      </c>
      <c r="C35" s="90" t="s">
        <v>78</v>
      </c>
      <c r="D35" s="66">
        <v>0.01</v>
      </c>
      <c r="E35" s="63"/>
      <c r="F35" s="63"/>
      <c r="G35" s="63"/>
      <c r="H35" s="64"/>
      <c r="L35" s="12">
        <v>5</v>
      </c>
      <c r="M35" s="90" t="s">
        <v>78</v>
      </c>
      <c r="N35" s="66">
        <v>0.01</v>
      </c>
      <c r="O35" s="63"/>
      <c r="P35" s="63"/>
      <c r="Q35" s="63"/>
      <c r="R35" s="64"/>
    </row>
    <row r="36" spans="1:18" x14ac:dyDescent="0.45">
      <c r="B36" s="12">
        <v>6</v>
      </c>
      <c r="C36" s="90" t="s">
        <v>79</v>
      </c>
      <c r="D36" s="66" t="s">
        <v>156</v>
      </c>
      <c r="E36" s="53"/>
      <c r="F36" s="53"/>
      <c r="G36" s="53"/>
      <c r="H36" s="54"/>
      <c r="L36" s="12">
        <v>6</v>
      </c>
      <c r="M36" s="90" t="s">
        <v>79</v>
      </c>
      <c r="N36" s="66" t="s">
        <v>156</v>
      </c>
      <c r="O36" s="53"/>
      <c r="P36" s="53"/>
      <c r="Q36" s="53"/>
      <c r="R36" s="54"/>
    </row>
    <row r="37" spans="1:18" x14ac:dyDescent="0.45">
      <c r="B37" s="12">
        <v>7</v>
      </c>
      <c r="C37" s="90" t="s">
        <v>80</v>
      </c>
      <c r="D37" s="66" t="s">
        <v>81</v>
      </c>
      <c r="E37" s="53"/>
      <c r="F37" s="53"/>
      <c r="G37" s="53"/>
      <c r="H37" s="54"/>
      <c r="L37" s="12">
        <v>7</v>
      </c>
      <c r="M37" s="90" t="s">
        <v>80</v>
      </c>
      <c r="N37" s="66" t="s">
        <v>81</v>
      </c>
      <c r="O37" s="53"/>
      <c r="P37" s="53"/>
      <c r="Q37" s="53"/>
      <c r="R37" s="54"/>
    </row>
    <row r="38" spans="1:18" x14ac:dyDescent="0.45">
      <c r="B38" s="12">
        <v>8</v>
      </c>
      <c r="C38" s="90" t="s">
        <v>82</v>
      </c>
      <c r="D38" s="66">
        <v>1.4999999999999999E-2</v>
      </c>
      <c r="E38" s="63"/>
      <c r="F38" s="63"/>
      <c r="G38" s="63"/>
      <c r="H38" s="64"/>
      <c r="L38" s="12">
        <v>8</v>
      </c>
      <c r="M38" s="90" t="s">
        <v>82</v>
      </c>
      <c r="N38" s="66">
        <v>1.4999999999999999E-2</v>
      </c>
      <c r="O38" s="63"/>
      <c r="P38" s="63"/>
      <c r="Q38" s="63"/>
      <c r="R38" s="64"/>
    </row>
    <row r="39" spans="1:18" x14ac:dyDescent="0.45">
      <c r="B39" s="12">
        <v>9</v>
      </c>
      <c r="C39" s="90" t="s">
        <v>83</v>
      </c>
      <c r="D39" s="66" t="s">
        <v>84</v>
      </c>
      <c r="E39" s="62"/>
      <c r="F39" s="62"/>
      <c r="G39" s="62"/>
      <c r="H39" s="62"/>
      <c r="L39" s="12">
        <v>9</v>
      </c>
      <c r="M39" s="90" t="s">
        <v>83</v>
      </c>
      <c r="N39" s="66" t="s">
        <v>84</v>
      </c>
      <c r="O39" s="53"/>
      <c r="P39" s="53"/>
      <c r="Q39" s="53"/>
      <c r="R39" s="54"/>
    </row>
    <row r="40" spans="1:18" x14ac:dyDescent="0.45">
      <c r="B40" s="1">
        <v>1</v>
      </c>
      <c r="C40" s="90" t="s">
        <v>85</v>
      </c>
      <c r="D40" s="66" t="s">
        <v>157</v>
      </c>
      <c r="E40" s="62"/>
      <c r="F40" s="62"/>
      <c r="G40" s="62"/>
      <c r="H40" s="62"/>
      <c r="L40" s="1">
        <v>1</v>
      </c>
      <c r="M40" s="90" t="s">
        <v>85</v>
      </c>
      <c r="N40" s="66" t="s">
        <v>157</v>
      </c>
      <c r="O40" s="62"/>
      <c r="P40" s="62"/>
      <c r="Q40" s="62"/>
      <c r="R40" s="62"/>
    </row>
    <row r="41" spans="1:18" x14ac:dyDescent="0.45">
      <c r="B41" s="1">
        <v>2</v>
      </c>
      <c r="C41" s="90" t="s">
        <v>86</v>
      </c>
      <c r="D41" s="66" t="s">
        <v>158</v>
      </c>
      <c r="E41" s="62"/>
      <c r="F41" s="62"/>
      <c r="G41" s="62"/>
      <c r="H41" s="62"/>
      <c r="L41" s="1">
        <v>2</v>
      </c>
      <c r="M41" s="90" t="s">
        <v>86</v>
      </c>
      <c r="N41" s="66" t="s">
        <v>158</v>
      </c>
      <c r="O41" s="62"/>
      <c r="P41" s="62"/>
      <c r="Q41" s="62"/>
      <c r="R41" s="62"/>
    </row>
    <row r="42" spans="1:18" x14ac:dyDescent="0.45">
      <c r="B42" s="1">
        <v>3</v>
      </c>
      <c r="C42" s="90" t="s">
        <v>87</v>
      </c>
      <c r="D42" s="66" t="s">
        <v>159</v>
      </c>
      <c r="E42" s="62"/>
      <c r="F42" s="62"/>
      <c r="G42" s="62"/>
      <c r="H42" s="62"/>
      <c r="L42" s="1">
        <v>3</v>
      </c>
      <c r="M42" s="90" t="s">
        <v>87</v>
      </c>
      <c r="N42" s="66" t="s">
        <v>159</v>
      </c>
      <c r="O42" s="62"/>
      <c r="P42" s="62"/>
      <c r="Q42" s="62"/>
      <c r="R42" s="62"/>
    </row>
    <row r="43" spans="1:18" x14ac:dyDescent="0.45">
      <c r="B43" s="1">
        <v>4</v>
      </c>
      <c r="C43" s="90" t="s">
        <v>88</v>
      </c>
      <c r="D43" s="66" t="s">
        <v>160</v>
      </c>
      <c r="E43" s="62"/>
      <c r="F43" s="62"/>
      <c r="G43" s="62"/>
      <c r="H43" s="62"/>
      <c r="L43" s="1">
        <v>4</v>
      </c>
      <c r="M43" s="90" t="s">
        <v>88</v>
      </c>
      <c r="N43" s="66" t="s">
        <v>160</v>
      </c>
      <c r="O43" s="62"/>
      <c r="P43" s="62"/>
      <c r="Q43" s="62"/>
      <c r="R43" s="62"/>
    </row>
    <row r="44" spans="1:18" x14ac:dyDescent="0.45">
      <c r="B44" s="13">
        <v>5</v>
      </c>
      <c r="C44" s="90" t="s">
        <v>89</v>
      </c>
      <c r="D44" s="66" t="s">
        <v>161</v>
      </c>
      <c r="E44" s="62"/>
      <c r="F44" s="62"/>
      <c r="G44" s="62"/>
      <c r="H44" s="62"/>
      <c r="L44" s="13">
        <v>5</v>
      </c>
      <c r="M44" s="90" t="s">
        <v>89</v>
      </c>
      <c r="N44" s="66" t="s">
        <v>161</v>
      </c>
      <c r="O44" s="62"/>
      <c r="P44" s="62"/>
      <c r="Q44" s="62"/>
      <c r="R44" s="62"/>
    </row>
    <row r="45" spans="1:18" ht="14.65" thickBot="1" x14ac:dyDescent="0.5">
      <c r="C45" s="90"/>
      <c r="D45" s="9"/>
      <c r="E45" s="9"/>
      <c r="F45" s="9"/>
      <c r="G45" s="9"/>
      <c r="H45" s="9"/>
      <c r="M45" s="90"/>
      <c r="N45" s="9"/>
      <c r="O45" s="9"/>
      <c r="P45" s="9"/>
      <c r="Q45" s="9"/>
      <c r="R45" s="9"/>
    </row>
    <row r="46" spans="1:18" ht="15" customHeight="1" x14ac:dyDescent="0.9">
      <c r="A46" s="80"/>
      <c r="B46" s="80"/>
      <c r="C46" s="90"/>
      <c r="D46" s="80"/>
      <c r="E46" s="80"/>
      <c r="F46" s="80"/>
      <c r="G46" s="80"/>
      <c r="H46" s="80"/>
      <c r="I46" s="80"/>
      <c r="J46" s="80"/>
      <c r="K46" s="80"/>
      <c r="L46" s="80"/>
      <c r="M46" s="90"/>
      <c r="N46" s="80"/>
      <c r="O46" s="80"/>
      <c r="P46" s="80"/>
      <c r="Q46" s="80"/>
      <c r="R46" s="80"/>
    </row>
    <row r="47" spans="1:18" ht="29" customHeight="1" thickBot="1" x14ac:dyDescent="0.5">
      <c r="B47" s="3"/>
      <c r="C47" s="92" t="s">
        <v>91</v>
      </c>
      <c r="D47" s="92" t="s">
        <v>90</v>
      </c>
      <c r="E47" s="92" t="s">
        <v>91</v>
      </c>
      <c r="F47" s="92" t="s">
        <v>92</v>
      </c>
      <c r="G47" s="92" t="s">
        <v>93</v>
      </c>
      <c r="H47" s="92" t="s">
        <v>94</v>
      </c>
      <c r="L47" s="4"/>
      <c r="M47" s="92" t="s">
        <v>91</v>
      </c>
      <c r="N47" s="32" t="s">
        <v>90</v>
      </c>
      <c r="O47" s="44" t="s">
        <v>91</v>
      </c>
      <c r="P47" s="32" t="s">
        <v>92</v>
      </c>
      <c r="Q47" s="32" t="s">
        <v>93</v>
      </c>
      <c r="R47" s="32" t="s">
        <v>94</v>
      </c>
    </row>
    <row r="48" spans="1:18" ht="14.75" customHeight="1" x14ac:dyDescent="0.9">
      <c r="B48" s="80"/>
      <c r="C48" s="90" t="s">
        <v>95</v>
      </c>
      <c r="D48" s="80"/>
      <c r="E48" s="80"/>
      <c r="F48" s="80"/>
      <c r="G48" s="80"/>
      <c r="H48" s="80"/>
      <c r="I48" s="80"/>
      <c r="J48" s="80"/>
      <c r="K48" s="80"/>
      <c r="L48" s="80"/>
      <c r="M48" s="90" t="s">
        <v>95</v>
      </c>
      <c r="N48" s="80"/>
      <c r="O48" s="80"/>
      <c r="P48" s="80"/>
      <c r="Q48" s="80"/>
      <c r="R48" s="80"/>
    </row>
    <row r="49" spans="1:18" x14ac:dyDescent="0.45">
      <c r="B49" s="3"/>
      <c r="C49" s="90" t="s">
        <v>96</v>
      </c>
      <c r="D49" s="67">
        <v>0.2</v>
      </c>
      <c r="E49" s="67">
        <v>0.28000000000000003</v>
      </c>
      <c r="F49" s="67">
        <v>0.4</v>
      </c>
      <c r="G49" s="67">
        <v>0.28000000000000003</v>
      </c>
      <c r="H49" s="27"/>
      <c r="L49" s="3"/>
      <c r="M49" s="90" t="s">
        <v>96</v>
      </c>
      <c r="N49" s="66">
        <v>0.3</v>
      </c>
      <c r="O49" s="66">
        <v>0.34</v>
      </c>
      <c r="P49" s="66">
        <v>0.45</v>
      </c>
      <c r="Q49" s="66">
        <v>0.34</v>
      </c>
      <c r="R49" s="27"/>
    </row>
    <row r="50" spans="1:18" x14ac:dyDescent="0.45">
      <c r="B50" s="3"/>
      <c r="C50" s="90" t="s">
        <v>97</v>
      </c>
      <c r="D50" s="67">
        <v>0.25</v>
      </c>
      <c r="E50" s="67">
        <v>0.32</v>
      </c>
      <c r="F50" s="67">
        <v>0.45</v>
      </c>
      <c r="G50" s="67">
        <v>0.32</v>
      </c>
      <c r="H50" s="27"/>
      <c r="L50" s="3"/>
      <c r="M50" s="90" t="s">
        <v>97</v>
      </c>
      <c r="N50" s="66">
        <v>0.35</v>
      </c>
      <c r="O50" s="66">
        <v>0.42</v>
      </c>
      <c r="P50" s="66">
        <v>0.55000000000000004</v>
      </c>
      <c r="Q50" s="66">
        <v>0.42</v>
      </c>
      <c r="R50" s="27"/>
    </row>
    <row r="51" spans="1:18" ht="16.5" customHeight="1" x14ac:dyDescent="0.45">
      <c r="B51" s="3"/>
      <c r="C51" s="90" t="s">
        <v>98</v>
      </c>
      <c r="D51" s="67">
        <v>0</v>
      </c>
      <c r="E51" s="67">
        <v>0.06</v>
      </c>
      <c r="F51" s="67">
        <v>0.12</v>
      </c>
      <c r="G51" s="67">
        <v>0.06</v>
      </c>
      <c r="H51" s="59"/>
      <c r="L51" s="3"/>
      <c r="M51" s="90" t="s">
        <v>98</v>
      </c>
      <c r="N51" s="66">
        <v>0</v>
      </c>
      <c r="O51" s="66">
        <v>0.05</v>
      </c>
      <c r="P51" s="66">
        <v>0.1</v>
      </c>
      <c r="Q51" s="66">
        <v>0.05</v>
      </c>
      <c r="R51" s="73"/>
    </row>
    <row r="52" spans="1:18" x14ac:dyDescent="0.45">
      <c r="B52" s="3"/>
      <c r="C52" s="90" t="s">
        <v>99</v>
      </c>
      <c r="D52" s="67">
        <v>0</v>
      </c>
      <c r="E52" s="67">
        <v>0.04</v>
      </c>
      <c r="F52" s="67">
        <v>0.1</v>
      </c>
      <c r="G52" s="67">
        <v>0.04</v>
      </c>
      <c r="H52" s="60"/>
      <c r="L52" s="3"/>
      <c r="M52" s="90" t="s">
        <v>99</v>
      </c>
      <c r="N52" s="66">
        <v>0</v>
      </c>
      <c r="O52" s="66">
        <v>0.04</v>
      </c>
      <c r="P52" s="66">
        <v>0.08</v>
      </c>
      <c r="Q52" s="66">
        <v>0.04</v>
      </c>
      <c r="R52" s="74"/>
    </row>
    <row r="53" spans="1:18" ht="14.65" thickBot="1" x14ac:dyDescent="0.5">
      <c r="B53" s="3"/>
      <c r="C53" s="90" t="s">
        <v>100</v>
      </c>
      <c r="D53" s="67">
        <v>0</v>
      </c>
      <c r="E53" s="67">
        <v>0</v>
      </c>
      <c r="F53" s="67">
        <v>0.1</v>
      </c>
      <c r="G53" s="67">
        <v>0</v>
      </c>
      <c r="H53" s="27"/>
      <c r="L53" s="3"/>
      <c r="M53" s="90" t="s">
        <v>100</v>
      </c>
      <c r="N53" s="66">
        <v>0</v>
      </c>
      <c r="O53" s="66">
        <v>0.02</v>
      </c>
      <c r="P53" s="66">
        <v>0.1</v>
      </c>
      <c r="Q53" s="66">
        <v>0.02</v>
      </c>
      <c r="R53" s="27"/>
    </row>
    <row r="54" spans="1:18" ht="30.75" x14ac:dyDescent="0.9">
      <c r="B54" s="80"/>
      <c r="C54" s="90" t="s">
        <v>101</v>
      </c>
      <c r="D54" s="80"/>
      <c r="E54" s="80"/>
      <c r="F54" s="80"/>
      <c r="G54" s="80"/>
      <c r="H54" s="80"/>
      <c r="I54" s="80"/>
      <c r="J54" s="80"/>
      <c r="K54" s="80"/>
      <c r="L54" s="80"/>
      <c r="M54" s="90" t="s">
        <v>101</v>
      </c>
      <c r="N54" s="80"/>
      <c r="O54" s="80"/>
      <c r="P54" s="80"/>
      <c r="Q54" s="80"/>
      <c r="R54" s="80"/>
    </row>
    <row r="55" spans="1:18" x14ac:dyDescent="0.45">
      <c r="B55" s="3"/>
      <c r="C55" s="90" t="s">
        <v>49</v>
      </c>
      <c r="D55" s="67">
        <v>0.1</v>
      </c>
      <c r="E55" s="67">
        <v>0.14000000000000001</v>
      </c>
      <c r="F55" s="67">
        <v>0.25</v>
      </c>
      <c r="G55" s="67">
        <v>0.14000000000000001</v>
      </c>
      <c r="H55" s="27"/>
      <c r="L55" s="3"/>
      <c r="M55" s="90" t="s">
        <v>49</v>
      </c>
      <c r="N55" s="66">
        <v>0</v>
      </c>
      <c r="O55" s="66">
        <v>0.05</v>
      </c>
      <c r="P55" s="66">
        <v>0.12</v>
      </c>
      <c r="Q55" s="66">
        <v>0.05</v>
      </c>
      <c r="R55" s="27"/>
    </row>
    <row r="56" spans="1:18" x14ac:dyDescent="0.45">
      <c r="B56" s="3"/>
      <c r="C56" s="90" t="s">
        <v>102</v>
      </c>
      <c r="D56" s="67">
        <v>0.08</v>
      </c>
      <c r="E56" s="67">
        <v>0.1</v>
      </c>
      <c r="F56" s="67">
        <v>0.2</v>
      </c>
      <c r="G56" s="67">
        <v>0.1</v>
      </c>
      <c r="H56" s="27"/>
      <c r="L56" s="3"/>
      <c r="M56" s="90" t="s">
        <v>102</v>
      </c>
      <c r="N56" s="66">
        <v>0</v>
      </c>
      <c r="O56" s="66">
        <v>0.03</v>
      </c>
      <c r="P56" s="66">
        <v>0.1</v>
      </c>
      <c r="Q56" s="66">
        <v>0.03</v>
      </c>
      <c r="R56" s="27"/>
    </row>
    <row r="57" spans="1:18" x14ac:dyDescent="0.45">
      <c r="B57" s="3"/>
      <c r="C57" s="90" t="s">
        <v>103</v>
      </c>
      <c r="D57" s="67">
        <v>0.01</v>
      </c>
      <c r="E57" s="67">
        <v>0.06</v>
      </c>
      <c r="F57" s="67">
        <v>0.15</v>
      </c>
      <c r="G57" s="67">
        <v>0.06</v>
      </c>
      <c r="H57" s="27"/>
      <c r="L57" s="3"/>
      <c r="M57" s="90" t="s">
        <v>103</v>
      </c>
      <c r="N57" s="66">
        <v>0.01</v>
      </c>
      <c r="O57" s="66">
        <v>0.05</v>
      </c>
      <c r="P57" s="66">
        <v>0.1</v>
      </c>
      <c r="Q57" s="66">
        <v>0.05</v>
      </c>
      <c r="R57" s="27"/>
    </row>
    <row r="58" spans="1:18" x14ac:dyDescent="0.45">
      <c r="B58" s="14"/>
      <c r="C58" s="90" t="s">
        <v>104</v>
      </c>
      <c r="D58" s="33"/>
      <c r="E58" s="33"/>
      <c r="F58" s="33"/>
      <c r="G58" s="33"/>
      <c r="H58" s="33"/>
      <c r="L58" s="14"/>
      <c r="M58" s="90" t="s">
        <v>104</v>
      </c>
      <c r="N58" s="46"/>
      <c r="O58" s="47"/>
      <c r="P58" s="46"/>
      <c r="Q58" s="47"/>
      <c r="R58" s="33">
        <f>SUM(R49:R53,R55:R57)</f>
        <v>0</v>
      </c>
    </row>
    <row r="59" spans="1:18" ht="14.65" thickBot="1" x14ac:dyDescent="0.5">
      <c r="C59" s="90"/>
      <c r="D59" s="15"/>
      <c r="E59" s="15"/>
      <c r="F59" s="16"/>
      <c r="G59" s="15"/>
      <c r="H59" s="17"/>
      <c r="M59" s="90"/>
      <c r="N59" s="15"/>
      <c r="O59" s="15"/>
      <c r="P59" s="16"/>
      <c r="Q59" s="15"/>
      <c r="R59" s="17"/>
    </row>
    <row r="60" spans="1:18" ht="15" customHeight="1" x14ac:dyDescent="0.9">
      <c r="A60" s="80"/>
      <c r="B60" s="80"/>
      <c r="C60" s="90"/>
      <c r="D60" s="80"/>
      <c r="E60" s="80"/>
      <c r="F60" s="80"/>
      <c r="G60" s="80"/>
      <c r="H60" s="80"/>
      <c r="I60" s="80"/>
      <c r="J60" s="80"/>
      <c r="K60" s="80"/>
      <c r="L60" s="80"/>
      <c r="M60" s="90"/>
      <c r="N60" s="80"/>
      <c r="O60" s="80"/>
      <c r="P60" s="80"/>
      <c r="Q60" s="80"/>
      <c r="R60" s="80"/>
    </row>
    <row r="61" spans="1:18" x14ac:dyDescent="0.45">
      <c r="B61" s="18">
        <v>1</v>
      </c>
      <c r="C61" s="90" t="s">
        <v>390</v>
      </c>
      <c r="D61" s="48">
        <v>4.4999999999999997E-3</v>
      </c>
      <c r="E61" s="49"/>
      <c r="F61" s="49"/>
      <c r="G61" s="49"/>
      <c r="H61" s="25">
        <f>D61</f>
        <v>4.4999999999999997E-3</v>
      </c>
      <c r="L61" s="18">
        <v>1</v>
      </c>
      <c r="M61" s="90" t="s">
        <v>390</v>
      </c>
      <c r="N61" s="78">
        <v>4.4999999999999997E-3</v>
      </c>
      <c r="O61" s="79"/>
      <c r="P61" s="79"/>
      <c r="Q61" s="79"/>
      <c r="R61" s="25">
        <f>N61</f>
        <v>4.4999999999999997E-3</v>
      </c>
    </row>
    <row r="63" spans="1:18" x14ac:dyDescent="0.45">
      <c r="A63" s="29"/>
      <c r="B63" s="29"/>
      <c r="C63" s="29"/>
      <c r="D63" s="29"/>
      <c r="E63" s="29"/>
      <c r="L63" s="29"/>
      <c r="M63" s="29"/>
      <c r="N63" s="29"/>
      <c r="O63" s="29"/>
    </row>
    <row r="64" spans="1:18" x14ac:dyDescent="0.45">
      <c r="A64" s="29"/>
      <c r="B64" s="29"/>
      <c r="C64" s="29"/>
      <c r="D64" s="29"/>
      <c r="E64" s="29"/>
      <c r="L64" s="29"/>
      <c r="M64" s="29"/>
      <c r="N64" s="29"/>
      <c r="O64" s="29"/>
    </row>
    <row r="65" spans="1:19" x14ac:dyDescent="0.45">
      <c r="A65" s="29"/>
      <c r="B65" s="29"/>
      <c r="C65" s="29"/>
      <c r="D65" s="29"/>
      <c r="E65" s="29"/>
      <c r="L65" s="29"/>
      <c r="M65" s="29"/>
      <c r="N65" s="29"/>
      <c r="O65" s="29"/>
    </row>
    <row r="66" spans="1:19" x14ac:dyDescent="0.45">
      <c r="A66" s="29"/>
      <c r="B66" s="29"/>
      <c r="C66" s="29"/>
      <c r="D66" s="29"/>
      <c r="E66" s="29"/>
      <c r="L66" s="29"/>
      <c r="M66" s="29"/>
      <c r="N66" s="29"/>
      <c r="O66" s="29"/>
    </row>
    <row r="67" spans="1:19" x14ac:dyDescent="0.45">
      <c r="A67" s="29"/>
      <c r="B67" s="29"/>
      <c r="C67" s="29"/>
      <c r="D67" s="29"/>
      <c r="E67" s="29"/>
      <c r="L67" s="29"/>
      <c r="M67" s="29"/>
      <c r="N67" s="29"/>
      <c r="O67" s="29"/>
    </row>
    <row r="68" spans="1:19" x14ac:dyDescent="0.45">
      <c r="A68" s="29"/>
      <c r="B68" s="29"/>
      <c r="C68" s="29"/>
      <c r="D68" s="29"/>
      <c r="E68" s="29"/>
      <c r="L68" s="29"/>
      <c r="M68" s="29"/>
      <c r="N68" s="29"/>
      <c r="O68" s="29"/>
    </row>
    <row r="69" spans="1:19" x14ac:dyDescent="0.45">
      <c r="A69" s="29"/>
      <c r="B69" s="29"/>
      <c r="C69" s="29"/>
      <c r="D69" s="29"/>
      <c r="E69" s="29"/>
      <c r="L69" s="29"/>
      <c r="M69" s="29"/>
      <c r="N69" s="29"/>
      <c r="O69" s="29"/>
    </row>
    <row r="70" spans="1:19" x14ac:dyDescent="0.45">
      <c r="A70" s="29"/>
      <c r="B70" s="29"/>
      <c r="C70" s="29"/>
      <c r="D70" s="29"/>
      <c r="E70" s="29"/>
      <c r="L70" s="29"/>
      <c r="M70" s="29"/>
      <c r="N70" s="29"/>
      <c r="O70" s="29"/>
    </row>
    <row r="71" spans="1:19" x14ac:dyDescent="0.45">
      <c r="A71" s="29"/>
      <c r="B71" s="29"/>
      <c r="C71" s="29"/>
      <c r="D71" s="29"/>
      <c r="E71" s="29"/>
      <c r="L71" s="29"/>
      <c r="M71" s="29"/>
      <c r="N71" s="29"/>
      <c r="O71" s="29"/>
    </row>
    <row r="72" spans="1:19" s="30" customFormat="1" ht="14.25" hidden="1" customHeight="1" x14ac:dyDescent="0.45">
      <c r="I72" s="31"/>
      <c r="S72" s="31"/>
    </row>
    <row r="73" spans="1:19" ht="14.25" hidden="1" customHeight="1" x14ac:dyDescent="0.45">
      <c r="A73" s="29"/>
      <c r="B73" s="29"/>
      <c r="C73" s="29"/>
      <c r="D73" s="29"/>
      <c r="E73" s="29"/>
      <c r="L73" s="29"/>
      <c r="M73" s="29"/>
      <c r="N73" s="29"/>
      <c r="O73" s="29"/>
    </row>
    <row r="74" spans="1:19" ht="14.25" hidden="1" customHeight="1" x14ac:dyDescent="0.45">
      <c r="A74" s="29"/>
      <c r="B74" s="29"/>
      <c r="C74" s="29"/>
      <c r="D74" s="29"/>
      <c r="E74" s="29"/>
      <c r="L74" s="29"/>
      <c r="M74" s="29"/>
      <c r="N74" s="29"/>
      <c r="O74" s="29"/>
    </row>
    <row r="75" spans="1:19" ht="14.25" hidden="1" customHeight="1" x14ac:dyDescent="0.45">
      <c r="A75" s="29"/>
      <c r="C75" s="28"/>
      <c r="D75" s="50"/>
      <c r="E75" s="29"/>
      <c r="M75" s="72"/>
      <c r="N75" s="75"/>
      <c r="O75" s="29"/>
    </row>
    <row r="76" spans="1:19" ht="14.25" hidden="1" customHeight="1" x14ac:dyDescent="0.45">
      <c r="A76" s="29"/>
      <c r="C76" s="1"/>
      <c r="D76" s="19"/>
      <c r="E76" s="29"/>
      <c r="M76" s="1"/>
      <c r="N76" s="19"/>
      <c r="O76" s="29"/>
    </row>
    <row r="77" spans="1:19" ht="14.25" hidden="1" customHeight="1" x14ac:dyDescent="0.45">
      <c r="A77" s="29"/>
      <c r="C77" s="1"/>
      <c r="D77" s="19"/>
      <c r="E77" s="35"/>
      <c r="M77" s="1"/>
      <c r="N77" s="19"/>
      <c r="O77" s="35"/>
    </row>
    <row r="78" spans="1:19" ht="14.25" hidden="1" customHeight="1" x14ac:dyDescent="0.45">
      <c r="A78" s="29"/>
      <c r="C78" s="1"/>
      <c r="D78" s="19"/>
      <c r="E78" s="35"/>
      <c r="M78" s="1"/>
      <c r="N78" s="19"/>
      <c r="O78" s="35"/>
    </row>
    <row r="79" spans="1:19" ht="14.25" hidden="1" customHeight="1" x14ac:dyDescent="0.45">
      <c r="A79" s="29"/>
      <c r="C79" s="1"/>
      <c r="D79" s="19"/>
      <c r="E79" s="35"/>
      <c r="M79" s="1"/>
      <c r="N79" s="19"/>
      <c r="O79" s="35"/>
    </row>
    <row r="80" spans="1:19" ht="14.25" hidden="1" customHeight="1" x14ac:dyDescent="0.45">
      <c r="A80" s="29"/>
      <c r="C80" s="1"/>
      <c r="D80" s="19"/>
      <c r="E80" s="35"/>
      <c r="M80" s="1"/>
      <c r="N80" s="19"/>
      <c r="O80" s="35"/>
    </row>
    <row r="81" spans="1:15" ht="14.25" hidden="1" customHeight="1" x14ac:dyDescent="0.45">
      <c r="A81" s="29"/>
      <c r="C81" s="1"/>
      <c r="D81" s="19"/>
      <c r="E81" s="35"/>
      <c r="M81" s="1"/>
      <c r="N81" s="19"/>
      <c r="O81" s="35"/>
    </row>
    <row r="82" spans="1:15" ht="14.25" hidden="1" customHeight="1" x14ac:dyDescent="0.45">
      <c r="A82" s="29"/>
      <c r="C82" s="1"/>
      <c r="D82" s="19"/>
      <c r="E82" s="35"/>
      <c r="M82" s="1"/>
      <c r="N82" s="19"/>
      <c r="O82" s="35"/>
    </row>
    <row r="83" spans="1:15" ht="14.25" hidden="1" customHeight="1" x14ac:dyDescent="0.45">
      <c r="A83" s="29"/>
      <c r="C83" s="1"/>
      <c r="D83" s="20"/>
      <c r="E83" s="35"/>
      <c r="M83" s="1"/>
      <c r="N83" s="20"/>
      <c r="O83" s="35"/>
    </row>
    <row r="84" spans="1:15" ht="14.25" hidden="1" customHeight="1" x14ac:dyDescent="0.45">
      <c r="A84" s="29"/>
      <c r="C84" s="1"/>
      <c r="D84" s="20"/>
      <c r="E84" s="35"/>
      <c r="M84" s="1"/>
      <c r="N84" s="20"/>
      <c r="O84" s="35"/>
    </row>
    <row r="85" spans="1:15" ht="14.25" hidden="1" customHeight="1" x14ac:dyDescent="0.45">
      <c r="A85" s="29"/>
      <c r="C85" s="1"/>
      <c r="D85" s="19"/>
      <c r="E85" s="35"/>
      <c r="M85" s="1"/>
      <c r="N85" s="19"/>
      <c r="O85" s="35"/>
    </row>
    <row r="86" spans="1:15" ht="14.25" hidden="1" customHeight="1" x14ac:dyDescent="0.45">
      <c r="A86" s="29"/>
      <c r="C86" s="1"/>
      <c r="D86" s="19"/>
      <c r="E86" s="35"/>
      <c r="M86" s="1"/>
      <c r="N86" s="19"/>
      <c r="O86" s="35"/>
    </row>
    <row r="87" spans="1:15" ht="14.25" hidden="1" customHeight="1" x14ac:dyDescent="0.45">
      <c r="A87" s="29"/>
      <c r="C87" s="1"/>
      <c r="D87" s="19"/>
      <c r="E87" s="35"/>
      <c r="M87" s="1"/>
      <c r="N87" s="19"/>
      <c r="O87" s="35"/>
    </row>
    <row r="88" spans="1:15" ht="15" hidden="1" customHeight="1" x14ac:dyDescent="0.45">
      <c r="A88" s="29"/>
      <c r="C88" s="1"/>
      <c r="D88" s="19"/>
      <c r="E88" s="35"/>
      <c r="M88" s="1"/>
      <c r="N88" s="19"/>
      <c r="O88" s="35"/>
    </row>
    <row r="89" spans="1:15" ht="14.25" hidden="1" customHeight="1" x14ac:dyDescent="0.45">
      <c r="A89" s="29"/>
      <c r="E89" s="35"/>
      <c r="O89" s="35"/>
    </row>
    <row r="90" spans="1:15" ht="14.25" hidden="1" customHeight="1" x14ac:dyDescent="0.45">
      <c r="A90" s="29"/>
      <c r="C90" s="26"/>
      <c r="D90" s="26"/>
      <c r="E90" s="35"/>
      <c r="M90" s="76"/>
      <c r="N90" s="76"/>
      <c r="O90" s="35"/>
    </row>
    <row r="91" spans="1:15" ht="14.25" hidden="1" customHeight="1" x14ac:dyDescent="0.45">
      <c r="A91" s="29"/>
      <c r="C91" s="1"/>
      <c r="D91" s="20"/>
      <c r="E91" s="35"/>
      <c r="M91" s="1"/>
      <c r="N91" s="20"/>
      <c r="O91" s="35"/>
    </row>
    <row r="92" spans="1:15" ht="14.25" hidden="1" customHeight="1" x14ac:dyDescent="0.45">
      <c r="A92" s="29"/>
      <c r="C92" s="1"/>
      <c r="D92" s="20"/>
      <c r="E92" s="35"/>
      <c r="M92" s="1"/>
      <c r="N92" s="20"/>
      <c r="O92" s="35"/>
    </row>
    <row r="93" spans="1:15" ht="14.25" hidden="1" customHeight="1" x14ac:dyDescent="0.45">
      <c r="A93" s="29"/>
      <c r="C93" s="1"/>
      <c r="D93" s="20"/>
      <c r="E93" s="35"/>
      <c r="M93" s="1"/>
      <c r="N93" s="20"/>
      <c r="O93" s="35"/>
    </row>
    <row r="94" spans="1:15" ht="14.25" hidden="1" customHeight="1" x14ac:dyDescent="0.45">
      <c r="A94" s="29"/>
      <c r="C94" s="1"/>
      <c r="D94" s="20"/>
      <c r="E94" s="35"/>
      <c r="M94" s="1"/>
      <c r="N94" s="20"/>
      <c r="O94" s="35"/>
    </row>
    <row r="95" spans="1:15" ht="15" hidden="1" customHeight="1" x14ac:dyDescent="0.45">
      <c r="A95" s="29"/>
      <c r="C95" s="1"/>
      <c r="D95" s="20"/>
      <c r="E95" s="35"/>
      <c r="M95" s="1"/>
      <c r="N95" s="20"/>
      <c r="O95" s="35"/>
    </row>
    <row r="96" spans="1:15" ht="14.25" hidden="1" customHeight="1" x14ac:dyDescent="0.45">
      <c r="A96" s="29"/>
      <c r="C96" s="1"/>
      <c r="D96" s="20"/>
      <c r="E96" s="35"/>
      <c r="M96" s="1"/>
      <c r="N96" s="20"/>
      <c r="O96" s="35"/>
    </row>
    <row r="97" spans="1:15" ht="14.25" hidden="1" customHeight="1" x14ac:dyDescent="0.45">
      <c r="A97" s="29"/>
      <c r="C97" s="1"/>
      <c r="D97" s="20"/>
      <c r="E97" s="35"/>
      <c r="M97" s="1"/>
      <c r="N97" s="20"/>
      <c r="O97" s="35"/>
    </row>
    <row r="98" spans="1:15" ht="14.25" hidden="1" customHeight="1" x14ac:dyDescent="0.45">
      <c r="A98" s="29"/>
      <c r="C98" s="1"/>
      <c r="D98" s="20"/>
      <c r="E98" s="35"/>
      <c r="M98" s="1"/>
      <c r="N98" s="20"/>
      <c r="O98" s="35"/>
    </row>
    <row r="99" spans="1:15" ht="14.25" hidden="1" customHeight="1" x14ac:dyDescent="0.45">
      <c r="A99" s="29"/>
      <c r="D99" s="8"/>
      <c r="E99" s="35"/>
      <c r="N99" s="8"/>
      <c r="O99" s="35"/>
    </row>
    <row r="100" spans="1:15" ht="14.25" hidden="1" customHeight="1" x14ac:dyDescent="0.45">
      <c r="A100" s="29"/>
      <c r="C100" s="26"/>
      <c r="D100" s="26"/>
      <c r="E100" s="35"/>
      <c r="M100" s="76"/>
      <c r="N100" s="76"/>
      <c r="O100" s="35"/>
    </row>
    <row r="101" spans="1:15" ht="14.25" hidden="1" customHeight="1" x14ac:dyDescent="0.45">
      <c r="A101" s="29"/>
      <c r="C101" s="1"/>
      <c r="D101" s="20"/>
      <c r="E101" s="35"/>
      <c r="M101" s="1"/>
      <c r="N101" s="20"/>
      <c r="O101" s="35"/>
    </row>
    <row r="102" spans="1:15" ht="15" hidden="1" customHeight="1" x14ac:dyDescent="0.45">
      <c r="A102" s="29"/>
      <c r="C102" s="1"/>
      <c r="D102" s="20"/>
      <c r="E102" s="35"/>
      <c r="M102" s="1"/>
      <c r="N102" s="20"/>
      <c r="O102" s="35"/>
    </row>
    <row r="103" spans="1:15" ht="14.25" hidden="1" customHeight="1" x14ac:dyDescent="0.45">
      <c r="A103" s="29"/>
      <c r="C103" s="12"/>
      <c r="D103" s="21"/>
      <c r="E103" s="35"/>
      <c r="M103" s="12"/>
      <c r="N103" s="21"/>
      <c r="O103" s="35"/>
    </row>
    <row r="104" spans="1:15" ht="14.25" hidden="1" customHeight="1" x14ac:dyDescent="0.45">
      <c r="A104" s="29"/>
      <c r="C104" s="12"/>
      <c r="D104" s="21"/>
      <c r="E104" s="35"/>
      <c r="M104" s="12"/>
      <c r="N104" s="21"/>
      <c r="O104" s="35"/>
    </row>
    <row r="105" spans="1:15" ht="14.25" hidden="1" customHeight="1" x14ac:dyDescent="0.45">
      <c r="A105" s="29"/>
      <c r="C105" s="12"/>
      <c r="D105" s="21"/>
      <c r="E105" s="35"/>
      <c r="M105" s="12"/>
      <c r="N105" s="21"/>
      <c r="O105" s="35"/>
    </row>
    <row r="106" spans="1:15" ht="14.25" hidden="1" customHeight="1" x14ac:dyDescent="0.45">
      <c r="A106" s="29"/>
      <c r="C106" s="12"/>
      <c r="D106" s="34"/>
      <c r="E106" s="35"/>
      <c r="M106" s="12"/>
      <c r="N106" s="34"/>
      <c r="O106" s="35"/>
    </row>
    <row r="107" spans="1:15" ht="14.25" hidden="1" customHeight="1" x14ac:dyDescent="0.45">
      <c r="A107" s="29"/>
      <c r="C107" s="12"/>
      <c r="D107" s="20"/>
      <c r="E107" s="35"/>
      <c r="M107" s="12"/>
      <c r="N107" s="20"/>
      <c r="O107" s="35"/>
    </row>
    <row r="108" spans="1:15" ht="14.25" hidden="1" customHeight="1" x14ac:dyDescent="0.45">
      <c r="A108" s="29"/>
      <c r="C108" s="12"/>
      <c r="D108" s="34"/>
      <c r="E108" s="35"/>
      <c r="M108" s="12"/>
      <c r="N108" s="34"/>
      <c r="O108" s="35"/>
    </row>
    <row r="109" spans="1:15" ht="14.25" hidden="1" customHeight="1" x14ac:dyDescent="0.45">
      <c r="A109" s="29"/>
      <c r="C109" s="12"/>
      <c r="D109" s="34"/>
      <c r="E109" s="35"/>
      <c r="M109" s="12"/>
      <c r="N109" s="34"/>
      <c r="O109" s="35"/>
    </row>
    <row r="110" spans="1:15" ht="14.25" hidden="1" customHeight="1" x14ac:dyDescent="0.45">
      <c r="A110" s="29"/>
      <c r="C110" s="61"/>
      <c r="D110" s="61"/>
      <c r="E110" s="35"/>
      <c r="M110" s="77"/>
      <c r="N110" s="77"/>
      <c r="O110" s="35"/>
    </row>
    <row r="111" spans="1:15" ht="14.25" hidden="1" customHeight="1" x14ac:dyDescent="0.45">
      <c r="A111" s="29"/>
      <c r="C111" s="1"/>
      <c r="D111" s="20"/>
      <c r="E111" s="35"/>
      <c r="M111" s="1"/>
      <c r="N111" s="20"/>
      <c r="O111" s="35"/>
    </row>
    <row r="112" spans="1:15" ht="14.25" hidden="1" customHeight="1" x14ac:dyDescent="0.45">
      <c r="A112" s="29"/>
      <c r="C112" s="1"/>
      <c r="D112" s="20"/>
      <c r="E112" s="35"/>
      <c r="M112" s="1"/>
      <c r="N112" s="20"/>
      <c r="O112" s="35"/>
    </row>
    <row r="113" spans="1:15" ht="14.25" hidden="1" customHeight="1" x14ac:dyDescent="0.45">
      <c r="A113" s="29"/>
      <c r="C113" s="1"/>
      <c r="D113" s="20"/>
      <c r="E113" s="35"/>
      <c r="M113" s="1"/>
      <c r="N113" s="20"/>
      <c r="O113" s="35"/>
    </row>
    <row r="114" spans="1:15" ht="14.25" hidden="1" customHeight="1" x14ac:dyDescent="0.45">
      <c r="A114" s="29"/>
      <c r="C114" s="1"/>
      <c r="D114" s="20"/>
      <c r="E114" s="35"/>
      <c r="M114" s="1"/>
      <c r="N114" s="20"/>
      <c r="O114" s="35"/>
    </row>
    <row r="115" spans="1:15" ht="14.25" hidden="1" customHeight="1" x14ac:dyDescent="0.45">
      <c r="A115" s="29"/>
      <c r="C115" s="13"/>
      <c r="D115" s="22"/>
      <c r="E115" s="35"/>
      <c r="M115" s="13"/>
      <c r="N115" s="22"/>
      <c r="O115" s="35"/>
    </row>
    <row r="116" spans="1:15" x14ac:dyDescent="0.45">
      <c r="A116" s="29"/>
      <c r="C116" s="29"/>
      <c r="D116" s="29"/>
      <c r="L116" s="29"/>
      <c r="M116" s="29"/>
      <c r="N116" s="29"/>
      <c r="O116" s="29"/>
    </row>
    <row r="117" spans="1:15" x14ac:dyDescent="0.45">
      <c r="A117" s="29"/>
      <c r="C117" s="29"/>
      <c r="D117" s="29"/>
      <c r="L117" s="29"/>
      <c r="M117" s="29"/>
      <c r="N117" s="29"/>
      <c r="O117" s="29"/>
    </row>
    <row r="118" spans="1:15" x14ac:dyDescent="0.45">
      <c r="A118" s="29"/>
      <c r="C118" s="29"/>
      <c r="D118" s="29"/>
      <c r="L118" s="29"/>
      <c r="M118" s="29"/>
      <c r="N118" s="29"/>
      <c r="O118" s="29"/>
    </row>
    <row r="119" spans="1:15" x14ac:dyDescent="0.45">
      <c r="A119" s="29"/>
      <c r="C119" s="29"/>
      <c r="D119" s="29"/>
      <c r="L119" s="29"/>
      <c r="M119" s="29"/>
      <c r="N119" s="29"/>
      <c r="O119" s="29"/>
    </row>
    <row r="120" spans="1:15" x14ac:dyDescent="0.45">
      <c r="A120" s="29"/>
      <c r="C120" s="29"/>
      <c r="D120" s="29"/>
      <c r="L120" s="29"/>
      <c r="M120" s="29"/>
      <c r="N120" s="29"/>
      <c r="O120" s="29"/>
    </row>
    <row r="121" spans="1:15" x14ac:dyDescent="0.45">
      <c r="A121" s="29"/>
      <c r="C121" s="29"/>
      <c r="D121" s="29"/>
      <c r="L121" s="29"/>
      <c r="M121" s="29"/>
      <c r="N121" s="29"/>
      <c r="O121" s="29"/>
    </row>
    <row r="122" spans="1:15" x14ac:dyDescent="0.45">
      <c r="A122" s="29"/>
      <c r="C122" s="29"/>
      <c r="D122" s="29"/>
      <c r="L122" s="29"/>
      <c r="M122" s="29"/>
      <c r="N122" s="29"/>
      <c r="O122" s="29"/>
    </row>
    <row r="123" spans="1:15" x14ac:dyDescent="0.45">
      <c r="A123" s="29"/>
      <c r="C123" s="29"/>
      <c r="D123" s="29"/>
      <c r="L123" s="29"/>
      <c r="M123" s="29"/>
      <c r="N123" s="29"/>
      <c r="O123" s="29"/>
    </row>
    <row r="124" spans="1:15" x14ac:dyDescent="0.45">
      <c r="A124" s="29"/>
      <c r="C124" s="29"/>
      <c r="D124" s="29"/>
      <c r="E124" s="29"/>
      <c r="L124" s="29"/>
      <c r="M124" s="29"/>
      <c r="N124" s="29"/>
      <c r="O124" s="29"/>
    </row>
    <row r="125" spans="1:15" x14ac:dyDescent="0.45">
      <c r="A125" s="29"/>
      <c r="C125" s="29"/>
      <c r="D125" s="29"/>
      <c r="E125" s="29"/>
      <c r="L125" s="29"/>
      <c r="M125" s="29"/>
      <c r="N125" s="29"/>
      <c r="O125" s="29"/>
    </row>
    <row r="126" spans="1:15" x14ac:dyDescent="0.45">
      <c r="A126" s="29"/>
      <c r="C126" s="29"/>
      <c r="D126" s="29"/>
      <c r="E126" s="29"/>
      <c r="L126" s="29"/>
      <c r="M126" s="29"/>
      <c r="N126" s="29"/>
      <c r="O126" s="29"/>
    </row>
    <row r="127" spans="1:15" x14ac:dyDescent="0.45">
      <c r="A127" s="29"/>
      <c r="C127" s="29"/>
      <c r="D127" s="29"/>
      <c r="E127" s="29"/>
      <c r="L127" s="29"/>
      <c r="M127" s="29"/>
      <c r="N127" s="29"/>
      <c r="O127" s="29"/>
    </row>
    <row r="128" spans="1:15" x14ac:dyDescent="0.45">
      <c r="A128" s="29"/>
      <c r="C128" s="29"/>
      <c r="D128" s="29"/>
      <c r="E128" s="29"/>
      <c r="L128" s="29"/>
      <c r="M128" s="29"/>
      <c r="N128" s="29"/>
      <c r="O128" s="29"/>
    </row>
    <row r="129" spans="1:15" x14ac:dyDescent="0.45">
      <c r="A129" s="29"/>
      <c r="C129" s="29"/>
      <c r="D129" s="29"/>
      <c r="E129" s="29"/>
      <c r="L129" s="29"/>
      <c r="M129" s="29"/>
      <c r="N129" s="29"/>
      <c r="O129" s="29"/>
    </row>
    <row r="130" spans="1:15" x14ac:dyDescent="0.45">
      <c r="A130" s="29"/>
      <c r="C130" s="29"/>
      <c r="D130" s="29"/>
      <c r="E130" s="29"/>
      <c r="L130" s="29"/>
      <c r="M130" s="29"/>
      <c r="N130" s="29"/>
      <c r="O130" s="29"/>
    </row>
    <row r="131" spans="1:15" x14ac:dyDescent="0.45">
      <c r="A131" s="29"/>
      <c r="C131" s="29"/>
      <c r="D131" s="29"/>
      <c r="E131" s="29"/>
      <c r="L131" s="29"/>
      <c r="M131" s="29"/>
      <c r="N131" s="29"/>
      <c r="O131" s="29"/>
    </row>
    <row r="132" spans="1:15" x14ac:dyDescent="0.45">
      <c r="A132" s="29"/>
      <c r="B132" s="29"/>
      <c r="C132" s="29"/>
      <c r="D132" s="29"/>
      <c r="E132" s="29"/>
    </row>
    <row r="133" spans="1:15" x14ac:dyDescent="0.45">
      <c r="A133" s="29"/>
      <c r="B133" s="29"/>
      <c r="C133" s="29"/>
      <c r="D133" s="29"/>
      <c r="E133" s="29"/>
    </row>
  </sheetData>
  <mergeCells count="6">
    <mergeCell ref="N61:Q61"/>
    <mergeCell ref="M100:N100"/>
    <mergeCell ref="M110:N110"/>
    <mergeCell ref="M75:N75"/>
    <mergeCell ref="M90:N90"/>
    <mergeCell ref="R51:R5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EB08-95BB-4F2C-A774-ABE971D64740}">
  <sheetPr codeName="Sheet6"/>
  <dimension ref="A3:G46"/>
  <sheetViews>
    <sheetView workbookViewId="0">
      <selection activeCell="A23" sqref="A23"/>
    </sheetView>
  </sheetViews>
  <sheetFormatPr defaultRowHeight="14.25" x14ac:dyDescent="0.45"/>
  <cols>
    <col min="1" max="1" width="56.33203125" customWidth="1"/>
    <col min="2" max="2" width="14.06640625" bestFit="1" customWidth="1"/>
    <col min="3" max="3" width="53" bestFit="1" customWidth="1"/>
    <col min="4" max="4" width="55.3984375" bestFit="1" customWidth="1"/>
    <col min="5" max="5" width="20.86328125" bestFit="1" customWidth="1"/>
  </cols>
  <sheetData>
    <row r="3" spans="1:7" ht="60" customHeight="1" x14ac:dyDescent="0.45">
      <c r="A3" s="66" t="s">
        <v>168</v>
      </c>
      <c r="B3" s="66" t="s">
        <v>169</v>
      </c>
      <c r="C3" s="66" t="s">
        <v>170</v>
      </c>
      <c r="D3" s="66" t="s">
        <v>171</v>
      </c>
      <c r="E3" s="66"/>
      <c r="F3" s="66"/>
      <c r="G3" s="66"/>
    </row>
    <row r="4" spans="1:7" ht="32.25" customHeight="1" x14ac:dyDescent="0.45">
      <c r="A4" s="66" t="s">
        <v>172</v>
      </c>
      <c r="B4" s="66" t="s">
        <v>173</v>
      </c>
      <c r="C4" s="66">
        <v>0.45</v>
      </c>
      <c r="D4" s="66">
        <v>0.52</v>
      </c>
      <c r="E4" s="66"/>
      <c r="F4" s="66"/>
      <c r="G4" s="66"/>
    </row>
    <row r="5" spans="1:7" x14ac:dyDescent="0.45">
      <c r="A5" s="66" t="s">
        <v>172</v>
      </c>
      <c r="B5" s="66" t="s">
        <v>174</v>
      </c>
      <c r="C5" s="66">
        <v>0.78</v>
      </c>
      <c r="D5" s="66">
        <v>0.84</v>
      </c>
      <c r="E5" s="66"/>
      <c r="F5" s="66"/>
      <c r="G5" s="66"/>
    </row>
    <row r="6" spans="1:7" x14ac:dyDescent="0.45">
      <c r="A6" s="66" t="s">
        <v>172</v>
      </c>
      <c r="B6" s="66" t="s">
        <v>175</v>
      </c>
      <c r="C6" s="66">
        <v>0.95</v>
      </c>
      <c r="D6" s="66">
        <v>0.97</v>
      </c>
      <c r="E6" s="66"/>
      <c r="F6" s="66"/>
      <c r="G6" s="66"/>
    </row>
    <row r="7" spans="1:7" x14ac:dyDescent="0.45">
      <c r="A7" s="66" t="s">
        <v>176</v>
      </c>
      <c r="B7" s="66" t="s">
        <v>173</v>
      </c>
      <c r="C7" s="66">
        <v>0.38</v>
      </c>
      <c r="D7" s="66">
        <v>0.45</v>
      </c>
      <c r="E7" s="66"/>
      <c r="F7" s="66"/>
      <c r="G7" s="66"/>
    </row>
    <row r="8" spans="1:7" x14ac:dyDescent="0.45">
      <c r="A8" s="66" t="s">
        <v>176</v>
      </c>
      <c r="B8" s="66" t="s">
        <v>174</v>
      </c>
      <c r="C8" s="66">
        <v>0.72</v>
      </c>
      <c r="D8" s="66">
        <v>0.79</v>
      </c>
      <c r="E8" s="66"/>
      <c r="F8" s="66"/>
      <c r="G8" s="66"/>
    </row>
    <row r="9" spans="1:7" x14ac:dyDescent="0.45">
      <c r="A9" s="66" t="s">
        <v>176</v>
      </c>
      <c r="B9" s="66" t="s">
        <v>175</v>
      </c>
      <c r="C9" s="66">
        <v>0.92</v>
      </c>
      <c r="D9" s="66">
        <v>0.95</v>
      </c>
      <c r="E9" s="66"/>
      <c r="F9" s="66"/>
      <c r="G9" s="66"/>
    </row>
    <row r="10" spans="1:7" x14ac:dyDescent="0.45">
      <c r="A10" s="66" t="s">
        <v>177</v>
      </c>
      <c r="B10" s="66" t="s">
        <v>173</v>
      </c>
      <c r="C10" s="66">
        <v>0.22</v>
      </c>
      <c r="D10" s="66">
        <v>0.28000000000000003</v>
      </c>
      <c r="E10" s="66"/>
      <c r="F10" s="66"/>
      <c r="G10" s="66"/>
    </row>
    <row r="11" spans="1:7" x14ac:dyDescent="0.45">
      <c r="A11" s="66" t="s">
        <v>177</v>
      </c>
      <c r="B11" s="66" t="s">
        <v>174</v>
      </c>
      <c r="C11" s="66">
        <v>0.55000000000000004</v>
      </c>
      <c r="D11" s="66">
        <v>0.63</v>
      </c>
      <c r="E11" s="66"/>
      <c r="F11" s="66"/>
      <c r="G11" s="66"/>
    </row>
    <row r="12" spans="1:7" ht="30" customHeight="1" x14ac:dyDescent="0.45">
      <c r="A12" s="66" t="s">
        <v>177</v>
      </c>
      <c r="B12" s="66" t="s">
        <v>175</v>
      </c>
      <c r="C12" s="66">
        <v>0.8</v>
      </c>
      <c r="D12" s="66">
        <v>0.87</v>
      </c>
      <c r="E12" s="66"/>
      <c r="F12" s="66"/>
      <c r="G12" s="66"/>
    </row>
    <row r="13" spans="1:7" ht="63" customHeight="1" x14ac:dyDescent="0.45">
      <c r="A13" s="66" t="s">
        <v>178</v>
      </c>
      <c r="B13" s="66" t="s">
        <v>173</v>
      </c>
      <c r="C13" s="66">
        <v>0.18</v>
      </c>
      <c r="D13" s="66">
        <v>0.24</v>
      </c>
      <c r="E13" s="66"/>
      <c r="F13" s="66"/>
      <c r="G13" s="66"/>
    </row>
    <row r="14" spans="1:7" x14ac:dyDescent="0.45">
      <c r="A14" s="66" t="s">
        <v>178</v>
      </c>
      <c r="B14" s="66" t="s">
        <v>174</v>
      </c>
      <c r="C14" s="66">
        <v>0.5</v>
      </c>
      <c r="D14" s="66">
        <v>0.57999999999999996</v>
      </c>
      <c r="E14" s="66"/>
      <c r="F14" s="66"/>
      <c r="G14" s="66"/>
    </row>
    <row r="15" spans="1:7" x14ac:dyDescent="0.45">
      <c r="A15" s="66" t="s">
        <v>178</v>
      </c>
      <c r="B15" s="66" t="s">
        <v>175</v>
      </c>
      <c r="C15" s="66">
        <v>0.77</v>
      </c>
      <c r="D15" s="66">
        <v>0.84</v>
      </c>
      <c r="E15" s="66"/>
      <c r="F15" s="66"/>
      <c r="G15" s="66"/>
    </row>
    <row r="16" spans="1:7" x14ac:dyDescent="0.45">
      <c r="A16" s="66" t="s">
        <v>179</v>
      </c>
      <c r="B16" s="66" t="s">
        <v>180</v>
      </c>
      <c r="C16" s="66" t="s">
        <v>173</v>
      </c>
      <c r="D16" s="66" t="s">
        <v>181</v>
      </c>
      <c r="E16" s="66" t="s">
        <v>181</v>
      </c>
      <c r="F16" s="66"/>
      <c r="G16" s="66"/>
    </row>
    <row r="17" spans="1:7" x14ac:dyDescent="0.45">
      <c r="A17" s="66" t="s">
        <v>179</v>
      </c>
      <c r="B17" s="66" t="s">
        <v>180</v>
      </c>
      <c r="C17" s="66" t="s">
        <v>174</v>
      </c>
      <c r="D17" s="66" t="s">
        <v>181</v>
      </c>
      <c r="E17" s="66" t="s">
        <v>181</v>
      </c>
      <c r="F17" s="66"/>
      <c r="G17" s="66"/>
    </row>
    <row r="18" spans="1:7" x14ac:dyDescent="0.45">
      <c r="A18" s="66" t="s">
        <v>179</v>
      </c>
      <c r="B18" s="66" t="s">
        <v>180</v>
      </c>
      <c r="C18" s="66" t="s">
        <v>175</v>
      </c>
      <c r="D18" s="66" t="s">
        <v>181</v>
      </c>
      <c r="E18" s="66" t="s">
        <v>181</v>
      </c>
      <c r="F18" s="66"/>
      <c r="G18" s="66"/>
    </row>
    <row r="46" spans="1:1" ht="15.75" x14ac:dyDescent="0.45">
      <c r="A46" s="45"/>
    </row>
  </sheetData>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2544-092D-4F09-94D7-435C4B0CE094}">
  <sheetPr codeName="Sheet7"/>
  <dimension ref="A1:K11"/>
  <sheetViews>
    <sheetView workbookViewId="0">
      <selection activeCell="C28" sqref="C28"/>
    </sheetView>
  </sheetViews>
  <sheetFormatPr defaultRowHeight="14.25" x14ac:dyDescent="0.45"/>
  <cols>
    <col min="1" max="1" width="63.6640625" customWidth="1"/>
    <col min="2" max="2" width="47.9296875" bestFit="1" customWidth="1"/>
    <col min="3" max="3" width="51.3984375" bestFit="1" customWidth="1"/>
    <col min="4" max="4" width="26.19921875" bestFit="1" customWidth="1"/>
    <col min="5" max="5" width="50.19921875" bestFit="1" customWidth="1"/>
    <col min="6" max="6" width="52.33203125" bestFit="1" customWidth="1"/>
    <col min="7" max="7" width="28.59765625" bestFit="1" customWidth="1"/>
    <col min="8" max="8" width="10.33203125" bestFit="1" customWidth="1"/>
    <col min="9" max="9" width="11" bestFit="1" customWidth="1"/>
    <col min="10" max="10" width="11.33203125" bestFit="1" customWidth="1"/>
  </cols>
  <sheetData>
    <row r="1" spans="1:11" ht="20" customHeight="1" x14ac:dyDescent="0.45">
      <c r="A1" s="39" t="s">
        <v>105</v>
      </c>
    </row>
    <row r="4" spans="1:11" x14ac:dyDescent="0.45">
      <c r="A4" s="66" t="s">
        <v>106</v>
      </c>
      <c r="B4" s="66" t="s">
        <v>182</v>
      </c>
      <c r="C4" s="66" t="s">
        <v>183</v>
      </c>
      <c r="D4" s="66" t="s">
        <v>184</v>
      </c>
      <c r="E4" s="66" t="s">
        <v>185</v>
      </c>
      <c r="F4" s="66" t="s">
        <v>186</v>
      </c>
      <c r="G4" s="66" t="s">
        <v>187</v>
      </c>
      <c r="H4" s="42"/>
      <c r="I4" s="42"/>
      <c r="J4" s="42"/>
      <c r="K4" s="42"/>
    </row>
    <row r="5" spans="1:11" x14ac:dyDescent="0.45">
      <c r="A5" s="66" t="s">
        <v>188</v>
      </c>
      <c r="B5" s="66">
        <v>8.4000000000000005E-2</v>
      </c>
      <c r="C5" s="66">
        <v>7.9000000000000001E-2</v>
      </c>
      <c r="D5" s="66">
        <v>5.0000000000000001E-3</v>
      </c>
      <c r="E5" s="66">
        <v>0.128</v>
      </c>
      <c r="F5" s="66">
        <v>0.121</v>
      </c>
      <c r="G5" s="66">
        <v>7.0000000000000001E-3</v>
      </c>
      <c r="H5" s="42"/>
      <c r="I5" s="42"/>
      <c r="J5" s="42"/>
      <c r="K5" s="42"/>
    </row>
    <row r="6" spans="1:11" x14ac:dyDescent="0.45">
      <c r="A6" s="66" t="s">
        <v>189</v>
      </c>
      <c r="B6" s="66">
        <v>-4.9000000000000002E-2</v>
      </c>
      <c r="C6" s="66">
        <v>-5.6000000000000001E-2</v>
      </c>
      <c r="D6" s="66">
        <v>7.0000000000000001E-3</v>
      </c>
      <c r="E6" s="66">
        <v>-7.8E-2</v>
      </c>
      <c r="F6" s="66">
        <v>-8.5999999999999993E-2</v>
      </c>
      <c r="G6" s="66">
        <v>8.0000000000000002E-3</v>
      </c>
      <c r="H6" s="42"/>
      <c r="I6" s="42"/>
      <c r="J6" s="42"/>
      <c r="K6" s="42"/>
    </row>
    <row r="7" spans="1:11" x14ac:dyDescent="0.45">
      <c r="A7" s="66" t="s">
        <v>190</v>
      </c>
      <c r="B7" s="66">
        <v>-1.2E-2</v>
      </c>
      <c r="C7" s="66">
        <v>-1.7999999999999999E-2</v>
      </c>
      <c r="D7" s="66">
        <v>6.0000000000000001E-3</v>
      </c>
      <c r="E7" s="66">
        <v>-2.1000000000000001E-2</v>
      </c>
      <c r="F7" s="66">
        <v>-2.7E-2</v>
      </c>
      <c r="G7" s="66">
        <v>6.0000000000000001E-3</v>
      </c>
      <c r="H7" s="42"/>
      <c r="I7" s="42"/>
      <c r="J7" s="42"/>
      <c r="K7" s="42"/>
    </row>
    <row r="8" spans="1:11" x14ac:dyDescent="0.45">
      <c r="A8" s="66" t="s">
        <v>191</v>
      </c>
      <c r="B8" s="66">
        <v>3.6999999999999998E-2</v>
      </c>
      <c r="C8" s="66">
        <v>3.2000000000000001E-2</v>
      </c>
      <c r="D8" s="66">
        <v>5.0000000000000001E-3</v>
      </c>
      <c r="E8" s="66">
        <v>5.0999999999999997E-2</v>
      </c>
      <c r="F8" s="66">
        <v>4.5999999999999999E-2</v>
      </c>
      <c r="G8" s="66">
        <v>5.0000000000000001E-3</v>
      </c>
      <c r="H8" s="42"/>
      <c r="I8" s="42"/>
      <c r="J8" s="42"/>
      <c r="K8" s="42"/>
    </row>
    <row r="9" spans="1:11" x14ac:dyDescent="0.45">
      <c r="A9" s="66" t="s">
        <v>192</v>
      </c>
      <c r="B9" s="66">
        <v>-2.5999999999999999E-2</v>
      </c>
      <c r="C9" s="66">
        <v>-3.1E-2</v>
      </c>
      <c r="D9" s="66">
        <v>5.0000000000000001E-3</v>
      </c>
      <c r="E9" s="66">
        <v>-4.3999999999999997E-2</v>
      </c>
      <c r="F9" s="66">
        <v>-0.05</v>
      </c>
      <c r="G9" s="66">
        <v>6.0000000000000001E-3</v>
      </c>
      <c r="H9" s="42"/>
      <c r="I9" s="42"/>
      <c r="J9" s="42"/>
      <c r="K9" s="42"/>
    </row>
    <row r="10" spans="1:11" x14ac:dyDescent="0.45">
      <c r="A10" s="66" t="s">
        <v>193</v>
      </c>
      <c r="B10" s="66">
        <v>-6.8000000000000005E-2</v>
      </c>
      <c r="C10" s="66">
        <v>-7.3999999999999996E-2</v>
      </c>
      <c r="D10" s="66">
        <v>6.0000000000000001E-3</v>
      </c>
      <c r="E10" s="66">
        <v>-0.109</v>
      </c>
      <c r="F10" s="66">
        <v>-0.11700000000000001</v>
      </c>
      <c r="G10" s="66">
        <v>8.0000000000000002E-3</v>
      </c>
      <c r="H10" s="42"/>
      <c r="I10" s="42"/>
      <c r="J10" s="42"/>
      <c r="K10" s="42"/>
    </row>
    <row r="11" spans="1:11" x14ac:dyDescent="0.45">
      <c r="A11" s="66" t="s">
        <v>194</v>
      </c>
      <c r="B11" s="66">
        <v>-1.7000000000000001E-2</v>
      </c>
      <c r="C11" s="66">
        <v>-2.1999999999999999E-2</v>
      </c>
      <c r="D11" s="66">
        <v>5.0000000000000001E-3</v>
      </c>
      <c r="E11" s="66">
        <v>-2.9000000000000001E-2</v>
      </c>
      <c r="F11" s="66">
        <v>-3.5999999999999997E-2</v>
      </c>
      <c r="G11" s="66">
        <v>7.0000000000000001E-3</v>
      </c>
    </row>
  </sheetData>
  <phoneticPr fontId="1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6B53-6F4A-4AE7-9E73-7F6627CBF9B0}">
  <sheetPr codeName="Sheet8"/>
  <dimension ref="A3:I30"/>
  <sheetViews>
    <sheetView workbookViewId="0">
      <pane xSplit="1" ySplit="3" topLeftCell="B4" activePane="bottomRight" state="frozen"/>
      <selection pane="topRight" activeCell="B1" sqref="B1"/>
      <selection pane="bottomLeft" activeCell="A4" sqref="A4"/>
      <selection pane="bottomRight" activeCell="B11" sqref="B11"/>
    </sheetView>
  </sheetViews>
  <sheetFormatPr defaultRowHeight="14.25" x14ac:dyDescent="0.45"/>
  <cols>
    <col min="1" max="1" width="56.53125" customWidth="1"/>
    <col min="2" max="2" width="35.6640625" customWidth="1"/>
    <col min="3" max="3" width="45.6640625" bestFit="1" customWidth="1"/>
    <col min="4" max="4" width="17.33203125" customWidth="1"/>
    <col min="5" max="5" width="25.33203125" customWidth="1"/>
    <col min="6" max="6" width="23" customWidth="1"/>
    <col min="7" max="7" width="20.86328125" bestFit="1" customWidth="1"/>
    <col min="8" max="8" width="30.73046875" customWidth="1"/>
    <col min="9" max="9" width="41.265625" bestFit="1" customWidth="1"/>
  </cols>
  <sheetData>
    <row r="3" spans="1:9" ht="26.25" x14ac:dyDescent="0.45">
      <c r="A3" s="68" t="s">
        <v>107</v>
      </c>
      <c r="B3" s="68" t="s">
        <v>197</v>
      </c>
      <c r="C3" s="68" t="s">
        <v>112</v>
      </c>
      <c r="D3" s="68" t="s">
        <v>108</v>
      </c>
      <c r="E3" s="68" t="s">
        <v>195</v>
      </c>
      <c r="F3" s="68" t="s">
        <v>109</v>
      </c>
      <c r="G3" s="68" t="s">
        <v>196</v>
      </c>
      <c r="H3" s="68" t="s">
        <v>223</v>
      </c>
      <c r="I3" s="68" t="s">
        <v>110</v>
      </c>
    </row>
    <row r="4" spans="1:9" ht="65.650000000000006" x14ac:dyDescent="0.45">
      <c r="A4" s="69" t="s">
        <v>198</v>
      </c>
      <c r="B4" s="69" t="s">
        <v>224</v>
      </c>
      <c r="C4" s="69" t="s">
        <v>49</v>
      </c>
      <c r="D4" s="69" t="s">
        <v>225</v>
      </c>
      <c r="E4" s="69" t="s">
        <v>226</v>
      </c>
      <c r="F4" s="69" t="s">
        <v>367</v>
      </c>
      <c r="G4" s="69" t="s">
        <v>227</v>
      </c>
      <c r="H4" s="69" t="s">
        <v>228</v>
      </c>
      <c r="I4" s="69" t="s">
        <v>229</v>
      </c>
    </row>
    <row r="5" spans="1:9" ht="52.5" x14ac:dyDescent="0.45">
      <c r="A5" s="69" t="s">
        <v>199</v>
      </c>
      <c r="B5" s="69" t="s">
        <v>230</v>
      </c>
      <c r="C5" s="69" t="s">
        <v>49</v>
      </c>
      <c r="D5" s="69" t="s">
        <v>231</v>
      </c>
      <c r="E5" s="69" t="s">
        <v>232</v>
      </c>
      <c r="F5" s="69" t="s">
        <v>368</v>
      </c>
      <c r="G5" s="69" t="s">
        <v>233</v>
      </c>
      <c r="H5" s="69" t="s">
        <v>234</v>
      </c>
      <c r="I5" s="69" t="s">
        <v>235</v>
      </c>
    </row>
    <row r="6" spans="1:9" ht="65.650000000000006" x14ac:dyDescent="0.45">
      <c r="A6" s="69" t="s">
        <v>200</v>
      </c>
      <c r="B6" s="69" t="s">
        <v>236</v>
      </c>
      <c r="C6" s="69" t="s">
        <v>201</v>
      </c>
      <c r="D6" s="69" t="s">
        <v>237</v>
      </c>
      <c r="E6" s="69" t="s">
        <v>238</v>
      </c>
      <c r="F6" s="69" t="s">
        <v>369</v>
      </c>
      <c r="G6" s="69" t="s">
        <v>239</v>
      </c>
      <c r="H6" s="69" t="s">
        <v>240</v>
      </c>
      <c r="I6" s="69" t="s">
        <v>241</v>
      </c>
    </row>
    <row r="7" spans="1:9" ht="78.75" x14ac:dyDescent="0.45">
      <c r="A7" s="69" t="s">
        <v>202</v>
      </c>
      <c r="B7" s="69" t="s">
        <v>242</v>
      </c>
      <c r="C7" s="69" t="s">
        <v>201</v>
      </c>
      <c r="D7" s="69" t="s">
        <v>243</v>
      </c>
      <c r="E7" s="69" t="s">
        <v>244</v>
      </c>
      <c r="F7" s="69" t="s">
        <v>370</v>
      </c>
      <c r="G7" s="69" t="s">
        <v>245</v>
      </c>
      <c r="H7" s="69" t="s">
        <v>246</v>
      </c>
      <c r="I7" s="69" t="s">
        <v>247</v>
      </c>
    </row>
    <row r="8" spans="1:9" ht="52.5" x14ac:dyDescent="0.45">
      <c r="A8" s="69" t="s">
        <v>203</v>
      </c>
      <c r="B8" s="69" t="s">
        <v>248</v>
      </c>
      <c r="C8" s="69" t="s">
        <v>97</v>
      </c>
      <c r="D8" s="69" t="s">
        <v>249</v>
      </c>
      <c r="E8" s="69" t="s">
        <v>250</v>
      </c>
      <c r="F8" s="69" t="s">
        <v>371</v>
      </c>
      <c r="G8" s="69" t="s">
        <v>251</v>
      </c>
      <c r="H8" s="69" t="s">
        <v>252</v>
      </c>
      <c r="I8" s="69" t="s">
        <v>253</v>
      </c>
    </row>
    <row r="9" spans="1:9" ht="52.5" x14ac:dyDescent="0.45">
      <c r="A9" s="69" t="s">
        <v>204</v>
      </c>
      <c r="B9" s="69" t="s">
        <v>254</v>
      </c>
      <c r="C9" s="69" t="s">
        <v>97</v>
      </c>
      <c r="D9" s="69" t="s">
        <v>255</v>
      </c>
      <c r="E9" s="69" t="s">
        <v>256</v>
      </c>
      <c r="F9" s="69" t="s">
        <v>372</v>
      </c>
      <c r="G9" s="69" t="s">
        <v>257</v>
      </c>
      <c r="H9" s="69" t="s">
        <v>258</v>
      </c>
      <c r="I9" s="69" t="s">
        <v>259</v>
      </c>
    </row>
    <row r="10" spans="1:9" ht="52.5" x14ac:dyDescent="0.45">
      <c r="A10" s="69" t="s">
        <v>205</v>
      </c>
      <c r="B10" s="69" t="s">
        <v>260</v>
      </c>
      <c r="C10" s="69" t="s">
        <v>97</v>
      </c>
      <c r="D10" s="69" t="s">
        <v>261</v>
      </c>
      <c r="E10" s="69" t="s">
        <v>262</v>
      </c>
      <c r="F10" s="69" t="s">
        <v>263</v>
      </c>
      <c r="G10" s="69" t="s">
        <v>264</v>
      </c>
      <c r="H10" s="69" t="s">
        <v>265</v>
      </c>
      <c r="I10" s="69" t="s">
        <v>266</v>
      </c>
    </row>
    <row r="11" spans="1:9" ht="65.650000000000006" x14ac:dyDescent="0.45">
      <c r="A11" s="69" t="s">
        <v>206</v>
      </c>
      <c r="B11" s="69" t="s">
        <v>267</v>
      </c>
      <c r="C11" s="69" t="s">
        <v>49</v>
      </c>
      <c r="D11" s="69" t="s">
        <v>268</v>
      </c>
      <c r="E11" s="69" t="s">
        <v>232</v>
      </c>
      <c r="F11" s="69" t="s">
        <v>373</v>
      </c>
      <c r="G11" s="69" t="s">
        <v>269</v>
      </c>
      <c r="H11" s="69" t="s">
        <v>270</v>
      </c>
      <c r="I11" s="69" t="s">
        <v>271</v>
      </c>
    </row>
    <row r="12" spans="1:9" ht="39.4" x14ac:dyDescent="0.45">
      <c r="A12" s="69" t="s">
        <v>207</v>
      </c>
      <c r="B12" s="69" t="s">
        <v>272</v>
      </c>
      <c r="C12" s="69" t="s">
        <v>96</v>
      </c>
      <c r="D12" s="69" t="s">
        <v>273</v>
      </c>
      <c r="E12" s="69" t="s">
        <v>274</v>
      </c>
      <c r="F12" s="69" t="s">
        <v>275</v>
      </c>
      <c r="G12" s="69" t="s">
        <v>276</v>
      </c>
      <c r="H12" s="69" t="s">
        <v>277</v>
      </c>
      <c r="I12" s="69" t="s">
        <v>278</v>
      </c>
    </row>
    <row r="13" spans="1:9" ht="52.5" x14ac:dyDescent="0.45">
      <c r="A13" s="69" t="s">
        <v>208</v>
      </c>
      <c r="B13" s="69" t="s">
        <v>279</v>
      </c>
      <c r="C13" s="69" t="s">
        <v>97</v>
      </c>
      <c r="D13" s="69" t="s">
        <v>280</v>
      </c>
      <c r="E13" s="69" t="s">
        <v>281</v>
      </c>
      <c r="F13" s="69" t="s">
        <v>371</v>
      </c>
      <c r="G13" s="69" t="s">
        <v>282</v>
      </c>
      <c r="H13" s="69" t="s">
        <v>283</v>
      </c>
      <c r="I13" s="69" t="s">
        <v>266</v>
      </c>
    </row>
    <row r="14" spans="1:9" ht="65.650000000000006" x14ac:dyDescent="0.45">
      <c r="A14" s="69" t="s">
        <v>284</v>
      </c>
      <c r="B14" s="69" t="s">
        <v>285</v>
      </c>
      <c r="C14" s="69" t="s">
        <v>97</v>
      </c>
      <c r="D14" s="69" t="s">
        <v>286</v>
      </c>
      <c r="E14" s="69" t="s">
        <v>287</v>
      </c>
      <c r="F14" s="69" t="s">
        <v>374</v>
      </c>
      <c r="G14" s="69" t="s">
        <v>288</v>
      </c>
      <c r="H14" s="69" t="s">
        <v>289</v>
      </c>
      <c r="I14" s="69" t="s">
        <v>253</v>
      </c>
    </row>
    <row r="15" spans="1:9" ht="65.650000000000006" x14ac:dyDescent="0.45">
      <c r="A15" s="69" t="s">
        <v>209</v>
      </c>
      <c r="B15" s="69" t="s">
        <v>290</v>
      </c>
      <c r="C15" s="69" t="s">
        <v>97</v>
      </c>
      <c r="D15" s="69" t="s">
        <v>291</v>
      </c>
      <c r="E15" s="69" t="s">
        <v>292</v>
      </c>
      <c r="F15" s="69" t="s">
        <v>375</v>
      </c>
      <c r="G15" s="69" t="s">
        <v>293</v>
      </c>
      <c r="H15" s="69" t="s">
        <v>294</v>
      </c>
      <c r="I15" s="69" t="s">
        <v>259</v>
      </c>
    </row>
    <row r="16" spans="1:9" ht="52.5" x14ac:dyDescent="0.45">
      <c r="A16" s="69" t="s">
        <v>210</v>
      </c>
      <c r="B16" s="69" t="s">
        <v>295</v>
      </c>
      <c r="C16" s="69" t="s">
        <v>96</v>
      </c>
      <c r="D16" s="69" t="s">
        <v>296</v>
      </c>
      <c r="E16" s="69" t="s">
        <v>297</v>
      </c>
      <c r="F16" s="69" t="s">
        <v>298</v>
      </c>
      <c r="G16" s="69" t="s">
        <v>299</v>
      </c>
      <c r="H16" s="69" t="s">
        <v>300</v>
      </c>
      <c r="I16" s="69" t="s">
        <v>301</v>
      </c>
    </row>
    <row r="17" spans="1:9" ht="52.5" x14ac:dyDescent="0.45">
      <c r="A17" s="69" t="s">
        <v>211</v>
      </c>
      <c r="B17" s="69" t="s">
        <v>302</v>
      </c>
      <c r="C17" s="69" t="s">
        <v>96</v>
      </c>
      <c r="D17" s="69" t="s">
        <v>303</v>
      </c>
      <c r="E17" s="69" t="s">
        <v>274</v>
      </c>
      <c r="F17" s="69" t="s">
        <v>372</v>
      </c>
      <c r="G17" s="69" t="s">
        <v>304</v>
      </c>
      <c r="H17" s="69" t="s">
        <v>305</v>
      </c>
      <c r="I17" s="69" t="s">
        <v>259</v>
      </c>
    </row>
    <row r="18" spans="1:9" ht="52.5" x14ac:dyDescent="0.45">
      <c r="A18" s="69" t="s">
        <v>212</v>
      </c>
      <c r="B18" s="69" t="s">
        <v>306</v>
      </c>
      <c r="C18" s="69" t="s">
        <v>213</v>
      </c>
      <c r="D18" s="69" t="s">
        <v>307</v>
      </c>
      <c r="E18" s="69" t="s">
        <v>308</v>
      </c>
      <c r="F18" s="69" t="s">
        <v>376</v>
      </c>
      <c r="G18" s="69" t="s">
        <v>309</v>
      </c>
      <c r="H18" s="69" t="s">
        <v>310</v>
      </c>
      <c r="I18" s="69" t="s">
        <v>259</v>
      </c>
    </row>
    <row r="19" spans="1:9" ht="39.4" x14ac:dyDescent="0.45">
      <c r="A19" s="69" t="s">
        <v>214</v>
      </c>
      <c r="B19" s="69" t="s">
        <v>311</v>
      </c>
      <c r="C19" s="69" t="s">
        <v>96</v>
      </c>
      <c r="D19" s="69" t="s">
        <v>312</v>
      </c>
      <c r="E19" s="69" t="s">
        <v>313</v>
      </c>
      <c r="F19" s="69" t="s">
        <v>314</v>
      </c>
      <c r="G19" s="69" t="s">
        <v>315</v>
      </c>
      <c r="H19" s="69" t="s">
        <v>316</v>
      </c>
      <c r="I19" s="69" t="s">
        <v>317</v>
      </c>
    </row>
    <row r="20" spans="1:9" ht="39.4" x14ac:dyDescent="0.45">
      <c r="A20" s="69" t="s">
        <v>215</v>
      </c>
      <c r="B20" s="69" t="s">
        <v>318</v>
      </c>
      <c r="C20" s="69" t="s">
        <v>97</v>
      </c>
      <c r="D20" s="69" t="s">
        <v>319</v>
      </c>
      <c r="E20" s="69" t="s">
        <v>320</v>
      </c>
      <c r="F20" s="69" t="s">
        <v>314</v>
      </c>
      <c r="G20" s="69" t="s">
        <v>321</v>
      </c>
      <c r="H20" s="69" t="s">
        <v>322</v>
      </c>
      <c r="I20" s="69" t="s">
        <v>323</v>
      </c>
    </row>
    <row r="21" spans="1:9" ht="52.5" x14ac:dyDescent="0.45">
      <c r="A21" s="69" t="s">
        <v>216</v>
      </c>
      <c r="B21" s="69" t="s">
        <v>324</v>
      </c>
      <c r="C21" s="69" t="s">
        <v>96</v>
      </c>
      <c r="D21" s="69" t="s">
        <v>325</v>
      </c>
      <c r="E21" s="69" t="s">
        <v>326</v>
      </c>
      <c r="F21" s="69" t="s">
        <v>377</v>
      </c>
      <c r="G21" s="69" t="s">
        <v>327</v>
      </c>
      <c r="H21" s="69" t="s">
        <v>328</v>
      </c>
      <c r="I21" s="69" t="s">
        <v>266</v>
      </c>
    </row>
    <row r="22" spans="1:9" ht="52.5" x14ac:dyDescent="0.45">
      <c r="A22" s="69" t="s">
        <v>217</v>
      </c>
      <c r="B22" s="69" t="s">
        <v>272</v>
      </c>
      <c r="C22" s="69" t="s">
        <v>97</v>
      </c>
      <c r="D22" s="69" t="s">
        <v>329</v>
      </c>
      <c r="E22" s="69" t="s">
        <v>330</v>
      </c>
      <c r="F22" s="69" t="s">
        <v>331</v>
      </c>
      <c r="G22" s="69" t="s">
        <v>332</v>
      </c>
      <c r="H22" s="69" t="s">
        <v>333</v>
      </c>
      <c r="I22" s="69" t="s">
        <v>334</v>
      </c>
    </row>
    <row r="23" spans="1:9" ht="39.4" x14ac:dyDescent="0.45">
      <c r="A23" s="69" t="s">
        <v>218</v>
      </c>
      <c r="B23" s="69" t="s">
        <v>302</v>
      </c>
      <c r="C23" s="69" t="s">
        <v>49</v>
      </c>
      <c r="D23" s="69" t="s">
        <v>335</v>
      </c>
      <c r="E23" s="69" t="s">
        <v>336</v>
      </c>
      <c r="F23" s="69" t="s">
        <v>378</v>
      </c>
      <c r="G23" s="69" t="s">
        <v>337</v>
      </c>
      <c r="H23" s="69" t="s">
        <v>338</v>
      </c>
      <c r="I23" s="69" t="s">
        <v>339</v>
      </c>
    </row>
    <row r="24" spans="1:9" ht="52.5" x14ac:dyDescent="0.45">
      <c r="A24" s="69" t="s">
        <v>50</v>
      </c>
      <c r="B24" s="69" t="s">
        <v>340</v>
      </c>
      <c r="C24" s="69" t="s">
        <v>97</v>
      </c>
      <c r="D24" s="69" t="s">
        <v>341</v>
      </c>
      <c r="E24" s="69" t="s">
        <v>342</v>
      </c>
      <c r="F24" s="69" t="s">
        <v>377</v>
      </c>
      <c r="G24" s="69" t="s">
        <v>343</v>
      </c>
      <c r="H24" s="69" t="s">
        <v>344</v>
      </c>
      <c r="I24" s="69" t="s">
        <v>266</v>
      </c>
    </row>
    <row r="25" spans="1:9" ht="39.4" x14ac:dyDescent="0.45">
      <c r="A25" s="69" t="s">
        <v>219</v>
      </c>
      <c r="B25" s="69" t="s">
        <v>345</v>
      </c>
      <c r="C25" s="69" t="s">
        <v>48</v>
      </c>
      <c r="D25" s="69" t="s">
        <v>346</v>
      </c>
      <c r="E25" s="69" t="s">
        <v>347</v>
      </c>
      <c r="F25" s="69" t="s">
        <v>348</v>
      </c>
      <c r="G25" s="69" t="s">
        <v>349</v>
      </c>
      <c r="H25" s="69" t="s">
        <v>350</v>
      </c>
      <c r="I25" s="69" t="s">
        <v>351</v>
      </c>
    </row>
    <row r="26" spans="1:9" ht="52.5" x14ac:dyDescent="0.45">
      <c r="A26" s="69" t="s">
        <v>220</v>
      </c>
      <c r="B26" s="69" t="s">
        <v>302</v>
      </c>
      <c r="C26" s="69" t="s">
        <v>213</v>
      </c>
      <c r="D26" s="69" t="s">
        <v>352</v>
      </c>
      <c r="E26" s="69" t="s">
        <v>353</v>
      </c>
      <c r="F26" s="69" t="s">
        <v>372</v>
      </c>
      <c r="G26" s="69" t="s">
        <v>354</v>
      </c>
      <c r="H26" s="69" t="s">
        <v>355</v>
      </c>
      <c r="I26" s="69" t="s">
        <v>259</v>
      </c>
    </row>
    <row r="27" spans="1:9" ht="52.5" x14ac:dyDescent="0.45">
      <c r="A27" s="69" t="s">
        <v>221</v>
      </c>
      <c r="B27" s="69" t="s">
        <v>356</v>
      </c>
      <c r="C27" s="69" t="s">
        <v>96</v>
      </c>
      <c r="D27" s="69" t="s">
        <v>357</v>
      </c>
      <c r="E27" s="69" t="s">
        <v>358</v>
      </c>
      <c r="F27" s="69" t="s">
        <v>379</v>
      </c>
      <c r="G27" s="69" t="s">
        <v>359</v>
      </c>
      <c r="H27" s="69" t="s">
        <v>360</v>
      </c>
      <c r="I27" s="69" t="s">
        <v>361</v>
      </c>
    </row>
    <row r="28" spans="1:9" ht="39.4" x14ac:dyDescent="0.45">
      <c r="A28" s="69" t="s">
        <v>222</v>
      </c>
      <c r="B28" s="69" t="s">
        <v>362</v>
      </c>
      <c r="C28" s="69" t="s">
        <v>96</v>
      </c>
      <c r="D28" s="69" t="s">
        <v>363</v>
      </c>
      <c r="E28" s="69" t="s">
        <v>364</v>
      </c>
      <c r="F28" s="69" t="s">
        <v>380</v>
      </c>
      <c r="G28" s="69" t="s">
        <v>365</v>
      </c>
      <c r="H28" s="69" t="s">
        <v>366</v>
      </c>
      <c r="I28" s="69" t="s">
        <v>266</v>
      </c>
    </row>
    <row r="30" spans="1:9" x14ac:dyDescent="0.45">
      <c r="E30" s="43"/>
      <c r="F30" s="36"/>
      <c r="G30" s="36"/>
      <c r="H30" s="36"/>
      <c r="I30" s="36"/>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CD60-1C0A-40BF-A9A4-1A8F8608603C}">
  <sheetPr codeName="Sheet10"/>
  <dimension ref="A1:K1"/>
  <sheetViews>
    <sheetView workbookViewId="0">
      <selection activeCell="J31" sqref="J31"/>
    </sheetView>
  </sheetViews>
  <sheetFormatPr defaultRowHeight="14.25" x14ac:dyDescent="0.45"/>
  <cols>
    <col min="2" max="2" width="10" customWidth="1"/>
  </cols>
  <sheetData>
    <row r="1" spans="1:11" x14ac:dyDescent="0.45">
      <c r="A1" s="40" t="s">
        <v>111</v>
      </c>
      <c r="B1" s="40"/>
      <c r="C1" s="40"/>
      <c r="D1" s="40"/>
      <c r="E1" s="40"/>
      <c r="F1" s="40"/>
      <c r="G1" s="40"/>
      <c r="H1" s="40"/>
      <c r="I1" s="40"/>
      <c r="J1" s="40"/>
      <c r="K1" s="40"/>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c4117a-bbb3-4e1f-8a90-b630a637c5f5" xsi:nil="true"/>
    <lcf76f155ced4ddcb4097134ff3c332f xmlns="b6f0f157-b05d-47b5-a4ad-9104388b9e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1AAECD4FFAEC24881DE1F6007DB1196" ma:contentTypeVersion="19" ma:contentTypeDescription="Create a new document." ma:contentTypeScope="" ma:versionID="dfaa4fe9fdfaebd2b3fb94fdbc0e2fd9">
  <xsd:schema xmlns:xsd="http://www.w3.org/2001/XMLSchema" xmlns:xs="http://www.w3.org/2001/XMLSchema" xmlns:p="http://schemas.microsoft.com/office/2006/metadata/properties" xmlns:ns2="b6f0f157-b05d-47b5-a4ad-9104388b9e00" xmlns:ns3="695474d6-1b83-4b70-99c6-99f4784a3023" xmlns:ns4="28c4117a-bbb3-4e1f-8a90-b630a637c5f5" targetNamespace="http://schemas.microsoft.com/office/2006/metadata/properties" ma:root="true" ma:fieldsID="87f642a867bb127e08f296f551362199" ns2:_="" ns3:_="" ns4:_="">
    <xsd:import namespace="b6f0f157-b05d-47b5-a4ad-9104388b9e00"/>
    <xsd:import namespace="695474d6-1b83-4b70-99c6-99f4784a3023"/>
    <xsd:import namespace="28c4117a-bbb3-4e1f-8a90-b630a637c5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0f157-b05d-47b5-a4ad-9104388b9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0616e0a-51ce-457b-a9c4-6ff1e00dfc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474d6-1b83-4b70-99c6-99f4784a30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c4117a-bbb3-4e1f-8a90-b630a637c5f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d9efa9e-e86d-421a-b29c-68cba4ec1ac4}" ma:internalName="TaxCatchAll" ma:showField="CatchAllData" ma:web="695474d6-1b83-4b70-99c6-99f4784a3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299E98-CCB7-43FF-A59F-E13BC180F587}">
  <ds:schemaRefs>
    <ds:schemaRef ds:uri="http://schemas.microsoft.com/sharepoint/v3/contenttype/forms"/>
  </ds:schemaRefs>
</ds:datastoreItem>
</file>

<file path=customXml/itemProps2.xml><?xml version="1.0" encoding="utf-8"?>
<ds:datastoreItem xmlns:ds="http://schemas.openxmlformats.org/officeDocument/2006/customXml" ds:itemID="{9A569D96-EBC1-4F05-A274-F7D34647513F}">
  <ds:schemaRefs>
    <ds:schemaRef ds:uri="http://schemas.microsoft.com/office/2006/metadata/properties"/>
    <ds:schemaRef ds:uri="http://schemas.microsoft.com/office/infopath/2007/PartnerControls"/>
    <ds:schemaRef ds:uri="28c4117a-bbb3-4e1f-8a90-b630a637c5f5"/>
    <ds:schemaRef ds:uri="b6f0f157-b05d-47b5-a4ad-9104388b9e00"/>
  </ds:schemaRefs>
</ds:datastoreItem>
</file>

<file path=customXml/itemProps3.xml><?xml version="1.0" encoding="utf-8"?>
<ds:datastoreItem xmlns:ds="http://schemas.openxmlformats.org/officeDocument/2006/customXml" ds:itemID="{ADAA858D-17E0-4319-8465-84C2F9CFF8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0f157-b05d-47b5-a4ad-9104388b9e00"/>
    <ds:schemaRef ds:uri="695474d6-1b83-4b70-99c6-99f4784a3023"/>
    <ds:schemaRef ds:uri="28c4117a-bbb3-4e1f-8a90-b630a637c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d8a056e-981a-4d0b-83ea-062214276430}" enabled="1" method="Standard" siteId="{c64d49cd-d138-4cdb-a5d4-324a4040c74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IM Info</vt:lpstr>
      <vt:lpstr>Invst. team</vt:lpstr>
      <vt:lpstr>Portfolio Details</vt:lpstr>
      <vt:lpstr>Liquidity Testing</vt:lpstr>
      <vt:lpstr>Scenario Testing</vt:lpstr>
      <vt:lpstr>Underlying Funds</vt:lpstr>
      <vt:lpstr>Directy Equity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Brann</dc:creator>
  <cp:keywords/>
  <dc:description/>
  <cp:lastModifiedBy>Danlei Li</cp:lastModifiedBy>
  <cp:revision/>
  <dcterms:created xsi:type="dcterms:W3CDTF">2020-10-20T04:20:17Z</dcterms:created>
  <dcterms:modified xsi:type="dcterms:W3CDTF">2026-05-08T00:22:55Z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8a056e-981a-4d0b-83ea-062214276430_Enabled">
    <vt:lpwstr>true</vt:lpwstr>
  </property>
  <property fmtid="{D5CDD505-2E9C-101B-9397-08002B2CF9AE}" pid="3" name="MSIP_Label_7d8a056e-981a-4d0b-83ea-062214276430_SetDate">
    <vt:lpwstr>2020-10-20T05:10:20Z</vt:lpwstr>
  </property>
  <property fmtid="{D5CDD505-2E9C-101B-9397-08002B2CF9AE}" pid="4" name="MSIP_Label_7d8a056e-981a-4d0b-83ea-062214276430_Method">
    <vt:lpwstr>Standard</vt:lpwstr>
  </property>
  <property fmtid="{D5CDD505-2E9C-101B-9397-08002B2CF9AE}" pid="5" name="MSIP_Label_7d8a056e-981a-4d0b-83ea-062214276430_Name">
    <vt:lpwstr>General</vt:lpwstr>
  </property>
  <property fmtid="{D5CDD505-2E9C-101B-9397-08002B2CF9AE}" pid="6" name="MSIP_Label_7d8a056e-981a-4d0b-83ea-062214276430_SiteId">
    <vt:lpwstr>c64d49cd-d138-4cdb-a5d4-324a4040c74a</vt:lpwstr>
  </property>
  <property fmtid="{D5CDD505-2E9C-101B-9397-08002B2CF9AE}" pid="7" name="MSIP_Label_7d8a056e-981a-4d0b-83ea-062214276430_ActionId">
    <vt:lpwstr>6bb1cc8c-2939-4937-ab22-75da8e2dff9c</vt:lpwstr>
  </property>
  <property fmtid="{D5CDD505-2E9C-101B-9397-08002B2CF9AE}" pid="8" name="MSIP_Label_7d8a056e-981a-4d0b-83ea-062214276430_ContentBits">
    <vt:lpwstr>0</vt:lpwstr>
  </property>
  <property fmtid="{D5CDD505-2E9C-101B-9397-08002B2CF9AE}" pid="9" name="ContentTypeId">
    <vt:lpwstr>0x010100F1AAECD4FFAEC24881DE1F6007DB1196</vt:lpwstr>
  </property>
  <property fmtid="{D5CDD505-2E9C-101B-9397-08002B2CF9AE}" pid="10" name="MediaServiceImageTags">
    <vt:lpwstr/>
  </property>
</Properties>
</file>