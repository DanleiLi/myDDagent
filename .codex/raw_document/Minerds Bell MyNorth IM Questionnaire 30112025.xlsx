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saveExternalLinkValues="0" updateLinks="never" codeName="ThisWorkbook" defaultThemeVersion="166925"/>
  <mc:AlternateContent xmlns:mc="http://schemas.openxmlformats.org/markup-compatibility/2006">
    <mc:Choice Requires="x15">
      <x15ac:absPath xmlns:x15ac="http://schemas.microsoft.com/office/spreadsheetml/2010/11/ac" url="https://d.docs.live.net/756044462fd8d2ec/MP project/"/>
    </mc:Choice>
  </mc:AlternateContent>
  <xr:revisionPtr revIDLastSave="819" documentId="8_{BCE5D950-D7A1-495C-816D-9D127A1CF50D}" xr6:coauthVersionLast="47" xr6:coauthVersionMax="47" xr10:uidLastSave="{9F18F2FC-8B8A-44C6-9239-DDAF12899227}"/>
  <bookViews>
    <workbookView xWindow="35055" yWindow="-21720" windowWidth="38640" windowHeight="21120" tabRatio="709" activeTab="2" xr2:uid="{9ADBD64C-0D47-4706-82F2-7295FAAD6BE3}"/>
  </bookViews>
  <sheets>
    <sheet name="Page One - IM Info" sheetId="2" r:id="rId1"/>
    <sheet name="Page Two - IM Info contd" sheetId="3" r:id="rId2"/>
    <sheet name="Page Four - Portfolio Details" sheetId="5" r:id="rId3"/>
    <sheet name="Page Five - Portfolio Snapshot" sheetId="9" r:id="rId4"/>
    <sheet name="Page Six - Liquidity Testing" sheetId="12" r:id="rId5"/>
    <sheet name="Page Seven - Scenario Testing" sheetId="13" r:id="rId6"/>
    <sheet name="Page Eight - Underlying Funds" sheetId="16" r:id="rId7"/>
    <sheet name="Page Ten - Rebates" sheetId="19" r:id="rId8"/>
    <sheet name="Page Nine - Directy Equity " sheetId="17" r:id="rId9"/>
    <sheet name="Internal Use Only - PDS" sheetId="18" state="hidden" r:id="rId10"/>
  </sheets>
  <definedNames>
    <definedName name="_xlnm._FilterDatabase" localSheetId="6" hidden="1">'Page Eight - Underlying Funds'!$A$3:$F$21</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1" i="5" l="1"/>
  <c r="BX11" i="18"/>
  <c r="BP11" i="18"/>
  <c r="BH11" i="18"/>
  <c r="AZ11" i="18"/>
  <c r="AR11" i="18"/>
  <c r="AJ11" i="18"/>
  <c r="AB11" i="18"/>
  <c r="T11" i="18"/>
  <c r="L11" i="18"/>
  <c r="D11" i="18"/>
  <c r="BY40" i="18"/>
  <c r="BX40" i="18"/>
  <c r="BQ40" i="18"/>
  <c r="BP40" i="18"/>
  <c r="BI40" i="18"/>
  <c r="BH40" i="18"/>
  <c r="BA40" i="18"/>
  <c r="AZ40" i="18"/>
  <c r="AS40" i="18"/>
  <c r="AR40" i="18"/>
  <c r="AK40" i="18"/>
  <c r="AJ40" i="18"/>
  <c r="AC40" i="18"/>
  <c r="AB40" i="18"/>
  <c r="U40" i="18"/>
  <c r="T40" i="18"/>
  <c r="M40" i="18"/>
  <c r="L40" i="18"/>
  <c r="E40" i="18"/>
  <c r="D40" i="18"/>
  <c r="BY39" i="18"/>
  <c r="BX39" i="18"/>
  <c r="BQ39" i="18"/>
  <c r="BP39" i="18"/>
  <c r="BI39" i="18"/>
  <c r="BH39" i="18"/>
  <c r="BA39" i="18"/>
  <c r="AZ39" i="18"/>
  <c r="AS39" i="18"/>
  <c r="AR39" i="18"/>
  <c r="AK39" i="18"/>
  <c r="AJ39" i="18"/>
  <c r="AC39" i="18"/>
  <c r="AB39" i="18"/>
  <c r="U39" i="18"/>
  <c r="T39" i="18"/>
  <c r="M39" i="18"/>
  <c r="L39" i="18"/>
  <c r="E39" i="18"/>
  <c r="D39" i="18"/>
  <c r="BY38" i="18"/>
  <c r="BX38" i="18"/>
  <c r="BQ38" i="18"/>
  <c r="BP38" i="18"/>
  <c r="BI38" i="18"/>
  <c r="BH38" i="18"/>
  <c r="BA38" i="18"/>
  <c r="AZ38" i="18"/>
  <c r="AS38" i="18"/>
  <c r="AR38" i="18"/>
  <c r="AK38" i="18"/>
  <c r="AJ38" i="18"/>
  <c r="AC38" i="18"/>
  <c r="AB38" i="18"/>
  <c r="U38" i="18"/>
  <c r="T38" i="18"/>
  <c r="M38" i="18"/>
  <c r="L38" i="18"/>
  <c r="E38" i="18"/>
  <c r="D38" i="18"/>
  <c r="BY36" i="18"/>
  <c r="BX36" i="18"/>
  <c r="BQ36" i="18"/>
  <c r="BP36" i="18"/>
  <c r="BI36" i="18"/>
  <c r="BH36" i="18"/>
  <c r="BA36" i="18"/>
  <c r="AZ36" i="18"/>
  <c r="AS36" i="18"/>
  <c r="AR36" i="18"/>
  <c r="AK36" i="18"/>
  <c r="AJ36" i="18"/>
  <c r="AC36" i="18"/>
  <c r="AB36" i="18"/>
  <c r="U36" i="18"/>
  <c r="T36" i="18"/>
  <c r="M36" i="18"/>
  <c r="L36" i="18"/>
  <c r="E36" i="18"/>
  <c r="D36" i="18"/>
  <c r="BY35" i="18"/>
  <c r="BQ35" i="18"/>
  <c r="BI35" i="18"/>
  <c r="BA35" i="18"/>
  <c r="AS35" i="18"/>
  <c r="AK35" i="18"/>
  <c r="AC35" i="18"/>
  <c r="U35" i="18"/>
  <c r="M35" i="18"/>
  <c r="E35" i="18"/>
  <c r="BY34" i="18"/>
  <c r="BX34" i="18"/>
  <c r="BQ34" i="18"/>
  <c r="BP34" i="18"/>
  <c r="BI34" i="18"/>
  <c r="BH34" i="18"/>
  <c r="BA34" i="18"/>
  <c r="AZ34" i="18"/>
  <c r="AS34" i="18"/>
  <c r="AR34" i="18"/>
  <c r="AK34" i="18"/>
  <c r="AJ34" i="18"/>
  <c r="AC34" i="18"/>
  <c r="AB34" i="18"/>
  <c r="U34" i="18"/>
  <c r="T34" i="18"/>
  <c r="M34" i="18"/>
  <c r="L34" i="18"/>
  <c r="E34" i="18"/>
  <c r="D34" i="18"/>
  <c r="BY33" i="18"/>
  <c r="BX33" i="18"/>
  <c r="BQ33" i="18"/>
  <c r="BP33" i="18"/>
  <c r="BI33" i="18"/>
  <c r="BH33" i="18"/>
  <c r="BA33" i="18"/>
  <c r="AZ33" i="18"/>
  <c r="AS33" i="18"/>
  <c r="AR33" i="18"/>
  <c r="AK33" i="18"/>
  <c r="AJ33" i="18"/>
  <c r="AC33" i="18"/>
  <c r="AB33" i="18"/>
  <c r="U33" i="18"/>
  <c r="T33" i="18"/>
  <c r="M33" i="18"/>
  <c r="L33" i="18"/>
  <c r="E33" i="18"/>
  <c r="D33" i="18"/>
  <c r="BY32" i="18"/>
  <c r="BX32" i="18"/>
  <c r="BQ32" i="18"/>
  <c r="BP32" i="18"/>
  <c r="BI32" i="18"/>
  <c r="BH32" i="18"/>
  <c r="BA32" i="18"/>
  <c r="AZ32" i="18"/>
  <c r="AS32" i="18"/>
  <c r="AR32" i="18"/>
  <c r="AK32" i="18"/>
  <c r="AJ32" i="18"/>
  <c r="AC32" i="18"/>
  <c r="AB32" i="18"/>
  <c r="U32" i="18"/>
  <c r="T32" i="18"/>
  <c r="M32" i="18"/>
  <c r="L32" i="18"/>
  <c r="E32" i="18"/>
  <c r="D32" i="18"/>
  <c r="CT64" i="5"/>
  <c r="CT63" i="5"/>
  <c r="CS62" i="5"/>
  <c r="CT60" i="5"/>
  <c r="CS60" i="5"/>
  <c r="CR60" i="5"/>
  <c r="CQ60" i="5"/>
  <c r="CT48" i="5" s="1"/>
  <c r="CP60" i="5"/>
  <c r="CT31" i="5"/>
  <c r="CT21" i="5"/>
  <c r="CN15" i="5"/>
  <c r="CN16" i="5" s="1"/>
  <c r="CN17" i="5" s="1"/>
  <c r="CN18" i="5" s="1"/>
  <c r="CN19" i="5" s="1"/>
  <c r="CJ64" i="5"/>
  <c r="CJ63" i="5"/>
  <c r="CI62" i="5"/>
  <c r="CJ60" i="5"/>
  <c r="CI60" i="5"/>
  <c r="CH60" i="5"/>
  <c r="CG60" i="5"/>
  <c r="CF60" i="5"/>
  <c r="CJ31" i="5"/>
  <c r="CJ21" i="5"/>
  <c r="CD15" i="5"/>
  <c r="CD16" i="5" s="1"/>
  <c r="CD17" i="5" s="1"/>
  <c r="CD18" i="5" s="1"/>
  <c r="CD19" i="5" s="1"/>
  <c r="BZ64" i="5"/>
  <c r="BZ63" i="5"/>
  <c r="BY62" i="5"/>
  <c r="BZ60" i="5"/>
  <c r="BY60" i="5"/>
  <c r="BX60" i="5"/>
  <c r="BW60" i="5"/>
  <c r="BV60" i="5"/>
  <c r="BZ31" i="5"/>
  <c r="BZ21" i="5"/>
  <c r="BT15" i="5"/>
  <c r="BT16" i="5" s="1"/>
  <c r="BT17" i="5" s="1"/>
  <c r="BT18" i="5" s="1"/>
  <c r="BT19" i="5" s="1"/>
  <c r="BP64" i="5"/>
  <c r="BP63" i="5"/>
  <c r="BO62" i="5"/>
  <c r="BP60" i="5"/>
  <c r="BO60" i="5"/>
  <c r="BN60" i="5"/>
  <c r="BM60" i="5"/>
  <c r="BL60" i="5"/>
  <c r="BP31" i="5"/>
  <c r="BP21" i="5"/>
  <c r="BJ15" i="5"/>
  <c r="BJ16" i="5" s="1"/>
  <c r="BJ17" i="5" s="1"/>
  <c r="BJ18" i="5" s="1"/>
  <c r="BJ19" i="5" s="1"/>
  <c r="BF64" i="5"/>
  <c r="BF63" i="5"/>
  <c r="BE62" i="5"/>
  <c r="BF60" i="5"/>
  <c r="BE60" i="5"/>
  <c r="BD60" i="5"/>
  <c r="BC60" i="5"/>
  <c r="BB60" i="5"/>
  <c r="BF31" i="5"/>
  <c r="BF21" i="5"/>
  <c r="AZ15" i="5"/>
  <c r="AZ16" i="5" s="1"/>
  <c r="AZ17" i="5" s="1"/>
  <c r="AZ18" i="5" s="1"/>
  <c r="AZ19" i="5" s="1"/>
  <c r="AV64" i="5"/>
  <c r="AV63" i="5"/>
  <c r="AU62" i="5"/>
  <c r="AV60" i="5"/>
  <c r="AU60" i="5"/>
  <c r="AT60" i="5"/>
  <c r="AS60" i="5"/>
  <c r="AR60" i="5"/>
  <c r="AV31" i="5"/>
  <c r="AV21" i="5"/>
  <c r="AP15" i="5"/>
  <c r="AP16" i="5" s="1"/>
  <c r="AP17" i="5" s="1"/>
  <c r="AP18" i="5" s="1"/>
  <c r="AP19" i="5" s="1"/>
  <c r="AL64" i="5"/>
  <c r="AL63" i="5"/>
  <c r="AK62" i="5"/>
  <c r="AL60" i="5"/>
  <c r="AK60" i="5"/>
  <c r="AJ60" i="5"/>
  <c r="AI60" i="5"/>
  <c r="AH60" i="5"/>
  <c r="AL31" i="5"/>
  <c r="AL21" i="5"/>
  <c r="AF15" i="5"/>
  <c r="AF16" i="5" s="1"/>
  <c r="AF17" i="5" s="1"/>
  <c r="AF18" i="5" s="1"/>
  <c r="AF19" i="5" s="1"/>
  <c r="AB64" i="5"/>
  <c r="AB63" i="5"/>
  <c r="AA62" i="5"/>
  <c r="AB60" i="5"/>
  <c r="AA60" i="5"/>
  <c r="Z60" i="5"/>
  <c r="Y60" i="5"/>
  <c r="X60" i="5"/>
  <c r="AB31" i="5"/>
  <c r="AB21" i="5"/>
  <c r="V15" i="5"/>
  <c r="V16" i="5" s="1"/>
  <c r="V17" i="5" s="1"/>
  <c r="V18" i="5" s="1"/>
  <c r="V19" i="5" s="1"/>
  <c r="R31" i="5"/>
  <c r="R21" i="5"/>
  <c r="H31" i="5"/>
  <c r="R64" i="5"/>
  <c r="R63" i="5"/>
  <c r="Q62" i="5"/>
  <c r="R60" i="5"/>
  <c r="L15" i="5"/>
  <c r="L16" i="5" s="1"/>
  <c r="L17" i="5" s="1"/>
  <c r="L18" i="5" s="1"/>
  <c r="L19" i="5" s="1"/>
  <c r="CJ48" i="5" l="1"/>
  <c r="AV48" i="5"/>
  <c r="BZ48" i="5"/>
  <c r="D28" i="18"/>
  <c r="BF48" i="5"/>
  <c r="BP48" i="5"/>
  <c r="AL48" i="5"/>
  <c r="R48" i="5"/>
  <c r="AB48" i="5"/>
  <c r="F55" i="2" l="1"/>
  <c r="F49" i="2"/>
  <c r="G62" i="5" l="1"/>
  <c r="G35" i="2" l="1"/>
  <c r="G34" i="2"/>
  <c r="G33" i="2"/>
  <c r="G32" i="2"/>
  <c r="G21" i="2"/>
  <c r="F28" i="2"/>
  <c r="AR13" i="18" l="1"/>
  <c r="AJ13" i="18"/>
  <c r="D13" i="18"/>
  <c r="BP13" i="18"/>
  <c r="L13" i="18"/>
  <c r="AB13" i="18"/>
  <c r="BH13" i="18"/>
  <c r="BX13" i="18"/>
  <c r="AZ13" i="18"/>
  <c r="T13" i="18"/>
  <c r="F46" i="2"/>
  <c r="BX21" i="18" l="1"/>
  <c r="ER7" i="9"/>
  <c r="BP21" i="18"/>
  <c r="EB7" i="9"/>
  <c r="BH21" i="18"/>
  <c r="DL7" i="9"/>
  <c r="AZ21" i="18"/>
  <c r="CV7" i="9"/>
  <c r="AR21" i="18"/>
  <c r="CF7" i="9"/>
  <c r="AJ21" i="18"/>
  <c r="BP7" i="9"/>
  <c r="AB21" i="18"/>
  <c r="AZ7" i="9"/>
  <c r="T21" i="18"/>
  <c r="AJ7" i="9"/>
  <c r="L21" i="18"/>
  <c r="T7" i="9"/>
  <c r="D7" i="9"/>
  <c r="D20" i="18"/>
  <c r="D21" i="18"/>
  <c r="D22" i="18"/>
  <c r="F7" i="2"/>
  <c r="BX22" i="18" l="1"/>
  <c r="BH22" i="18"/>
  <c r="BP28" i="18"/>
  <c r="AZ18" i="18"/>
  <c r="BP20" i="18"/>
  <c r="AZ28" i="18"/>
  <c r="AZ20" i="18"/>
  <c r="BH18" i="18"/>
  <c r="BP22" i="18"/>
  <c r="BX28" i="18"/>
  <c r="BX18" i="18"/>
  <c r="AZ22" i="18"/>
  <c r="BX20" i="18"/>
  <c r="BH28" i="18"/>
  <c r="BH20" i="18"/>
  <c r="BP18" i="18"/>
  <c r="AR22" i="18"/>
  <c r="AR28" i="18"/>
  <c r="AR20" i="18"/>
  <c r="AR18" i="18"/>
  <c r="AJ28" i="18"/>
  <c r="AJ20" i="18"/>
  <c r="AJ22" i="18"/>
  <c r="AJ18" i="18"/>
  <c r="AB20" i="18"/>
  <c r="AB22" i="18"/>
  <c r="AB28" i="18"/>
  <c r="AB18" i="18"/>
  <c r="T28" i="18"/>
  <c r="T20" i="18"/>
  <c r="T22" i="18"/>
  <c r="T18" i="18"/>
  <c r="L28" i="18"/>
  <c r="L20" i="18"/>
  <c r="L22" i="18"/>
  <c r="L18" i="18"/>
  <c r="BX27" i="18"/>
  <c r="BP27" i="18"/>
  <c r="BH27" i="18"/>
  <c r="AZ27" i="18"/>
  <c r="AR27" i="18"/>
  <c r="AJ27" i="18"/>
  <c r="AB27" i="18"/>
  <c r="T27" i="18"/>
  <c r="L27" i="18"/>
  <c r="D27" i="18"/>
  <c r="BP8" i="9"/>
  <c r="CF8" i="9"/>
  <c r="EB8" i="9"/>
  <c r="DL8" i="9"/>
  <c r="CV8" i="9"/>
  <c r="ER8" i="9"/>
  <c r="AZ8" i="9"/>
  <c r="AJ8" i="9"/>
  <c r="T8" i="9"/>
  <c r="F37" i="2"/>
  <c r="D18" i="18" l="1"/>
  <c r="H48" i="5" l="1"/>
  <c r="EL69" i="9"/>
  <c r="EL68" i="9"/>
  <c r="EL67" i="9"/>
  <c r="EL66" i="9"/>
  <c r="DV69" i="9"/>
  <c r="DV68" i="9"/>
  <c r="DV67" i="9"/>
  <c r="DV66" i="9"/>
  <c r="DF69" i="9"/>
  <c r="DF68" i="9"/>
  <c r="DF67" i="9"/>
  <c r="DF66" i="9"/>
  <c r="CP69" i="9"/>
  <c r="CP68" i="9"/>
  <c r="CP67" i="9"/>
  <c r="CP66" i="9"/>
  <c r="BZ69" i="9"/>
  <c r="BZ68" i="9"/>
  <c r="BZ67" i="9"/>
  <c r="BZ66" i="9"/>
  <c r="BJ69" i="9"/>
  <c r="BJ68" i="9"/>
  <c r="BJ67" i="9"/>
  <c r="BJ66" i="9"/>
  <c r="AT69" i="9"/>
  <c r="AT68" i="9"/>
  <c r="AT67" i="9"/>
  <c r="AT66" i="9"/>
  <c r="AD69" i="9"/>
  <c r="AD68" i="9"/>
  <c r="AD67" i="9"/>
  <c r="AD66" i="9"/>
  <c r="N69" i="9" l="1"/>
  <c r="N68" i="9"/>
  <c r="N67" i="9"/>
  <c r="N66" i="9"/>
  <c r="D8" i="9"/>
  <c r="H64" i="5"/>
  <c r="H63" i="5"/>
  <c r="G6" i="2"/>
  <c r="G7" i="2"/>
  <c r="G8" i="2"/>
  <c r="G9" i="2"/>
  <c r="G10" i="2"/>
  <c r="G11" i="2"/>
  <c r="G12" i="2"/>
  <c r="G13" i="2"/>
  <c r="G14" i="2"/>
  <c r="G15" i="2"/>
  <c r="G16" i="2"/>
  <c r="G18" i="2"/>
  <c r="G22" i="2"/>
  <c r="G23" i="2"/>
  <c r="G24" i="2"/>
  <c r="G25" i="2"/>
  <c r="G26" i="2"/>
  <c r="G27" i="2"/>
  <c r="G28" i="2"/>
  <c r="G29" i="2"/>
  <c r="G31" i="2"/>
  <c r="B15" i="5"/>
  <c r="B16" i="5" s="1"/>
  <c r="B17" i="5" s="1"/>
  <c r="B18" i="5" s="1"/>
  <c r="B19" i="5" s="1"/>
  <c r="BP10" i="18" l="1"/>
  <c r="L10" i="18"/>
  <c r="D10" i="18"/>
  <c r="AZ10" i="18"/>
  <c r="AJ10" i="18"/>
  <c r="BX10" i="18"/>
  <c r="BH10" i="18"/>
  <c r="AR10" i="18"/>
  <c r="AB10" i="18"/>
  <c r="T10" i="18"/>
  <c r="BX9" i="18"/>
  <c r="AJ9" i="18"/>
  <c r="BP9" i="18"/>
  <c r="T9" i="18"/>
  <c r="AZ9" i="18"/>
  <c r="L9" i="18"/>
  <c r="AR9" i="18"/>
  <c r="D9" i="18"/>
  <c r="AB9" i="18"/>
  <c r="BH9" i="18"/>
  <c r="AZ12" i="18"/>
  <c r="D12" i="18"/>
  <c r="BH12" i="18"/>
  <c r="AJ12" i="18"/>
  <c r="L12" i="18"/>
  <c r="AB12" i="18"/>
  <c r="BP12" i="18"/>
  <c r="BX12" i="18"/>
  <c r="AR12" i="18"/>
  <c r="T12" i="18"/>
  <c r="BH8" i="18"/>
  <c r="BH17" i="18" s="1"/>
  <c r="AB8" i="18"/>
  <c r="AB17" i="18" s="1"/>
  <c r="BP8" i="18"/>
  <c r="BP17" i="18" s="1"/>
  <c r="T8" i="18"/>
  <c r="T17" i="18" s="1"/>
  <c r="BX8" i="18"/>
  <c r="BX17" i="18" s="1"/>
  <c r="L8" i="18"/>
  <c r="L17" i="18" s="1"/>
  <c r="AR8" i="18"/>
  <c r="AR17" i="18" s="1"/>
  <c r="AJ8" i="18"/>
  <c r="AJ17" i="18" s="1"/>
  <c r="AZ8" i="18"/>
  <c r="AZ17" i="18" s="1"/>
  <c r="D8" i="18"/>
  <c r="D17" i="18" s="1"/>
  <c r="B11" i="2"/>
  <c r="B12" i="2" s="1"/>
  <c r="B13" i="2" s="1"/>
  <c r="B14" i="2" s="1"/>
  <c r="B15" i="2" s="1"/>
  <c r="B16" i="2" s="1"/>
  <c r="B17" i="2" s="1"/>
  <c r="B18" i="2" s="1"/>
  <c r="B19" i="2" s="1"/>
  <c r="B20" i="2" s="1"/>
  <c r="B21" i="2" s="1"/>
  <c r="F23" i="2"/>
  <c r="AH7" i="5" l="1"/>
  <c r="AL6" i="5" s="1"/>
  <c r="AB5" i="18"/>
  <c r="AR7" i="5"/>
  <c r="AV6" i="5" s="1"/>
  <c r="AJ5" i="18"/>
  <c r="BX5" i="18"/>
  <c r="CP7" i="5"/>
  <c r="CT6" i="5" s="1"/>
  <c r="AR5" i="18"/>
  <c r="BB7" i="5"/>
  <c r="BF6" i="5" s="1"/>
  <c r="BL7" i="5"/>
  <c r="BP6" i="5" s="1"/>
  <c r="AZ5" i="18"/>
  <c r="BP5" i="18"/>
  <c r="CF7" i="5"/>
  <c r="CJ6" i="5" s="1"/>
  <c r="L5" i="18"/>
  <c r="X7" i="5"/>
  <c r="AB6" i="5" s="1"/>
  <c r="T5" i="18"/>
  <c r="BH5" i="18"/>
  <c r="BV7" i="5"/>
  <c r="BZ6" i="5" s="1"/>
  <c r="D5" i="18"/>
  <c r="BP6" i="9"/>
  <c r="CV6" i="9"/>
  <c r="CF6" i="9"/>
  <c r="DL6" i="9"/>
  <c r="EB6" i="9"/>
  <c r="ER6" i="9"/>
  <c r="AZ6" i="9"/>
  <c r="AJ6" i="9"/>
  <c r="R6" i="5"/>
  <c r="T6" i="9"/>
  <c r="D6" i="9"/>
  <c r="H6" i="5" l="1"/>
</calcChain>
</file>

<file path=xl/sharedStrings.xml><?xml version="1.0" encoding="utf-8"?>
<sst xmlns="http://schemas.openxmlformats.org/spreadsheetml/2006/main" count="2060" uniqueCount="393">
  <si>
    <t>MyNorth Investment Manager Onboarding Questionnaire</t>
  </si>
  <si>
    <t>Page One: Investment Manager Information</t>
  </si>
  <si>
    <t>All information required</t>
  </si>
  <si>
    <t>Response</t>
  </si>
  <si>
    <t>Australian Business Number (ABN)</t>
  </si>
  <si>
    <t>Australian Financial Services License (AFSL)</t>
  </si>
  <si>
    <t>Part 1 - About the Investment Manager</t>
  </si>
  <si>
    <t>Progress</t>
  </si>
  <si>
    <t>Investment Manager's full legal entity name as per ABN</t>
  </si>
  <si>
    <t>Salita Portfolio Services Pty Ltd</t>
  </si>
  <si>
    <t>39 609 946 616</t>
  </si>
  <si>
    <t>Salita Portfolio Services Pty Ltd is a corporate authorised representative of Personal Financial Services Ltd (PFS) 
CAR 1241713</t>
  </si>
  <si>
    <t>Street Address</t>
  </si>
  <si>
    <t>Level 6 88 Phillip Street Sydney NSW 2000</t>
  </si>
  <si>
    <t>Postal Address</t>
  </si>
  <si>
    <t>Level 6 88 Phillip Street Sydney NSW 2001</t>
  </si>
  <si>
    <t>Telephone number</t>
  </si>
  <si>
    <t>0407494569</t>
  </si>
  <si>
    <t>Email (General)</t>
  </si>
  <si>
    <t>jcarnevale@entireti.com.au</t>
  </si>
  <si>
    <t>Email (Invoices)</t>
  </si>
  <si>
    <t>Overview of the Investment Manager's business
- Include any corporate authorised representative or if any other relevant entities different to the AFSL holder involved in the management/construction of the portfolio</t>
  </si>
  <si>
    <t>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t>
  </si>
  <si>
    <t>About the investment manager (this is for disclosure purposes and should not include quantitative information that may go out of date quickly) (250 words max)</t>
  </si>
  <si>
    <t>Describe the investment philosophy and process</t>
  </si>
  <si>
    <t>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t>
  </si>
  <si>
    <t>Investment philosophy and process (this is for disclosure purposes and should not include quantitative information that may go out of date quickly) (180 words max)</t>
  </si>
  <si>
    <t>Salita Portfolio Services focuses on growing and preserving capital while minimising permanent loss. We avoid short-term tactical shifts, instead reviewing the Strategic Asset Allocation regularly to support high-conviction medium-term views. We maintain low turnover and blend active and passive strategies, using active management where conviction is strong. Fees are assessed carefully, balancing cost with value. Diversification across styles reduces volatility and enhances consistency, ensuring portfolios perform across varied market conditions while supporting sustainable, long-term wealth creation.</t>
  </si>
  <si>
    <t>What is the strategy's capacity and FUM?</t>
  </si>
  <si>
    <t>N/A</t>
  </si>
  <si>
    <t>What is the company's website?</t>
  </si>
  <si>
    <t>https://salitaportfolioservices.com.au/</t>
  </si>
  <si>
    <t>Part 2 - About the Portfolio Manager</t>
  </si>
  <si>
    <t>Name of portfolio manager</t>
  </si>
  <si>
    <t>Aman Ramrakha</t>
  </si>
  <si>
    <t>Company position of portfolio manager (include any qualification reference)</t>
  </si>
  <si>
    <t xml:space="preserve">Chief Investment Officer </t>
  </si>
  <si>
    <t>Brief bio of portfolio manager</t>
  </si>
  <si>
    <t>Aman brings over 30 years’ experience in financial services, spanning technical, consulting, and advisory roles. Before joining Entireti in 2025, he was Executive Director of Research at Rainmaker Information. His career includes senior positions at Morningstar, where he oversaw Manager Research and provided investment consulting services, and at Commonwealth Bank, where he led investment and insurance research for over $60B of funds under advice. Aman has also held roles at BT Financial Group, Colonial First State, KPMG and Commonwealth Private. He holds a Bachelor of Commerce, a Graduate Diploma in Applied Finance and Investments, a Diploma of Financial Planning, and is a Certified Investment Management Consultant.</t>
  </si>
  <si>
    <t>Part 3 - Portfolio attachment checklist</t>
  </si>
  <si>
    <t>FSC Document or standard RFP</t>
  </si>
  <si>
    <t>Not available</t>
  </si>
  <si>
    <t>Monthly return series of flagship SMAs since inception</t>
  </si>
  <si>
    <t>Attached</t>
  </si>
  <si>
    <t>Pitch pack / fact sheet (Investment Team, process, portfolio &amp; performance)</t>
  </si>
  <si>
    <t>Certificates of Insurance</t>
  </si>
  <si>
    <t>Copy of AFSL</t>
  </si>
  <si>
    <t>Conflicts of Interest Policy</t>
  </si>
  <si>
    <t>Any relevant biographies or org charts</t>
  </si>
  <si>
    <t>Part 4 - Corporate Actions likelihood of involvement</t>
  </si>
  <si>
    <t>Interest to participate in IPOs?</t>
  </si>
  <si>
    <t>No</t>
  </si>
  <si>
    <t>Interest to participate in placements?</t>
  </si>
  <si>
    <t>Interest to participate in entitlements?</t>
  </si>
  <si>
    <t>Interest to participate in rights issues?</t>
  </si>
  <si>
    <t>Interest to participate in SPPs?</t>
  </si>
  <si>
    <t>Interest to participate in bonus option issues?</t>
  </si>
  <si>
    <t>Interest to participate in voting at AGMs etc?</t>
  </si>
  <si>
    <t>Part 5 - Transparency of Holdings</t>
  </si>
  <si>
    <t>What is your preference on the extent of disclosure of holdings on the platform?</t>
  </si>
  <si>
    <t>None</t>
  </si>
  <si>
    <t xml:space="preserve">Part 6 - Investment Manager's Bank Account (only applicable to new investment managers not avaliable on MyNorth Managed Portfolios) </t>
  </si>
  <si>
    <t>Name of bank</t>
  </si>
  <si>
    <t>Westpac Banking Corporation</t>
  </si>
  <si>
    <t>Account name</t>
  </si>
  <si>
    <t>BSB</t>
  </si>
  <si>
    <t>033 009</t>
  </si>
  <si>
    <t>Account number</t>
  </si>
  <si>
    <t>Part 7 - Investment Manager's Trademark (only applicable to new investment managers not avaliable on MyNorth Managed Portfolios)</t>
  </si>
  <si>
    <t>Company logo</t>
  </si>
  <si>
    <t>Page Two: Investment Manager Information</t>
  </si>
  <si>
    <t>All information required - Insert new rows as required</t>
  </si>
  <si>
    <t>Portfolio 1</t>
  </si>
  <si>
    <t>Aurora Growth Managed Portfolio</t>
  </si>
  <si>
    <t>Part 6 - Current Investment Team</t>
  </si>
  <si>
    <t xml:space="preserve">Name &amp; title/position </t>
  </si>
  <si>
    <t>Number of years with the firm</t>
  </si>
  <si>
    <t>Total years of investment experience</t>
  </si>
  <si>
    <t>Describe their role and contribution to the strategy</t>
  </si>
  <si>
    <t>John Carnevale (Executive GM – Investment Services)</t>
  </si>
  <si>
    <t>Oversight of Research &amp; Investment Team</t>
  </si>
  <si>
    <t>Aman Ramrakha (Chief Investment Officer)</t>
  </si>
  <si>
    <t>&lt;1</t>
  </si>
  <si>
    <t>Overall responsibility for portfolios</t>
  </si>
  <si>
    <t>Tim Schroeders (Senior Portfolio Manager)</t>
  </si>
  <si>
    <t>Sean Webster (Head  of Research &amp; Senior Portfolio Manager)</t>
  </si>
  <si>
    <t>Provides portfolio management support</t>
  </si>
  <si>
    <t>Calvin Yap (Senior Investment Research Analyst)</t>
  </si>
  <si>
    <t>Provides support to portfolio managers</t>
  </si>
  <si>
    <t>Julia Tao (Senior Investment Research Analyst)</t>
  </si>
  <si>
    <t>Frank Mach  (Investment Research Analyst)</t>
  </si>
  <si>
    <t>Cindy Zhao (Manager, Investment Governance)</t>
  </si>
  <si>
    <t>Governance oversight for portfolios</t>
  </si>
  <si>
    <t>Ekta Badola (Investmengt Research Analyst)</t>
  </si>
  <si>
    <t>Team additions in the last three years</t>
  </si>
  <si>
    <t>Date joined</t>
  </si>
  <si>
    <t>Previous employment</t>
  </si>
  <si>
    <t>Rainmaker, Morningstar, CBA</t>
  </si>
  <si>
    <t>Team departures in the last three years</t>
  </si>
  <si>
    <t>Name &amp; title/position</t>
  </si>
  <si>
    <t>Date departed</t>
  </si>
  <si>
    <t>Reason for departure</t>
  </si>
  <si>
    <t>Ian Holliday (Head of Research Services)</t>
  </si>
  <si>
    <t>Portfolio 2</t>
  </si>
  <si>
    <t>Aurora Defensive Managed Portfolio</t>
  </si>
  <si>
    <t>Portfolio 3</t>
  </si>
  <si>
    <t>Portfolio 4</t>
  </si>
  <si>
    <t>Portfolio 5</t>
  </si>
  <si>
    <t>Proposed managed portfolio name</t>
  </si>
  <si>
    <t>Asset Class</t>
  </si>
  <si>
    <t>Cash</t>
  </si>
  <si>
    <t>Pendal MidCap Fund</t>
  </si>
  <si>
    <t>Pendal Dynamic Income Fund</t>
  </si>
  <si>
    <t>Australian Fixed Interest</t>
  </si>
  <si>
    <t>Ausbil Australian Active Equity Fund</t>
  </si>
  <si>
    <t>Franklin Australia Absolute Return Bond Fund - Class A</t>
  </si>
  <si>
    <t>Allan Gray Australian Equity Fund</t>
  </si>
  <si>
    <t>UBS Income Solutions Fund</t>
  </si>
  <si>
    <t>Firetrail Australian Small Companies Fund (Class A)</t>
  </si>
  <si>
    <t>Schroder Fixed Income - Client Class</t>
  </si>
  <si>
    <t>Vanguard Australian Shares Index Fund (W)</t>
  </si>
  <si>
    <t>PIMCO Diversified Fixed Interest Fund - Wholesale Class</t>
  </si>
  <si>
    <t>Plato Global Alpha Fund</t>
  </si>
  <si>
    <t>Macquarie Dynamic Bond Fund</t>
  </si>
  <si>
    <t>Arrowstreet Global Eqity Fund</t>
  </si>
  <si>
    <t>Bentham Global Income Fund</t>
  </si>
  <si>
    <t>Munro Global Growth Small &amp; Mid Cap Fund - Class A</t>
  </si>
  <si>
    <t>Daintree High Income Trust</t>
  </si>
  <si>
    <t>Magellan Global Opportunities Fund No. 2</t>
  </si>
  <si>
    <t>Orbis Global Equity Fund</t>
  </si>
  <si>
    <t>Fidelity Asia Fund</t>
  </si>
  <si>
    <t>Vanguard International Shares Index Fund</t>
  </si>
  <si>
    <t>Vanguard Australian Property Securities Index Fund (W)</t>
  </si>
  <si>
    <t>Quay Global Real Estate Fund (Unhedged) Active ETF</t>
  </si>
  <si>
    <t>Clearbridge RARE Infrastructure Value Fund - Unhedged</t>
  </si>
  <si>
    <t>Page Four: Portfolio Details</t>
  </si>
  <si>
    <t>Part 1: General portfolio details</t>
  </si>
  <si>
    <t>Proposed Asset Class</t>
  </si>
  <si>
    <t>Diversified</t>
  </si>
  <si>
    <t>Portfolio type</t>
  </si>
  <si>
    <t>Investment style</t>
  </si>
  <si>
    <t>Active &amp; Index</t>
  </si>
  <si>
    <t>Investment universe</t>
  </si>
  <si>
    <t>Managed funds and ETFs</t>
  </si>
  <si>
    <t>Standard Risk Measure (SRM) as per FSC guidance paper</t>
  </si>
  <si>
    <t>Describe the investment objective of the portfolio starting with "Aims to deliver…"</t>
  </si>
  <si>
    <t>Aims to achieve a return in excess of  CPI + 3.75% p.a. and outperform the Benchmark over a rolling 10 year period, net of indirect fees.</t>
  </si>
  <si>
    <t>Aims to achieve a return in excess of  CPI + 0.5% p.a. and outperform the Benchmark over a rolling 2 year period, net of indirect fees.</t>
  </si>
  <si>
    <t>Managed portfolio benchmark (include one for each of the below if applicable; note composite benchmarks are not accepted)
- Declared benchmark for Disclosure
- Portfolio performance</t>
  </si>
  <si>
    <t>Morningstar AUS Agg Tgt Alloc NR AUD</t>
  </si>
  <si>
    <t>Morningstar AUS Con Tgt Alloc NR AUD</t>
  </si>
  <si>
    <t>Income Target (only applicable for Income/Retirement strategies)</t>
  </si>
  <si>
    <t>Target investors suitable for the portfolio "Designed for investors who seek a…"</t>
  </si>
  <si>
    <t>Designed for investors with a minimum 10 year timeframe, who are comfortable with high investment risk, and/or require high returns to meet their long term objectives.</t>
  </si>
  <si>
    <t>Minimum investment horizon</t>
  </si>
  <si>
    <t>10 years plus</t>
  </si>
  <si>
    <t>2 years plus</t>
  </si>
  <si>
    <t>Probability of achieving portfolio objectives</t>
  </si>
  <si>
    <t>Describe the investment strategy and approach for this portfolio
- Include ESG information if applicable</t>
  </si>
  <si>
    <t>The portfolio is actively managed within allowable ranges and contains exposure to approximately 2% of income assets (cash and fixed interest) and 98% of growth assets (shares, property, infrastructure and alternatives), depending on market conditions. Over the medium term the portfolio manager may adjust the portfolio, within allowable ranges, in response to evolving market conditions, economic indicators and valuation signals. The aim is to enhance returns or manage risk by taking into account cyclical trends rather than relying on static long-term assumptions.</t>
  </si>
  <si>
    <t>The portfolio is actively managed within allowable ranges and contains exposure to approximately 100% of income assets (cash and fixed interest) and 0% of growth assets (shares, property, infrastructure and alternatives), depending on market conditions. Over the medium term the portfolio manager may adjust the portfolio, within allowable ranges, in response to evolving market conditions, economic indicators and valuation signals. The aim is to enhance returns or manage risk by taking into account cyclical trends rather than relying on static long-term assumptions.</t>
  </si>
  <si>
    <t>Part 2: Equivalent strategies - Managed fund/SMA/Model (if applicable)</t>
  </si>
  <si>
    <t>Is the portfolio based on an equivalent existing strategy that has a track record?</t>
  </si>
  <si>
    <t>If yes, please provide the name of the equivalent strategy</t>
  </si>
  <si>
    <t>Provide the equivalent strategy APIR code (if applicable)</t>
  </si>
  <si>
    <t>Explain any actual or likely differences between the portfolio and the equivalent strategy?</t>
  </si>
  <si>
    <t>How does you approach any potential conflicts arising as a result of running a similar strategy across different structures? E.g. timing of trades and the potential to 'front run'</t>
  </si>
  <si>
    <t>Provide the monthly Managed Portfolio performance (net of fees)</t>
  </si>
  <si>
    <t>Provide the monthly Implemented Portfolio performance of the portfolio on a pre existing platform</t>
  </si>
  <si>
    <t>What is the expected stock holdings (MIS vs managed portfolio) overlap with any of your funds?</t>
  </si>
  <si>
    <t>Part 3: Portfolio management information</t>
  </si>
  <si>
    <t>What is the minimum number of investment options held in the portfolio? (please clarify the asset category of investment options)</t>
  </si>
  <si>
    <t>What is the maximum number of investment options held in the portfolio? (please clarify the asset category of investment options)</t>
  </si>
  <si>
    <t>What is the minimum absolute single asset position? (%)</t>
  </si>
  <si>
    <t>What is the maximum absolute single asset position? (%)</t>
  </si>
  <si>
    <t>What is the minimum single asset position for any new asset? (%)</t>
  </si>
  <si>
    <t>Target volatility (or other risk target TE, VaR, CVaR)</t>
  </si>
  <si>
    <t>Will income be reinvested or paid to the platform cash account by default?</t>
  </si>
  <si>
    <t>Reinvested</t>
  </si>
  <si>
    <t>Minimum Cash buffer? (1% minimum required)</t>
  </si>
  <si>
    <t>Is the trading preference active or rebalance?</t>
  </si>
  <si>
    <t>Active</t>
  </si>
  <si>
    <t>Portfolio management - Listed Assets ONLY</t>
  </si>
  <si>
    <t>Expected Turnover (p.a.)</t>
  </si>
  <si>
    <t>Active Stock Limits (+/- benchmark weight)</t>
  </si>
  <si>
    <t>Active GICS Sector Limits (+/- benchmark weight)</t>
  </si>
  <si>
    <t>Ex-ante tracking error target</t>
  </si>
  <si>
    <t>Target benchmark outperformance</t>
  </si>
  <si>
    <t>Part 4: Strategic Asset Allocation</t>
  </si>
  <si>
    <t>Correctly Completed</t>
  </si>
  <si>
    <t>Asset classes available on North</t>
  </si>
  <si>
    <t>Minimum Range</t>
  </si>
  <si>
    <t>SAA</t>
  </si>
  <si>
    <t>Maximum Range</t>
  </si>
  <si>
    <t xml:space="preserve"> Current Weight in Portfolio</t>
  </si>
  <si>
    <t>Active Weight</t>
  </si>
  <si>
    <t>Growth</t>
  </si>
  <si>
    <t>Australian Equities</t>
  </si>
  <si>
    <t>International Equities</t>
  </si>
  <si>
    <t>Domestic Property and Infrastructure</t>
  </si>
  <si>
    <t>International Property and Infrastructure</t>
  </si>
  <si>
    <t>Alternatives</t>
  </si>
  <si>
    <t xml:space="preserve">Defensive </t>
  </si>
  <si>
    <t xml:space="preserve">International Fixed Interest </t>
  </si>
  <si>
    <t>Cash (1% minimum required)</t>
  </si>
  <si>
    <t>Total</t>
  </si>
  <si>
    <t>Part 5: Fees</t>
  </si>
  <si>
    <t>Proposed fee paid by NMMT to the investment manager (exclusive of GST)</t>
  </si>
  <si>
    <t>Is there a proposed performance fee? If so:
What is the hurdle rate?
How is it calculated?</t>
  </si>
  <si>
    <t>Page Five: Portfolio  Snapshot</t>
  </si>
  <si>
    <t xml:space="preserve">PLEASE POPULATE THIS WORKSHEET FOR THE AUSTRALIAN EQUITIES PORTFOLIO ONLY </t>
  </si>
  <si>
    <t>Portfolio name</t>
  </si>
  <si>
    <t>Contributors and Detractors</t>
  </si>
  <si>
    <t>Benchmark</t>
  </si>
  <si>
    <t>Top 5 Contributors - 1 year</t>
  </si>
  <si>
    <t>Security name</t>
  </si>
  <si>
    <t>Sector</t>
  </si>
  <si>
    <t>Relative contribution %</t>
  </si>
  <si>
    <t>GICS Sector exposures</t>
  </si>
  <si>
    <t>Portfolio Weight %</t>
  </si>
  <si>
    <t>Index Weight %</t>
  </si>
  <si>
    <t>Active Weight  %</t>
  </si>
  <si>
    <t>Materials</t>
  </si>
  <si>
    <t>Metals and Mining</t>
  </si>
  <si>
    <t>Energy</t>
  </si>
  <si>
    <t>Industrials</t>
  </si>
  <si>
    <t>Top 5 Contributors - 3 years (annualised)</t>
  </si>
  <si>
    <t>Consumer Discretionary</t>
  </si>
  <si>
    <t>Consumer Staples</t>
  </si>
  <si>
    <t>Health Care</t>
  </si>
  <si>
    <t>Financials</t>
  </si>
  <si>
    <t>Financials (ex-AREITs)</t>
  </si>
  <si>
    <t>AREITs</t>
  </si>
  <si>
    <t>Information Technology</t>
  </si>
  <si>
    <t>Telecommunication Services</t>
  </si>
  <si>
    <t>Top 5 Detractors - 1 year</t>
  </si>
  <si>
    <t>Utilities</t>
  </si>
  <si>
    <t>Top 5 Overweights</t>
  </si>
  <si>
    <t>Position %</t>
  </si>
  <si>
    <t>Active Weight %</t>
  </si>
  <si>
    <t>Top 5 Detractors - 3 year (annualised)</t>
  </si>
  <si>
    <t>Top 5 Underweights</t>
  </si>
  <si>
    <t>Current allocation by size</t>
  </si>
  <si>
    <t>% of portfolio</t>
  </si>
  <si>
    <t>S&amp;P/ASX 20</t>
  </si>
  <si>
    <t>S&amp;P/ASX 21-50</t>
  </si>
  <si>
    <t>S&amp;P/ASX 51-100</t>
  </si>
  <si>
    <t>S&amp;P/ASX 101-200</t>
  </si>
  <si>
    <t>S&amp;P / ASX 300 (ex-S&amp;P / ASX 200)</t>
  </si>
  <si>
    <t>Liquidity stress testing -  normal and stressed market conditions</t>
  </si>
  <si>
    <t xml:space="preserve">
- Please provide the participation rate used and how liquidity for listed and unlisted assets are determined
- Percentage of portfolio liquidated within 30 trading days assuming 25% of Average Daily Volume (ADV) over the past 12 months.</t>
  </si>
  <si>
    <t>Liquidity in Normal Stress (25% ADV) market conditions - # Trading Days to liquidate 100% of Fund</t>
  </si>
  <si>
    <t>1 to 3 trading days</t>
  </si>
  <si>
    <t>&gt;3 to 21 trading days</t>
  </si>
  <si>
    <t>&gt;21 to 30 trading days</t>
  </si>
  <si>
    <t>&gt;30 days to 3 months</t>
  </si>
  <si>
    <t>&gt;3 months to 6 months</t>
  </si>
  <si>
    <t>&lt;1 year</t>
  </si>
  <si>
    <t>&gt;1 year</t>
  </si>
  <si>
    <t>Liquidity in Stressed (12.5% ADV) market conditions - # Trading Days to liquidate 100% of Fund</t>
  </si>
  <si>
    <t>Low Stress (Sell 25% of average daily volume)</t>
  </si>
  <si>
    <t>7 Days</t>
  </si>
  <si>
    <t>10 Days</t>
  </si>
  <si>
    <t>1 Month</t>
  </si>
  <si>
    <t>3 Months</t>
  </si>
  <si>
    <t>12 Months</t>
  </si>
  <si>
    <t>&gt;12 Months</t>
  </si>
  <si>
    <t>100% Growth</t>
  </si>
  <si>
    <t>Moderate Stress (Sell 12.5% of average daily volume)</t>
  </si>
  <si>
    <t>Extreme Stress (Sell 5% of average daily volume)</t>
  </si>
  <si>
    <t>0% Growth</t>
  </si>
  <si>
    <t xml:space="preserve">Scenario testing - Total Portfolio Analysis (TPA) for the following periods:
</t>
  </si>
  <si>
    <t>Scenario</t>
  </si>
  <si>
    <t>1987 crash</t>
  </si>
  <si>
    <t>1990s bull market</t>
  </si>
  <si>
    <t>2003-2007</t>
  </si>
  <si>
    <t>GFC (Sep 2008 – Nov 2008)</t>
  </si>
  <si>
    <t>Post GFC</t>
  </si>
  <si>
    <t>ASX200 down 35%</t>
  </si>
  <si>
    <t>AU Yields up 250bps</t>
  </si>
  <si>
    <t>Fund</t>
  </si>
  <si>
    <t>Role in portfolio</t>
  </si>
  <si>
    <t xml:space="preserve">Benchmark for the strategy </t>
  </si>
  <si>
    <t>Target excess return</t>
  </si>
  <si>
    <t>Strategy highlights: style, factor biases</t>
  </si>
  <si>
    <t>Risk assessment: Tracking error (vs benchmark)</t>
  </si>
  <si>
    <t>Australian Equity - Mid Cap</t>
  </si>
  <si>
    <t>S&amp;P/ASX Mid Small TR Index AUD</t>
  </si>
  <si>
    <t>3-5%</t>
  </si>
  <si>
    <t>Mid cap</t>
  </si>
  <si>
    <t>3-8%</t>
  </si>
  <si>
    <t>Australian Equity - Large Cap</t>
  </si>
  <si>
    <t>S&amp;P/ASX 300 TR Index AUD</t>
  </si>
  <si>
    <t>Core/Style Neutral</t>
  </si>
  <si>
    <t>Value</t>
  </si>
  <si>
    <t>Australian Equity - Small Cap</t>
  </si>
  <si>
    <t>S&amp;P/ASX Small Ordinaries TR Index AUD</t>
  </si>
  <si>
    <t>Small cap</t>
  </si>
  <si>
    <t>Australian Equity - Index</t>
  </si>
  <si>
    <t>Index</t>
  </si>
  <si>
    <t>International Equity - Large Cap</t>
  </si>
  <si>
    <t>MSCI World NR Index AUD</t>
  </si>
  <si>
    <t>4-5%</t>
  </si>
  <si>
    <t>Long/short</t>
  </si>
  <si>
    <t>MSCI AC World ex Australia NR Index AUD</t>
  </si>
  <si>
    <t>Quantitative</t>
  </si>
  <si>
    <t>3-7%</t>
  </si>
  <si>
    <t>International Equity - SMID</t>
  </si>
  <si>
    <t>MSCI AC World SMID NR Index AUD</t>
  </si>
  <si>
    <t>Global mid cap</t>
  </si>
  <si>
    <t>Global growth</t>
  </si>
  <si>
    <t>MSCI AC World NR Index AUD</t>
  </si>
  <si>
    <t>Global value</t>
  </si>
  <si>
    <t>International Equity - Regional</t>
  </si>
  <si>
    <t>MSCI AC Asia ex Japan NR Index AUD</t>
  </si>
  <si>
    <t>Global emerging markets</t>
  </si>
  <si>
    <t>4-7%</t>
  </si>
  <si>
    <t>International Equity - Index</t>
  </si>
  <si>
    <t>MSCI World ex Australia NR Index AUD</t>
  </si>
  <si>
    <t>AREIT - Index</t>
  </si>
  <si>
    <t>S&amp;P/ASX 300 A-REIT TR Index AUD</t>
  </si>
  <si>
    <t>GREIT</t>
  </si>
  <si>
    <t>FTSE EPRA/NAREIT Developed NR Index AUD</t>
  </si>
  <si>
    <t>International Infrastructure</t>
  </si>
  <si>
    <t xml:space="preserve">FTSE Global Core Infrastructure 50/50 NR Index AUD </t>
  </si>
  <si>
    <t>Infrastructure</t>
  </si>
  <si>
    <t xml:space="preserve">Australian Fixed Income </t>
  </si>
  <si>
    <t>RBA Cash Rate</t>
  </si>
  <si>
    <t>2-3%</t>
  </si>
  <si>
    <t>Unconstrained Bond</t>
  </si>
  <si>
    <t>Bloomberg AusBond Bank Bill Index AUD</t>
  </si>
  <si>
    <t>2-4%</t>
  </si>
  <si>
    <t>Specialised Income</t>
  </si>
  <si>
    <t>2.5-5%</t>
  </si>
  <si>
    <t>Australian Fixed Income</t>
  </si>
  <si>
    <t>Bloomberg AusBond Composite 0+ Year Index AUD</t>
  </si>
  <si>
    <t>1-1.5%</t>
  </si>
  <si>
    <t>Diversified Bonds</t>
  </si>
  <si>
    <t>Australian/Global Fixed Income Core</t>
  </si>
  <si>
    <t>50% Bloomberg AusBond Composite 0+ Year Index AUD / 50% Bloomberg Global Aggregate TR Index (AUD Hedged)</t>
  </si>
  <si>
    <t>Global Bonds</t>
  </si>
  <si>
    <t>Bloomberg Global Aggregate TR Index (AUD Hedged)</t>
  </si>
  <si>
    <t>1-2%</t>
  </si>
  <si>
    <t>Global High Yield</t>
  </si>
  <si>
    <t>50% Bloomberg AusBond Bank Bill Index AUD / 50% Bloomberg AusBond Composite 0+ Year Index AUD</t>
  </si>
  <si>
    <t>Specialised High Income</t>
  </si>
  <si>
    <t>3-4%</t>
  </si>
  <si>
    <t xml:space="preserve">Page Ten: Rebates required in the managed portfolios </t>
  </si>
  <si>
    <t>Rebate details</t>
  </si>
  <si>
    <t>Fund Manager Contact Person</t>
  </si>
  <si>
    <t>ASX/APIR code</t>
  </si>
  <si>
    <t>Investment option name</t>
  </si>
  <si>
    <t>Rebate Rate 
(% rebate payable)</t>
  </si>
  <si>
    <t>Fund Manager</t>
  </si>
  <si>
    <t>Primary Contact Person</t>
  </si>
  <si>
    <t>Phone</t>
  </si>
  <si>
    <t>Email</t>
  </si>
  <si>
    <t>e.g APR1234AU</t>
  </si>
  <si>
    <t>XYZ Australian Equities Fund A</t>
  </si>
  <si>
    <t>Fund Manager XYZ</t>
  </si>
  <si>
    <t>John Smith</t>
  </si>
  <si>
    <t>0423567890</t>
  </si>
  <si>
    <t>example@xyz.com</t>
  </si>
  <si>
    <t>Australian Equities  -for a portfolio of direct equities; please provide charts on market cap, sector allocation, style bias</t>
  </si>
  <si>
    <t>Mandate</t>
  </si>
  <si>
    <t>Managed Portfolio Name</t>
  </si>
  <si>
    <t>Investment Manager Information</t>
  </si>
  <si>
    <t>Legal entity name</t>
  </si>
  <si>
    <t>ABN</t>
  </si>
  <si>
    <t>AFSL Number</t>
  </si>
  <si>
    <t>About the Investment Manager</t>
  </si>
  <si>
    <t>Investment philosophy and process</t>
  </si>
  <si>
    <t>TBC</t>
  </si>
  <si>
    <t>Managed Portfolio Information</t>
  </si>
  <si>
    <t>Investment manager</t>
  </si>
  <si>
    <t>Availability</t>
  </si>
  <si>
    <t>Investment Objective</t>
  </si>
  <si>
    <t>Minimum investment amount</t>
  </si>
  <si>
    <t>Risk Band and Label</t>
  </si>
  <si>
    <t>Portfolio income</t>
  </si>
  <si>
    <t>Website</t>
  </si>
  <si>
    <t>Code</t>
  </si>
  <si>
    <t>Underlying assets</t>
  </si>
  <si>
    <t>Target growth/defensive exposure</t>
  </si>
  <si>
    <t>Indicative asset allocation ranges</t>
  </si>
  <si>
    <t>Refer to asset class table below</t>
  </si>
  <si>
    <t>Asset class</t>
  </si>
  <si>
    <t>Min (%)</t>
  </si>
  <si>
    <t>Max (%)</t>
  </si>
  <si>
    <t>Growth assets</t>
  </si>
  <si>
    <t>Listed property/infrastructure</t>
  </si>
  <si>
    <t>Defensive assets</t>
  </si>
  <si>
    <t>Designed for investors with a minimum 2 year timeframe, who have a low tolerance to investment risk, and/or require low returns to meet their objectives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</si>
</sst>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 #,##0.00_-;_-* &quot;-&quot;??_-;_-@_-"/>
    <numFmt numFmtId="165" formatCode="d/mm/yyyy;@"/>
    <numFmt numFmtId="166" formatCode="0.0000%"/>
  </numFmts>
  <fonts count="29"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24"/>
      <color theme="0"/>
      <name val="Calibri"/>
      <family val="2"/>
      <scheme val="minor"/>
    </font>
    <font>
      <sz val="26"/>
      <color rgb="FF00B0F0"/>
      <name val="Calibri"/>
      <family val="2"/>
      <scheme val="minor"/>
    </font>
    <font>
      <sz val="12"/>
      <color rgb="FF00B0F0"/>
      <name val="Calibri"/>
      <family val="2"/>
      <scheme val="minor"/>
    </font>
    <font>
      <sz val="10"/>
      <color theme="1"/>
      <name val="Calibri"/>
      <family val="2"/>
      <scheme val="minor"/>
    </font>
    <font>
      <u/>
      <sz val="11"/>
      <color theme="10"/>
      <name val="Calibri"/>
      <family val="2"/>
      <scheme val="minor"/>
    </font>
    <font>
      <sz val="11"/>
      <name val="Calibri"/>
      <family val="2"/>
      <scheme val="minor"/>
    </font>
    <font>
      <sz val="10"/>
      <name val="Calibri"/>
      <family val="2"/>
      <scheme val="minor"/>
    </font>
    <font>
      <sz val="4"/>
      <color theme="0"/>
      <name val="Calibri"/>
      <family val="2"/>
      <scheme val="minor"/>
    </font>
    <font>
      <sz val="4"/>
      <name val="Calibri"/>
      <family val="2"/>
      <scheme val="minor"/>
    </font>
    <font>
      <b/>
      <sz val="11"/>
      <color rgb="FFFF0000"/>
      <name val="Calibri"/>
      <family val="2"/>
      <scheme val="minor"/>
    </font>
    <font>
      <b/>
      <sz val="14"/>
      <color theme="1"/>
      <name val="Calibri"/>
      <family val="2"/>
      <scheme val="minor"/>
    </font>
    <font>
      <b/>
      <sz val="12"/>
      <color theme="0"/>
      <name val="Calibri"/>
      <family val="2"/>
      <scheme val="minor"/>
    </font>
    <font>
      <sz val="8"/>
      <name val="Calibri"/>
      <family val="2"/>
      <scheme val="minor"/>
    </font>
    <font>
      <i/>
      <sz val="11"/>
      <color theme="2" tint="-0.249977111117893"/>
      <name val="Calibri"/>
      <family val="2"/>
      <scheme val="minor"/>
    </font>
    <font>
      <b/>
      <sz val="11"/>
      <color rgb="FF000000"/>
      <name val="Calibri"/>
      <family val="2"/>
    </font>
    <font>
      <sz val="11"/>
      <color rgb="FFFF0000"/>
      <name val="Calibri"/>
      <family val="2"/>
      <scheme val="minor"/>
    </font>
    <font>
      <i/>
      <sz val="11"/>
      <color rgb="FFFF0000"/>
      <name val="Calibri"/>
      <family val="2"/>
      <scheme val="minor"/>
    </font>
    <font>
      <sz val="10"/>
      <name val="MS Sans Serif"/>
      <family val="2"/>
    </font>
    <font>
      <sz val="12"/>
      <color rgb="FF242424"/>
      <name val="Aptos"/>
      <family val="2"/>
    </font>
    <font>
      <b/>
      <sz val="11"/>
      <color rgb="FF000000"/>
      <name val="Aptos Narrow"/>
      <family val="2"/>
    </font>
    <font>
      <sz val="11"/>
      <color rgb="FF000000"/>
      <name val="Aptos Narrow"/>
      <family val="2"/>
    </font>
    <font>
      <sz val="11"/>
      <color rgb="FF000000"/>
      <name val="Calibri"/>
      <family val="2"/>
      <scheme val="minor"/>
    </font>
    <font>
      <b/>
      <sz val="11"/>
      <color rgb="FF000000"/>
      <name val="Calibri"/>
      <family val="2"/>
      <scheme val="minor"/>
    </font>
    <font>
      <b/>
      <sz val="11"/>
      <color rgb="FFFFFFFF"/>
      <name val="Calibri"/>
      <family val="2"/>
      <scheme val="minor"/>
    </font>
  </fonts>
  <fills count="15">
    <fill>
      <patternFill patternType="none"/>
    </fill>
    <fill>
      <patternFill patternType="gray125"/>
    </fill>
    <fill>
      <patternFill patternType="solid">
        <fgColor rgb="FF002060"/>
        <bgColor indexed="64"/>
      </patternFill>
    </fill>
    <fill>
      <patternFill patternType="solid">
        <fgColor theme="8" tint="0.79998168889431442"/>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1"/>
        <bgColor indexed="64"/>
      </patternFill>
    </fill>
    <fill>
      <patternFill patternType="solid">
        <fgColor theme="3" tint="0.79998168889431442"/>
        <bgColor indexed="64"/>
      </patternFill>
    </fill>
    <fill>
      <patternFill patternType="solid">
        <fgColor rgb="FFB4C6E7"/>
        <bgColor rgb="FF000000"/>
      </patternFill>
    </fill>
    <fill>
      <patternFill patternType="solid">
        <fgColor rgb="FFDDEBF7"/>
        <bgColor rgb="FF000000"/>
      </patternFill>
    </fill>
    <fill>
      <patternFill patternType="solid">
        <fgColor theme="4" tint="-0.249977111117893"/>
        <bgColor indexed="64"/>
      </patternFill>
    </fill>
    <fill>
      <patternFill patternType="solid">
        <fgColor theme="7" tint="0.79998168889431442"/>
        <bgColor indexed="64"/>
      </patternFill>
    </fill>
    <fill>
      <patternFill patternType="solid">
        <fgColor theme="0"/>
        <bgColor indexed="64"/>
      </patternFill>
    </fill>
    <fill>
      <patternFill patternType="solid">
        <fgColor rgb="FFFFFFFF"/>
        <bgColor indexed="64"/>
      </patternFill>
    </fill>
    <fill>
      <patternFill patternType="solid">
        <fgColor rgb="FF002060"/>
        <bgColor rgb="FF000000"/>
      </patternFill>
    </fill>
  </fills>
  <borders count="3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bottom/>
      <diagonal/>
    </border>
    <border>
      <left style="medium">
        <color indexed="64"/>
      </left>
      <right/>
      <top/>
      <bottom/>
      <diagonal/>
    </border>
    <border>
      <left style="medium">
        <color indexed="64"/>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rgb="FF000000"/>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indexed="64"/>
      </left>
      <right style="thin">
        <color rgb="FF000000"/>
      </right>
      <top style="thin">
        <color indexed="64"/>
      </top>
      <bottom/>
      <diagonal/>
    </border>
    <border>
      <left style="thin">
        <color indexed="64"/>
      </left>
      <right style="thin">
        <color rgb="FF000000"/>
      </right>
      <top/>
      <bottom style="thin">
        <color indexed="64"/>
      </bottom>
      <diagonal/>
    </border>
    <border>
      <left style="thin">
        <color rgb="FF000000"/>
      </left>
      <right style="thin">
        <color indexed="64"/>
      </right>
      <top style="thin">
        <color indexed="64"/>
      </top>
      <bottom/>
      <diagonal/>
    </border>
    <border>
      <left style="thin">
        <color rgb="FF000000"/>
      </left>
      <right style="thin">
        <color indexed="64"/>
      </right>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bottom style="thin">
        <color indexed="64"/>
      </bottom>
      <diagonal/>
    </border>
    <border>
      <left/>
      <right style="medium">
        <color rgb="FF000000"/>
      </right>
      <top style="medium">
        <color indexed="64"/>
      </top>
      <bottom style="medium">
        <color indexed="64"/>
      </bottom>
      <diagonal/>
    </border>
  </borders>
  <cellStyleXfs count="5">
    <xf numFmtId="0" fontId="0" fillId="0" borderId="0"/>
    <xf numFmtId="9" fontId="1" fillId="0" borderId="0" applyFont="0" applyFill="0" applyBorder="0" applyAlignment="0" applyProtection="0"/>
    <xf numFmtId="0" fontId="9" fillId="0" borderId="0" applyNumberFormat="0" applyFill="0" applyBorder="0" applyAlignment="0" applyProtection="0"/>
    <xf numFmtId="164" fontId="1" fillId="0" borderId="0" applyFont="0" applyFill="0" applyBorder="0" applyAlignment="0" applyProtection="0"/>
    <xf numFmtId="0" fontId="22" fillId="0" borderId="0"/>
  </cellStyleXfs>
  <cellXfs count="261">
    <xf numFmtId="0" fontId="0" fillId="0" borderId="0" xfId="0"/>
    <xf numFmtId="0" fontId="8" fillId="0" borderId="1" xfId="0" applyFont="1" applyBorder="1" applyAlignment="1">
      <alignment vertical="center"/>
    </xf>
    <xf numFmtId="0" fontId="5" fillId="0" borderId="0" xfId="0" applyFont="1"/>
    <xf numFmtId="0" fontId="2" fillId="2" borderId="2" xfId="0" applyFont="1" applyFill="1" applyBorder="1"/>
    <xf numFmtId="0" fontId="0" fillId="3" borderId="1" xfId="0" applyFill="1" applyBorder="1" applyAlignment="1">
      <alignment vertical="center" wrapText="1"/>
    </xf>
    <xf numFmtId="0" fontId="0" fillId="3" borderId="1" xfId="0" applyFill="1" applyBorder="1" applyAlignment="1">
      <alignment vertical="center"/>
    </xf>
    <xf numFmtId="0" fontId="2" fillId="4" borderId="2" xfId="0" applyFont="1" applyFill="1" applyBorder="1"/>
    <xf numFmtId="9" fontId="2" fillId="4" borderId="3" xfId="0" applyNumberFormat="1" applyFont="1" applyFill="1" applyBorder="1"/>
    <xf numFmtId="9" fontId="2" fillId="4" borderId="3" xfId="1" applyFont="1" applyFill="1" applyBorder="1"/>
    <xf numFmtId="0" fontId="6" fillId="2" borderId="8" xfId="0" applyFont="1" applyFill="1" applyBorder="1" applyAlignment="1">
      <alignment vertical="center"/>
    </xf>
    <xf numFmtId="0" fontId="5" fillId="2" borderId="9" xfId="0" applyFont="1" applyFill="1" applyBorder="1"/>
    <xf numFmtId="0" fontId="5" fillId="2" borderId="10" xfId="0" applyFont="1" applyFill="1" applyBorder="1"/>
    <xf numFmtId="0" fontId="7" fillId="2" borderId="11" xfId="0" applyFont="1" applyFill="1" applyBorder="1" applyAlignment="1">
      <alignment vertical="center"/>
    </xf>
    <xf numFmtId="0" fontId="5" fillId="2" borderId="12" xfId="0" applyFont="1" applyFill="1" applyBorder="1"/>
    <xf numFmtId="0" fontId="5" fillId="2" borderId="13" xfId="0" applyFont="1" applyFill="1" applyBorder="1"/>
    <xf numFmtId="0" fontId="0" fillId="0" borderId="1" xfId="0" applyBorder="1"/>
    <xf numFmtId="0" fontId="0" fillId="0" borderId="1" xfId="0" applyBorder="1" applyAlignment="1">
      <alignment wrapText="1"/>
    </xf>
    <xf numFmtId="0" fontId="0" fillId="0" borderId="1" xfId="0" applyBorder="1" applyAlignment="1">
      <alignment horizontal="center"/>
    </xf>
    <xf numFmtId="0" fontId="0" fillId="0" borderId="1" xfId="0" applyBorder="1" applyAlignment="1">
      <alignment horizontal="center" wrapText="1"/>
    </xf>
    <xf numFmtId="165" fontId="0" fillId="0" borderId="1" xfId="0" applyNumberFormat="1" applyBorder="1" applyAlignment="1">
      <alignment horizontal="center" wrapText="1"/>
    </xf>
    <xf numFmtId="0" fontId="5" fillId="2" borderId="0" xfId="0" applyFont="1" applyFill="1"/>
    <xf numFmtId="0" fontId="7" fillId="2" borderId="18" xfId="0" applyFont="1" applyFill="1" applyBorder="1" applyAlignment="1">
      <alignment vertical="center"/>
    </xf>
    <xf numFmtId="0" fontId="5" fillId="2" borderId="17" xfId="0" applyFont="1" applyFill="1" applyBorder="1"/>
    <xf numFmtId="0" fontId="2" fillId="2" borderId="7" xfId="0" applyFont="1" applyFill="1" applyBorder="1" applyAlignment="1">
      <alignment wrapText="1"/>
    </xf>
    <xf numFmtId="0" fontId="0" fillId="0" borderId="0" xfId="0" applyAlignment="1">
      <alignment wrapText="1"/>
    </xf>
    <xf numFmtId="0" fontId="0" fillId="0" borderId="0" xfId="0" applyAlignment="1">
      <alignment horizontal="left"/>
    </xf>
    <xf numFmtId="10" fontId="0" fillId="0" borderId="0" xfId="0" applyNumberFormat="1" applyAlignment="1">
      <alignment horizontal="left"/>
    </xf>
    <xf numFmtId="10" fontId="0" fillId="0" borderId="0" xfId="0" applyNumberFormat="1"/>
    <xf numFmtId="0" fontId="7" fillId="2" borderId="11" xfId="0" applyFont="1" applyFill="1" applyBorder="1" applyAlignment="1">
      <alignment horizontal="left" vertical="center"/>
    </xf>
    <xf numFmtId="0" fontId="5" fillId="2" borderId="12" xfId="0" applyFont="1" applyFill="1" applyBorder="1" applyAlignment="1">
      <alignment horizontal="left"/>
    </xf>
    <xf numFmtId="0" fontId="5" fillId="2" borderId="13" xfId="0" applyFont="1" applyFill="1" applyBorder="1" applyAlignment="1">
      <alignment horizontal="left"/>
    </xf>
    <xf numFmtId="0" fontId="4" fillId="0" borderId="0" xfId="0" applyFont="1"/>
    <xf numFmtId="0" fontId="6" fillId="2" borderId="9" xfId="0" applyFont="1" applyFill="1" applyBorder="1" applyAlignment="1">
      <alignment vertical="center"/>
    </xf>
    <xf numFmtId="0" fontId="6" fillId="2" borderId="10" xfId="0" applyFont="1" applyFill="1" applyBorder="1" applyAlignment="1">
      <alignment vertical="center"/>
    </xf>
    <xf numFmtId="0" fontId="0" fillId="6" borderId="0" xfId="0" applyFill="1"/>
    <xf numFmtId="0" fontId="5" fillId="6" borderId="0" xfId="0" applyFont="1" applyFill="1"/>
    <xf numFmtId="0" fontId="8" fillId="0" borderId="1" xfId="3" applyNumberFormat="1" applyFont="1" applyBorder="1" applyAlignment="1">
      <alignment vertical="center"/>
    </xf>
    <xf numFmtId="0" fontId="8" fillId="0" borderId="1" xfId="1" applyNumberFormat="1" applyFont="1" applyBorder="1" applyAlignment="1">
      <alignment vertical="center"/>
    </xf>
    <xf numFmtId="0" fontId="3" fillId="0" borderId="1" xfId="0" applyFont="1" applyBorder="1"/>
    <xf numFmtId="9" fontId="0" fillId="0" borderId="0" xfId="1" applyFont="1" applyBorder="1" applyAlignment="1">
      <alignment horizontal="right"/>
    </xf>
    <xf numFmtId="9" fontId="3" fillId="0" borderId="0" xfId="1" applyFont="1" applyBorder="1" applyAlignment="1">
      <alignment horizontal="right"/>
    </xf>
    <xf numFmtId="0" fontId="0" fillId="0" borderId="0" xfId="0" applyAlignment="1">
      <alignment horizontal="right"/>
    </xf>
    <xf numFmtId="0" fontId="11" fillId="0" borderId="1" xfId="0" applyFont="1" applyBorder="1" applyAlignment="1">
      <alignment horizontal="right" vertical="center" wrapText="1"/>
    </xf>
    <xf numFmtId="9" fontId="2" fillId="4" borderId="3" xfId="1" applyFont="1" applyFill="1" applyBorder="1" applyAlignment="1"/>
    <xf numFmtId="0" fontId="0" fillId="3" borderId="2" xfId="0" applyFill="1" applyBorder="1" applyAlignment="1">
      <alignment wrapText="1"/>
    </xf>
    <xf numFmtId="0" fontId="0" fillId="3" borderId="2" xfId="0" applyFill="1" applyBorder="1" applyAlignment="1">
      <alignment horizontal="left" vertical="top" wrapText="1"/>
    </xf>
    <xf numFmtId="0" fontId="0" fillId="3" borderId="1" xfId="0" applyFill="1" applyBorder="1" applyAlignment="1">
      <alignment wrapText="1"/>
    </xf>
    <xf numFmtId="10" fontId="0" fillId="3" borderId="1" xfId="0" applyNumberFormat="1" applyFill="1" applyBorder="1" applyAlignment="1">
      <alignment wrapText="1"/>
    </xf>
    <xf numFmtId="9" fontId="0" fillId="3" borderId="1" xfId="1" applyFont="1" applyFill="1" applyBorder="1" applyAlignment="1">
      <alignment wrapText="1"/>
    </xf>
    <xf numFmtId="0" fontId="0" fillId="3" borderId="1" xfId="0" applyFill="1" applyBorder="1" applyAlignment="1">
      <alignment vertical="top" wrapText="1"/>
    </xf>
    <xf numFmtId="0" fontId="0" fillId="3" borderId="1" xfId="0" applyFill="1" applyBorder="1" applyAlignment="1">
      <alignment horizontal="left" vertical="center" wrapText="1"/>
    </xf>
    <xf numFmtId="0" fontId="12" fillId="0" borderId="0" xfId="0" applyFont="1"/>
    <xf numFmtId="166" fontId="4" fillId="0" borderId="0" xfId="0" applyNumberFormat="1" applyFont="1"/>
    <xf numFmtId="0" fontId="2" fillId="2" borderId="1" xfId="0" applyFont="1" applyFill="1" applyBorder="1" applyAlignment="1">
      <alignment wrapText="1"/>
    </xf>
    <xf numFmtId="9" fontId="0" fillId="0" borderId="0" xfId="1" applyFont="1"/>
    <xf numFmtId="10" fontId="0" fillId="0" borderId="0" xfId="1" applyNumberFormat="1" applyFont="1" applyBorder="1" applyAlignment="1">
      <alignment horizontal="left"/>
    </xf>
    <xf numFmtId="9" fontId="0" fillId="0" borderId="0" xfId="1" applyFont="1" applyBorder="1"/>
    <xf numFmtId="10" fontId="0" fillId="0" borderId="1" xfId="0" applyNumberFormat="1" applyBorder="1" applyAlignment="1">
      <alignment wrapText="1"/>
    </xf>
    <xf numFmtId="10" fontId="0" fillId="0" borderId="1" xfId="1" applyNumberFormat="1" applyFont="1" applyBorder="1" applyAlignment="1">
      <alignment horizontal="right"/>
    </xf>
    <xf numFmtId="10" fontId="8" fillId="0" borderId="1" xfId="1" applyNumberFormat="1" applyFont="1" applyBorder="1" applyAlignment="1">
      <alignment wrapText="1"/>
    </xf>
    <xf numFmtId="10" fontId="0" fillId="0" borderId="0" xfId="0" applyNumberFormat="1" applyAlignment="1">
      <alignment wrapText="1"/>
    </xf>
    <xf numFmtId="10" fontId="8" fillId="0" borderId="1" xfId="0" applyNumberFormat="1" applyFont="1" applyBorder="1" applyAlignment="1">
      <alignment wrapText="1"/>
    </xf>
    <xf numFmtId="10" fontId="8" fillId="0" borderId="1" xfId="1" applyNumberFormat="1" applyFont="1" applyBorder="1" applyAlignment="1">
      <alignment horizontal="right"/>
    </xf>
    <xf numFmtId="0" fontId="7" fillId="2" borderId="18" xfId="0" applyFont="1" applyFill="1" applyBorder="1" applyAlignment="1">
      <alignment horizontal="left" vertical="center"/>
    </xf>
    <xf numFmtId="10" fontId="2" fillId="2" borderId="1" xfId="0" applyNumberFormat="1" applyFont="1" applyFill="1" applyBorder="1"/>
    <xf numFmtId="10" fontId="0" fillId="3" borderId="1" xfId="0" applyNumberFormat="1" applyFill="1" applyBorder="1"/>
    <xf numFmtId="10" fontId="0" fillId="3" borderId="1" xfId="1" applyNumberFormat="1" applyFont="1" applyFill="1" applyBorder="1" applyAlignment="1">
      <alignment horizontal="left"/>
    </xf>
    <xf numFmtId="0" fontId="2" fillId="3" borderId="1" xfId="0" applyFont="1" applyFill="1" applyBorder="1"/>
    <xf numFmtId="0" fontId="2" fillId="2" borderId="1" xfId="0" applyFont="1" applyFill="1" applyBorder="1" applyAlignment="1">
      <alignment horizontal="left"/>
    </xf>
    <xf numFmtId="0" fontId="3" fillId="3" borderId="1" xfId="0" applyFont="1" applyFill="1" applyBorder="1" applyAlignment="1">
      <alignment wrapText="1"/>
    </xf>
    <xf numFmtId="0" fontId="2" fillId="2" borderId="1" xfId="0" applyFont="1" applyFill="1" applyBorder="1" applyAlignment="1">
      <alignment horizontal="left" wrapText="1"/>
    </xf>
    <xf numFmtId="0" fontId="0" fillId="3" borderId="1" xfId="0" applyFill="1" applyBorder="1"/>
    <xf numFmtId="0" fontId="2" fillId="2" borderId="1" xfId="0" applyFont="1" applyFill="1" applyBorder="1"/>
    <xf numFmtId="0" fontId="2" fillId="2" borderId="2" xfId="0" applyFont="1" applyFill="1" applyBorder="1" applyAlignment="1">
      <alignment wrapText="1"/>
    </xf>
    <xf numFmtId="0" fontId="10" fillId="0" borderId="0" xfId="0" applyFont="1"/>
    <xf numFmtId="0" fontId="10" fillId="6" borderId="0" xfId="0" applyFont="1" applyFill="1"/>
    <xf numFmtId="0" fontId="13" fillId="6" borderId="0" xfId="0" applyFont="1" applyFill="1"/>
    <xf numFmtId="0" fontId="10" fillId="3" borderId="1" xfId="0" applyFont="1" applyFill="1" applyBorder="1"/>
    <xf numFmtId="0" fontId="3" fillId="3" borderId="1" xfId="0" applyFont="1" applyFill="1" applyBorder="1"/>
    <xf numFmtId="0" fontId="3" fillId="3" borderId="1" xfId="0" applyFont="1" applyFill="1" applyBorder="1" applyAlignment="1">
      <alignment horizontal="left" wrapText="1"/>
    </xf>
    <xf numFmtId="9" fontId="2" fillId="2" borderId="1" xfId="1" applyFont="1" applyFill="1" applyBorder="1" applyAlignment="1">
      <alignment horizontal="right"/>
    </xf>
    <xf numFmtId="9" fontId="3" fillId="3" borderId="1" xfId="1" applyFont="1" applyFill="1" applyBorder="1" applyAlignment="1">
      <alignment horizontal="right"/>
    </xf>
    <xf numFmtId="9" fontId="2" fillId="4" borderId="3" xfId="1" applyFont="1" applyFill="1" applyBorder="1" applyAlignment="1">
      <alignment horizontal="right"/>
    </xf>
    <xf numFmtId="0" fontId="0" fillId="3" borderId="3" xfId="0" applyFill="1" applyBorder="1" applyAlignment="1">
      <alignment wrapText="1"/>
    </xf>
    <xf numFmtId="0" fontId="10" fillId="0" borderId="1" xfId="0" applyFont="1" applyBorder="1"/>
    <xf numFmtId="0" fontId="0" fillId="0" borderId="1" xfId="0" applyBorder="1" applyAlignment="1">
      <alignment horizontal="left"/>
    </xf>
    <xf numFmtId="0" fontId="2" fillId="2" borderId="7" xfId="0" applyFont="1" applyFill="1" applyBorder="1"/>
    <xf numFmtId="0" fontId="2" fillId="2" borderId="3" xfId="0" applyFont="1" applyFill="1" applyBorder="1"/>
    <xf numFmtId="0" fontId="0" fillId="3" borderId="2" xfId="0" applyFill="1" applyBorder="1"/>
    <xf numFmtId="0" fontId="0" fillId="3" borderId="3" xfId="0" applyFill="1" applyBorder="1"/>
    <xf numFmtId="0" fontId="8" fillId="0" borderId="2" xfId="0" applyFont="1" applyBorder="1"/>
    <xf numFmtId="0" fontId="8" fillId="0" borderId="3" xfId="0" applyFont="1" applyBorder="1"/>
    <xf numFmtId="0" fontId="8" fillId="0" borderId="1" xfId="0" applyFont="1" applyBorder="1"/>
    <xf numFmtId="10" fontId="0" fillId="0" borderId="1" xfId="1" applyNumberFormat="1" applyFont="1" applyFill="1" applyBorder="1" applyAlignment="1">
      <alignment horizontal="right"/>
    </xf>
    <xf numFmtId="10" fontId="2" fillId="2" borderId="1" xfId="1" applyNumberFormat="1" applyFont="1" applyFill="1" applyBorder="1" applyAlignment="1">
      <alignment horizontal="right"/>
    </xf>
    <xf numFmtId="10" fontId="4" fillId="2" borderId="1" xfId="1" applyNumberFormat="1" applyFont="1" applyFill="1" applyBorder="1" applyAlignment="1">
      <alignment horizontal="right"/>
    </xf>
    <xf numFmtId="10" fontId="0" fillId="0" borderId="20" xfId="1" applyNumberFormat="1" applyFont="1" applyBorder="1" applyAlignment="1">
      <alignment horizontal="center"/>
    </xf>
    <xf numFmtId="0" fontId="14" fillId="0" borderId="0" xfId="0" applyFont="1"/>
    <xf numFmtId="17" fontId="0" fillId="0" borderId="1" xfId="0" applyNumberFormat="1" applyBorder="1" applyAlignment="1">
      <alignment horizontal="center" wrapText="1"/>
    </xf>
    <xf numFmtId="17" fontId="0" fillId="0" borderId="1" xfId="0" applyNumberFormat="1" applyBorder="1" applyAlignment="1">
      <alignment horizontal="center"/>
    </xf>
    <xf numFmtId="0" fontId="0" fillId="3" borderId="1" xfId="0" applyFill="1" applyBorder="1" applyAlignment="1">
      <alignment horizontal="left" vertical="top" wrapText="1"/>
    </xf>
    <xf numFmtId="0" fontId="15" fillId="0" borderId="0" xfId="0" applyFont="1"/>
    <xf numFmtId="0" fontId="16" fillId="2" borderId="0" xfId="0" applyFont="1" applyFill="1"/>
    <xf numFmtId="0" fontId="18" fillId="0" borderId="1" xfId="0" applyFont="1" applyBorder="1"/>
    <xf numFmtId="0" fontId="2" fillId="2" borderId="1"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0" xfId="0" applyFont="1"/>
    <xf numFmtId="0" fontId="11" fillId="0" borderId="1" xfId="0" applyFont="1" applyBorder="1" applyAlignment="1">
      <alignment vertical="center"/>
    </xf>
    <xf numFmtId="9" fontId="0" fillId="0" borderId="1" xfId="0" applyNumberFormat="1" applyBorder="1"/>
    <xf numFmtId="0" fontId="19" fillId="9" borderId="1" xfId="0" applyFont="1" applyFill="1" applyBorder="1" applyAlignment="1">
      <alignment wrapText="1"/>
    </xf>
    <xf numFmtId="0" fontId="19" fillId="9" borderId="3" xfId="0" applyFont="1" applyFill="1" applyBorder="1" applyAlignment="1">
      <alignment wrapText="1"/>
    </xf>
    <xf numFmtId="0" fontId="0" fillId="0" borderId="2" xfId="0" applyBorder="1" applyAlignment="1">
      <alignment wrapText="1"/>
    </xf>
    <xf numFmtId="0" fontId="3" fillId="3" borderId="2" xfId="0" applyFont="1" applyFill="1" applyBorder="1" applyAlignment="1">
      <alignment horizontal="center" wrapText="1"/>
    </xf>
    <xf numFmtId="10" fontId="0" fillId="0" borderId="20" xfId="1" applyNumberFormat="1" applyFont="1" applyFill="1" applyBorder="1" applyAlignment="1">
      <alignment horizontal="center"/>
    </xf>
    <xf numFmtId="0" fontId="0" fillId="3" borderId="20" xfId="0" applyFill="1" applyBorder="1" applyAlignment="1">
      <alignment vertical="center"/>
    </xf>
    <xf numFmtId="10" fontId="0" fillId="0" borderId="23" xfId="1" applyNumberFormat="1" applyFont="1" applyBorder="1" applyAlignment="1">
      <alignment horizontal="right"/>
    </xf>
    <xf numFmtId="0" fontId="2" fillId="2" borderId="2" xfId="0" applyFont="1" applyFill="1" applyBorder="1" applyAlignment="1">
      <alignment vertical="top"/>
    </xf>
    <xf numFmtId="0" fontId="2" fillId="4" borderId="2" xfId="0" applyFont="1" applyFill="1" applyBorder="1" applyAlignment="1">
      <alignment vertical="top"/>
    </xf>
    <xf numFmtId="9" fontId="2" fillId="4" borderId="3" xfId="1" applyFont="1" applyFill="1" applyBorder="1" applyAlignment="1">
      <alignment vertical="top"/>
    </xf>
    <xf numFmtId="0" fontId="3" fillId="3" borderId="1" xfId="0" applyFont="1" applyFill="1" applyBorder="1" applyAlignment="1">
      <alignment horizontal="center" wrapText="1"/>
    </xf>
    <xf numFmtId="9" fontId="0" fillId="0" borderId="1" xfId="1" applyFont="1" applyBorder="1" applyAlignment="1">
      <alignment horizontal="center"/>
    </xf>
    <xf numFmtId="0" fontId="0" fillId="0" borderId="1" xfId="0" quotePrefix="1" applyBorder="1" applyAlignment="1">
      <alignment horizontal="center" wrapText="1"/>
    </xf>
    <xf numFmtId="0" fontId="0" fillId="11" borderId="1" xfId="0" applyFill="1" applyBorder="1"/>
    <xf numFmtId="0" fontId="0" fillId="11" borderId="1" xfId="0" applyFill="1" applyBorder="1" applyAlignment="1">
      <alignment wrapText="1"/>
    </xf>
    <xf numFmtId="0" fontId="0" fillId="11" borderId="1" xfId="0" applyFill="1" applyBorder="1" applyAlignment="1">
      <alignment horizontal="left"/>
    </xf>
    <xf numFmtId="49" fontId="0" fillId="11" borderId="1" xfId="0" quotePrefix="1" applyNumberFormat="1" applyFill="1" applyBorder="1" applyAlignment="1">
      <alignment horizontal="left" wrapText="1"/>
    </xf>
    <xf numFmtId="10" fontId="0" fillId="11" borderId="1" xfId="0" applyNumberFormat="1" applyFill="1" applyBorder="1" applyAlignment="1">
      <alignment horizontal="left"/>
    </xf>
    <xf numFmtId="0" fontId="0" fillId="0" borderId="1" xfId="0" applyBorder="1" applyAlignment="1">
      <alignment horizontal="left" wrapText="1"/>
    </xf>
    <xf numFmtId="9" fontId="0" fillId="0" borderId="1" xfId="0" applyNumberFormat="1" applyBorder="1" applyAlignment="1">
      <alignment horizontal="left"/>
    </xf>
    <xf numFmtId="10" fontId="2" fillId="2" borderId="1" xfId="1" applyNumberFormat="1" applyFont="1" applyFill="1" applyBorder="1" applyAlignment="1"/>
    <xf numFmtId="9" fontId="0" fillId="0" borderId="1" xfId="0" applyNumberFormat="1" applyBorder="1" applyAlignment="1">
      <alignment horizontal="center"/>
    </xf>
    <xf numFmtId="10" fontId="0" fillId="0" borderId="1" xfId="0" applyNumberFormat="1" applyBorder="1" applyAlignment="1">
      <alignment horizontal="center"/>
    </xf>
    <xf numFmtId="0" fontId="25" fillId="13" borderId="19" xfId="0" applyFont="1" applyFill="1" applyBorder="1" applyAlignment="1">
      <alignment vertical="center" wrapText="1"/>
    </xf>
    <xf numFmtId="0" fontId="24" fillId="13" borderId="13" xfId="0" applyFont="1" applyFill="1" applyBorder="1" applyAlignment="1">
      <alignment horizontal="right" vertical="center" wrapText="1"/>
    </xf>
    <xf numFmtId="0" fontId="24" fillId="13" borderId="19" xfId="0" applyFont="1" applyFill="1" applyBorder="1" applyAlignment="1">
      <alignment vertical="center" wrapText="1"/>
    </xf>
    <xf numFmtId="10" fontId="25" fillId="13" borderId="13" xfId="0" applyNumberFormat="1" applyFont="1" applyFill="1" applyBorder="1" applyAlignment="1">
      <alignment horizontal="right" vertical="center" wrapText="1"/>
    </xf>
    <xf numFmtId="0" fontId="23" fillId="0" borderId="0" xfId="0" applyFont="1" applyAlignment="1">
      <alignment vertical="center" wrapText="1"/>
    </xf>
    <xf numFmtId="0" fontId="24" fillId="13" borderId="17" xfId="0" applyFont="1" applyFill="1" applyBorder="1" applyAlignment="1">
      <alignment horizontal="right" vertical="center" wrapText="1"/>
    </xf>
    <xf numFmtId="10" fontId="25" fillId="13" borderId="16" xfId="0" applyNumberFormat="1" applyFont="1" applyFill="1" applyBorder="1" applyAlignment="1">
      <alignment horizontal="right" vertical="center" wrapText="1"/>
    </xf>
    <xf numFmtId="10" fontId="26" fillId="0" borderId="1" xfId="0" applyNumberFormat="1" applyFont="1" applyBorder="1"/>
    <xf numFmtId="10" fontId="26" fillId="0" borderId="1" xfId="0" applyNumberFormat="1" applyFont="1" applyBorder="1" applyAlignment="1">
      <alignment horizontal="right"/>
    </xf>
    <xf numFmtId="10" fontId="26" fillId="0" borderId="23" xfId="0" applyNumberFormat="1" applyFont="1" applyBorder="1" applyAlignment="1">
      <alignment horizontal="right"/>
    </xf>
    <xf numFmtId="10" fontId="26" fillId="0" borderId="20" xfId="0" applyNumberFormat="1" applyFont="1" applyBorder="1"/>
    <xf numFmtId="0" fontId="28" fillId="14" borderId="1" xfId="0" applyFont="1" applyFill="1" applyBorder="1" applyAlignment="1">
      <alignment horizontal="right"/>
    </xf>
    <xf numFmtId="10" fontId="26" fillId="0" borderId="20" xfId="0" applyNumberFormat="1" applyFont="1" applyBorder="1" applyAlignment="1">
      <alignment horizontal="center"/>
    </xf>
    <xf numFmtId="0" fontId="27" fillId="9" borderId="1" xfId="0" applyFont="1" applyFill="1" applyBorder="1" applyAlignment="1">
      <alignment horizontal="right"/>
    </xf>
    <xf numFmtId="9" fontId="27" fillId="9" borderId="1" xfId="0" applyNumberFormat="1" applyFont="1" applyFill="1" applyBorder="1" applyAlignment="1">
      <alignment horizontal="right"/>
    </xf>
    <xf numFmtId="0" fontId="2" fillId="2" borderId="1" xfId="0" applyFont="1" applyFill="1" applyBorder="1" applyAlignment="1">
      <alignment horizontal="left" vertical="center" wrapText="1"/>
    </xf>
    <xf numFmtId="0" fontId="0" fillId="0" borderId="4" xfId="0" applyBorder="1" applyAlignment="1">
      <alignment horizontal="left" vertical="top" wrapText="1"/>
    </xf>
    <xf numFmtId="0" fontId="0" fillId="0" borderId="5" xfId="0" applyBorder="1" applyAlignment="1">
      <alignment horizontal="left" vertical="top" wrapText="1"/>
    </xf>
    <xf numFmtId="0" fontId="0" fillId="0" borderId="6" xfId="0" applyBorder="1" applyAlignment="1">
      <alignment horizontal="left" vertical="top" wrapText="1"/>
    </xf>
    <xf numFmtId="0" fontId="2" fillId="2" borderId="1" xfId="0" applyFont="1" applyFill="1" applyBorder="1" applyAlignment="1">
      <alignment horizontal="left" vertical="center"/>
    </xf>
    <xf numFmtId="0" fontId="0" fillId="0" borderId="1" xfId="0" applyBorder="1" applyAlignment="1">
      <alignment horizontal="left"/>
    </xf>
    <xf numFmtId="0" fontId="0" fillId="0" borderId="2" xfId="0" applyBorder="1" applyAlignment="1">
      <alignment horizontal="left" vertical="top" wrapText="1"/>
    </xf>
    <xf numFmtId="0" fontId="0" fillId="0" borderId="7" xfId="0" applyBorder="1" applyAlignment="1">
      <alignment horizontal="left" vertical="top" wrapText="1"/>
    </xf>
    <xf numFmtId="0" fontId="0" fillId="0" borderId="3" xfId="0" applyBorder="1" applyAlignment="1">
      <alignment horizontal="left" vertical="top" wrapText="1"/>
    </xf>
    <xf numFmtId="0" fontId="9" fillId="0" borderId="2" xfId="2" applyBorder="1" applyAlignment="1">
      <alignment horizontal="left" vertical="top" wrapText="1"/>
    </xf>
    <xf numFmtId="0" fontId="21" fillId="0" borderId="7" xfId="0" applyFont="1" applyBorder="1" applyAlignment="1">
      <alignment horizontal="left" vertical="top" wrapText="1"/>
    </xf>
    <xf numFmtId="0" fontId="21" fillId="0" borderId="3" xfId="0" applyFont="1" applyBorder="1" applyAlignment="1">
      <alignment horizontal="left" vertical="top" wrapText="1"/>
    </xf>
    <xf numFmtId="0" fontId="2" fillId="2" borderId="1" xfId="0" applyFont="1" applyFill="1" applyBorder="1" applyAlignment="1">
      <alignment horizontal="left"/>
    </xf>
    <xf numFmtId="0" fontId="10" fillId="0" borderId="2" xfId="0" applyFont="1" applyBorder="1" applyAlignment="1">
      <alignment horizontal="left" vertical="top" wrapText="1"/>
    </xf>
    <xf numFmtId="0" fontId="10" fillId="0" borderId="7" xfId="0" applyFont="1" applyBorder="1" applyAlignment="1">
      <alignment horizontal="left" vertical="top" wrapText="1"/>
    </xf>
    <xf numFmtId="0" fontId="10" fillId="0" borderId="3" xfId="0" applyFont="1" applyBorder="1" applyAlignment="1">
      <alignment horizontal="left" vertical="top" wrapText="1"/>
    </xf>
    <xf numFmtId="0" fontId="0" fillId="0" borderId="2" xfId="0" quotePrefix="1" applyBorder="1" applyAlignment="1">
      <alignment horizontal="left" vertical="top" wrapText="1"/>
    </xf>
    <xf numFmtId="0" fontId="0" fillId="5" borderId="14" xfId="0" applyFill="1" applyBorder="1" applyAlignment="1">
      <alignment horizontal="center"/>
    </xf>
    <xf numFmtId="0" fontId="0" fillId="5" borderId="15" xfId="0" applyFill="1" applyBorder="1" applyAlignment="1">
      <alignment horizontal="center"/>
    </xf>
    <xf numFmtId="0" fontId="0" fillId="5" borderId="16" xfId="0" applyFill="1" applyBorder="1" applyAlignment="1">
      <alignment horizontal="center"/>
    </xf>
    <xf numFmtId="0" fontId="2" fillId="2" borderId="2" xfId="0" applyFont="1" applyFill="1" applyBorder="1" applyAlignment="1">
      <alignment horizontal="left"/>
    </xf>
    <xf numFmtId="0" fontId="2" fillId="2" borderId="7" xfId="0" applyFont="1" applyFill="1" applyBorder="1" applyAlignment="1">
      <alignment horizontal="left"/>
    </xf>
    <xf numFmtId="0" fontId="2" fillId="2" borderId="3" xfId="0" applyFont="1" applyFill="1" applyBorder="1" applyAlignment="1">
      <alignment horizontal="left"/>
    </xf>
    <xf numFmtId="0" fontId="0" fillId="12" borderId="2" xfId="0" applyFill="1" applyBorder="1" applyAlignment="1" applyProtection="1">
      <alignment horizontal="left" vertical="top" wrapText="1"/>
      <protection locked="0"/>
    </xf>
    <xf numFmtId="0" fontId="0" fillId="12" borderId="7" xfId="0" applyFill="1" applyBorder="1" applyAlignment="1" applyProtection="1">
      <alignment horizontal="left" vertical="top" wrapText="1"/>
      <protection locked="0"/>
    </xf>
    <xf numFmtId="0" fontId="0" fillId="12" borderId="3" xfId="0" applyFill="1" applyBorder="1" applyAlignment="1" applyProtection="1">
      <alignment horizontal="left" vertical="top" wrapText="1"/>
      <protection locked="0"/>
    </xf>
    <xf numFmtId="0" fontId="21" fillId="0" borderId="2" xfId="0" applyFont="1" applyBorder="1" applyAlignment="1">
      <alignment horizontal="left" vertical="top" wrapText="1"/>
    </xf>
    <xf numFmtId="0" fontId="3" fillId="0" borderId="2" xfId="0" applyFont="1" applyBorder="1" applyAlignment="1">
      <alignment horizontal="left" vertical="center" wrapText="1"/>
    </xf>
    <xf numFmtId="0" fontId="3" fillId="0" borderId="7"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wrapText="1"/>
    </xf>
    <xf numFmtId="0" fontId="2" fillId="2" borderId="7" xfId="0" applyFont="1" applyFill="1" applyBorder="1" applyAlignment="1">
      <alignment horizontal="left" wrapText="1"/>
    </xf>
    <xf numFmtId="0" fontId="0" fillId="3" borderId="2" xfId="0" applyFill="1" applyBorder="1" applyAlignment="1">
      <alignment horizontal="left" vertical="center" wrapText="1"/>
    </xf>
    <xf numFmtId="0" fontId="0" fillId="3" borderId="3" xfId="0" applyFill="1" applyBorder="1" applyAlignment="1">
      <alignment horizontal="left" vertical="center" wrapText="1"/>
    </xf>
    <xf numFmtId="0" fontId="0" fillId="0" borderId="2" xfId="0" applyBorder="1" applyAlignment="1">
      <alignment horizontal="left"/>
    </xf>
    <xf numFmtId="0" fontId="0" fillId="0" borderId="3" xfId="0" applyBorder="1" applyAlignment="1">
      <alignment horizontal="left"/>
    </xf>
    <xf numFmtId="0" fontId="2" fillId="2" borderId="4" xfId="0" applyFont="1" applyFill="1" applyBorder="1" applyAlignment="1">
      <alignment horizontal="center"/>
    </xf>
    <xf numFmtId="0" fontId="2" fillId="2" borderId="5" xfId="0" applyFont="1" applyFill="1" applyBorder="1" applyAlignment="1">
      <alignment horizont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3" borderId="1" xfId="0" applyFill="1" applyBorder="1" applyAlignment="1">
      <alignment horizontal="left" vertical="center" wrapText="1"/>
    </xf>
    <xf numFmtId="0" fontId="10" fillId="3" borderId="2" xfId="0" applyFont="1" applyFill="1" applyBorder="1" applyAlignment="1">
      <alignment horizontal="left"/>
    </xf>
    <xf numFmtId="0" fontId="10" fillId="3" borderId="3" xfId="0" applyFont="1" applyFill="1" applyBorder="1" applyAlignment="1">
      <alignment horizontal="left"/>
    </xf>
    <xf numFmtId="0" fontId="10" fillId="3" borderId="7" xfId="0" applyFont="1" applyFill="1" applyBorder="1" applyAlignment="1">
      <alignment horizontal="left"/>
    </xf>
    <xf numFmtId="0" fontId="2" fillId="2" borderId="3" xfId="0" applyFont="1" applyFill="1" applyBorder="1" applyAlignment="1">
      <alignment horizontal="left" wrapText="1"/>
    </xf>
    <xf numFmtId="10" fontId="3" fillId="0" borderId="24" xfId="1" applyNumberFormat="1" applyFont="1" applyBorder="1" applyAlignment="1">
      <alignment horizontal="center"/>
    </xf>
    <xf numFmtId="10" fontId="3" fillId="0" borderId="25" xfId="1" applyNumberFormat="1" applyFont="1" applyBorder="1" applyAlignment="1">
      <alignment horizontal="center"/>
    </xf>
    <xf numFmtId="10" fontId="0" fillId="0" borderId="20" xfId="1" applyNumberFormat="1" applyFont="1" applyBorder="1" applyAlignment="1">
      <alignment horizontal="center"/>
    </xf>
    <xf numFmtId="10" fontId="0" fillId="0" borderId="21" xfId="1" applyNumberFormat="1" applyFont="1" applyBorder="1" applyAlignment="1">
      <alignment horizontal="center"/>
    </xf>
    <xf numFmtId="10" fontId="0" fillId="0" borderId="20" xfId="1" applyNumberFormat="1" applyFont="1" applyFill="1" applyBorder="1" applyAlignment="1">
      <alignment horizontal="center"/>
    </xf>
    <xf numFmtId="10" fontId="0" fillId="0" borderId="21" xfId="1" applyNumberFormat="1" applyFont="1" applyFill="1" applyBorder="1" applyAlignment="1">
      <alignment horizontal="center"/>
    </xf>
    <xf numFmtId="10" fontId="0" fillId="0" borderId="24" xfId="1" applyNumberFormat="1" applyFont="1" applyBorder="1" applyAlignment="1">
      <alignment horizontal="center"/>
    </xf>
    <xf numFmtId="10" fontId="0" fillId="0" borderId="25" xfId="1" applyNumberFormat="1" applyFont="1" applyBorder="1" applyAlignment="1">
      <alignment horizontal="center"/>
    </xf>
    <xf numFmtId="10" fontId="27" fillId="0" borderId="30" xfId="0" applyNumberFormat="1" applyFont="1" applyBorder="1"/>
    <xf numFmtId="10" fontId="27" fillId="0" borderId="31" xfId="0" applyNumberFormat="1" applyFont="1" applyBorder="1"/>
    <xf numFmtId="10" fontId="26" fillId="0" borderId="28" xfId="0" applyNumberFormat="1" applyFont="1" applyBorder="1" applyAlignment="1">
      <alignment horizontal="right"/>
    </xf>
    <xf numFmtId="10" fontId="26" fillId="0" borderId="29" xfId="0" applyNumberFormat="1" applyFont="1" applyBorder="1" applyAlignment="1">
      <alignment horizontal="right"/>
    </xf>
    <xf numFmtId="10" fontId="26" fillId="0" borderId="26" xfId="0" applyNumberFormat="1" applyFont="1" applyBorder="1"/>
    <xf numFmtId="10" fontId="26" fillId="0" borderId="27" xfId="0" applyNumberFormat="1" applyFont="1" applyBorder="1"/>
    <xf numFmtId="0" fontId="0" fillId="0" borderId="1" xfId="0" applyBorder="1" applyAlignment="1">
      <alignment horizontal="left" vertical="top" wrapText="1"/>
    </xf>
    <xf numFmtId="0" fontId="2" fillId="2" borderId="1" xfId="0" applyFont="1" applyFill="1" applyBorder="1" applyAlignment="1">
      <alignment horizontal="left" wrapText="1"/>
    </xf>
    <xf numFmtId="10" fontId="0" fillId="0" borderId="1" xfId="0" applyNumberFormat="1" applyBorder="1" applyAlignment="1">
      <alignment horizontal="left" vertical="top" wrapText="1"/>
    </xf>
    <xf numFmtId="0" fontId="2" fillId="2" borderId="0" xfId="0" applyFont="1" applyFill="1" applyAlignment="1">
      <alignment horizontal="left" wrapText="1"/>
    </xf>
    <xf numFmtId="0" fontId="2" fillId="2" borderId="0" xfId="0" applyFont="1" applyFill="1" applyAlignment="1">
      <alignment horizontal="left"/>
    </xf>
    <xf numFmtId="166" fontId="10" fillId="0" borderId="1" xfId="1" applyNumberFormat="1" applyFont="1" applyFill="1" applyBorder="1" applyAlignment="1"/>
    <xf numFmtId="166" fontId="10" fillId="0" borderId="21" xfId="1" applyNumberFormat="1" applyFont="1" applyFill="1" applyBorder="1" applyAlignment="1"/>
    <xf numFmtId="0" fontId="2" fillId="2" borderId="2" xfId="0" applyFont="1" applyFill="1" applyBorder="1" applyAlignment="1">
      <alignment horizontal="center"/>
    </xf>
    <xf numFmtId="0" fontId="2" fillId="2" borderId="3" xfId="0" applyFont="1" applyFill="1" applyBorder="1" applyAlignment="1">
      <alignment horizontal="center"/>
    </xf>
    <xf numFmtId="9" fontId="0" fillId="0" borderId="2" xfId="0" applyNumberFormat="1" applyBorder="1" applyAlignment="1">
      <alignment horizontal="left" vertical="top" wrapText="1"/>
    </xf>
    <xf numFmtId="9" fontId="0" fillId="0" borderId="7" xfId="0" applyNumberFormat="1" applyBorder="1" applyAlignment="1">
      <alignment horizontal="left" vertical="top" wrapText="1"/>
    </xf>
    <xf numFmtId="9" fontId="0" fillId="0" borderId="3" xfId="0" applyNumberFormat="1" applyBorder="1" applyAlignment="1">
      <alignment horizontal="left" vertical="top" wrapText="1"/>
    </xf>
    <xf numFmtId="10" fontId="26" fillId="0" borderId="20" xfId="0" applyNumberFormat="1" applyFont="1" applyBorder="1" applyAlignment="1">
      <alignment horizontal="right"/>
    </xf>
    <xf numFmtId="10" fontId="26" fillId="0" borderId="21" xfId="0" applyNumberFormat="1" applyFont="1" applyBorder="1" applyAlignment="1">
      <alignment horizontal="right"/>
    </xf>
    <xf numFmtId="0" fontId="0" fillId="0" borderId="1" xfId="0" quotePrefix="1" applyBorder="1" applyAlignment="1">
      <alignment horizontal="left" vertical="top" wrapText="1"/>
    </xf>
    <xf numFmtId="0" fontId="2" fillId="2" borderId="2" xfId="0" applyFont="1" applyFill="1" applyBorder="1" applyAlignment="1">
      <alignment horizontal="left" vertical="center" wrapText="1"/>
    </xf>
    <xf numFmtId="0" fontId="2" fillId="2" borderId="7" xfId="0" applyFont="1" applyFill="1" applyBorder="1" applyAlignment="1">
      <alignment horizontal="left" vertical="center" wrapText="1"/>
    </xf>
    <xf numFmtId="0" fontId="0" fillId="3" borderId="1" xfId="0" applyFill="1" applyBorder="1" applyAlignment="1">
      <alignment horizontal="left" vertical="top" wrapText="1"/>
    </xf>
    <xf numFmtId="0" fontId="0" fillId="3" borderId="21" xfId="0" applyFill="1" applyBorder="1" applyAlignment="1">
      <alignment horizontal="left" vertical="top" wrapText="1"/>
    </xf>
    <xf numFmtId="10" fontId="26" fillId="0" borderId="26" xfId="0" applyNumberFormat="1" applyFont="1" applyBorder="1" applyAlignment="1">
      <alignment horizontal="center"/>
    </xf>
    <xf numFmtId="10" fontId="26" fillId="0" borderId="27" xfId="0" applyNumberFormat="1" applyFont="1" applyBorder="1" applyAlignment="1">
      <alignment horizontal="center"/>
    </xf>
    <xf numFmtId="10" fontId="27" fillId="0" borderId="28" xfId="0" applyNumberFormat="1" applyFont="1" applyBorder="1" applyAlignment="1">
      <alignment horizontal="center"/>
    </xf>
    <xf numFmtId="10" fontId="27" fillId="0" borderId="29" xfId="0" applyNumberFormat="1" applyFont="1" applyBorder="1" applyAlignment="1">
      <alignment horizontal="center"/>
    </xf>
    <xf numFmtId="0" fontId="2" fillId="2" borderId="2" xfId="0" applyFont="1" applyFill="1" applyBorder="1" applyAlignment="1">
      <alignment wrapText="1"/>
    </xf>
    <xf numFmtId="0" fontId="2" fillId="2" borderId="3" xfId="0" applyFont="1" applyFill="1" applyBorder="1" applyAlignment="1">
      <alignment wrapText="1"/>
    </xf>
    <xf numFmtId="0" fontId="0" fillId="3" borderId="2" xfId="0" applyFill="1" applyBorder="1" applyAlignment="1">
      <alignment horizontal="left"/>
    </xf>
    <xf numFmtId="0" fontId="0" fillId="3" borderId="7" xfId="0" applyFill="1" applyBorder="1" applyAlignment="1">
      <alignment horizontal="left"/>
    </xf>
    <xf numFmtId="0" fontId="0" fillId="3" borderId="3" xfId="0" applyFill="1" applyBorder="1" applyAlignment="1">
      <alignment horizontal="left"/>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 xfId="0" applyFont="1" applyFill="1" applyBorder="1"/>
    <xf numFmtId="0" fontId="24" fillId="13" borderId="14" xfId="0" applyFont="1" applyFill="1" applyBorder="1" applyAlignment="1">
      <alignment horizontal="center" vertical="center" wrapText="1"/>
    </xf>
    <xf numFmtId="0" fontId="24" fillId="13" borderId="15" xfId="0" applyFont="1" applyFill="1" applyBorder="1" applyAlignment="1">
      <alignment horizontal="center" vertical="center" wrapText="1"/>
    </xf>
    <xf numFmtId="0" fontId="24" fillId="13" borderId="32" xfId="0" applyFont="1" applyFill="1" applyBorder="1" applyAlignment="1">
      <alignment horizontal="center" vertical="center" wrapText="1"/>
    </xf>
    <xf numFmtId="0" fontId="19" fillId="8" borderId="2" xfId="0" applyFont="1" applyFill="1" applyBorder="1" applyAlignment="1">
      <alignment wrapText="1"/>
    </xf>
    <xf numFmtId="0" fontId="19" fillId="8" borderId="7" xfId="0" applyFont="1" applyFill="1" applyBorder="1" applyAlignment="1">
      <alignment wrapText="1"/>
    </xf>
    <xf numFmtId="0" fontId="19" fillId="8" borderId="22" xfId="0" applyFont="1" applyFill="1" applyBorder="1" applyAlignment="1">
      <alignment wrapText="1"/>
    </xf>
    <xf numFmtId="0" fontId="2" fillId="2" borderId="6" xfId="0" applyFont="1" applyFill="1" applyBorder="1" applyAlignment="1">
      <alignment horizontal="center"/>
    </xf>
    <xf numFmtId="0" fontId="2" fillId="10" borderId="4" xfId="0" applyFont="1" applyFill="1" applyBorder="1" applyAlignment="1">
      <alignment horizontal="center"/>
    </xf>
    <xf numFmtId="0" fontId="2" fillId="10" borderId="5" xfId="0" applyFont="1" applyFill="1" applyBorder="1" applyAlignment="1">
      <alignment horizontal="center"/>
    </xf>
    <xf numFmtId="0" fontId="0" fillId="0" borderId="21" xfId="0" applyBorder="1" applyAlignment="1">
      <alignment horizontal="left" vertical="top" wrapText="1"/>
    </xf>
    <xf numFmtId="0" fontId="0" fillId="0" borderId="1" xfId="0" applyBorder="1" applyAlignment="1">
      <alignment horizontal="left" wrapText="1"/>
    </xf>
    <xf numFmtId="0" fontId="0" fillId="0" borderId="21" xfId="0" applyBorder="1" applyAlignment="1">
      <alignment horizontal="left" wrapText="1"/>
    </xf>
    <xf numFmtId="0" fontId="0" fillId="0" borderId="1" xfId="0" applyBorder="1" applyAlignment="1">
      <alignment horizontal="center" wrapText="1"/>
    </xf>
    <xf numFmtId="0" fontId="2" fillId="2" borderId="2" xfId="0" applyFont="1" applyFill="1" applyBorder="1"/>
    <xf numFmtId="0" fontId="2" fillId="2" borderId="7" xfId="0" applyFont="1" applyFill="1" applyBorder="1"/>
    <xf numFmtId="0" fontId="0" fillId="7" borderId="1" xfId="0" applyFill="1" applyBorder="1" applyAlignment="1">
      <alignment horizontal="left" wrapText="1"/>
    </xf>
    <xf numFmtId="0" fontId="0" fillId="7" borderId="21" xfId="0" applyFill="1" applyBorder="1" applyAlignment="1">
      <alignment horizontal="left" wrapText="1"/>
    </xf>
    <xf numFmtId="0" fontId="20" fillId="7" borderId="1" xfId="0" applyFont="1" applyFill="1" applyBorder="1" applyAlignment="1">
      <alignment horizontal="left" wrapText="1"/>
    </xf>
    <xf numFmtId="0" fontId="20" fillId="7" borderId="21" xfId="0" applyFont="1" applyFill="1" applyBorder="1" applyAlignment="1">
      <alignment horizontal="left" wrapText="1"/>
    </xf>
    <xf numFmtId="9" fontId="0" fillId="0" borderId="20" xfId="1" applyFont="1" applyBorder="1" applyAlignment="1">
      <alignment horizontal="center" vertical="center"/>
    </xf>
    <xf numFmtId="9" fontId="0" fillId="0" borderId="21" xfId="1" applyFont="1" applyBorder="1" applyAlignment="1">
      <alignment horizontal="center" vertical="center"/>
    </xf>
    <xf numFmtId="0" fontId="0" fillId="3" borderId="20" xfId="0" applyFill="1" applyBorder="1" applyAlignment="1">
      <alignment horizontal="left" vertical="center"/>
    </xf>
    <xf numFmtId="0" fontId="0" fillId="3" borderId="21" xfId="0" applyFill="1" applyBorder="1" applyAlignment="1">
      <alignment horizontal="left" vertical="center"/>
    </xf>
  </cellXfs>
  <cellStyles count="5">
    <cellStyle name="Comma" xfId="3" builtinId="3"/>
    <cellStyle name="Hyperlink" xfId="2" builtinId="8"/>
    <cellStyle name="Normal" xfId="0" builtinId="0"/>
    <cellStyle name="Normal 3" xfId="4" xr:uid="{C0DA5F93-A048-4E3B-8760-55AEF9B9D52A}"/>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jcarnevale@entireti.com.au" TargetMode="External"/><Relationship Id="rId2" Type="http://schemas.openxmlformats.org/officeDocument/2006/relationships/hyperlink" Target="mailto:jcarnevale@entireti.com.au" TargetMode="External"/><Relationship Id="rId1" Type="http://schemas.openxmlformats.org/officeDocument/2006/relationships/hyperlink" Target="https://salitaportfolioservices.com.au/" TargetMode="External"/><Relationship Id="rId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D33B8C-1E7C-40AE-A3BB-03FC89E03757}">
  <sheetPr codeName="Sheet1"/>
  <dimension ref="B2:N56"/>
  <sheetViews>
    <sheetView topLeftCell="A19" workbookViewId="0">
      <selection activeCell="D33" sqref="D33:F33"/>
    </sheetView>
  </sheetViews>
  <sheetFormatPr defaultRowHeight="14.25" x14ac:dyDescent="0.45"/>
  <cols>
    <col min="2" max="2" width="3.53125" customWidth="1"/>
    <col min="3" max="3" width="71" customWidth="1"/>
    <col min="4" max="4" width="92.33203125" customWidth="1"/>
  </cols>
  <sheetData>
    <row r="2" spans="2:14" ht="54" customHeight="1" x14ac:dyDescent="0.9">
      <c r="B2" s="9" t="s">
        <v>0</v>
      </c>
      <c r="C2" s="10"/>
      <c r="D2" s="10"/>
      <c r="E2" s="10"/>
      <c r="F2" s="11"/>
      <c r="G2" s="2"/>
      <c r="H2" s="2"/>
      <c r="I2" s="2"/>
      <c r="J2" s="2"/>
      <c r="K2" s="2"/>
      <c r="L2" s="2"/>
      <c r="M2" s="2"/>
      <c r="N2" s="2"/>
    </row>
    <row r="3" spans="2:14" ht="20.25" customHeight="1" x14ac:dyDescent="0.9">
      <c r="B3" s="12" t="s">
        <v>1</v>
      </c>
      <c r="C3" s="13"/>
      <c r="D3" s="13"/>
      <c r="E3" s="13"/>
      <c r="F3" s="14"/>
      <c r="G3" s="2"/>
      <c r="H3" s="2"/>
      <c r="I3" s="2"/>
      <c r="J3" s="2"/>
      <c r="K3" s="2"/>
      <c r="L3" s="2"/>
      <c r="M3" s="2"/>
      <c r="N3" s="2"/>
    </row>
    <row r="4" spans="2:14" x14ac:dyDescent="0.45">
      <c r="B4" s="164" t="s">
        <v>2</v>
      </c>
      <c r="C4" s="165"/>
      <c r="D4" s="165"/>
      <c r="E4" s="165"/>
      <c r="F4" s="166"/>
    </row>
    <row r="6" spans="2:14" x14ac:dyDescent="0.45">
      <c r="G6" s="31">
        <f t="shared" ref="G6:G35" si="0">D6</f>
        <v>0</v>
      </c>
    </row>
    <row r="7" spans="2:14" x14ac:dyDescent="0.45">
      <c r="B7" s="159" t="s">
        <v>6</v>
      </c>
      <c r="C7" s="167"/>
      <c r="D7" s="3" t="s">
        <v>3</v>
      </c>
      <c r="E7" s="6" t="s">
        <v>7</v>
      </c>
      <c r="F7" s="7">
        <f>COUNTA(D8:F21)/ROWS(D8:F21)</f>
        <v>1</v>
      </c>
      <c r="G7" s="31" t="str">
        <f t="shared" si="0"/>
        <v>Response</v>
      </c>
    </row>
    <row r="8" spans="2:14" x14ac:dyDescent="0.45">
      <c r="B8" s="1">
        <v>1</v>
      </c>
      <c r="C8" s="4" t="s">
        <v>8</v>
      </c>
      <c r="D8" s="148" t="s">
        <v>9</v>
      </c>
      <c r="E8" s="149"/>
      <c r="F8" s="150"/>
      <c r="G8" s="31" t="str">
        <f t="shared" si="0"/>
        <v>Salita Portfolio Services Pty Ltd</v>
      </c>
    </row>
    <row r="9" spans="2:14" x14ac:dyDescent="0.45">
      <c r="B9" s="1">
        <v>2</v>
      </c>
      <c r="C9" s="5" t="s">
        <v>4</v>
      </c>
      <c r="D9" s="174" t="s">
        <v>10</v>
      </c>
      <c r="E9" s="175"/>
      <c r="F9" s="176"/>
      <c r="G9" s="31" t="str">
        <f t="shared" si="0"/>
        <v>39 609 946 616</v>
      </c>
    </row>
    <row r="10" spans="2:14" ht="40.25" customHeight="1" x14ac:dyDescent="0.45">
      <c r="B10" s="1">
        <v>3</v>
      </c>
      <c r="C10" s="5" t="s">
        <v>5</v>
      </c>
      <c r="D10" s="174" t="s">
        <v>11</v>
      </c>
      <c r="E10" s="175"/>
      <c r="F10" s="176"/>
      <c r="G10" s="31" t="str">
        <f t="shared" si="0"/>
        <v>Salita Portfolio Services Pty Ltd is a corporate authorised representative of Personal Financial Services Ltd (PFS) 
CAR 1241713</v>
      </c>
    </row>
    <row r="11" spans="2:14" x14ac:dyDescent="0.45">
      <c r="B11" s="1">
        <f>B10+1</f>
        <v>4</v>
      </c>
      <c r="C11" s="5" t="s">
        <v>12</v>
      </c>
      <c r="D11" s="153" t="s">
        <v>13</v>
      </c>
      <c r="E11" s="154"/>
      <c r="F11" s="155"/>
      <c r="G11" s="31" t="str">
        <f t="shared" si="0"/>
        <v>Level 6 88 Phillip Street Sydney NSW 2000</v>
      </c>
    </row>
    <row r="12" spans="2:14" x14ac:dyDescent="0.45">
      <c r="B12" s="1">
        <f t="shared" ref="B12:B21" si="1">B11+1</f>
        <v>5</v>
      </c>
      <c r="C12" s="5" t="s">
        <v>14</v>
      </c>
      <c r="D12" s="153" t="s">
        <v>15</v>
      </c>
      <c r="E12" s="154"/>
      <c r="F12" s="155"/>
      <c r="G12" s="31" t="str">
        <f t="shared" si="0"/>
        <v>Level 6 88 Phillip Street Sydney NSW 2001</v>
      </c>
    </row>
    <row r="13" spans="2:14" x14ac:dyDescent="0.45">
      <c r="B13" s="1">
        <f t="shared" si="1"/>
        <v>6</v>
      </c>
      <c r="C13" s="5" t="s">
        <v>16</v>
      </c>
      <c r="D13" s="163" t="s">
        <v>17</v>
      </c>
      <c r="E13" s="154"/>
      <c r="F13" s="155"/>
      <c r="G13" s="31" t="str">
        <f t="shared" si="0"/>
        <v>0407494569</v>
      </c>
    </row>
    <row r="14" spans="2:14" x14ac:dyDescent="0.45">
      <c r="B14" s="1">
        <f t="shared" si="1"/>
        <v>7</v>
      </c>
      <c r="C14" s="5" t="s">
        <v>18</v>
      </c>
      <c r="D14" s="156" t="s">
        <v>19</v>
      </c>
      <c r="E14" s="154"/>
      <c r="F14" s="155"/>
      <c r="G14" s="31" t="str">
        <f t="shared" si="0"/>
        <v>jcarnevale@entireti.com.au</v>
      </c>
    </row>
    <row r="15" spans="2:14" x14ac:dyDescent="0.45">
      <c r="B15" s="1">
        <f t="shared" si="1"/>
        <v>8</v>
      </c>
      <c r="C15" s="5" t="s">
        <v>20</v>
      </c>
      <c r="D15" s="156" t="s">
        <v>19</v>
      </c>
      <c r="E15" s="154"/>
      <c r="F15" s="155"/>
      <c r="G15" s="31" t="str">
        <f t="shared" si="0"/>
        <v>jcarnevale@entireti.com.au</v>
      </c>
    </row>
    <row r="16" spans="2:14" ht="96" customHeight="1" x14ac:dyDescent="0.45">
      <c r="B16" s="1">
        <f t="shared" si="1"/>
        <v>9</v>
      </c>
      <c r="C16" s="4" t="s">
        <v>21</v>
      </c>
      <c r="D16" s="153" t="s">
        <v>22</v>
      </c>
      <c r="E16" s="154"/>
      <c r="F16" s="155"/>
      <c r="G16" s="31" t="str">
        <f t="shared" si="0"/>
        <v>Salita Portfolio Services (“Salita”) is a wholly owned subsidiary of Entireti Limited and a corporate authorised representative of Personal Financial Services. Established in 2016, Salita provides professional investment research, analysis, and management services for a suite of managed portfolios. The Salita investment team oversees daily operations, drawing
on the resources of the Entireti Group and external consultants to ensure a prudent, informed, and professional approach to implementing Salita’s investment philosophy across diverse
portfolios tailored to specific risk and return objectives.</v>
      </c>
    </row>
    <row r="17" spans="2:7" ht="99" customHeight="1" x14ac:dyDescent="0.45">
      <c r="B17" s="1">
        <f t="shared" si="1"/>
        <v>10</v>
      </c>
      <c r="C17" s="4" t="s">
        <v>23</v>
      </c>
      <c r="D17" s="173" t="s">
        <v>22</v>
      </c>
      <c r="E17" s="157"/>
      <c r="F17" s="158"/>
      <c r="G17" s="31"/>
    </row>
    <row r="18" spans="2:7" ht="318" customHeight="1" x14ac:dyDescent="0.45">
      <c r="B18" s="1">
        <f t="shared" si="1"/>
        <v>11</v>
      </c>
      <c r="C18" s="4" t="s">
        <v>24</v>
      </c>
      <c r="D18" s="170" t="s">
        <v>25</v>
      </c>
      <c r="E18" s="171"/>
      <c r="F18" s="172"/>
      <c r="G18" s="31" t="str">
        <f t="shared" si="0"/>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row>
    <row r="19" spans="2:7" ht="84" customHeight="1" x14ac:dyDescent="0.45">
      <c r="B19" s="1">
        <f t="shared" si="1"/>
        <v>12</v>
      </c>
      <c r="C19" s="4" t="s">
        <v>26</v>
      </c>
      <c r="D19" s="160" t="s">
        <v>27</v>
      </c>
      <c r="E19" s="161"/>
      <c r="F19" s="162"/>
      <c r="G19" s="31"/>
    </row>
    <row r="20" spans="2:7" x14ac:dyDescent="0.45">
      <c r="B20" s="1">
        <f t="shared" si="1"/>
        <v>13</v>
      </c>
      <c r="C20" s="4" t="s">
        <v>28</v>
      </c>
      <c r="D20" s="153" t="s">
        <v>29</v>
      </c>
      <c r="E20" s="154"/>
      <c r="F20" s="155"/>
      <c r="G20" s="31"/>
    </row>
    <row r="21" spans="2:7" ht="29" customHeight="1" x14ac:dyDescent="0.45">
      <c r="B21" s="1">
        <f t="shared" si="1"/>
        <v>14</v>
      </c>
      <c r="C21" s="4" t="s">
        <v>30</v>
      </c>
      <c r="D21" s="156" t="s">
        <v>31</v>
      </c>
      <c r="E21" s="157"/>
      <c r="F21" s="158"/>
      <c r="G21" s="31" t="str">
        <f t="shared" si="0"/>
        <v>https://salitaportfolioservices.com.au/</v>
      </c>
    </row>
    <row r="22" spans="2:7" x14ac:dyDescent="0.45">
      <c r="G22" s="31">
        <f t="shared" si="0"/>
        <v>0</v>
      </c>
    </row>
    <row r="23" spans="2:7" x14ac:dyDescent="0.45">
      <c r="B23" s="159" t="s">
        <v>32</v>
      </c>
      <c r="C23" s="159"/>
      <c r="D23" s="3" t="s">
        <v>3</v>
      </c>
      <c r="E23" s="6" t="s">
        <v>7</v>
      </c>
      <c r="F23" s="8">
        <f>COUNTA(D24:F26)/ROWS(D24:F26)</f>
        <v>1</v>
      </c>
      <c r="G23" s="31" t="str">
        <f t="shared" si="0"/>
        <v>Response</v>
      </c>
    </row>
    <row r="24" spans="2:7" x14ac:dyDescent="0.45">
      <c r="B24" s="1">
        <v>1</v>
      </c>
      <c r="C24" s="5" t="s">
        <v>33</v>
      </c>
      <c r="D24" s="153" t="s">
        <v>34</v>
      </c>
      <c r="E24" s="149"/>
      <c r="F24" s="150"/>
      <c r="G24" s="31" t="str">
        <f t="shared" si="0"/>
        <v>Aman Ramrakha</v>
      </c>
    </row>
    <row r="25" spans="2:7" x14ac:dyDescent="0.45">
      <c r="B25" s="1">
        <v>2</v>
      </c>
      <c r="C25" s="4" t="s">
        <v>35</v>
      </c>
      <c r="D25" s="153" t="s">
        <v>36</v>
      </c>
      <c r="E25" s="154"/>
      <c r="F25" s="155"/>
      <c r="G25" s="31" t="str">
        <f t="shared" si="0"/>
        <v xml:space="preserve">Chief Investment Officer </v>
      </c>
    </row>
    <row r="26" spans="2:7" ht="141" customHeight="1" x14ac:dyDescent="0.45">
      <c r="B26" s="1">
        <v>3</v>
      </c>
      <c r="C26" s="4" t="s">
        <v>37</v>
      </c>
      <c r="D26" s="153" t="s">
        <v>38</v>
      </c>
      <c r="E26" s="154"/>
      <c r="F26" s="155"/>
      <c r="G26" s="31" t="str">
        <f t="shared" si="0"/>
        <v>Aman brings over 30 years’ experience in financial services, spanning technical, consulting, and advisory roles. Before joining Entireti in 2025, he was Executive Director of Research at Rainmaker Information. His career includes senior positions at Morningstar, where he oversaw Manager Research and provided investment consulting services, and at Commonwealth Bank, where he led investment and insurance research for over $60B of funds under advice. Aman has also held roles at BT Financial Group, Colonial First State, KPMG and Commonwealth Private. He holds a Bachelor of Commerce, a Graduate Diploma in Applied Finance and Investments, a Diploma of Financial Planning, and is a Certified Investment Management Consultant.</v>
      </c>
    </row>
    <row r="27" spans="2:7" x14ac:dyDescent="0.45">
      <c r="G27" s="31">
        <f t="shared" si="0"/>
        <v>0</v>
      </c>
    </row>
    <row r="28" spans="2:7" x14ac:dyDescent="0.45">
      <c r="B28" s="151" t="s">
        <v>39</v>
      </c>
      <c r="C28" s="151"/>
      <c r="D28" s="3" t="s">
        <v>3</v>
      </c>
      <c r="E28" s="6" t="s">
        <v>7</v>
      </c>
      <c r="F28" s="8">
        <f>COUNTA(D29:F35)/ROWS(D29:F35)</f>
        <v>1</v>
      </c>
      <c r="G28" s="31" t="str">
        <f t="shared" si="0"/>
        <v>Response</v>
      </c>
    </row>
    <row r="29" spans="2:7" x14ac:dyDescent="0.45">
      <c r="B29" s="1">
        <v>1</v>
      </c>
      <c r="C29" s="5" t="s">
        <v>40</v>
      </c>
      <c r="D29" s="153" t="s">
        <v>41</v>
      </c>
      <c r="E29" s="149"/>
      <c r="F29" s="150"/>
      <c r="G29" s="31" t="str">
        <f t="shared" si="0"/>
        <v>Not available</v>
      </c>
    </row>
    <row r="30" spans="2:7" x14ac:dyDescent="0.45">
      <c r="B30" s="107">
        <v>2</v>
      </c>
      <c r="C30" s="5" t="s">
        <v>42</v>
      </c>
      <c r="D30" s="153" t="s">
        <v>43</v>
      </c>
      <c r="E30" s="154"/>
      <c r="F30" s="155"/>
      <c r="G30" s="31"/>
    </row>
    <row r="31" spans="2:7" x14ac:dyDescent="0.45">
      <c r="B31" s="1">
        <v>4</v>
      </c>
      <c r="C31" s="4" t="s">
        <v>44</v>
      </c>
      <c r="D31" s="153" t="s">
        <v>43</v>
      </c>
      <c r="E31" s="149"/>
      <c r="F31" s="150"/>
      <c r="G31" s="31" t="str">
        <f t="shared" si="0"/>
        <v>Attached</v>
      </c>
    </row>
    <row r="32" spans="2:7" x14ac:dyDescent="0.45">
      <c r="B32" s="1">
        <v>5</v>
      </c>
      <c r="C32" s="4" t="s">
        <v>45</v>
      </c>
      <c r="D32" s="153" t="s">
        <v>43</v>
      </c>
      <c r="E32" s="149"/>
      <c r="F32" s="150"/>
      <c r="G32" s="31" t="str">
        <f t="shared" si="0"/>
        <v>Attached</v>
      </c>
    </row>
    <row r="33" spans="2:7" x14ac:dyDescent="0.45">
      <c r="B33" s="1">
        <v>6</v>
      </c>
      <c r="C33" s="4" t="s">
        <v>46</v>
      </c>
      <c r="D33" s="153" t="s">
        <v>41</v>
      </c>
      <c r="E33" s="149"/>
      <c r="F33" s="150"/>
      <c r="G33" s="31" t="str">
        <f t="shared" si="0"/>
        <v>Not available</v>
      </c>
    </row>
    <row r="34" spans="2:7" x14ac:dyDescent="0.45">
      <c r="B34" s="1">
        <v>7</v>
      </c>
      <c r="C34" s="4" t="s">
        <v>47</v>
      </c>
      <c r="D34" s="153" t="s">
        <v>43</v>
      </c>
      <c r="E34" s="149"/>
      <c r="F34" s="150"/>
      <c r="G34" s="31" t="str">
        <f t="shared" si="0"/>
        <v>Attached</v>
      </c>
    </row>
    <row r="35" spans="2:7" x14ac:dyDescent="0.45">
      <c r="B35" s="1">
        <v>8</v>
      </c>
      <c r="C35" s="4" t="s">
        <v>48</v>
      </c>
      <c r="D35" s="153" t="s">
        <v>43</v>
      </c>
      <c r="E35" s="149"/>
      <c r="F35" s="150"/>
      <c r="G35" s="31" t="str">
        <f t="shared" si="0"/>
        <v>Attached</v>
      </c>
    </row>
    <row r="37" spans="2:7" x14ac:dyDescent="0.45">
      <c r="B37" s="151" t="s">
        <v>49</v>
      </c>
      <c r="C37" s="151"/>
      <c r="D37" s="3" t="s">
        <v>3</v>
      </c>
      <c r="E37" s="6" t="s">
        <v>7</v>
      </c>
      <c r="F37" s="8">
        <f>COUNTA(D38:F44)/ROWS(D38:F44)</f>
        <v>1</v>
      </c>
    </row>
    <row r="38" spans="2:7" x14ac:dyDescent="0.45">
      <c r="B38" s="1">
        <v>1</v>
      </c>
      <c r="C38" s="5" t="s">
        <v>50</v>
      </c>
      <c r="D38" s="153" t="s">
        <v>51</v>
      </c>
      <c r="E38" s="154"/>
      <c r="F38" s="155"/>
    </row>
    <row r="39" spans="2:7" x14ac:dyDescent="0.45">
      <c r="B39" s="1">
        <v>2</v>
      </c>
      <c r="C39" s="5" t="s">
        <v>52</v>
      </c>
      <c r="D39" s="152" t="s">
        <v>51</v>
      </c>
      <c r="E39" s="152"/>
      <c r="F39" s="152"/>
    </row>
    <row r="40" spans="2:7" x14ac:dyDescent="0.45">
      <c r="B40" s="1">
        <v>3</v>
      </c>
      <c r="C40" s="5" t="s">
        <v>53</v>
      </c>
      <c r="D40" s="153" t="s">
        <v>51</v>
      </c>
      <c r="E40" s="149"/>
      <c r="F40" s="150"/>
    </row>
    <row r="41" spans="2:7" x14ac:dyDescent="0.45">
      <c r="B41" s="1">
        <v>4</v>
      </c>
      <c r="C41" s="4" t="s">
        <v>54</v>
      </c>
      <c r="D41" s="153" t="s">
        <v>51</v>
      </c>
      <c r="E41" s="149"/>
      <c r="F41" s="150"/>
    </row>
    <row r="42" spans="2:7" x14ac:dyDescent="0.45">
      <c r="B42" s="1">
        <v>5</v>
      </c>
      <c r="C42" s="4" t="s">
        <v>55</v>
      </c>
      <c r="D42" s="153" t="s">
        <v>51</v>
      </c>
      <c r="E42" s="149"/>
      <c r="F42" s="150"/>
    </row>
    <row r="43" spans="2:7" x14ac:dyDescent="0.45">
      <c r="B43" s="1">
        <v>6</v>
      </c>
      <c r="C43" s="4" t="s">
        <v>56</v>
      </c>
      <c r="D43" s="153" t="s">
        <v>51</v>
      </c>
      <c r="E43" s="149"/>
      <c r="F43" s="150"/>
    </row>
    <row r="44" spans="2:7" x14ac:dyDescent="0.45">
      <c r="B44" s="1">
        <v>7</v>
      </c>
      <c r="C44" s="4" t="s">
        <v>57</v>
      </c>
      <c r="D44" s="153" t="s">
        <v>51</v>
      </c>
      <c r="E44" s="149"/>
      <c r="F44" s="150"/>
    </row>
    <row r="46" spans="2:7" x14ac:dyDescent="0.45">
      <c r="B46" s="151" t="s">
        <v>58</v>
      </c>
      <c r="C46" s="151"/>
      <c r="D46" s="3" t="s">
        <v>3</v>
      </c>
      <c r="E46" s="6" t="s">
        <v>7</v>
      </c>
      <c r="F46" s="8">
        <f>COUNTA(D47)/ROWS(D47)</f>
        <v>1</v>
      </c>
    </row>
    <row r="47" spans="2:7" x14ac:dyDescent="0.45">
      <c r="B47" s="1">
        <v>1</v>
      </c>
      <c r="C47" s="4" t="s">
        <v>59</v>
      </c>
      <c r="D47" s="148" t="s">
        <v>60</v>
      </c>
      <c r="E47" s="149"/>
      <c r="F47" s="150"/>
    </row>
    <row r="49" spans="2:6" ht="30.5" customHeight="1" x14ac:dyDescent="0.45">
      <c r="B49" s="147" t="s">
        <v>61</v>
      </c>
      <c r="C49" s="147"/>
      <c r="D49" s="116" t="s">
        <v>3</v>
      </c>
      <c r="E49" s="117" t="s">
        <v>7</v>
      </c>
      <c r="F49" s="118">
        <f>COUNTA(D50:F53)/ROWS(D50:F53)</f>
        <v>1</v>
      </c>
    </row>
    <row r="50" spans="2:6" x14ac:dyDescent="0.45">
      <c r="B50" s="1">
        <v>1</v>
      </c>
      <c r="C50" s="5" t="s">
        <v>62</v>
      </c>
      <c r="D50" s="148" t="s">
        <v>63</v>
      </c>
      <c r="E50" s="149"/>
      <c r="F50" s="150"/>
    </row>
    <row r="51" spans="2:6" x14ac:dyDescent="0.45">
      <c r="B51" s="1">
        <v>2</v>
      </c>
      <c r="C51" s="5" t="s">
        <v>64</v>
      </c>
      <c r="D51" s="148" t="s">
        <v>9</v>
      </c>
      <c r="E51" s="149"/>
      <c r="F51" s="150"/>
    </row>
    <row r="52" spans="2:6" x14ac:dyDescent="0.45">
      <c r="B52" s="1">
        <v>3</v>
      </c>
      <c r="C52" s="5" t="s">
        <v>65</v>
      </c>
      <c r="D52" s="148" t="s">
        <v>66</v>
      </c>
      <c r="E52" s="149"/>
      <c r="F52" s="150"/>
    </row>
    <row r="53" spans="2:6" x14ac:dyDescent="0.45">
      <c r="B53" s="1">
        <v>4</v>
      </c>
      <c r="C53" s="4" t="s">
        <v>67</v>
      </c>
      <c r="D53" s="148">
        <v>642545</v>
      </c>
      <c r="E53" s="149"/>
      <c r="F53" s="150"/>
    </row>
    <row r="55" spans="2:6" ht="32" customHeight="1" x14ac:dyDescent="0.45">
      <c r="B55" s="147" t="s">
        <v>68</v>
      </c>
      <c r="C55" s="147"/>
      <c r="D55" s="116" t="s">
        <v>3</v>
      </c>
      <c r="E55" s="117" t="s">
        <v>7</v>
      </c>
      <c r="F55" s="118">
        <f>COUNTA(D56)/ROWS(D56)</f>
        <v>0</v>
      </c>
    </row>
    <row r="56" spans="2:6" ht="89.75" customHeight="1" x14ac:dyDescent="0.45">
      <c r="B56" s="1">
        <v>1</v>
      </c>
      <c r="C56" s="5" t="s">
        <v>69</v>
      </c>
      <c r="D56" s="148"/>
      <c r="E56" s="149"/>
      <c r="F56" s="150"/>
    </row>
  </sheetData>
  <mergeCells count="45">
    <mergeCell ref="B4:F4"/>
    <mergeCell ref="D16:F16"/>
    <mergeCell ref="D18:F18"/>
    <mergeCell ref="D17:F17"/>
    <mergeCell ref="D8:F8"/>
    <mergeCell ref="D10:F10"/>
    <mergeCell ref="B7:C7"/>
    <mergeCell ref="D9:F9"/>
    <mergeCell ref="D19:F19"/>
    <mergeCell ref="D20:F20"/>
    <mergeCell ref="D11:F11"/>
    <mergeCell ref="D12:F12"/>
    <mergeCell ref="D13:F13"/>
    <mergeCell ref="D14:F14"/>
    <mergeCell ref="D15:F15"/>
    <mergeCell ref="B37:C37"/>
    <mergeCell ref="D38:F38"/>
    <mergeCell ref="D21:F21"/>
    <mergeCell ref="D31:F31"/>
    <mergeCell ref="B28:C28"/>
    <mergeCell ref="D29:F29"/>
    <mergeCell ref="D30:F30"/>
    <mergeCell ref="D35:F35"/>
    <mergeCell ref="D32:F32"/>
    <mergeCell ref="D33:F33"/>
    <mergeCell ref="D34:F34"/>
    <mergeCell ref="D26:F26"/>
    <mergeCell ref="D25:F25"/>
    <mergeCell ref="B23:C23"/>
    <mergeCell ref="D24:F24"/>
    <mergeCell ref="B46:C46"/>
    <mergeCell ref="D47:F47"/>
    <mergeCell ref="D39:F39"/>
    <mergeCell ref="D40:F40"/>
    <mergeCell ref="D41:F41"/>
    <mergeCell ref="D42:F42"/>
    <mergeCell ref="D43:F43"/>
    <mergeCell ref="D44:F44"/>
    <mergeCell ref="B55:C55"/>
    <mergeCell ref="D56:F56"/>
    <mergeCell ref="B49:C49"/>
    <mergeCell ref="D50:F50"/>
    <mergeCell ref="D51:F51"/>
    <mergeCell ref="D52:F52"/>
    <mergeCell ref="D53:F53"/>
  </mergeCells>
  <phoneticPr fontId="17" type="noConversion"/>
  <dataValidations count="2">
    <dataValidation type="list" allowBlank="1" showInputMessage="1" showErrorMessage="1" sqref="D31:F35 D29:D30 E29:F29" xr:uid="{A99E6AF9-11A3-4F26-982D-F28576BB78CF}">
      <formula1>"Attached, Not available"</formula1>
    </dataValidation>
    <dataValidation type="list" allowBlank="1" showInputMessage="1" showErrorMessage="1" sqref="D38:F44" xr:uid="{A33029AE-9FCE-4AE4-9D6F-A38BD957A87C}">
      <formula1>"Yes, No"</formula1>
    </dataValidation>
  </dataValidations>
  <hyperlinks>
    <hyperlink ref="D21" r:id="rId1" xr:uid="{67C30BDA-CB33-4D79-BFD6-6E094888375C}"/>
    <hyperlink ref="D14" r:id="rId2" xr:uid="{C5DA8DFB-761F-4BAE-BD4E-A54D724FAEA2}"/>
    <hyperlink ref="D15" r:id="rId3" xr:uid="{5C02960E-CE17-477F-A68A-800D4BAEF6CC}"/>
  </hyperlinks>
  <pageMargins left="0.7" right="0.7" top="0.75" bottom="0.75" header="0.3" footer="0.3"/>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89D3C6-9938-4B54-87E9-4A1DE33F87D4}">
  <sheetPr codeName="Sheet2"/>
  <dimension ref="B2:N28"/>
  <sheetViews>
    <sheetView workbookViewId="0">
      <selection activeCell="B25" sqref="B25:C25"/>
    </sheetView>
  </sheetViews>
  <sheetFormatPr defaultRowHeight="14.25" x14ac:dyDescent="0.45"/>
  <cols>
    <col min="2" max="2" width="3.53125" customWidth="1"/>
    <col min="3" max="3" width="82.53125" customWidth="1"/>
    <col min="4" max="4" width="29.33203125" customWidth="1"/>
    <col min="5" max="5" width="25.53125" customWidth="1"/>
    <col min="7" max="7" width="20.53125" customWidth="1"/>
  </cols>
  <sheetData>
    <row r="2" spans="2:14" ht="54" customHeight="1" x14ac:dyDescent="0.9">
      <c r="B2" s="9" t="s">
        <v>0</v>
      </c>
      <c r="C2" s="10"/>
      <c r="D2" s="10"/>
      <c r="E2" s="10"/>
      <c r="F2" s="10"/>
      <c r="G2" s="11"/>
      <c r="H2" s="2"/>
      <c r="I2" s="2"/>
      <c r="J2" s="2"/>
      <c r="K2" s="2"/>
      <c r="L2" s="2"/>
      <c r="M2" s="2"/>
      <c r="N2" s="2"/>
    </row>
    <row r="3" spans="2:14" ht="20.25" customHeight="1" x14ac:dyDescent="0.9">
      <c r="B3" s="21" t="s">
        <v>70</v>
      </c>
      <c r="C3" s="20"/>
      <c r="D3" s="20"/>
      <c r="E3" s="20"/>
      <c r="F3" s="20"/>
      <c r="G3" s="22"/>
      <c r="H3" s="2"/>
      <c r="I3" s="2"/>
      <c r="J3" s="2"/>
      <c r="K3" s="2"/>
      <c r="L3" s="2"/>
      <c r="M3" s="2"/>
      <c r="N3" s="2"/>
    </row>
    <row r="4" spans="2:14" x14ac:dyDescent="0.45">
      <c r="B4" s="164" t="s">
        <v>71</v>
      </c>
      <c r="C4" s="165"/>
      <c r="D4" s="165"/>
      <c r="E4" s="165"/>
      <c r="F4" s="165"/>
      <c r="G4" s="166"/>
    </row>
    <row r="7" spans="2:14" x14ac:dyDescent="0.45">
      <c r="B7" s="159" t="s">
        <v>74</v>
      </c>
      <c r="C7" s="167"/>
      <c r="D7" s="183" t="s">
        <v>3</v>
      </c>
      <c r="E7" s="184"/>
      <c r="F7" s="184"/>
      <c r="G7" s="184"/>
    </row>
    <row r="8" spans="2:14" ht="28.5" x14ac:dyDescent="0.45">
      <c r="B8" s="179" t="s">
        <v>75</v>
      </c>
      <c r="C8" s="180"/>
      <c r="D8" s="50" t="s">
        <v>76</v>
      </c>
      <c r="E8" s="50" t="s">
        <v>77</v>
      </c>
      <c r="F8" s="187" t="s">
        <v>78</v>
      </c>
      <c r="G8" s="187"/>
    </row>
    <row r="9" spans="2:14" x14ac:dyDescent="0.45">
      <c r="B9" s="15"/>
      <c r="C9" s="16" t="s">
        <v>79</v>
      </c>
      <c r="D9" s="17">
        <v>6</v>
      </c>
      <c r="E9" s="17">
        <v>35</v>
      </c>
      <c r="F9" s="185" t="s">
        <v>80</v>
      </c>
      <c r="G9" s="186"/>
    </row>
    <row r="10" spans="2:14" x14ac:dyDescent="0.45">
      <c r="B10" s="15"/>
      <c r="C10" s="16" t="s">
        <v>81</v>
      </c>
      <c r="D10" s="18" t="s">
        <v>82</v>
      </c>
      <c r="E10" s="17">
        <v>30</v>
      </c>
      <c r="F10" s="185" t="s">
        <v>83</v>
      </c>
      <c r="G10" s="186"/>
    </row>
    <row r="11" spans="2:14" x14ac:dyDescent="0.45">
      <c r="B11" s="15"/>
      <c r="C11" s="16" t="s">
        <v>84</v>
      </c>
      <c r="D11" s="18">
        <v>6</v>
      </c>
      <c r="E11" s="17">
        <v>30</v>
      </c>
      <c r="F11" s="185" t="s">
        <v>83</v>
      </c>
      <c r="G11" s="186"/>
    </row>
    <row r="12" spans="2:14" x14ac:dyDescent="0.45">
      <c r="B12" s="15"/>
      <c r="C12" s="16" t="s">
        <v>85</v>
      </c>
      <c r="D12" s="18">
        <v>7</v>
      </c>
      <c r="E12" s="17">
        <v>29</v>
      </c>
      <c r="F12" s="185" t="s">
        <v>86</v>
      </c>
      <c r="G12" s="186"/>
    </row>
    <row r="13" spans="2:14" x14ac:dyDescent="0.45">
      <c r="B13" s="15"/>
      <c r="C13" s="16" t="s">
        <v>87</v>
      </c>
      <c r="D13" s="18">
        <v>3</v>
      </c>
      <c r="E13" s="17">
        <v>4</v>
      </c>
      <c r="F13" s="185" t="s">
        <v>88</v>
      </c>
      <c r="G13" s="186"/>
    </row>
    <row r="14" spans="2:14" x14ac:dyDescent="0.45">
      <c r="B14" s="15"/>
      <c r="C14" s="16" t="s">
        <v>89</v>
      </c>
      <c r="D14" s="18">
        <v>6</v>
      </c>
      <c r="E14" s="17">
        <v>18</v>
      </c>
      <c r="F14" s="185" t="s">
        <v>88</v>
      </c>
      <c r="G14" s="186"/>
    </row>
    <row r="15" spans="2:14" ht="14.75" customHeight="1" x14ac:dyDescent="0.45">
      <c r="B15" s="15"/>
      <c r="C15" s="16" t="s">
        <v>90</v>
      </c>
      <c r="D15" s="18">
        <v>5</v>
      </c>
      <c r="E15" s="17">
        <v>15</v>
      </c>
      <c r="F15" s="185" t="s">
        <v>88</v>
      </c>
      <c r="G15" s="186"/>
    </row>
    <row r="16" spans="2:14" ht="14.75" customHeight="1" x14ac:dyDescent="0.45">
      <c r="B16" s="15"/>
      <c r="C16" s="16" t="s">
        <v>91</v>
      </c>
      <c r="D16" s="18">
        <v>5</v>
      </c>
      <c r="E16" s="17">
        <v>15</v>
      </c>
      <c r="F16" s="185" t="s">
        <v>92</v>
      </c>
      <c r="G16" s="186"/>
    </row>
    <row r="17" spans="2:7" x14ac:dyDescent="0.45">
      <c r="B17" s="15"/>
      <c r="C17" s="16" t="s">
        <v>93</v>
      </c>
      <c r="D17" s="18">
        <v>2</v>
      </c>
      <c r="E17" s="17">
        <v>5</v>
      </c>
      <c r="F17" s="185" t="s">
        <v>88</v>
      </c>
      <c r="G17" s="186"/>
    </row>
    <row r="18" spans="2:7" x14ac:dyDescent="0.45">
      <c r="B18" s="15"/>
      <c r="C18" s="16"/>
      <c r="D18" s="18"/>
      <c r="E18" s="17"/>
      <c r="F18" s="185"/>
      <c r="G18" s="186"/>
    </row>
    <row r="19" spans="2:7" ht="14.75" customHeight="1" x14ac:dyDescent="0.45">
      <c r="B19" s="177" t="s">
        <v>94</v>
      </c>
      <c r="C19" s="178"/>
      <c r="D19" s="178"/>
      <c r="E19" s="178"/>
      <c r="F19" s="178"/>
      <c r="G19" s="23"/>
    </row>
    <row r="20" spans="2:7" ht="29" customHeight="1" x14ac:dyDescent="0.45">
      <c r="B20" s="179" t="s">
        <v>75</v>
      </c>
      <c r="C20" s="180"/>
      <c r="D20" s="50" t="s">
        <v>95</v>
      </c>
      <c r="E20" s="50" t="s">
        <v>77</v>
      </c>
      <c r="F20" s="179" t="s">
        <v>96</v>
      </c>
      <c r="G20" s="180"/>
    </row>
    <row r="21" spans="2:7" ht="14.75" customHeight="1" x14ac:dyDescent="0.45">
      <c r="B21" s="15"/>
      <c r="C21" s="16" t="s">
        <v>81</v>
      </c>
      <c r="D21" s="98">
        <v>45686</v>
      </c>
      <c r="E21" s="17">
        <v>30</v>
      </c>
      <c r="F21" s="181" t="s">
        <v>97</v>
      </c>
      <c r="G21" s="182"/>
    </row>
    <row r="22" spans="2:7" x14ac:dyDescent="0.45">
      <c r="B22" s="15"/>
      <c r="C22" s="16"/>
      <c r="D22" s="98"/>
      <c r="E22" s="17"/>
      <c r="F22" s="181"/>
      <c r="G22" s="182"/>
    </row>
    <row r="23" spans="2:7" x14ac:dyDescent="0.45">
      <c r="B23" s="15"/>
      <c r="C23" s="16"/>
      <c r="D23" s="98"/>
      <c r="E23" s="17"/>
      <c r="F23" s="181"/>
      <c r="G23" s="182"/>
    </row>
    <row r="24" spans="2:7" x14ac:dyDescent="0.45">
      <c r="B24" s="177" t="s">
        <v>98</v>
      </c>
      <c r="C24" s="178"/>
      <c r="D24" s="178"/>
      <c r="E24" s="178"/>
      <c r="F24" s="178"/>
      <c r="G24" s="23"/>
    </row>
    <row r="25" spans="2:7" x14ac:dyDescent="0.45">
      <c r="B25" s="179" t="s">
        <v>99</v>
      </c>
      <c r="C25" s="180"/>
      <c r="D25" s="50" t="s">
        <v>95</v>
      </c>
      <c r="E25" s="50" t="s">
        <v>100</v>
      </c>
      <c r="F25" s="179" t="s">
        <v>101</v>
      </c>
      <c r="G25" s="180"/>
    </row>
    <row r="26" spans="2:7" x14ac:dyDescent="0.45">
      <c r="B26" s="15"/>
      <c r="C26" s="16" t="s">
        <v>102</v>
      </c>
      <c r="D26" s="19">
        <v>43405</v>
      </c>
      <c r="E26" s="99"/>
      <c r="F26" s="152"/>
      <c r="G26" s="152"/>
    </row>
    <row r="27" spans="2:7" x14ac:dyDescent="0.45">
      <c r="B27" s="15"/>
      <c r="C27" s="16"/>
      <c r="D27" s="19"/>
      <c r="E27" s="99"/>
      <c r="F27" s="152"/>
      <c r="G27" s="152"/>
    </row>
    <row r="28" spans="2:7" x14ac:dyDescent="0.45">
      <c r="B28" s="15"/>
      <c r="C28" s="16"/>
      <c r="D28" s="19"/>
      <c r="E28" s="99"/>
      <c r="F28" s="152"/>
      <c r="G28" s="152"/>
    </row>
  </sheetData>
  <mergeCells count="27">
    <mergeCell ref="B4:G4"/>
    <mergeCell ref="F22:G22"/>
    <mergeCell ref="F23:G23"/>
    <mergeCell ref="B24:F24"/>
    <mergeCell ref="B25:C25"/>
    <mergeCell ref="F25:G25"/>
    <mergeCell ref="F26:G26"/>
    <mergeCell ref="B8:C8"/>
    <mergeCell ref="F8:G8"/>
    <mergeCell ref="F9:G9"/>
    <mergeCell ref="F10:G10"/>
    <mergeCell ref="F11:G11"/>
    <mergeCell ref="F18:G18"/>
    <mergeCell ref="F17:G17"/>
    <mergeCell ref="F13:G13"/>
    <mergeCell ref="F15:G15"/>
    <mergeCell ref="F12:G12"/>
    <mergeCell ref="F14:G14"/>
    <mergeCell ref="F16:G16"/>
    <mergeCell ref="F28:G28"/>
    <mergeCell ref="B19:F19"/>
    <mergeCell ref="B20:C20"/>
    <mergeCell ref="F20:G20"/>
    <mergeCell ref="F21:G21"/>
    <mergeCell ref="B7:C7"/>
    <mergeCell ref="D7:G7"/>
    <mergeCell ref="F27:G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9296D-4B2E-4C93-BBF0-FAD17EBD5E4C}">
  <sheetPr codeName="Sheet4"/>
  <dimension ref="A1:CT136"/>
  <sheetViews>
    <sheetView tabSelected="1" topLeftCell="A22" workbookViewId="0">
      <selection activeCell="F57" sqref="F57"/>
    </sheetView>
  </sheetViews>
  <sheetFormatPr defaultColWidth="0" defaultRowHeight="14.25" x14ac:dyDescent="0.45"/>
  <cols>
    <col min="1" max="1" width="8.86328125" customWidth="1"/>
    <col min="2" max="2" width="3.33203125" customWidth="1"/>
    <col min="3" max="3" width="82.53125" customWidth="1"/>
    <col min="4" max="4" width="17.33203125" customWidth="1"/>
    <col min="5" max="5" width="15.33203125" customWidth="1"/>
    <col min="6" max="6" width="9.53125" customWidth="1"/>
    <col min="7" max="7" width="25" bestFit="1" customWidth="1"/>
    <col min="8" max="8" width="9.53125" customWidth="1"/>
    <col min="9" max="9" width="1" style="51" customWidth="1"/>
    <col min="10" max="10" width="1.33203125" style="34" customWidth="1"/>
    <col min="11" max="11" width="0.53125" customWidth="1"/>
    <col min="12" max="12" width="3.33203125" customWidth="1"/>
    <col min="13" max="13" width="82.53125" customWidth="1"/>
    <col min="14" max="14" width="17.33203125" customWidth="1"/>
    <col min="15" max="15" width="45.33203125" customWidth="1"/>
    <col min="16" max="16" width="9.53125" customWidth="1"/>
    <col min="17" max="17" width="18.53125" customWidth="1"/>
    <col min="18" max="18" width="9.53125" customWidth="1"/>
    <col min="19" max="19" width="1" style="51" customWidth="1"/>
    <col min="20" max="20" width="1.33203125" style="34" customWidth="1"/>
    <col min="21" max="21" width="0.53125" customWidth="1"/>
    <col min="22" max="22" width="3.33203125" hidden="1" customWidth="1"/>
    <col min="23" max="23" width="82.53125" hidden="1" customWidth="1"/>
    <col min="24" max="24" width="17.33203125" hidden="1" customWidth="1"/>
    <col min="25" max="25" width="45.33203125" hidden="1" customWidth="1"/>
    <col min="26" max="26" width="9.53125" hidden="1" customWidth="1"/>
    <col min="27" max="27" width="18.53125" hidden="1" customWidth="1"/>
    <col min="28" max="28" width="9.53125" hidden="1" customWidth="1"/>
    <col min="29" max="29" width="1" style="51" hidden="1" customWidth="1"/>
    <col min="30" max="30" width="1.33203125" style="34" hidden="1" customWidth="1"/>
    <col min="31" max="31" width="0.53125" hidden="1" customWidth="1"/>
    <col min="32" max="32" width="3.33203125" hidden="1" customWidth="1"/>
    <col min="33" max="33" width="82.53125" hidden="1" customWidth="1"/>
    <col min="34" max="34" width="17.33203125" hidden="1" customWidth="1"/>
    <col min="35" max="35" width="45.33203125" hidden="1" customWidth="1"/>
    <col min="36" max="36" width="9.53125" hidden="1" customWidth="1"/>
    <col min="37" max="37" width="18.53125" hidden="1" customWidth="1"/>
    <col min="38" max="38" width="9.53125" hidden="1" customWidth="1"/>
    <col min="39" max="39" width="1" style="51" hidden="1" customWidth="1"/>
    <col min="40" max="40" width="1.33203125" style="34" hidden="1" customWidth="1"/>
    <col min="41" max="41" width="0.53125" hidden="1" customWidth="1"/>
    <col min="42" max="42" width="3.33203125" hidden="1" customWidth="1"/>
    <col min="43" max="43" width="82.53125" hidden="1" customWidth="1"/>
    <col min="44" max="44" width="17.33203125" hidden="1" customWidth="1"/>
    <col min="45" max="45" width="45.33203125" hidden="1" customWidth="1"/>
    <col min="46" max="46" width="9.53125" hidden="1" customWidth="1"/>
    <col min="47" max="47" width="18.53125" hidden="1" customWidth="1"/>
    <col min="48" max="48" width="9.53125" hidden="1" customWidth="1"/>
    <col min="49" max="49" width="1" style="51" hidden="1" customWidth="1"/>
    <col min="50" max="50" width="1.33203125" style="34" hidden="1" customWidth="1"/>
    <col min="51" max="51" width="0.53125" hidden="1" customWidth="1"/>
    <col min="52" max="52" width="3.33203125" hidden="1" customWidth="1"/>
    <col min="53" max="53" width="82.53125" hidden="1" customWidth="1"/>
    <col min="54" max="54" width="17.33203125" hidden="1" customWidth="1"/>
    <col min="55" max="55" width="45.33203125" hidden="1" customWidth="1"/>
    <col min="56" max="56" width="9.53125" hidden="1" customWidth="1"/>
    <col min="57" max="57" width="18.53125" hidden="1" customWidth="1"/>
    <col min="58" max="58" width="9.53125" hidden="1" customWidth="1"/>
    <col min="59" max="59" width="1" style="51" hidden="1" customWidth="1"/>
    <col min="60" max="60" width="1.33203125" style="34" hidden="1" customWidth="1"/>
    <col min="61" max="61" width="0.53125" hidden="1" customWidth="1"/>
    <col min="62" max="62" width="3.33203125" hidden="1" customWidth="1"/>
    <col min="63" max="63" width="82.53125" hidden="1" customWidth="1"/>
    <col min="64" max="64" width="17.33203125" hidden="1" customWidth="1"/>
    <col min="65" max="65" width="45.33203125" hidden="1" customWidth="1"/>
    <col min="66" max="66" width="9.53125" hidden="1" customWidth="1"/>
    <col min="67" max="67" width="18.53125" hidden="1" customWidth="1"/>
    <col min="68" max="68" width="9.53125" hidden="1" customWidth="1"/>
    <col min="69" max="69" width="1" style="51" hidden="1" customWidth="1"/>
    <col min="70" max="70" width="1.33203125" style="34" hidden="1" customWidth="1"/>
    <col min="71" max="71" width="0.53125" hidden="1" customWidth="1"/>
    <col min="72" max="72" width="3.33203125" hidden="1" customWidth="1"/>
    <col min="73" max="73" width="82.53125" hidden="1" customWidth="1"/>
    <col min="74" max="74" width="17.33203125" hidden="1" customWidth="1"/>
    <col min="75" max="75" width="45.33203125" hidden="1" customWidth="1"/>
    <col min="76" max="76" width="9.53125" hidden="1" customWidth="1"/>
    <col min="77" max="77" width="18.53125" hidden="1" customWidth="1"/>
    <col min="78" max="78" width="9.53125" hidden="1" customWidth="1"/>
    <col min="79" max="79" width="1" style="51" hidden="1" customWidth="1"/>
    <col min="80" max="80" width="1.33203125" style="34" hidden="1" customWidth="1"/>
    <col min="81" max="81" width="0.53125" hidden="1" customWidth="1"/>
    <col min="82" max="82" width="3.33203125" hidden="1" customWidth="1"/>
    <col min="83" max="83" width="82.53125" hidden="1" customWidth="1"/>
    <col min="84" max="84" width="17.33203125" hidden="1" customWidth="1"/>
    <col min="85" max="85" width="45.33203125" hidden="1" customWidth="1"/>
    <col min="86" max="86" width="9.53125" hidden="1" customWidth="1"/>
    <col min="87" max="87" width="18.53125" hidden="1" customWidth="1"/>
    <col min="88" max="88" width="9.53125" hidden="1" customWidth="1"/>
    <col min="89" max="89" width="1" style="51" hidden="1" customWidth="1"/>
    <col min="90" max="90" width="1.33203125" style="34" hidden="1" customWidth="1"/>
    <col min="91" max="91" width="0.53125" hidden="1" customWidth="1"/>
    <col min="92" max="92" width="3.33203125" hidden="1" customWidth="1"/>
    <col min="93" max="93" width="82.53125" hidden="1" customWidth="1"/>
    <col min="94" max="94" width="17.33203125" hidden="1" customWidth="1"/>
    <col min="95" max="95" width="45.33203125" hidden="1" customWidth="1"/>
    <col min="96" max="96" width="9.53125" hidden="1" customWidth="1"/>
    <col min="97" max="97" width="18.53125" hidden="1" customWidth="1"/>
    <col min="98" max="98" width="9.53125" hidden="1" customWidth="1"/>
    <col min="99" max="16384" width="8.86328125" hidden="1"/>
  </cols>
  <sheetData>
    <row r="1" spans="2:98" ht="14.65" thickBot="1" x14ac:dyDescent="0.5"/>
    <row r="2" spans="2:98" ht="33.4" x14ac:dyDescent="0.9">
      <c r="B2" s="9" t="s">
        <v>0</v>
      </c>
      <c r="C2" s="32"/>
      <c r="D2" s="32"/>
      <c r="E2" s="32"/>
      <c r="F2" s="32"/>
      <c r="G2" s="32"/>
      <c r="H2" s="33"/>
      <c r="J2" s="35"/>
      <c r="K2" s="2"/>
      <c r="T2" s="35"/>
      <c r="U2" s="2"/>
      <c r="AD2" s="35"/>
      <c r="AE2" s="2"/>
      <c r="AN2" s="35"/>
      <c r="AO2" s="2"/>
      <c r="AX2" s="35"/>
      <c r="AY2" s="2"/>
      <c r="BH2" s="35"/>
      <c r="BI2" s="2"/>
      <c r="BR2" s="35"/>
      <c r="BS2" s="2"/>
      <c r="CB2" s="35"/>
      <c r="CC2" s="2"/>
      <c r="CL2" s="35"/>
      <c r="CM2" s="2"/>
    </row>
    <row r="3" spans="2:98" ht="31.15" thickBot="1" x14ac:dyDescent="0.95">
      <c r="B3" s="28" t="s">
        <v>135</v>
      </c>
      <c r="C3" s="29"/>
      <c r="D3" s="29"/>
      <c r="E3" s="29"/>
      <c r="F3" s="29"/>
      <c r="G3" s="29"/>
      <c r="H3" s="30"/>
      <c r="J3" s="35"/>
      <c r="K3" s="2"/>
      <c r="T3" s="35"/>
      <c r="U3" s="2"/>
      <c r="AD3" s="35"/>
      <c r="AE3" s="2"/>
      <c r="AN3" s="35"/>
      <c r="AO3" s="2"/>
      <c r="AX3" s="35"/>
      <c r="AY3" s="2"/>
      <c r="BH3" s="35"/>
      <c r="BI3" s="2"/>
      <c r="BR3" s="35"/>
      <c r="BS3" s="2"/>
      <c r="CB3" s="35"/>
      <c r="CC3" s="2"/>
      <c r="CL3" s="35"/>
      <c r="CM3" s="2"/>
    </row>
    <row r="4" spans="2:98" ht="14.65" thickBot="1" x14ac:dyDescent="0.5">
      <c r="B4" s="164" t="s">
        <v>2</v>
      </c>
      <c r="C4" s="165"/>
      <c r="D4" s="165"/>
      <c r="E4" s="165"/>
      <c r="F4" s="165"/>
      <c r="G4" s="165"/>
      <c r="H4" s="166"/>
    </row>
    <row r="6" spans="2:98" ht="15" customHeight="1" x14ac:dyDescent="0.45">
      <c r="B6" s="177" t="s">
        <v>136</v>
      </c>
      <c r="C6" s="191"/>
      <c r="D6" s="167" t="s">
        <v>3</v>
      </c>
      <c r="E6" s="168"/>
      <c r="F6" s="169"/>
      <c r="G6" s="6" t="s">
        <v>7</v>
      </c>
      <c r="H6" s="43">
        <f>COUNTA(D7:H19)/ROWS(D7:H19)</f>
        <v>1</v>
      </c>
      <c r="L6" s="177" t="s">
        <v>136</v>
      </c>
      <c r="M6" s="191"/>
      <c r="N6" s="167" t="s">
        <v>3</v>
      </c>
      <c r="O6" s="168"/>
      <c r="P6" s="169"/>
      <c r="Q6" s="6" t="s">
        <v>7</v>
      </c>
      <c r="R6" s="43">
        <f>COUNTA(N7:R19)/ROWS(N7:R19)</f>
        <v>1</v>
      </c>
      <c r="V6" s="177" t="s">
        <v>136</v>
      </c>
      <c r="W6" s="191"/>
      <c r="X6" s="167" t="s">
        <v>3</v>
      </c>
      <c r="Y6" s="168"/>
      <c r="Z6" s="169"/>
      <c r="AA6" s="6" t="s">
        <v>7</v>
      </c>
      <c r="AB6" s="43">
        <f>COUNTA(X7:AB19)/ROWS(X7:AB19)</f>
        <v>7.6923076923076927E-2</v>
      </c>
      <c r="AF6" s="177" t="s">
        <v>136</v>
      </c>
      <c r="AG6" s="191"/>
      <c r="AH6" s="167" t="s">
        <v>3</v>
      </c>
      <c r="AI6" s="168"/>
      <c r="AJ6" s="169"/>
      <c r="AK6" s="6" t="s">
        <v>7</v>
      </c>
      <c r="AL6" s="43">
        <f>COUNTA(AH7:AL19)/ROWS(AH7:AL19)</f>
        <v>7.6923076923076927E-2</v>
      </c>
      <c r="AP6" s="177" t="s">
        <v>136</v>
      </c>
      <c r="AQ6" s="191"/>
      <c r="AR6" s="167" t="s">
        <v>3</v>
      </c>
      <c r="AS6" s="168"/>
      <c r="AT6" s="169"/>
      <c r="AU6" s="6" t="s">
        <v>7</v>
      </c>
      <c r="AV6" s="43">
        <f>COUNTA(AR7:AV19)/ROWS(AR7:AV19)</f>
        <v>7.6923076923076927E-2</v>
      </c>
      <c r="AZ6" s="177" t="s">
        <v>136</v>
      </c>
      <c r="BA6" s="191"/>
      <c r="BB6" s="167" t="s">
        <v>3</v>
      </c>
      <c r="BC6" s="168"/>
      <c r="BD6" s="169"/>
      <c r="BE6" s="6" t="s">
        <v>7</v>
      </c>
      <c r="BF6" s="43">
        <f>COUNTA(BB7:BF19)/ROWS(BB7:BF19)</f>
        <v>7.6923076923076927E-2</v>
      </c>
      <c r="BJ6" s="177" t="s">
        <v>136</v>
      </c>
      <c r="BK6" s="191"/>
      <c r="BL6" s="167" t="s">
        <v>3</v>
      </c>
      <c r="BM6" s="168"/>
      <c r="BN6" s="169"/>
      <c r="BO6" s="6" t="s">
        <v>7</v>
      </c>
      <c r="BP6" s="43">
        <f>COUNTA(BL7:BP19)/ROWS(BL7:BP19)</f>
        <v>7.6923076923076927E-2</v>
      </c>
      <c r="BT6" s="177" t="s">
        <v>136</v>
      </c>
      <c r="BU6" s="191"/>
      <c r="BV6" s="167" t="s">
        <v>3</v>
      </c>
      <c r="BW6" s="168"/>
      <c r="BX6" s="169"/>
      <c r="BY6" s="6" t="s">
        <v>7</v>
      </c>
      <c r="BZ6" s="43">
        <f>COUNTA(BV7:BZ19)/ROWS(BV7:BZ19)</f>
        <v>7.6923076923076927E-2</v>
      </c>
      <c r="CD6" s="177" t="s">
        <v>136</v>
      </c>
      <c r="CE6" s="191"/>
      <c r="CF6" s="167" t="s">
        <v>3</v>
      </c>
      <c r="CG6" s="168"/>
      <c r="CH6" s="169"/>
      <c r="CI6" s="6" t="s">
        <v>7</v>
      </c>
      <c r="CJ6" s="43">
        <f>COUNTA(CF7:CJ19)/ROWS(CF7:CJ19)</f>
        <v>7.6923076923076927E-2</v>
      </c>
      <c r="CN6" s="177" t="s">
        <v>136</v>
      </c>
      <c r="CO6" s="191"/>
      <c r="CP6" s="167" t="s">
        <v>3</v>
      </c>
      <c r="CQ6" s="168"/>
      <c r="CR6" s="169"/>
      <c r="CS6" s="6" t="s">
        <v>7</v>
      </c>
      <c r="CT6" s="43">
        <f>COUNTA(CP7:CT19)/ROWS(CP7:CT19)</f>
        <v>7.6923076923076927E-2</v>
      </c>
    </row>
    <row r="7" spans="2:98" ht="14.75" customHeight="1" x14ac:dyDescent="0.45">
      <c r="B7" s="1">
        <v>1</v>
      </c>
      <c r="C7" s="45" t="s">
        <v>108</v>
      </c>
      <c r="D7" s="223" t="s">
        <v>73</v>
      </c>
      <c r="E7" s="223"/>
      <c r="F7" s="223"/>
      <c r="G7" s="224"/>
      <c r="H7" s="224"/>
      <c r="L7" s="1">
        <v>1</v>
      </c>
      <c r="M7" s="45" t="s">
        <v>108</v>
      </c>
      <c r="N7" s="223" t="s">
        <v>104</v>
      </c>
      <c r="O7" s="223"/>
      <c r="P7" s="223"/>
      <c r="Q7" s="224"/>
      <c r="R7" s="224"/>
      <c r="V7" s="1">
        <v>1</v>
      </c>
      <c r="W7" s="45" t="s">
        <v>108</v>
      </c>
      <c r="X7" s="223" t="e">
        <f>'Page Two - IM Info contd'!#REF!</f>
        <v>#REF!</v>
      </c>
      <c r="Y7" s="223"/>
      <c r="Z7" s="223"/>
      <c r="AA7" s="224"/>
      <c r="AB7" s="224"/>
      <c r="AF7" s="1">
        <v>1</v>
      </c>
      <c r="AG7" s="45" t="s">
        <v>108</v>
      </c>
      <c r="AH7" s="223" t="e">
        <f>'Page Two - IM Info contd'!#REF!</f>
        <v>#REF!</v>
      </c>
      <c r="AI7" s="223"/>
      <c r="AJ7" s="223"/>
      <c r="AK7" s="224"/>
      <c r="AL7" s="224"/>
      <c r="AP7" s="1">
        <v>1</v>
      </c>
      <c r="AQ7" s="45" t="s">
        <v>108</v>
      </c>
      <c r="AR7" s="223" t="e">
        <f>'Page Two - IM Info contd'!#REF!</f>
        <v>#REF!</v>
      </c>
      <c r="AS7" s="223"/>
      <c r="AT7" s="223"/>
      <c r="AU7" s="224"/>
      <c r="AV7" s="224"/>
      <c r="AZ7" s="1">
        <v>1</v>
      </c>
      <c r="BA7" s="45" t="s">
        <v>108</v>
      </c>
      <c r="BB7" s="223" t="e">
        <f>'Page Two - IM Info contd'!#REF!</f>
        <v>#REF!</v>
      </c>
      <c r="BC7" s="223"/>
      <c r="BD7" s="223"/>
      <c r="BE7" s="224"/>
      <c r="BF7" s="224"/>
      <c r="BJ7" s="1">
        <v>1</v>
      </c>
      <c r="BK7" s="45" t="s">
        <v>108</v>
      </c>
      <c r="BL7" s="223" t="e">
        <f>'Page Two - IM Info contd'!#REF!</f>
        <v>#REF!</v>
      </c>
      <c r="BM7" s="223"/>
      <c r="BN7" s="223"/>
      <c r="BO7" s="224"/>
      <c r="BP7" s="224"/>
      <c r="BT7" s="1">
        <v>1</v>
      </c>
      <c r="BU7" s="45" t="s">
        <v>108</v>
      </c>
      <c r="BV7" s="223" t="e">
        <f>'Page Two - IM Info contd'!#REF!</f>
        <v>#REF!</v>
      </c>
      <c r="BW7" s="223"/>
      <c r="BX7" s="223"/>
      <c r="BY7" s="224"/>
      <c r="BZ7" s="224"/>
      <c r="CD7" s="1">
        <v>1</v>
      </c>
      <c r="CE7" s="45" t="s">
        <v>108</v>
      </c>
      <c r="CF7" s="223" t="e">
        <f>'Page Two - IM Info contd'!#REF!</f>
        <v>#REF!</v>
      </c>
      <c r="CG7" s="223"/>
      <c r="CH7" s="223"/>
      <c r="CI7" s="224"/>
      <c r="CJ7" s="224"/>
      <c r="CN7" s="1">
        <v>1</v>
      </c>
      <c r="CO7" s="45" t="s">
        <v>108</v>
      </c>
      <c r="CP7" s="223" t="e">
        <f>'Page Two - IM Info contd'!#REF!</f>
        <v>#REF!</v>
      </c>
      <c r="CQ7" s="223"/>
      <c r="CR7" s="223"/>
      <c r="CS7" s="224"/>
      <c r="CT7" s="224"/>
    </row>
    <row r="8" spans="2:98" x14ac:dyDescent="0.45">
      <c r="B8" s="1">
        <v>2</v>
      </c>
      <c r="C8" s="45" t="s">
        <v>137</v>
      </c>
      <c r="D8" s="206" t="s">
        <v>138</v>
      </c>
      <c r="E8" s="206"/>
      <c r="F8" s="206"/>
      <c r="G8" s="206"/>
      <c r="H8" s="206"/>
      <c r="L8" s="1">
        <v>2</v>
      </c>
      <c r="M8" s="45" t="s">
        <v>137</v>
      </c>
      <c r="N8" s="206" t="s">
        <v>138</v>
      </c>
      <c r="O8" s="206"/>
      <c r="P8" s="206"/>
      <c r="Q8" s="206"/>
      <c r="R8" s="206"/>
      <c r="V8" s="1">
        <v>2</v>
      </c>
      <c r="W8" s="45" t="s">
        <v>137</v>
      </c>
      <c r="X8" s="206"/>
      <c r="Y8" s="206"/>
      <c r="Z8" s="206"/>
      <c r="AA8" s="206"/>
      <c r="AB8" s="206"/>
      <c r="AF8" s="1">
        <v>2</v>
      </c>
      <c r="AG8" s="45" t="s">
        <v>137</v>
      </c>
      <c r="AH8" s="206"/>
      <c r="AI8" s="206"/>
      <c r="AJ8" s="206"/>
      <c r="AK8" s="206"/>
      <c r="AL8" s="206"/>
      <c r="AP8" s="1">
        <v>2</v>
      </c>
      <c r="AQ8" s="45" t="s">
        <v>137</v>
      </c>
      <c r="AR8" s="206"/>
      <c r="AS8" s="206"/>
      <c r="AT8" s="206"/>
      <c r="AU8" s="206"/>
      <c r="AV8" s="206"/>
      <c r="AZ8" s="1">
        <v>2</v>
      </c>
      <c r="BA8" s="45" t="s">
        <v>137</v>
      </c>
      <c r="BB8" s="206"/>
      <c r="BC8" s="206"/>
      <c r="BD8" s="206"/>
      <c r="BE8" s="206"/>
      <c r="BF8" s="206"/>
      <c r="BJ8" s="1">
        <v>2</v>
      </c>
      <c r="BK8" s="45" t="s">
        <v>137</v>
      </c>
      <c r="BL8" s="206"/>
      <c r="BM8" s="206"/>
      <c r="BN8" s="206"/>
      <c r="BO8" s="206"/>
      <c r="BP8" s="206"/>
      <c r="BT8" s="1">
        <v>2</v>
      </c>
      <c r="BU8" s="45" t="s">
        <v>137</v>
      </c>
      <c r="BV8" s="206"/>
      <c r="BW8" s="206"/>
      <c r="BX8" s="206"/>
      <c r="BY8" s="206"/>
      <c r="BZ8" s="206"/>
      <c r="CD8" s="1">
        <v>2</v>
      </c>
      <c r="CE8" s="45" t="s">
        <v>137</v>
      </c>
      <c r="CF8" s="206"/>
      <c r="CG8" s="206"/>
      <c r="CH8" s="206"/>
      <c r="CI8" s="206"/>
      <c r="CJ8" s="206"/>
      <c r="CN8" s="1">
        <v>2</v>
      </c>
      <c r="CO8" s="45" t="s">
        <v>137</v>
      </c>
      <c r="CP8" s="206"/>
      <c r="CQ8" s="206"/>
      <c r="CR8" s="206"/>
      <c r="CS8" s="206"/>
      <c r="CT8" s="206"/>
    </row>
    <row r="9" spans="2:98" x14ac:dyDescent="0.45">
      <c r="B9" s="1">
        <v>3</v>
      </c>
      <c r="C9" s="45" t="s">
        <v>139</v>
      </c>
      <c r="D9" s="206" t="s">
        <v>138</v>
      </c>
      <c r="E9" s="206"/>
      <c r="F9" s="206"/>
      <c r="G9" s="206"/>
      <c r="H9" s="206"/>
      <c r="L9" s="1">
        <v>3</v>
      </c>
      <c r="M9" s="45" t="s">
        <v>139</v>
      </c>
      <c r="N9" s="206" t="s">
        <v>138</v>
      </c>
      <c r="O9" s="206"/>
      <c r="P9" s="206"/>
      <c r="Q9" s="206"/>
      <c r="R9" s="206"/>
      <c r="V9" s="1">
        <v>3</v>
      </c>
      <c r="W9" s="45" t="s">
        <v>139</v>
      </c>
      <c r="X9" s="206"/>
      <c r="Y9" s="206"/>
      <c r="Z9" s="206"/>
      <c r="AA9" s="206"/>
      <c r="AB9" s="206"/>
      <c r="AF9" s="1">
        <v>3</v>
      </c>
      <c r="AG9" s="45" t="s">
        <v>139</v>
      </c>
      <c r="AH9" s="206"/>
      <c r="AI9" s="206"/>
      <c r="AJ9" s="206"/>
      <c r="AK9" s="206"/>
      <c r="AL9" s="206"/>
      <c r="AP9" s="1">
        <v>3</v>
      </c>
      <c r="AQ9" s="45" t="s">
        <v>139</v>
      </c>
      <c r="AR9" s="206"/>
      <c r="AS9" s="206"/>
      <c r="AT9" s="206"/>
      <c r="AU9" s="206"/>
      <c r="AV9" s="206"/>
      <c r="AZ9" s="1">
        <v>3</v>
      </c>
      <c r="BA9" s="45" t="s">
        <v>139</v>
      </c>
      <c r="BB9" s="206"/>
      <c r="BC9" s="206"/>
      <c r="BD9" s="206"/>
      <c r="BE9" s="206"/>
      <c r="BF9" s="206"/>
      <c r="BJ9" s="1">
        <v>3</v>
      </c>
      <c r="BK9" s="45" t="s">
        <v>139</v>
      </c>
      <c r="BL9" s="206"/>
      <c r="BM9" s="206"/>
      <c r="BN9" s="206"/>
      <c r="BO9" s="206"/>
      <c r="BP9" s="206"/>
      <c r="BT9" s="1">
        <v>3</v>
      </c>
      <c r="BU9" s="45" t="s">
        <v>139</v>
      </c>
      <c r="BV9" s="206"/>
      <c r="BW9" s="206"/>
      <c r="BX9" s="206"/>
      <c r="BY9" s="206"/>
      <c r="BZ9" s="206"/>
      <c r="CD9" s="1">
        <v>3</v>
      </c>
      <c r="CE9" s="45" t="s">
        <v>139</v>
      </c>
      <c r="CF9" s="206"/>
      <c r="CG9" s="206"/>
      <c r="CH9" s="206"/>
      <c r="CI9" s="206"/>
      <c r="CJ9" s="206"/>
      <c r="CN9" s="1">
        <v>3</v>
      </c>
      <c r="CO9" s="45" t="s">
        <v>139</v>
      </c>
      <c r="CP9" s="206"/>
      <c r="CQ9" s="206"/>
      <c r="CR9" s="206"/>
      <c r="CS9" s="206"/>
      <c r="CT9" s="206"/>
    </row>
    <row r="10" spans="2:98" x14ac:dyDescent="0.45">
      <c r="B10" s="1">
        <v>4</v>
      </c>
      <c r="C10" s="45" t="s">
        <v>140</v>
      </c>
      <c r="D10" s="206" t="s">
        <v>141</v>
      </c>
      <c r="E10" s="206"/>
      <c r="F10" s="206"/>
      <c r="G10" s="206"/>
      <c r="H10" s="206"/>
      <c r="L10" s="1">
        <v>4</v>
      </c>
      <c r="M10" s="45" t="s">
        <v>140</v>
      </c>
      <c r="N10" s="206" t="s">
        <v>141</v>
      </c>
      <c r="O10" s="206"/>
      <c r="P10" s="206"/>
      <c r="Q10" s="206"/>
      <c r="R10" s="206"/>
      <c r="V10" s="1">
        <v>4</v>
      </c>
      <c r="W10" s="45" t="s">
        <v>140</v>
      </c>
      <c r="X10" s="206"/>
      <c r="Y10" s="206"/>
      <c r="Z10" s="206"/>
      <c r="AA10" s="206"/>
      <c r="AB10" s="206"/>
      <c r="AF10" s="1">
        <v>4</v>
      </c>
      <c r="AG10" s="45" t="s">
        <v>140</v>
      </c>
      <c r="AH10" s="206"/>
      <c r="AI10" s="206"/>
      <c r="AJ10" s="206"/>
      <c r="AK10" s="206"/>
      <c r="AL10" s="206"/>
      <c r="AP10" s="1">
        <v>4</v>
      </c>
      <c r="AQ10" s="45" t="s">
        <v>140</v>
      </c>
      <c r="AR10" s="206"/>
      <c r="AS10" s="206"/>
      <c r="AT10" s="206"/>
      <c r="AU10" s="206"/>
      <c r="AV10" s="206"/>
      <c r="AZ10" s="1">
        <v>4</v>
      </c>
      <c r="BA10" s="45" t="s">
        <v>140</v>
      </c>
      <c r="BB10" s="206"/>
      <c r="BC10" s="206"/>
      <c r="BD10" s="206"/>
      <c r="BE10" s="206"/>
      <c r="BF10" s="206"/>
      <c r="BJ10" s="1">
        <v>4</v>
      </c>
      <c r="BK10" s="45" t="s">
        <v>140</v>
      </c>
      <c r="BL10" s="206"/>
      <c r="BM10" s="206"/>
      <c r="BN10" s="206"/>
      <c r="BO10" s="206"/>
      <c r="BP10" s="206"/>
      <c r="BT10" s="1">
        <v>4</v>
      </c>
      <c r="BU10" s="45" t="s">
        <v>140</v>
      </c>
      <c r="BV10" s="206"/>
      <c r="BW10" s="206"/>
      <c r="BX10" s="206"/>
      <c r="BY10" s="206"/>
      <c r="BZ10" s="206"/>
      <c r="CD10" s="1">
        <v>4</v>
      </c>
      <c r="CE10" s="45" t="s">
        <v>140</v>
      </c>
      <c r="CF10" s="206"/>
      <c r="CG10" s="206"/>
      <c r="CH10" s="206"/>
      <c r="CI10" s="206"/>
      <c r="CJ10" s="206"/>
      <c r="CN10" s="1">
        <v>4</v>
      </c>
      <c r="CO10" s="45" t="s">
        <v>140</v>
      </c>
      <c r="CP10" s="206"/>
      <c r="CQ10" s="206"/>
      <c r="CR10" s="206"/>
      <c r="CS10" s="206"/>
      <c r="CT10" s="206"/>
    </row>
    <row r="11" spans="2:98" x14ac:dyDescent="0.45">
      <c r="B11" s="1">
        <v>5</v>
      </c>
      <c r="C11" s="45" t="s">
        <v>142</v>
      </c>
      <c r="D11" s="206" t="s">
        <v>143</v>
      </c>
      <c r="E11" s="206"/>
      <c r="F11" s="206"/>
      <c r="G11" s="206"/>
      <c r="H11" s="206"/>
      <c r="L11" s="1">
        <v>5</v>
      </c>
      <c r="M11" s="45" t="s">
        <v>142</v>
      </c>
      <c r="N11" s="206" t="s">
        <v>143</v>
      </c>
      <c r="O11" s="206"/>
      <c r="P11" s="206"/>
      <c r="Q11" s="206"/>
      <c r="R11" s="206"/>
      <c r="V11" s="1">
        <v>5</v>
      </c>
      <c r="W11" s="45" t="s">
        <v>142</v>
      </c>
      <c r="X11" s="206"/>
      <c r="Y11" s="206"/>
      <c r="Z11" s="206"/>
      <c r="AA11" s="206"/>
      <c r="AB11" s="206"/>
      <c r="AF11" s="1">
        <v>5</v>
      </c>
      <c r="AG11" s="45" t="s">
        <v>142</v>
      </c>
      <c r="AH11" s="206"/>
      <c r="AI11" s="206"/>
      <c r="AJ11" s="206"/>
      <c r="AK11" s="206"/>
      <c r="AL11" s="206"/>
      <c r="AP11" s="1">
        <v>5</v>
      </c>
      <c r="AQ11" s="45" t="s">
        <v>142</v>
      </c>
      <c r="AR11" s="206"/>
      <c r="AS11" s="206"/>
      <c r="AT11" s="206"/>
      <c r="AU11" s="206"/>
      <c r="AV11" s="206"/>
      <c r="AZ11" s="1">
        <v>5</v>
      </c>
      <c r="BA11" s="45" t="s">
        <v>142</v>
      </c>
      <c r="BB11" s="206"/>
      <c r="BC11" s="206"/>
      <c r="BD11" s="206"/>
      <c r="BE11" s="206"/>
      <c r="BF11" s="206"/>
      <c r="BJ11" s="1">
        <v>5</v>
      </c>
      <c r="BK11" s="45" t="s">
        <v>142</v>
      </c>
      <c r="BL11" s="206"/>
      <c r="BM11" s="206"/>
      <c r="BN11" s="206"/>
      <c r="BO11" s="206"/>
      <c r="BP11" s="206"/>
      <c r="BT11" s="1">
        <v>5</v>
      </c>
      <c r="BU11" s="45" t="s">
        <v>142</v>
      </c>
      <c r="BV11" s="206"/>
      <c r="BW11" s="206"/>
      <c r="BX11" s="206"/>
      <c r="BY11" s="206"/>
      <c r="BZ11" s="206"/>
      <c r="CD11" s="1">
        <v>5</v>
      </c>
      <c r="CE11" s="45" t="s">
        <v>142</v>
      </c>
      <c r="CF11" s="206"/>
      <c r="CG11" s="206"/>
      <c r="CH11" s="206"/>
      <c r="CI11" s="206"/>
      <c r="CJ11" s="206"/>
      <c r="CN11" s="1">
        <v>5</v>
      </c>
      <c r="CO11" s="45" t="s">
        <v>142</v>
      </c>
      <c r="CP11" s="206"/>
      <c r="CQ11" s="206"/>
      <c r="CR11" s="206"/>
      <c r="CS11" s="206"/>
      <c r="CT11" s="206"/>
    </row>
    <row r="12" spans="2:98" x14ac:dyDescent="0.45">
      <c r="B12" s="1">
        <v>6</v>
      </c>
      <c r="C12" s="45" t="s">
        <v>144</v>
      </c>
      <c r="D12" s="206">
        <v>6</v>
      </c>
      <c r="E12" s="206"/>
      <c r="F12" s="206"/>
      <c r="G12" s="206"/>
      <c r="H12" s="206"/>
      <c r="L12" s="1">
        <v>6</v>
      </c>
      <c r="M12" s="45" t="s">
        <v>144</v>
      </c>
      <c r="N12" s="206">
        <v>3</v>
      </c>
      <c r="O12" s="206"/>
      <c r="P12" s="206"/>
      <c r="Q12" s="206"/>
      <c r="R12" s="206"/>
      <c r="V12" s="1">
        <v>6</v>
      </c>
      <c r="W12" s="45" t="s">
        <v>144</v>
      </c>
      <c r="X12" s="206"/>
      <c r="Y12" s="206"/>
      <c r="Z12" s="206"/>
      <c r="AA12" s="206"/>
      <c r="AB12" s="206"/>
      <c r="AF12" s="1">
        <v>6</v>
      </c>
      <c r="AG12" s="45" t="s">
        <v>144</v>
      </c>
      <c r="AH12" s="206"/>
      <c r="AI12" s="206"/>
      <c r="AJ12" s="206"/>
      <c r="AK12" s="206"/>
      <c r="AL12" s="206"/>
      <c r="AP12" s="1">
        <v>6</v>
      </c>
      <c r="AQ12" s="45" t="s">
        <v>144</v>
      </c>
      <c r="AR12" s="206"/>
      <c r="AS12" s="206"/>
      <c r="AT12" s="206"/>
      <c r="AU12" s="206"/>
      <c r="AV12" s="206"/>
      <c r="AZ12" s="1">
        <v>6</v>
      </c>
      <c r="BA12" s="45" t="s">
        <v>144</v>
      </c>
      <c r="BB12" s="206"/>
      <c r="BC12" s="206"/>
      <c r="BD12" s="206"/>
      <c r="BE12" s="206"/>
      <c r="BF12" s="206"/>
      <c r="BJ12" s="1">
        <v>6</v>
      </c>
      <c r="BK12" s="45" t="s">
        <v>144</v>
      </c>
      <c r="BL12" s="206"/>
      <c r="BM12" s="206"/>
      <c r="BN12" s="206"/>
      <c r="BO12" s="206"/>
      <c r="BP12" s="206"/>
      <c r="BT12" s="1">
        <v>6</v>
      </c>
      <c r="BU12" s="45" t="s">
        <v>144</v>
      </c>
      <c r="BV12" s="206"/>
      <c r="BW12" s="206"/>
      <c r="BX12" s="206"/>
      <c r="BY12" s="206"/>
      <c r="BZ12" s="206"/>
      <c r="CD12" s="1">
        <v>6</v>
      </c>
      <c r="CE12" s="45" t="s">
        <v>144</v>
      </c>
      <c r="CF12" s="206"/>
      <c r="CG12" s="206"/>
      <c r="CH12" s="206"/>
      <c r="CI12" s="206"/>
      <c r="CJ12" s="206"/>
      <c r="CN12" s="1">
        <v>6</v>
      </c>
      <c r="CO12" s="45" t="s">
        <v>144</v>
      </c>
      <c r="CP12" s="206"/>
      <c r="CQ12" s="206"/>
      <c r="CR12" s="206"/>
      <c r="CS12" s="206"/>
      <c r="CT12" s="206"/>
    </row>
    <row r="13" spans="2:98" ht="42.5" customHeight="1" x14ac:dyDescent="0.45">
      <c r="B13" s="1">
        <v>7</v>
      </c>
      <c r="C13" s="45" t="s">
        <v>145</v>
      </c>
      <c r="D13" s="220" t="s">
        <v>146</v>
      </c>
      <c r="E13" s="206"/>
      <c r="F13" s="206"/>
      <c r="G13" s="206"/>
      <c r="H13" s="206"/>
      <c r="L13" s="1">
        <v>7</v>
      </c>
      <c r="M13" s="45" t="s">
        <v>145</v>
      </c>
      <c r="N13" s="220" t="s">
        <v>147</v>
      </c>
      <c r="O13" s="206"/>
      <c r="P13" s="206"/>
      <c r="Q13" s="206"/>
      <c r="R13" s="206"/>
      <c r="V13" s="1">
        <v>7</v>
      </c>
      <c r="W13" s="45" t="s">
        <v>145</v>
      </c>
      <c r="X13" s="206"/>
      <c r="Y13" s="206"/>
      <c r="Z13" s="206"/>
      <c r="AA13" s="206"/>
      <c r="AB13" s="206"/>
      <c r="AF13" s="1">
        <v>7</v>
      </c>
      <c r="AG13" s="45" t="s">
        <v>145</v>
      </c>
      <c r="AH13" s="206"/>
      <c r="AI13" s="206"/>
      <c r="AJ13" s="206"/>
      <c r="AK13" s="206"/>
      <c r="AL13" s="206"/>
      <c r="AP13" s="1">
        <v>7</v>
      </c>
      <c r="AQ13" s="45" t="s">
        <v>145</v>
      </c>
      <c r="AR13" s="206"/>
      <c r="AS13" s="206"/>
      <c r="AT13" s="206"/>
      <c r="AU13" s="206"/>
      <c r="AV13" s="206"/>
      <c r="AZ13" s="1">
        <v>7</v>
      </c>
      <c r="BA13" s="45" t="s">
        <v>145</v>
      </c>
      <c r="BB13" s="206"/>
      <c r="BC13" s="206"/>
      <c r="BD13" s="206"/>
      <c r="BE13" s="206"/>
      <c r="BF13" s="206"/>
      <c r="BJ13" s="1">
        <v>7</v>
      </c>
      <c r="BK13" s="45" t="s">
        <v>145</v>
      </c>
      <c r="BL13" s="206"/>
      <c r="BM13" s="206"/>
      <c r="BN13" s="206"/>
      <c r="BO13" s="206"/>
      <c r="BP13" s="206"/>
      <c r="BT13" s="1">
        <v>7</v>
      </c>
      <c r="BU13" s="45" t="s">
        <v>145</v>
      </c>
      <c r="BV13" s="206"/>
      <c r="BW13" s="206"/>
      <c r="BX13" s="206"/>
      <c r="BY13" s="206"/>
      <c r="BZ13" s="206"/>
      <c r="CD13" s="1">
        <v>7</v>
      </c>
      <c r="CE13" s="45" t="s">
        <v>145</v>
      </c>
      <c r="CF13" s="206"/>
      <c r="CG13" s="206"/>
      <c r="CH13" s="206"/>
      <c r="CI13" s="206"/>
      <c r="CJ13" s="206"/>
      <c r="CN13" s="1">
        <v>7</v>
      </c>
      <c r="CO13" s="45" t="s">
        <v>145</v>
      </c>
      <c r="CP13" s="206"/>
      <c r="CQ13" s="206"/>
      <c r="CR13" s="206"/>
      <c r="CS13" s="206"/>
      <c r="CT13" s="206"/>
    </row>
    <row r="14" spans="2:98" ht="57" x14ac:dyDescent="0.45">
      <c r="B14" s="1">
        <v>8</v>
      </c>
      <c r="C14" s="46" t="s">
        <v>148</v>
      </c>
      <c r="D14" s="220" t="s">
        <v>149</v>
      </c>
      <c r="E14" s="206"/>
      <c r="F14" s="206"/>
      <c r="G14" s="206"/>
      <c r="H14" s="206"/>
      <c r="L14" s="1">
        <v>8</v>
      </c>
      <c r="M14" s="46" t="s">
        <v>148</v>
      </c>
      <c r="N14" s="220" t="s">
        <v>150</v>
      </c>
      <c r="O14" s="206"/>
      <c r="P14" s="206"/>
      <c r="Q14" s="206"/>
      <c r="R14" s="206"/>
      <c r="V14" s="1">
        <v>8</v>
      </c>
      <c r="W14" s="46" t="s">
        <v>148</v>
      </c>
      <c r="X14" s="206"/>
      <c r="Y14" s="206"/>
      <c r="Z14" s="206"/>
      <c r="AA14" s="206"/>
      <c r="AB14" s="206"/>
      <c r="AF14" s="1">
        <v>8</v>
      </c>
      <c r="AG14" s="46" t="s">
        <v>148</v>
      </c>
      <c r="AH14" s="206"/>
      <c r="AI14" s="206"/>
      <c r="AJ14" s="206"/>
      <c r="AK14" s="206"/>
      <c r="AL14" s="206"/>
      <c r="AP14" s="1">
        <v>8</v>
      </c>
      <c r="AQ14" s="46" t="s">
        <v>148</v>
      </c>
      <c r="AR14" s="206"/>
      <c r="AS14" s="206"/>
      <c r="AT14" s="206"/>
      <c r="AU14" s="206"/>
      <c r="AV14" s="206"/>
      <c r="AZ14" s="1">
        <v>8</v>
      </c>
      <c r="BA14" s="46" t="s">
        <v>148</v>
      </c>
      <c r="BB14" s="206"/>
      <c r="BC14" s="206"/>
      <c r="BD14" s="206"/>
      <c r="BE14" s="206"/>
      <c r="BF14" s="206"/>
      <c r="BJ14" s="1">
        <v>8</v>
      </c>
      <c r="BK14" s="46" t="s">
        <v>148</v>
      </c>
      <c r="BL14" s="206"/>
      <c r="BM14" s="206"/>
      <c r="BN14" s="206"/>
      <c r="BO14" s="206"/>
      <c r="BP14" s="206"/>
      <c r="BT14" s="1">
        <v>8</v>
      </c>
      <c r="BU14" s="46" t="s">
        <v>148</v>
      </c>
      <c r="BV14" s="206"/>
      <c r="BW14" s="206"/>
      <c r="BX14" s="206"/>
      <c r="BY14" s="206"/>
      <c r="BZ14" s="206"/>
      <c r="CD14" s="1">
        <v>8</v>
      </c>
      <c r="CE14" s="46" t="s">
        <v>148</v>
      </c>
      <c r="CF14" s="206"/>
      <c r="CG14" s="206"/>
      <c r="CH14" s="206"/>
      <c r="CI14" s="206"/>
      <c r="CJ14" s="206"/>
      <c r="CN14" s="1">
        <v>8</v>
      </c>
      <c r="CO14" s="46" t="s">
        <v>148</v>
      </c>
      <c r="CP14" s="206"/>
      <c r="CQ14" s="206"/>
      <c r="CR14" s="206"/>
      <c r="CS14" s="206"/>
      <c r="CT14" s="206"/>
    </row>
    <row r="15" spans="2:98" x14ac:dyDescent="0.45">
      <c r="B15" s="1">
        <f>B14+1</f>
        <v>9</v>
      </c>
      <c r="C15" s="46" t="s">
        <v>151</v>
      </c>
      <c r="D15" s="206" t="s">
        <v>29</v>
      </c>
      <c r="E15" s="206"/>
      <c r="F15" s="206"/>
      <c r="G15" s="206"/>
      <c r="H15" s="206"/>
      <c r="L15" s="1">
        <f>L14+1</f>
        <v>9</v>
      </c>
      <c r="M15" s="46" t="s">
        <v>151</v>
      </c>
      <c r="N15" s="206" t="s">
        <v>29</v>
      </c>
      <c r="O15" s="206"/>
      <c r="P15" s="206"/>
      <c r="Q15" s="206"/>
      <c r="R15" s="206"/>
      <c r="V15" s="1">
        <f>V14+1</f>
        <v>9</v>
      </c>
      <c r="W15" s="46" t="s">
        <v>151</v>
      </c>
      <c r="X15" s="206"/>
      <c r="Y15" s="206"/>
      <c r="Z15" s="206"/>
      <c r="AA15" s="206"/>
      <c r="AB15" s="206"/>
      <c r="AF15" s="1">
        <f>AF14+1</f>
        <v>9</v>
      </c>
      <c r="AG15" s="46" t="s">
        <v>151</v>
      </c>
      <c r="AH15" s="206"/>
      <c r="AI15" s="206"/>
      <c r="AJ15" s="206"/>
      <c r="AK15" s="206"/>
      <c r="AL15" s="206"/>
      <c r="AP15" s="1">
        <f>AP14+1</f>
        <v>9</v>
      </c>
      <c r="AQ15" s="46" t="s">
        <v>151</v>
      </c>
      <c r="AR15" s="206"/>
      <c r="AS15" s="206"/>
      <c r="AT15" s="206"/>
      <c r="AU15" s="206"/>
      <c r="AV15" s="206"/>
      <c r="AZ15" s="1">
        <f>AZ14+1</f>
        <v>9</v>
      </c>
      <c r="BA15" s="46" t="s">
        <v>151</v>
      </c>
      <c r="BB15" s="206"/>
      <c r="BC15" s="206"/>
      <c r="BD15" s="206"/>
      <c r="BE15" s="206"/>
      <c r="BF15" s="206"/>
      <c r="BJ15" s="1">
        <f>BJ14+1</f>
        <v>9</v>
      </c>
      <c r="BK15" s="46" t="s">
        <v>151</v>
      </c>
      <c r="BL15" s="206"/>
      <c r="BM15" s="206"/>
      <c r="BN15" s="206"/>
      <c r="BO15" s="206"/>
      <c r="BP15" s="206"/>
      <c r="BT15" s="1">
        <f>BT14+1</f>
        <v>9</v>
      </c>
      <c r="BU15" s="46" t="s">
        <v>151</v>
      </c>
      <c r="BV15" s="206"/>
      <c r="BW15" s="206"/>
      <c r="BX15" s="206"/>
      <c r="BY15" s="206"/>
      <c r="BZ15" s="206"/>
      <c r="CD15" s="1">
        <f>CD14+1</f>
        <v>9</v>
      </c>
      <c r="CE15" s="46" t="s">
        <v>151</v>
      </c>
      <c r="CF15" s="206"/>
      <c r="CG15" s="206"/>
      <c r="CH15" s="206"/>
      <c r="CI15" s="206"/>
      <c r="CJ15" s="206"/>
      <c r="CN15" s="1">
        <f>CN14+1</f>
        <v>9</v>
      </c>
      <c r="CO15" s="46" t="s">
        <v>151</v>
      </c>
      <c r="CP15" s="206"/>
      <c r="CQ15" s="206"/>
      <c r="CR15" s="206"/>
      <c r="CS15" s="206"/>
      <c r="CT15" s="206"/>
    </row>
    <row r="16" spans="2:98" x14ac:dyDescent="0.45">
      <c r="B16" s="1">
        <f t="shared" ref="B16:B19" si="0">B15+1</f>
        <v>10</v>
      </c>
      <c r="C16" s="45" t="s">
        <v>152</v>
      </c>
      <c r="D16" s="220" t="s">
        <v>153</v>
      </c>
      <c r="E16" s="206"/>
      <c r="F16" s="206"/>
      <c r="G16" s="206"/>
      <c r="H16" s="206"/>
      <c r="L16" s="1">
        <f t="shared" ref="L16:L19" si="1">L15+1</f>
        <v>10</v>
      </c>
      <c r="M16" s="45" t="s">
        <v>152</v>
      </c>
      <c r="N16" s="220" t="s">
        <v>392</v>
      </c>
      <c r="O16" s="206"/>
      <c r="P16" s="206"/>
      <c r="Q16" s="206"/>
      <c r="R16" s="206"/>
      <c r="V16" s="1">
        <f t="shared" ref="V16:V19" si="2">V15+1</f>
        <v>10</v>
      </c>
      <c r="W16" s="45" t="s">
        <v>152</v>
      </c>
      <c r="X16" s="206"/>
      <c r="Y16" s="206"/>
      <c r="Z16" s="206"/>
      <c r="AA16" s="206"/>
      <c r="AB16" s="206"/>
      <c r="AF16" s="1">
        <f t="shared" ref="AF16:AF19" si="3">AF15+1</f>
        <v>10</v>
      </c>
      <c r="AG16" s="45" t="s">
        <v>152</v>
      </c>
      <c r="AH16" s="206"/>
      <c r="AI16" s="206"/>
      <c r="AJ16" s="206"/>
      <c r="AK16" s="206"/>
      <c r="AL16" s="206"/>
      <c r="AP16" s="1">
        <f t="shared" ref="AP16:AP19" si="4">AP15+1</f>
        <v>10</v>
      </c>
      <c r="AQ16" s="45" t="s">
        <v>152</v>
      </c>
      <c r="AR16" s="206"/>
      <c r="AS16" s="206"/>
      <c r="AT16" s="206"/>
      <c r="AU16" s="206"/>
      <c r="AV16" s="206"/>
      <c r="AZ16" s="1">
        <f t="shared" ref="AZ16:AZ19" si="5">AZ15+1</f>
        <v>10</v>
      </c>
      <c r="BA16" s="45" t="s">
        <v>152</v>
      </c>
      <c r="BB16" s="206"/>
      <c r="BC16" s="206"/>
      <c r="BD16" s="206"/>
      <c r="BE16" s="206"/>
      <c r="BF16" s="206"/>
      <c r="BJ16" s="1">
        <f t="shared" ref="BJ16:BJ19" si="6">BJ15+1</f>
        <v>10</v>
      </c>
      <c r="BK16" s="45" t="s">
        <v>152</v>
      </c>
      <c r="BL16" s="206"/>
      <c r="BM16" s="206"/>
      <c r="BN16" s="206"/>
      <c r="BO16" s="206"/>
      <c r="BP16" s="206"/>
      <c r="BT16" s="1">
        <f t="shared" ref="BT16:BT19" si="7">BT15+1</f>
        <v>10</v>
      </c>
      <c r="BU16" s="45" t="s">
        <v>152</v>
      </c>
      <c r="BV16" s="206"/>
      <c r="BW16" s="206"/>
      <c r="BX16" s="206"/>
      <c r="BY16" s="206"/>
      <c r="BZ16" s="206"/>
      <c r="CD16" s="1">
        <f t="shared" ref="CD16:CD19" si="8">CD15+1</f>
        <v>10</v>
      </c>
      <c r="CE16" s="45" t="s">
        <v>152</v>
      </c>
      <c r="CF16" s="206"/>
      <c r="CG16" s="206"/>
      <c r="CH16" s="206"/>
      <c r="CI16" s="206"/>
      <c r="CJ16" s="206"/>
      <c r="CN16" s="1">
        <f t="shared" ref="CN16:CN19" si="9">CN15+1</f>
        <v>10</v>
      </c>
      <c r="CO16" s="45" t="s">
        <v>152</v>
      </c>
      <c r="CP16" s="206"/>
      <c r="CQ16" s="206"/>
      <c r="CR16" s="206"/>
      <c r="CS16" s="206"/>
      <c r="CT16" s="206"/>
    </row>
    <row r="17" spans="2:98" x14ac:dyDescent="0.45">
      <c r="B17" s="1">
        <f t="shared" si="0"/>
        <v>11</v>
      </c>
      <c r="C17" s="45" t="s">
        <v>154</v>
      </c>
      <c r="D17" s="206" t="s">
        <v>155</v>
      </c>
      <c r="E17" s="206"/>
      <c r="F17" s="206"/>
      <c r="G17" s="206"/>
      <c r="H17" s="206"/>
      <c r="L17" s="1">
        <f t="shared" si="1"/>
        <v>11</v>
      </c>
      <c r="M17" s="45" t="s">
        <v>154</v>
      </c>
      <c r="N17" s="206" t="s">
        <v>156</v>
      </c>
      <c r="O17" s="206"/>
      <c r="P17" s="206"/>
      <c r="Q17" s="206"/>
      <c r="R17" s="206"/>
      <c r="V17" s="1">
        <f t="shared" si="2"/>
        <v>11</v>
      </c>
      <c r="W17" s="45" t="s">
        <v>154</v>
      </c>
      <c r="X17" s="206"/>
      <c r="Y17" s="206"/>
      <c r="Z17" s="206"/>
      <c r="AA17" s="206"/>
      <c r="AB17" s="206"/>
      <c r="AF17" s="1">
        <f t="shared" si="3"/>
        <v>11</v>
      </c>
      <c r="AG17" s="45" t="s">
        <v>154</v>
      </c>
      <c r="AH17" s="206"/>
      <c r="AI17" s="206"/>
      <c r="AJ17" s="206"/>
      <c r="AK17" s="206"/>
      <c r="AL17" s="206"/>
      <c r="AP17" s="1">
        <f t="shared" si="4"/>
        <v>11</v>
      </c>
      <c r="AQ17" s="45" t="s">
        <v>154</v>
      </c>
      <c r="AR17" s="206"/>
      <c r="AS17" s="206"/>
      <c r="AT17" s="206"/>
      <c r="AU17" s="206"/>
      <c r="AV17" s="206"/>
      <c r="AZ17" s="1">
        <f t="shared" si="5"/>
        <v>11</v>
      </c>
      <c r="BA17" s="45" t="s">
        <v>154</v>
      </c>
      <c r="BB17" s="206"/>
      <c r="BC17" s="206"/>
      <c r="BD17" s="206"/>
      <c r="BE17" s="206"/>
      <c r="BF17" s="206"/>
      <c r="BJ17" s="1">
        <f t="shared" si="6"/>
        <v>11</v>
      </c>
      <c r="BK17" s="45" t="s">
        <v>154</v>
      </c>
      <c r="BL17" s="206"/>
      <c r="BM17" s="206"/>
      <c r="BN17" s="206"/>
      <c r="BO17" s="206"/>
      <c r="BP17" s="206"/>
      <c r="BT17" s="1">
        <f t="shared" si="7"/>
        <v>11</v>
      </c>
      <c r="BU17" s="45" t="s">
        <v>154</v>
      </c>
      <c r="BV17" s="206"/>
      <c r="BW17" s="206"/>
      <c r="BX17" s="206"/>
      <c r="BY17" s="206"/>
      <c r="BZ17" s="206"/>
      <c r="CD17" s="1">
        <f t="shared" si="8"/>
        <v>11</v>
      </c>
      <c r="CE17" s="45" t="s">
        <v>154</v>
      </c>
      <c r="CF17" s="206"/>
      <c r="CG17" s="206"/>
      <c r="CH17" s="206"/>
      <c r="CI17" s="206"/>
      <c r="CJ17" s="206"/>
      <c r="CN17" s="1">
        <f t="shared" si="9"/>
        <v>11</v>
      </c>
      <c r="CO17" s="45" t="s">
        <v>154</v>
      </c>
      <c r="CP17" s="206"/>
      <c r="CQ17" s="206"/>
      <c r="CR17" s="206"/>
      <c r="CS17" s="206"/>
      <c r="CT17" s="206"/>
    </row>
    <row r="18" spans="2:98" ht="14.75" customHeight="1" x14ac:dyDescent="0.45">
      <c r="B18" s="1">
        <f t="shared" si="0"/>
        <v>12</v>
      </c>
      <c r="C18" s="45" t="s">
        <v>157</v>
      </c>
      <c r="D18" s="208">
        <v>0.60580000000000001</v>
      </c>
      <c r="E18" s="206"/>
      <c r="F18" s="206"/>
      <c r="G18" s="206"/>
      <c r="H18" s="206"/>
      <c r="L18" s="1">
        <f t="shared" si="1"/>
        <v>12</v>
      </c>
      <c r="M18" s="45" t="s">
        <v>157</v>
      </c>
      <c r="N18" s="208">
        <v>0.79700000000000004</v>
      </c>
      <c r="O18" s="206"/>
      <c r="P18" s="206"/>
      <c r="Q18" s="206"/>
      <c r="R18" s="206"/>
      <c r="V18" s="1">
        <f t="shared" si="2"/>
        <v>12</v>
      </c>
      <c r="W18" s="45" t="s">
        <v>157</v>
      </c>
      <c r="X18" s="206"/>
      <c r="Y18" s="206"/>
      <c r="Z18" s="206"/>
      <c r="AA18" s="206"/>
      <c r="AB18" s="206"/>
      <c r="AF18" s="1">
        <f t="shared" si="3"/>
        <v>12</v>
      </c>
      <c r="AG18" s="45" t="s">
        <v>157</v>
      </c>
      <c r="AH18" s="206"/>
      <c r="AI18" s="206"/>
      <c r="AJ18" s="206"/>
      <c r="AK18" s="206"/>
      <c r="AL18" s="206"/>
      <c r="AP18" s="1">
        <f t="shared" si="4"/>
        <v>12</v>
      </c>
      <c r="AQ18" s="45" t="s">
        <v>157</v>
      </c>
      <c r="AR18" s="206"/>
      <c r="AS18" s="206"/>
      <c r="AT18" s="206"/>
      <c r="AU18" s="206"/>
      <c r="AV18" s="206"/>
      <c r="AZ18" s="1">
        <f t="shared" si="5"/>
        <v>12</v>
      </c>
      <c r="BA18" s="45" t="s">
        <v>157</v>
      </c>
      <c r="BB18" s="206"/>
      <c r="BC18" s="206"/>
      <c r="BD18" s="206"/>
      <c r="BE18" s="206"/>
      <c r="BF18" s="206"/>
      <c r="BJ18" s="1">
        <f t="shared" si="6"/>
        <v>12</v>
      </c>
      <c r="BK18" s="45" t="s">
        <v>157</v>
      </c>
      <c r="BL18" s="206"/>
      <c r="BM18" s="206"/>
      <c r="BN18" s="206"/>
      <c r="BO18" s="206"/>
      <c r="BP18" s="206"/>
      <c r="BT18" s="1">
        <f t="shared" si="7"/>
        <v>12</v>
      </c>
      <c r="BU18" s="45" t="s">
        <v>157</v>
      </c>
      <c r="BV18" s="206"/>
      <c r="BW18" s="206"/>
      <c r="BX18" s="206"/>
      <c r="BY18" s="206"/>
      <c r="BZ18" s="206"/>
      <c r="CD18" s="1">
        <f t="shared" si="8"/>
        <v>12</v>
      </c>
      <c r="CE18" s="45" t="s">
        <v>157</v>
      </c>
      <c r="CF18" s="206"/>
      <c r="CG18" s="206"/>
      <c r="CH18" s="206"/>
      <c r="CI18" s="206"/>
      <c r="CJ18" s="206"/>
      <c r="CN18" s="1">
        <f t="shared" si="9"/>
        <v>12</v>
      </c>
      <c r="CO18" s="45" t="s">
        <v>157</v>
      </c>
      <c r="CP18" s="206"/>
      <c r="CQ18" s="206"/>
      <c r="CR18" s="206"/>
      <c r="CS18" s="206"/>
      <c r="CT18" s="206"/>
    </row>
    <row r="19" spans="2:98" ht="112.25" customHeight="1" x14ac:dyDescent="0.45">
      <c r="B19" s="1">
        <f t="shared" si="0"/>
        <v>13</v>
      </c>
      <c r="C19" s="45" t="s">
        <v>158</v>
      </c>
      <c r="D19" s="220" t="s">
        <v>159</v>
      </c>
      <c r="E19" s="206"/>
      <c r="F19" s="206"/>
      <c r="G19" s="206"/>
      <c r="H19" s="206"/>
      <c r="L19" s="1">
        <f t="shared" si="1"/>
        <v>13</v>
      </c>
      <c r="M19" s="45" t="s">
        <v>158</v>
      </c>
      <c r="N19" s="220" t="s">
        <v>160</v>
      </c>
      <c r="O19" s="206"/>
      <c r="P19" s="206"/>
      <c r="Q19" s="206"/>
      <c r="R19" s="206"/>
      <c r="V19" s="1">
        <f t="shared" si="2"/>
        <v>13</v>
      </c>
      <c r="W19" s="45" t="s">
        <v>158</v>
      </c>
      <c r="X19" s="206"/>
      <c r="Y19" s="206"/>
      <c r="Z19" s="206"/>
      <c r="AA19" s="206"/>
      <c r="AB19" s="206"/>
      <c r="AF19" s="1">
        <f t="shared" si="3"/>
        <v>13</v>
      </c>
      <c r="AG19" s="45" t="s">
        <v>158</v>
      </c>
      <c r="AH19" s="206"/>
      <c r="AI19" s="206"/>
      <c r="AJ19" s="206"/>
      <c r="AK19" s="206"/>
      <c r="AL19" s="206"/>
      <c r="AP19" s="1">
        <f t="shared" si="4"/>
        <v>13</v>
      </c>
      <c r="AQ19" s="45" t="s">
        <v>158</v>
      </c>
      <c r="AR19" s="206"/>
      <c r="AS19" s="206"/>
      <c r="AT19" s="206"/>
      <c r="AU19" s="206"/>
      <c r="AV19" s="206"/>
      <c r="AZ19" s="1">
        <f t="shared" si="5"/>
        <v>13</v>
      </c>
      <c r="BA19" s="45" t="s">
        <v>158</v>
      </c>
      <c r="BB19" s="206"/>
      <c r="BC19" s="206"/>
      <c r="BD19" s="206"/>
      <c r="BE19" s="206"/>
      <c r="BF19" s="206"/>
      <c r="BJ19" s="1">
        <f t="shared" si="6"/>
        <v>13</v>
      </c>
      <c r="BK19" s="45" t="s">
        <v>158</v>
      </c>
      <c r="BL19" s="206"/>
      <c r="BM19" s="206"/>
      <c r="BN19" s="206"/>
      <c r="BO19" s="206"/>
      <c r="BP19" s="206"/>
      <c r="BT19" s="1">
        <f t="shared" si="7"/>
        <v>13</v>
      </c>
      <c r="BU19" s="45" t="s">
        <v>158</v>
      </c>
      <c r="BV19" s="206"/>
      <c r="BW19" s="206"/>
      <c r="BX19" s="206"/>
      <c r="BY19" s="206"/>
      <c r="BZ19" s="206"/>
      <c r="CD19" s="1">
        <f t="shared" si="8"/>
        <v>13</v>
      </c>
      <c r="CE19" s="45" t="s">
        <v>158</v>
      </c>
      <c r="CF19" s="206"/>
      <c r="CG19" s="206"/>
      <c r="CH19" s="206"/>
      <c r="CI19" s="206"/>
      <c r="CJ19" s="206"/>
      <c r="CN19" s="1">
        <f t="shared" si="9"/>
        <v>13</v>
      </c>
      <c r="CO19" s="45" t="s">
        <v>158</v>
      </c>
      <c r="CP19" s="206"/>
      <c r="CQ19" s="206"/>
      <c r="CR19" s="206"/>
      <c r="CS19" s="206"/>
      <c r="CT19" s="206"/>
    </row>
    <row r="21" spans="2:98" ht="15" customHeight="1" x14ac:dyDescent="0.45">
      <c r="B21" s="207" t="s">
        <v>161</v>
      </c>
      <c r="C21" s="207"/>
      <c r="D21" s="167" t="s">
        <v>3</v>
      </c>
      <c r="E21" s="168"/>
      <c r="F21" s="168"/>
      <c r="G21" s="6" t="s">
        <v>7</v>
      </c>
      <c r="H21" s="43">
        <f>COUNTA(D22:H29)/ROWS(D22:H29)</f>
        <v>1</v>
      </c>
      <c r="L21" s="207" t="s">
        <v>161</v>
      </c>
      <c r="M21" s="207"/>
      <c r="N21" s="167" t="s">
        <v>3</v>
      </c>
      <c r="O21" s="168"/>
      <c r="P21" s="168"/>
      <c r="Q21" s="6" t="s">
        <v>7</v>
      </c>
      <c r="R21" s="43">
        <f>COUNTA(N22:R29)/ROWS(N22:R29)</f>
        <v>1</v>
      </c>
      <c r="V21" s="207" t="s">
        <v>161</v>
      </c>
      <c r="W21" s="207"/>
      <c r="X21" s="167" t="s">
        <v>3</v>
      </c>
      <c r="Y21" s="168"/>
      <c r="Z21" s="168"/>
      <c r="AA21" s="6" t="s">
        <v>7</v>
      </c>
      <c r="AB21" s="43">
        <f>COUNTA(X22:AB29)/ROWS(X22:AB29)</f>
        <v>0</v>
      </c>
      <c r="AF21" s="207" t="s">
        <v>161</v>
      </c>
      <c r="AG21" s="207"/>
      <c r="AH21" s="167" t="s">
        <v>3</v>
      </c>
      <c r="AI21" s="168"/>
      <c r="AJ21" s="168"/>
      <c r="AK21" s="6" t="s">
        <v>7</v>
      </c>
      <c r="AL21" s="43">
        <f>COUNTA(AH22:AL29)/ROWS(AH22:AL29)</f>
        <v>0</v>
      </c>
      <c r="AP21" s="207" t="s">
        <v>161</v>
      </c>
      <c r="AQ21" s="207"/>
      <c r="AR21" s="167" t="s">
        <v>3</v>
      </c>
      <c r="AS21" s="168"/>
      <c r="AT21" s="168"/>
      <c r="AU21" s="6" t="s">
        <v>7</v>
      </c>
      <c r="AV21" s="43">
        <f>COUNTA(AR22:AV29)/ROWS(AR22:AV29)</f>
        <v>0</v>
      </c>
      <c r="AZ21" s="207" t="s">
        <v>161</v>
      </c>
      <c r="BA21" s="207"/>
      <c r="BB21" s="167" t="s">
        <v>3</v>
      </c>
      <c r="BC21" s="168"/>
      <c r="BD21" s="168"/>
      <c r="BE21" s="6" t="s">
        <v>7</v>
      </c>
      <c r="BF21" s="43">
        <f>COUNTA(BB22:BF29)/ROWS(BB22:BF29)</f>
        <v>0</v>
      </c>
      <c r="BJ21" s="207" t="s">
        <v>161</v>
      </c>
      <c r="BK21" s="207"/>
      <c r="BL21" s="167" t="s">
        <v>3</v>
      </c>
      <c r="BM21" s="168"/>
      <c r="BN21" s="168"/>
      <c r="BO21" s="6" t="s">
        <v>7</v>
      </c>
      <c r="BP21" s="43">
        <f>COUNTA(BL22:BP29)/ROWS(BL22:BP29)</f>
        <v>0</v>
      </c>
      <c r="BT21" s="207" t="s">
        <v>161</v>
      </c>
      <c r="BU21" s="207"/>
      <c r="BV21" s="167" t="s">
        <v>3</v>
      </c>
      <c r="BW21" s="168"/>
      <c r="BX21" s="168"/>
      <c r="BY21" s="6" t="s">
        <v>7</v>
      </c>
      <c r="BZ21" s="43">
        <f>COUNTA(BV22:BZ29)/ROWS(BV22:BZ29)</f>
        <v>0</v>
      </c>
      <c r="CD21" s="207" t="s">
        <v>161</v>
      </c>
      <c r="CE21" s="207"/>
      <c r="CF21" s="167" t="s">
        <v>3</v>
      </c>
      <c r="CG21" s="168"/>
      <c r="CH21" s="168"/>
      <c r="CI21" s="6" t="s">
        <v>7</v>
      </c>
      <c r="CJ21" s="43">
        <f>COUNTA(CF22:CJ29)/ROWS(CF22:CJ29)</f>
        <v>0</v>
      </c>
      <c r="CN21" s="207" t="s">
        <v>161</v>
      </c>
      <c r="CO21" s="207"/>
      <c r="CP21" s="167" t="s">
        <v>3</v>
      </c>
      <c r="CQ21" s="168"/>
      <c r="CR21" s="168"/>
      <c r="CS21" s="6" t="s">
        <v>7</v>
      </c>
      <c r="CT21" s="43">
        <f>COUNTA(CP22:CT29)/ROWS(CP22:CT29)</f>
        <v>0</v>
      </c>
    </row>
    <row r="22" spans="2:98" x14ac:dyDescent="0.45">
      <c r="B22" s="1">
        <v>1</v>
      </c>
      <c r="C22" s="46" t="s">
        <v>162</v>
      </c>
      <c r="D22" s="206" t="s">
        <v>51</v>
      </c>
      <c r="E22" s="206"/>
      <c r="F22" s="206"/>
      <c r="G22" s="206"/>
      <c r="H22" s="206"/>
      <c r="L22" s="1">
        <v>1</v>
      </c>
      <c r="M22" s="46" t="s">
        <v>162</v>
      </c>
      <c r="N22" s="206" t="s">
        <v>51</v>
      </c>
      <c r="O22" s="206"/>
      <c r="P22" s="206"/>
      <c r="Q22" s="206"/>
      <c r="R22" s="206"/>
      <c r="V22" s="1">
        <v>1</v>
      </c>
      <c r="W22" s="46" t="s">
        <v>162</v>
      </c>
      <c r="X22" s="206"/>
      <c r="Y22" s="206"/>
      <c r="Z22" s="206"/>
      <c r="AA22" s="206"/>
      <c r="AB22" s="206"/>
      <c r="AF22" s="1">
        <v>1</v>
      </c>
      <c r="AG22" s="46" t="s">
        <v>162</v>
      </c>
      <c r="AH22" s="206"/>
      <c r="AI22" s="206"/>
      <c r="AJ22" s="206"/>
      <c r="AK22" s="206"/>
      <c r="AL22" s="206"/>
      <c r="AP22" s="1">
        <v>1</v>
      </c>
      <c r="AQ22" s="46" t="s">
        <v>162</v>
      </c>
      <c r="AR22" s="206"/>
      <c r="AS22" s="206"/>
      <c r="AT22" s="206"/>
      <c r="AU22" s="206"/>
      <c r="AV22" s="206"/>
      <c r="AZ22" s="1">
        <v>1</v>
      </c>
      <c r="BA22" s="46" t="s">
        <v>162</v>
      </c>
      <c r="BB22" s="206"/>
      <c r="BC22" s="206"/>
      <c r="BD22" s="206"/>
      <c r="BE22" s="206"/>
      <c r="BF22" s="206"/>
      <c r="BJ22" s="1">
        <v>1</v>
      </c>
      <c r="BK22" s="46" t="s">
        <v>162</v>
      </c>
      <c r="BL22" s="206"/>
      <c r="BM22" s="206"/>
      <c r="BN22" s="206"/>
      <c r="BO22" s="206"/>
      <c r="BP22" s="206"/>
      <c r="BT22" s="1">
        <v>1</v>
      </c>
      <c r="BU22" s="46" t="s">
        <v>162</v>
      </c>
      <c r="BV22" s="206"/>
      <c r="BW22" s="206"/>
      <c r="BX22" s="206"/>
      <c r="BY22" s="206"/>
      <c r="BZ22" s="206"/>
      <c r="CD22" s="1">
        <v>1</v>
      </c>
      <c r="CE22" s="46" t="s">
        <v>162</v>
      </c>
      <c r="CF22" s="206"/>
      <c r="CG22" s="206"/>
      <c r="CH22" s="206"/>
      <c r="CI22" s="206"/>
      <c r="CJ22" s="206"/>
      <c r="CN22" s="1">
        <v>1</v>
      </c>
      <c r="CO22" s="46" t="s">
        <v>162</v>
      </c>
      <c r="CP22" s="206"/>
      <c r="CQ22" s="206"/>
      <c r="CR22" s="206"/>
      <c r="CS22" s="206"/>
      <c r="CT22" s="206"/>
    </row>
    <row r="23" spans="2:98" x14ac:dyDescent="0.45">
      <c r="B23" s="1">
        <v>2</v>
      </c>
      <c r="C23" s="46" t="s">
        <v>163</v>
      </c>
      <c r="D23" s="206" t="s">
        <v>29</v>
      </c>
      <c r="E23" s="206"/>
      <c r="F23" s="206"/>
      <c r="G23" s="206"/>
      <c r="H23" s="206"/>
      <c r="L23" s="1">
        <v>2</v>
      </c>
      <c r="M23" s="46" t="s">
        <v>163</v>
      </c>
      <c r="N23" s="206" t="s">
        <v>29</v>
      </c>
      <c r="O23" s="206"/>
      <c r="P23" s="206"/>
      <c r="Q23" s="206"/>
      <c r="R23" s="206"/>
      <c r="V23" s="1">
        <v>2</v>
      </c>
      <c r="W23" s="46" t="s">
        <v>163</v>
      </c>
      <c r="X23" s="206"/>
      <c r="Y23" s="206"/>
      <c r="Z23" s="206"/>
      <c r="AA23" s="206"/>
      <c r="AB23" s="206"/>
      <c r="AF23" s="1">
        <v>2</v>
      </c>
      <c r="AG23" s="46" t="s">
        <v>163</v>
      </c>
      <c r="AH23" s="206"/>
      <c r="AI23" s="206"/>
      <c r="AJ23" s="206"/>
      <c r="AK23" s="206"/>
      <c r="AL23" s="206"/>
      <c r="AP23" s="1">
        <v>2</v>
      </c>
      <c r="AQ23" s="46" t="s">
        <v>163</v>
      </c>
      <c r="AR23" s="206"/>
      <c r="AS23" s="206"/>
      <c r="AT23" s="206"/>
      <c r="AU23" s="206"/>
      <c r="AV23" s="206"/>
      <c r="AZ23" s="1">
        <v>2</v>
      </c>
      <c r="BA23" s="46" t="s">
        <v>163</v>
      </c>
      <c r="BB23" s="206"/>
      <c r="BC23" s="206"/>
      <c r="BD23" s="206"/>
      <c r="BE23" s="206"/>
      <c r="BF23" s="206"/>
      <c r="BJ23" s="1">
        <v>2</v>
      </c>
      <c r="BK23" s="46" t="s">
        <v>163</v>
      </c>
      <c r="BL23" s="206"/>
      <c r="BM23" s="206"/>
      <c r="BN23" s="206"/>
      <c r="BO23" s="206"/>
      <c r="BP23" s="206"/>
      <c r="BT23" s="1">
        <v>2</v>
      </c>
      <c r="BU23" s="46" t="s">
        <v>163</v>
      </c>
      <c r="BV23" s="206"/>
      <c r="BW23" s="206"/>
      <c r="BX23" s="206"/>
      <c r="BY23" s="206"/>
      <c r="BZ23" s="206"/>
      <c r="CD23" s="1">
        <v>2</v>
      </c>
      <c r="CE23" s="46" t="s">
        <v>163</v>
      </c>
      <c r="CF23" s="206"/>
      <c r="CG23" s="206"/>
      <c r="CH23" s="206"/>
      <c r="CI23" s="206"/>
      <c r="CJ23" s="206"/>
      <c r="CN23" s="1">
        <v>2</v>
      </c>
      <c r="CO23" s="46" t="s">
        <v>163</v>
      </c>
      <c r="CP23" s="206"/>
      <c r="CQ23" s="206"/>
      <c r="CR23" s="206"/>
      <c r="CS23" s="206"/>
      <c r="CT23" s="206"/>
    </row>
    <row r="24" spans="2:98" x14ac:dyDescent="0.45">
      <c r="B24" s="1">
        <v>3</v>
      </c>
      <c r="C24" s="46" t="s">
        <v>164</v>
      </c>
      <c r="D24" s="206" t="s">
        <v>29</v>
      </c>
      <c r="E24" s="206"/>
      <c r="F24" s="206"/>
      <c r="G24" s="206"/>
      <c r="H24" s="206"/>
      <c r="L24" s="1">
        <v>3</v>
      </c>
      <c r="M24" s="46" t="s">
        <v>164</v>
      </c>
      <c r="N24" s="206" t="s">
        <v>29</v>
      </c>
      <c r="O24" s="206"/>
      <c r="P24" s="206"/>
      <c r="Q24" s="206"/>
      <c r="R24" s="206"/>
      <c r="V24" s="1">
        <v>3</v>
      </c>
      <c r="W24" s="46" t="s">
        <v>164</v>
      </c>
      <c r="X24" s="206"/>
      <c r="Y24" s="206"/>
      <c r="Z24" s="206"/>
      <c r="AA24" s="206"/>
      <c r="AB24" s="206"/>
      <c r="AF24" s="1">
        <v>3</v>
      </c>
      <c r="AG24" s="46" t="s">
        <v>164</v>
      </c>
      <c r="AH24" s="206"/>
      <c r="AI24" s="206"/>
      <c r="AJ24" s="206"/>
      <c r="AK24" s="206"/>
      <c r="AL24" s="206"/>
      <c r="AP24" s="1">
        <v>3</v>
      </c>
      <c r="AQ24" s="46" t="s">
        <v>164</v>
      </c>
      <c r="AR24" s="206"/>
      <c r="AS24" s="206"/>
      <c r="AT24" s="206"/>
      <c r="AU24" s="206"/>
      <c r="AV24" s="206"/>
      <c r="AZ24" s="1">
        <v>3</v>
      </c>
      <c r="BA24" s="46" t="s">
        <v>164</v>
      </c>
      <c r="BB24" s="206"/>
      <c r="BC24" s="206"/>
      <c r="BD24" s="206"/>
      <c r="BE24" s="206"/>
      <c r="BF24" s="206"/>
      <c r="BJ24" s="1">
        <v>3</v>
      </c>
      <c r="BK24" s="46" t="s">
        <v>164</v>
      </c>
      <c r="BL24" s="206"/>
      <c r="BM24" s="206"/>
      <c r="BN24" s="206"/>
      <c r="BO24" s="206"/>
      <c r="BP24" s="206"/>
      <c r="BT24" s="1">
        <v>3</v>
      </c>
      <c r="BU24" s="46" t="s">
        <v>164</v>
      </c>
      <c r="BV24" s="206"/>
      <c r="BW24" s="206"/>
      <c r="BX24" s="206"/>
      <c r="BY24" s="206"/>
      <c r="BZ24" s="206"/>
      <c r="CD24" s="1">
        <v>3</v>
      </c>
      <c r="CE24" s="46" t="s">
        <v>164</v>
      </c>
      <c r="CF24" s="206"/>
      <c r="CG24" s="206"/>
      <c r="CH24" s="206"/>
      <c r="CI24" s="206"/>
      <c r="CJ24" s="206"/>
      <c r="CN24" s="1">
        <v>3</v>
      </c>
      <c r="CO24" s="46" t="s">
        <v>164</v>
      </c>
      <c r="CP24" s="206"/>
      <c r="CQ24" s="206"/>
      <c r="CR24" s="206"/>
      <c r="CS24" s="206"/>
      <c r="CT24" s="206"/>
    </row>
    <row r="25" spans="2:98" ht="16.5" customHeight="1" x14ac:dyDescent="0.45">
      <c r="B25" s="1">
        <v>4</v>
      </c>
      <c r="C25" s="46" t="s">
        <v>165</v>
      </c>
      <c r="D25" s="206" t="s">
        <v>29</v>
      </c>
      <c r="E25" s="206"/>
      <c r="F25" s="206"/>
      <c r="G25" s="206"/>
      <c r="H25" s="206"/>
      <c r="L25" s="1">
        <v>4</v>
      </c>
      <c r="M25" s="46" t="s">
        <v>165</v>
      </c>
      <c r="N25" s="206" t="s">
        <v>29</v>
      </c>
      <c r="O25" s="206"/>
      <c r="P25" s="206"/>
      <c r="Q25" s="206"/>
      <c r="R25" s="206"/>
      <c r="V25" s="1">
        <v>4</v>
      </c>
      <c r="W25" s="46" t="s">
        <v>165</v>
      </c>
      <c r="X25" s="206"/>
      <c r="Y25" s="206"/>
      <c r="Z25" s="206"/>
      <c r="AA25" s="206"/>
      <c r="AB25" s="206"/>
      <c r="AF25" s="1">
        <v>4</v>
      </c>
      <c r="AG25" s="46" t="s">
        <v>165</v>
      </c>
      <c r="AH25" s="206"/>
      <c r="AI25" s="206"/>
      <c r="AJ25" s="206"/>
      <c r="AK25" s="206"/>
      <c r="AL25" s="206"/>
      <c r="AP25" s="1">
        <v>4</v>
      </c>
      <c r="AQ25" s="46" t="s">
        <v>165</v>
      </c>
      <c r="AR25" s="206"/>
      <c r="AS25" s="206"/>
      <c r="AT25" s="206"/>
      <c r="AU25" s="206"/>
      <c r="AV25" s="206"/>
      <c r="AZ25" s="1">
        <v>4</v>
      </c>
      <c r="BA25" s="46" t="s">
        <v>165</v>
      </c>
      <c r="BB25" s="206"/>
      <c r="BC25" s="206"/>
      <c r="BD25" s="206"/>
      <c r="BE25" s="206"/>
      <c r="BF25" s="206"/>
      <c r="BJ25" s="1">
        <v>4</v>
      </c>
      <c r="BK25" s="46" t="s">
        <v>165</v>
      </c>
      <c r="BL25" s="206"/>
      <c r="BM25" s="206"/>
      <c r="BN25" s="206"/>
      <c r="BO25" s="206"/>
      <c r="BP25" s="206"/>
      <c r="BT25" s="1">
        <v>4</v>
      </c>
      <c r="BU25" s="46" t="s">
        <v>165</v>
      </c>
      <c r="BV25" s="206"/>
      <c r="BW25" s="206"/>
      <c r="BX25" s="206"/>
      <c r="BY25" s="206"/>
      <c r="BZ25" s="206"/>
      <c r="CD25" s="1">
        <v>4</v>
      </c>
      <c r="CE25" s="46" t="s">
        <v>165</v>
      </c>
      <c r="CF25" s="206"/>
      <c r="CG25" s="206"/>
      <c r="CH25" s="206"/>
      <c r="CI25" s="206"/>
      <c r="CJ25" s="206"/>
      <c r="CN25" s="1">
        <v>4</v>
      </c>
      <c r="CO25" s="46" t="s">
        <v>165</v>
      </c>
      <c r="CP25" s="206"/>
      <c r="CQ25" s="206"/>
      <c r="CR25" s="206"/>
      <c r="CS25" s="206"/>
      <c r="CT25" s="206"/>
    </row>
    <row r="26" spans="2:98" ht="28.5" x14ac:dyDescent="0.45">
      <c r="B26" s="1">
        <v>5</v>
      </c>
      <c r="C26" s="46" t="s">
        <v>166</v>
      </c>
      <c r="D26" s="206" t="s">
        <v>29</v>
      </c>
      <c r="E26" s="206"/>
      <c r="F26" s="206"/>
      <c r="G26" s="206"/>
      <c r="H26" s="206"/>
      <c r="L26" s="1">
        <v>5</v>
      </c>
      <c r="M26" s="46" t="s">
        <v>166</v>
      </c>
      <c r="N26" s="206" t="s">
        <v>29</v>
      </c>
      <c r="O26" s="206"/>
      <c r="P26" s="206"/>
      <c r="Q26" s="206"/>
      <c r="R26" s="206"/>
      <c r="V26" s="1">
        <v>5</v>
      </c>
      <c r="W26" s="46" t="s">
        <v>166</v>
      </c>
      <c r="X26" s="206"/>
      <c r="Y26" s="206"/>
      <c r="Z26" s="206"/>
      <c r="AA26" s="206"/>
      <c r="AB26" s="206"/>
      <c r="AF26" s="1">
        <v>5</v>
      </c>
      <c r="AG26" s="46" t="s">
        <v>166</v>
      </c>
      <c r="AH26" s="206"/>
      <c r="AI26" s="206"/>
      <c r="AJ26" s="206"/>
      <c r="AK26" s="206"/>
      <c r="AL26" s="206"/>
      <c r="AP26" s="1">
        <v>5</v>
      </c>
      <c r="AQ26" s="46" t="s">
        <v>166</v>
      </c>
      <c r="AR26" s="206"/>
      <c r="AS26" s="206"/>
      <c r="AT26" s="206"/>
      <c r="AU26" s="206"/>
      <c r="AV26" s="206"/>
      <c r="AZ26" s="1">
        <v>5</v>
      </c>
      <c r="BA26" s="46" t="s">
        <v>166</v>
      </c>
      <c r="BB26" s="206"/>
      <c r="BC26" s="206"/>
      <c r="BD26" s="206"/>
      <c r="BE26" s="206"/>
      <c r="BF26" s="206"/>
      <c r="BJ26" s="1">
        <v>5</v>
      </c>
      <c r="BK26" s="46" t="s">
        <v>166</v>
      </c>
      <c r="BL26" s="206"/>
      <c r="BM26" s="206"/>
      <c r="BN26" s="206"/>
      <c r="BO26" s="206"/>
      <c r="BP26" s="206"/>
      <c r="BT26" s="1">
        <v>5</v>
      </c>
      <c r="BU26" s="46" t="s">
        <v>166</v>
      </c>
      <c r="BV26" s="206"/>
      <c r="BW26" s="206"/>
      <c r="BX26" s="206"/>
      <c r="BY26" s="206"/>
      <c r="BZ26" s="206"/>
      <c r="CD26" s="1">
        <v>5</v>
      </c>
      <c r="CE26" s="46" t="s">
        <v>166</v>
      </c>
      <c r="CF26" s="206"/>
      <c r="CG26" s="206"/>
      <c r="CH26" s="206"/>
      <c r="CI26" s="206"/>
      <c r="CJ26" s="206"/>
      <c r="CN26" s="1">
        <v>5</v>
      </c>
      <c r="CO26" s="46" t="s">
        <v>166</v>
      </c>
      <c r="CP26" s="206"/>
      <c r="CQ26" s="206"/>
      <c r="CR26" s="206"/>
      <c r="CS26" s="206"/>
      <c r="CT26" s="206"/>
    </row>
    <row r="27" spans="2:98" x14ac:dyDescent="0.45">
      <c r="B27" s="1">
        <v>6</v>
      </c>
      <c r="C27" s="46" t="s">
        <v>167</v>
      </c>
      <c r="D27" s="206" t="s">
        <v>29</v>
      </c>
      <c r="E27" s="206"/>
      <c r="F27" s="206"/>
      <c r="G27" s="206"/>
      <c r="H27" s="206"/>
      <c r="L27" s="1">
        <v>6</v>
      </c>
      <c r="M27" s="46" t="s">
        <v>167</v>
      </c>
      <c r="N27" s="206" t="s">
        <v>29</v>
      </c>
      <c r="O27" s="206"/>
      <c r="P27" s="206"/>
      <c r="Q27" s="206"/>
      <c r="R27" s="206"/>
      <c r="V27" s="1">
        <v>6</v>
      </c>
      <c r="W27" s="46" t="s">
        <v>167</v>
      </c>
      <c r="X27" s="206"/>
      <c r="Y27" s="206"/>
      <c r="Z27" s="206"/>
      <c r="AA27" s="206"/>
      <c r="AB27" s="206"/>
      <c r="AF27" s="1">
        <v>6</v>
      </c>
      <c r="AG27" s="46" t="s">
        <v>167</v>
      </c>
      <c r="AH27" s="206"/>
      <c r="AI27" s="206"/>
      <c r="AJ27" s="206"/>
      <c r="AK27" s="206"/>
      <c r="AL27" s="206"/>
      <c r="AP27" s="1">
        <v>6</v>
      </c>
      <c r="AQ27" s="46" t="s">
        <v>167</v>
      </c>
      <c r="AR27" s="206"/>
      <c r="AS27" s="206"/>
      <c r="AT27" s="206"/>
      <c r="AU27" s="206"/>
      <c r="AV27" s="206"/>
      <c r="AZ27" s="1">
        <v>6</v>
      </c>
      <c r="BA27" s="46" t="s">
        <v>167</v>
      </c>
      <c r="BB27" s="206"/>
      <c r="BC27" s="206"/>
      <c r="BD27" s="206"/>
      <c r="BE27" s="206"/>
      <c r="BF27" s="206"/>
      <c r="BJ27" s="1">
        <v>6</v>
      </c>
      <c r="BK27" s="46" t="s">
        <v>167</v>
      </c>
      <c r="BL27" s="206"/>
      <c r="BM27" s="206"/>
      <c r="BN27" s="206"/>
      <c r="BO27" s="206"/>
      <c r="BP27" s="206"/>
      <c r="BT27" s="1">
        <v>6</v>
      </c>
      <c r="BU27" s="46" t="s">
        <v>167</v>
      </c>
      <c r="BV27" s="206"/>
      <c r="BW27" s="206"/>
      <c r="BX27" s="206"/>
      <c r="BY27" s="206"/>
      <c r="BZ27" s="206"/>
      <c r="CD27" s="1">
        <v>6</v>
      </c>
      <c r="CE27" s="46" t="s">
        <v>167</v>
      </c>
      <c r="CF27" s="206"/>
      <c r="CG27" s="206"/>
      <c r="CH27" s="206"/>
      <c r="CI27" s="206"/>
      <c r="CJ27" s="206"/>
      <c r="CN27" s="1">
        <v>6</v>
      </c>
      <c r="CO27" s="46" t="s">
        <v>167</v>
      </c>
      <c r="CP27" s="206"/>
      <c r="CQ27" s="206"/>
      <c r="CR27" s="206"/>
      <c r="CS27" s="206"/>
      <c r="CT27" s="206"/>
    </row>
    <row r="28" spans="2:98" x14ac:dyDescent="0.45">
      <c r="B28" s="1">
        <v>7</v>
      </c>
      <c r="C28" s="46" t="s">
        <v>168</v>
      </c>
      <c r="D28" s="206" t="s">
        <v>29</v>
      </c>
      <c r="E28" s="206"/>
      <c r="F28" s="206"/>
      <c r="G28" s="206"/>
      <c r="H28" s="206"/>
      <c r="L28" s="1">
        <v>7</v>
      </c>
      <c r="M28" s="46" t="s">
        <v>168</v>
      </c>
      <c r="N28" s="206" t="s">
        <v>29</v>
      </c>
      <c r="O28" s="206"/>
      <c r="P28" s="206"/>
      <c r="Q28" s="206"/>
      <c r="R28" s="206"/>
      <c r="V28" s="1">
        <v>7</v>
      </c>
      <c r="W28" s="46" t="s">
        <v>168</v>
      </c>
      <c r="X28" s="206"/>
      <c r="Y28" s="206"/>
      <c r="Z28" s="206"/>
      <c r="AA28" s="206"/>
      <c r="AB28" s="206"/>
      <c r="AF28" s="1">
        <v>7</v>
      </c>
      <c r="AG28" s="46" t="s">
        <v>168</v>
      </c>
      <c r="AH28" s="206"/>
      <c r="AI28" s="206"/>
      <c r="AJ28" s="206"/>
      <c r="AK28" s="206"/>
      <c r="AL28" s="206"/>
      <c r="AP28" s="1">
        <v>7</v>
      </c>
      <c r="AQ28" s="46" t="s">
        <v>168</v>
      </c>
      <c r="AR28" s="206"/>
      <c r="AS28" s="206"/>
      <c r="AT28" s="206"/>
      <c r="AU28" s="206"/>
      <c r="AV28" s="206"/>
      <c r="AZ28" s="1">
        <v>7</v>
      </c>
      <c r="BA28" s="46" t="s">
        <v>168</v>
      </c>
      <c r="BB28" s="206"/>
      <c r="BC28" s="206"/>
      <c r="BD28" s="206"/>
      <c r="BE28" s="206"/>
      <c r="BF28" s="206"/>
      <c r="BJ28" s="1">
        <v>7</v>
      </c>
      <c r="BK28" s="46" t="s">
        <v>168</v>
      </c>
      <c r="BL28" s="206"/>
      <c r="BM28" s="206"/>
      <c r="BN28" s="206"/>
      <c r="BO28" s="206"/>
      <c r="BP28" s="206"/>
      <c r="BT28" s="1">
        <v>7</v>
      </c>
      <c r="BU28" s="46" t="s">
        <v>168</v>
      </c>
      <c r="BV28" s="206"/>
      <c r="BW28" s="206"/>
      <c r="BX28" s="206"/>
      <c r="BY28" s="206"/>
      <c r="BZ28" s="206"/>
      <c r="CD28" s="1">
        <v>7</v>
      </c>
      <c r="CE28" s="46" t="s">
        <v>168</v>
      </c>
      <c r="CF28" s="206"/>
      <c r="CG28" s="206"/>
      <c r="CH28" s="206"/>
      <c r="CI28" s="206"/>
      <c r="CJ28" s="206"/>
      <c r="CN28" s="1">
        <v>7</v>
      </c>
      <c r="CO28" s="46" t="s">
        <v>168</v>
      </c>
      <c r="CP28" s="206"/>
      <c r="CQ28" s="206"/>
      <c r="CR28" s="206"/>
      <c r="CS28" s="206"/>
      <c r="CT28" s="206"/>
    </row>
    <row r="29" spans="2:98" x14ac:dyDescent="0.45">
      <c r="B29" s="1">
        <v>8</v>
      </c>
      <c r="C29" s="46" t="s">
        <v>169</v>
      </c>
      <c r="D29" s="206" t="s">
        <v>29</v>
      </c>
      <c r="E29" s="206"/>
      <c r="F29" s="206"/>
      <c r="G29" s="206"/>
      <c r="H29" s="206"/>
      <c r="L29" s="1">
        <v>8</v>
      </c>
      <c r="M29" s="46" t="s">
        <v>169</v>
      </c>
      <c r="N29" s="206" t="s">
        <v>29</v>
      </c>
      <c r="O29" s="206"/>
      <c r="P29" s="206"/>
      <c r="Q29" s="206"/>
      <c r="R29" s="206"/>
      <c r="V29" s="1">
        <v>8</v>
      </c>
      <c r="W29" s="46" t="s">
        <v>169</v>
      </c>
      <c r="X29" s="206"/>
      <c r="Y29" s="206"/>
      <c r="Z29" s="206"/>
      <c r="AA29" s="206"/>
      <c r="AB29" s="206"/>
      <c r="AF29" s="1">
        <v>8</v>
      </c>
      <c r="AG29" s="46" t="s">
        <v>169</v>
      </c>
      <c r="AH29" s="206"/>
      <c r="AI29" s="206"/>
      <c r="AJ29" s="206"/>
      <c r="AK29" s="206"/>
      <c r="AL29" s="206"/>
      <c r="AP29" s="1">
        <v>8</v>
      </c>
      <c r="AQ29" s="46" t="s">
        <v>169</v>
      </c>
      <c r="AR29" s="206"/>
      <c r="AS29" s="206"/>
      <c r="AT29" s="206"/>
      <c r="AU29" s="206"/>
      <c r="AV29" s="206"/>
      <c r="AZ29" s="1">
        <v>8</v>
      </c>
      <c r="BA29" s="46" t="s">
        <v>169</v>
      </c>
      <c r="BB29" s="206"/>
      <c r="BC29" s="206"/>
      <c r="BD29" s="206"/>
      <c r="BE29" s="206"/>
      <c r="BF29" s="206"/>
      <c r="BJ29" s="1">
        <v>8</v>
      </c>
      <c r="BK29" s="46" t="s">
        <v>169</v>
      </c>
      <c r="BL29" s="206"/>
      <c r="BM29" s="206"/>
      <c r="BN29" s="206"/>
      <c r="BO29" s="206"/>
      <c r="BP29" s="206"/>
      <c r="BT29" s="1">
        <v>8</v>
      </c>
      <c r="BU29" s="46" t="s">
        <v>169</v>
      </c>
      <c r="BV29" s="206"/>
      <c r="BW29" s="206"/>
      <c r="BX29" s="206"/>
      <c r="BY29" s="206"/>
      <c r="BZ29" s="206"/>
      <c r="CD29" s="1">
        <v>8</v>
      </c>
      <c r="CE29" s="46" t="s">
        <v>169</v>
      </c>
      <c r="CF29" s="206"/>
      <c r="CG29" s="206"/>
      <c r="CH29" s="206"/>
      <c r="CI29" s="206"/>
      <c r="CJ29" s="206"/>
      <c r="CN29" s="1">
        <v>8</v>
      </c>
      <c r="CO29" s="46" t="s">
        <v>169</v>
      </c>
      <c r="CP29" s="206"/>
      <c r="CQ29" s="206"/>
      <c r="CR29" s="206"/>
      <c r="CS29" s="206"/>
      <c r="CT29" s="206"/>
    </row>
    <row r="30" spans="2:98" x14ac:dyDescent="0.45">
      <c r="C30" s="24"/>
      <c r="D30" s="25"/>
      <c r="E30" s="25"/>
      <c r="F30" s="25"/>
      <c r="G30" s="25"/>
      <c r="H30" s="25"/>
      <c r="M30" s="24"/>
      <c r="N30" s="25"/>
      <c r="O30" s="25"/>
      <c r="P30" s="25"/>
      <c r="Q30" s="25"/>
      <c r="R30" s="25"/>
      <c r="W30" s="24"/>
      <c r="X30" s="25"/>
      <c r="Y30" s="25"/>
      <c r="Z30" s="25"/>
      <c r="AA30" s="25"/>
      <c r="AB30" s="25"/>
      <c r="AG30" s="24"/>
      <c r="AH30" s="25"/>
      <c r="AI30" s="25"/>
      <c r="AJ30" s="25"/>
      <c r="AK30" s="25"/>
      <c r="AL30" s="25"/>
      <c r="AQ30" s="24"/>
      <c r="AR30" s="25"/>
      <c r="AS30" s="25"/>
      <c r="AT30" s="25"/>
      <c r="AU30" s="25"/>
      <c r="AV30" s="25"/>
      <c r="BA30" s="24"/>
      <c r="BB30" s="25"/>
      <c r="BC30" s="25"/>
      <c r="BD30" s="25"/>
      <c r="BE30" s="25"/>
      <c r="BF30" s="25"/>
      <c r="BK30" s="24"/>
      <c r="BL30" s="25"/>
      <c r="BM30" s="25"/>
      <c r="BN30" s="25"/>
      <c r="BO30" s="25"/>
      <c r="BP30" s="25"/>
      <c r="BU30" s="24"/>
      <c r="BV30" s="25"/>
      <c r="BW30" s="25"/>
      <c r="BX30" s="25"/>
      <c r="BY30" s="25"/>
      <c r="BZ30" s="25"/>
      <c r="CE30" s="24"/>
      <c r="CF30" s="25"/>
      <c r="CG30" s="25"/>
      <c r="CH30" s="25"/>
      <c r="CI30" s="25"/>
      <c r="CJ30" s="25"/>
      <c r="CO30" s="24"/>
      <c r="CP30" s="25"/>
      <c r="CQ30" s="25"/>
      <c r="CR30" s="25"/>
      <c r="CS30" s="25"/>
      <c r="CT30" s="25"/>
    </row>
    <row r="31" spans="2:98" ht="15" customHeight="1" x14ac:dyDescent="0.45">
      <c r="B31" s="207" t="s">
        <v>170</v>
      </c>
      <c r="C31" s="207"/>
      <c r="D31" s="167" t="s">
        <v>3</v>
      </c>
      <c r="E31" s="168"/>
      <c r="F31" s="168"/>
      <c r="G31" s="6" t="s">
        <v>7</v>
      </c>
      <c r="H31" s="43">
        <f>COUNTA(D32:H40)/ROWS(D32:H40)</f>
        <v>1</v>
      </c>
      <c r="L31" s="207" t="s">
        <v>170</v>
      </c>
      <c r="M31" s="207"/>
      <c r="N31" s="167" t="s">
        <v>3</v>
      </c>
      <c r="O31" s="168"/>
      <c r="P31" s="168"/>
      <c r="Q31" s="6" t="s">
        <v>7</v>
      </c>
      <c r="R31" s="43">
        <f>COUNTA(N32:R40)/ROWS(N32:R40)</f>
        <v>1</v>
      </c>
      <c r="V31" s="207" t="s">
        <v>170</v>
      </c>
      <c r="W31" s="207"/>
      <c r="X31" s="167" t="s">
        <v>3</v>
      </c>
      <c r="Y31" s="168"/>
      <c r="Z31" s="168"/>
      <c r="AA31" s="6" t="s">
        <v>7</v>
      </c>
      <c r="AB31" s="43">
        <f>COUNTA(X32:AB40)/ROWS(X32:AB40)</f>
        <v>0</v>
      </c>
      <c r="AF31" s="207" t="s">
        <v>170</v>
      </c>
      <c r="AG31" s="207"/>
      <c r="AH31" s="167" t="s">
        <v>3</v>
      </c>
      <c r="AI31" s="168"/>
      <c r="AJ31" s="168"/>
      <c r="AK31" s="6" t="s">
        <v>7</v>
      </c>
      <c r="AL31" s="43">
        <f>COUNTA(AH32:AL40)/ROWS(AH32:AL40)</f>
        <v>0</v>
      </c>
      <c r="AP31" s="207" t="s">
        <v>170</v>
      </c>
      <c r="AQ31" s="207"/>
      <c r="AR31" s="167" t="s">
        <v>3</v>
      </c>
      <c r="AS31" s="168"/>
      <c r="AT31" s="168"/>
      <c r="AU31" s="6" t="s">
        <v>7</v>
      </c>
      <c r="AV31" s="43">
        <f>COUNTA(AR32:AV40)/ROWS(AR32:AV40)</f>
        <v>0</v>
      </c>
      <c r="AZ31" s="207" t="s">
        <v>170</v>
      </c>
      <c r="BA31" s="207"/>
      <c r="BB31" s="167" t="s">
        <v>3</v>
      </c>
      <c r="BC31" s="168"/>
      <c r="BD31" s="168"/>
      <c r="BE31" s="6" t="s">
        <v>7</v>
      </c>
      <c r="BF31" s="43">
        <f>COUNTA(BB32:BF40)/ROWS(BB32:BF40)</f>
        <v>0</v>
      </c>
      <c r="BJ31" s="207" t="s">
        <v>170</v>
      </c>
      <c r="BK31" s="207"/>
      <c r="BL31" s="167" t="s">
        <v>3</v>
      </c>
      <c r="BM31" s="168"/>
      <c r="BN31" s="168"/>
      <c r="BO31" s="6" t="s">
        <v>7</v>
      </c>
      <c r="BP31" s="43">
        <f>COUNTA(BL32:BP40)/ROWS(BL32:BP40)</f>
        <v>0</v>
      </c>
      <c r="BT31" s="207" t="s">
        <v>170</v>
      </c>
      <c r="BU31" s="207"/>
      <c r="BV31" s="167" t="s">
        <v>3</v>
      </c>
      <c r="BW31" s="168"/>
      <c r="BX31" s="168"/>
      <c r="BY31" s="6" t="s">
        <v>7</v>
      </c>
      <c r="BZ31" s="43">
        <f>COUNTA(BV32:BZ40)/ROWS(BV32:BZ40)</f>
        <v>0</v>
      </c>
      <c r="CD31" s="207" t="s">
        <v>170</v>
      </c>
      <c r="CE31" s="207"/>
      <c r="CF31" s="167" t="s">
        <v>3</v>
      </c>
      <c r="CG31" s="168"/>
      <c r="CH31" s="168"/>
      <c r="CI31" s="6" t="s">
        <v>7</v>
      </c>
      <c r="CJ31" s="43">
        <f>COUNTA(CF32:CJ40)/ROWS(CF32:CJ40)</f>
        <v>0</v>
      </c>
      <c r="CN31" s="207" t="s">
        <v>170</v>
      </c>
      <c r="CO31" s="207"/>
      <c r="CP31" s="167" t="s">
        <v>3</v>
      </c>
      <c r="CQ31" s="168"/>
      <c r="CR31" s="168"/>
      <c r="CS31" s="6" t="s">
        <v>7</v>
      </c>
      <c r="CT31" s="43">
        <f>COUNTA(CP32:CT40)/ROWS(CP32:CT40)</f>
        <v>0</v>
      </c>
    </row>
    <row r="32" spans="2:98" ht="28.5" x14ac:dyDescent="0.45">
      <c r="B32" s="1">
        <v>1</v>
      </c>
      <c r="C32" s="46" t="s">
        <v>171</v>
      </c>
      <c r="D32" s="153">
        <v>10</v>
      </c>
      <c r="E32" s="154"/>
      <c r="F32" s="154"/>
      <c r="G32" s="154"/>
      <c r="H32" s="155"/>
      <c r="L32" s="1">
        <v>1</v>
      </c>
      <c r="M32" s="46" t="s">
        <v>171</v>
      </c>
      <c r="N32" s="153">
        <v>10</v>
      </c>
      <c r="O32" s="154"/>
      <c r="P32" s="154"/>
      <c r="Q32" s="154"/>
      <c r="R32" s="155"/>
      <c r="V32" s="1">
        <v>1</v>
      </c>
      <c r="W32" s="46" t="s">
        <v>171</v>
      </c>
      <c r="X32" s="206"/>
      <c r="Y32" s="206"/>
      <c r="Z32" s="206"/>
      <c r="AA32" s="206"/>
      <c r="AB32" s="206"/>
      <c r="AF32" s="1">
        <v>1</v>
      </c>
      <c r="AG32" s="46" t="s">
        <v>171</v>
      </c>
      <c r="AH32" s="206"/>
      <c r="AI32" s="206"/>
      <c r="AJ32" s="206"/>
      <c r="AK32" s="206"/>
      <c r="AL32" s="206"/>
      <c r="AP32" s="1">
        <v>1</v>
      </c>
      <c r="AQ32" s="46" t="s">
        <v>171</v>
      </c>
      <c r="AR32" s="206"/>
      <c r="AS32" s="206"/>
      <c r="AT32" s="206"/>
      <c r="AU32" s="206"/>
      <c r="AV32" s="206"/>
      <c r="AZ32" s="1">
        <v>1</v>
      </c>
      <c r="BA32" s="46" t="s">
        <v>171</v>
      </c>
      <c r="BB32" s="206"/>
      <c r="BC32" s="206"/>
      <c r="BD32" s="206"/>
      <c r="BE32" s="206"/>
      <c r="BF32" s="206"/>
      <c r="BJ32" s="1">
        <v>1</v>
      </c>
      <c r="BK32" s="46" t="s">
        <v>171</v>
      </c>
      <c r="BL32" s="206"/>
      <c r="BM32" s="206"/>
      <c r="BN32" s="206"/>
      <c r="BO32" s="206"/>
      <c r="BP32" s="206"/>
      <c r="BT32" s="1">
        <v>1</v>
      </c>
      <c r="BU32" s="46" t="s">
        <v>171</v>
      </c>
      <c r="BV32" s="206"/>
      <c r="BW32" s="206"/>
      <c r="BX32" s="206"/>
      <c r="BY32" s="206"/>
      <c r="BZ32" s="206"/>
      <c r="CD32" s="1">
        <v>1</v>
      </c>
      <c r="CE32" s="46" t="s">
        <v>171</v>
      </c>
      <c r="CF32" s="206"/>
      <c r="CG32" s="206"/>
      <c r="CH32" s="206"/>
      <c r="CI32" s="206"/>
      <c r="CJ32" s="206"/>
      <c r="CN32" s="1">
        <v>1</v>
      </c>
      <c r="CO32" s="46" t="s">
        <v>171</v>
      </c>
      <c r="CP32" s="206"/>
      <c r="CQ32" s="206"/>
      <c r="CR32" s="206"/>
      <c r="CS32" s="206"/>
      <c r="CT32" s="206"/>
    </row>
    <row r="33" spans="2:98" ht="28.5" x14ac:dyDescent="0.45">
      <c r="B33" s="1">
        <v>2</v>
      </c>
      <c r="C33" s="46" t="s">
        <v>172</v>
      </c>
      <c r="D33" s="153">
        <v>30</v>
      </c>
      <c r="E33" s="154"/>
      <c r="F33" s="154"/>
      <c r="G33" s="154"/>
      <c r="H33" s="155"/>
      <c r="L33" s="1">
        <v>2</v>
      </c>
      <c r="M33" s="46" t="s">
        <v>172</v>
      </c>
      <c r="N33" s="153">
        <v>30</v>
      </c>
      <c r="O33" s="154"/>
      <c r="P33" s="154"/>
      <c r="Q33" s="154"/>
      <c r="R33" s="155"/>
      <c r="V33" s="1">
        <v>2</v>
      </c>
      <c r="W33" s="46" t="s">
        <v>172</v>
      </c>
      <c r="X33" s="206"/>
      <c r="Y33" s="206"/>
      <c r="Z33" s="206"/>
      <c r="AA33" s="206"/>
      <c r="AB33" s="206"/>
      <c r="AF33" s="1">
        <v>2</v>
      </c>
      <c r="AG33" s="46" t="s">
        <v>172</v>
      </c>
      <c r="AH33" s="206"/>
      <c r="AI33" s="206"/>
      <c r="AJ33" s="206"/>
      <c r="AK33" s="206"/>
      <c r="AL33" s="206"/>
      <c r="AP33" s="1">
        <v>2</v>
      </c>
      <c r="AQ33" s="46" t="s">
        <v>172</v>
      </c>
      <c r="AR33" s="206"/>
      <c r="AS33" s="206"/>
      <c r="AT33" s="206"/>
      <c r="AU33" s="206"/>
      <c r="AV33" s="206"/>
      <c r="AZ33" s="1">
        <v>2</v>
      </c>
      <c r="BA33" s="46" t="s">
        <v>172</v>
      </c>
      <c r="BB33" s="206"/>
      <c r="BC33" s="206"/>
      <c r="BD33" s="206"/>
      <c r="BE33" s="206"/>
      <c r="BF33" s="206"/>
      <c r="BJ33" s="1">
        <v>2</v>
      </c>
      <c r="BK33" s="46" t="s">
        <v>172</v>
      </c>
      <c r="BL33" s="206"/>
      <c r="BM33" s="206"/>
      <c r="BN33" s="206"/>
      <c r="BO33" s="206"/>
      <c r="BP33" s="206"/>
      <c r="BT33" s="1">
        <v>2</v>
      </c>
      <c r="BU33" s="46" t="s">
        <v>172</v>
      </c>
      <c r="BV33" s="206"/>
      <c r="BW33" s="206"/>
      <c r="BX33" s="206"/>
      <c r="BY33" s="206"/>
      <c r="BZ33" s="206"/>
      <c r="CD33" s="1">
        <v>2</v>
      </c>
      <c r="CE33" s="46" t="s">
        <v>172</v>
      </c>
      <c r="CF33" s="206"/>
      <c r="CG33" s="206"/>
      <c r="CH33" s="206"/>
      <c r="CI33" s="206"/>
      <c r="CJ33" s="206"/>
      <c r="CN33" s="1">
        <v>2</v>
      </c>
      <c r="CO33" s="46" t="s">
        <v>172</v>
      </c>
      <c r="CP33" s="206"/>
      <c r="CQ33" s="206"/>
      <c r="CR33" s="206"/>
      <c r="CS33" s="206"/>
      <c r="CT33" s="206"/>
    </row>
    <row r="34" spans="2:98" x14ac:dyDescent="0.45">
      <c r="B34" s="36">
        <v>3</v>
      </c>
      <c r="C34" s="47" t="s">
        <v>173</v>
      </c>
      <c r="D34" s="215">
        <v>0.01</v>
      </c>
      <c r="E34" s="216"/>
      <c r="F34" s="216"/>
      <c r="G34" s="216"/>
      <c r="H34" s="217"/>
      <c r="L34" s="36">
        <v>3</v>
      </c>
      <c r="M34" s="47" t="s">
        <v>173</v>
      </c>
      <c r="N34" s="215">
        <v>0.01</v>
      </c>
      <c r="O34" s="216"/>
      <c r="P34" s="216"/>
      <c r="Q34" s="216"/>
      <c r="R34" s="217"/>
      <c r="V34" s="36">
        <v>3</v>
      </c>
      <c r="W34" s="47" t="s">
        <v>173</v>
      </c>
      <c r="X34" s="206"/>
      <c r="Y34" s="206"/>
      <c r="Z34" s="206"/>
      <c r="AA34" s="206"/>
      <c r="AB34" s="206"/>
      <c r="AF34" s="36">
        <v>3</v>
      </c>
      <c r="AG34" s="47" t="s">
        <v>173</v>
      </c>
      <c r="AH34" s="206"/>
      <c r="AI34" s="206"/>
      <c r="AJ34" s="206"/>
      <c r="AK34" s="206"/>
      <c r="AL34" s="206"/>
      <c r="AP34" s="36">
        <v>3</v>
      </c>
      <c r="AQ34" s="47" t="s">
        <v>173</v>
      </c>
      <c r="AR34" s="206"/>
      <c r="AS34" s="206"/>
      <c r="AT34" s="206"/>
      <c r="AU34" s="206"/>
      <c r="AV34" s="206"/>
      <c r="AZ34" s="36">
        <v>3</v>
      </c>
      <c r="BA34" s="47" t="s">
        <v>173</v>
      </c>
      <c r="BB34" s="206"/>
      <c r="BC34" s="206"/>
      <c r="BD34" s="206"/>
      <c r="BE34" s="206"/>
      <c r="BF34" s="206"/>
      <c r="BJ34" s="36">
        <v>3</v>
      </c>
      <c r="BK34" s="47" t="s">
        <v>173</v>
      </c>
      <c r="BL34" s="206"/>
      <c r="BM34" s="206"/>
      <c r="BN34" s="206"/>
      <c r="BO34" s="206"/>
      <c r="BP34" s="206"/>
      <c r="BT34" s="36">
        <v>3</v>
      </c>
      <c r="BU34" s="47" t="s">
        <v>173</v>
      </c>
      <c r="BV34" s="206"/>
      <c r="BW34" s="206"/>
      <c r="BX34" s="206"/>
      <c r="BY34" s="206"/>
      <c r="BZ34" s="206"/>
      <c r="CD34" s="36">
        <v>3</v>
      </c>
      <c r="CE34" s="47" t="s">
        <v>173</v>
      </c>
      <c r="CF34" s="206"/>
      <c r="CG34" s="206"/>
      <c r="CH34" s="206"/>
      <c r="CI34" s="206"/>
      <c r="CJ34" s="206"/>
      <c r="CN34" s="36">
        <v>3</v>
      </c>
      <c r="CO34" s="47" t="s">
        <v>173</v>
      </c>
      <c r="CP34" s="206"/>
      <c r="CQ34" s="206"/>
      <c r="CR34" s="206"/>
      <c r="CS34" s="206"/>
      <c r="CT34" s="206"/>
    </row>
    <row r="35" spans="2:98" x14ac:dyDescent="0.45">
      <c r="B35" s="36">
        <v>4</v>
      </c>
      <c r="C35" s="47" t="s">
        <v>174</v>
      </c>
      <c r="D35" s="215">
        <v>0.3</v>
      </c>
      <c r="E35" s="216"/>
      <c r="F35" s="216"/>
      <c r="G35" s="216"/>
      <c r="H35" s="217"/>
      <c r="L35" s="36">
        <v>4</v>
      </c>
      <c r="M35" s="47" t="s">
        <v>174</v>
      </c>
      <c r="N35" s="215">
        <v>0.3</v>
      </c>
      <c r="O35" s="216"/>
      <c r="P35" s="216"/>
      <c r="Q35" s="216"/>
      <c r="R35" s="217"/>
      <c r="V35" s="36">
        <v>4</v>
      </c>
      <c r="W35" s="47" t="s">
        <v>174</v>
      </c>
      <c r="X35" s="206"/>
      <c r="Y35" s="206"/>
      <c r="Z35" s="206"/>
      <c r="AA35" s="206"/>
      <c r="AB35" s="206"/>
      <c r="AF35" s="36">
        <v>4</v>
      </c>
      <c r="AG35" s="47" t="s">
        <v>174</v>
      </c>
      <c r="AH35" s="206"/>
      <c r="AI35" s="206"/>
      <c r="AJ35" s="206"/>
      <c r="AK35" s="206"/>
      <c r="AL35" s="206"/>
      <c r="AP35" s="36">
        <v>4</v>
      </c>
      <c r="AQ35" s="47" t="s">
        <v>174</v>
      </c>
      <c r="AR35" s="206"/>
      <c r="AS35" s="206"/>
      <c r="AT35" s="206"/>
      <c r="AU35" s="206"/>
      <c r="AV35" s="206"/>
      <c r="AZ35" s="36">
        <v>4</v>
      </c>
      <c r="BA35" s="47" t="s">
        <v>174</v>
      </c>
      <c r="BB35" s="206"/>
      <c r="BC35" s="206"/>
      <c r="BD35" s="206"/>
      <c r="BE35" s="206"/>
      <c r="BF35" s="206"/>
      <c r="BJ35" s="36">
        <v>4</v>
      </c>
      <c r="BK35" s="47" t="s">
        <v>174</v>
      </c>
      <c r="BL35" s="206"/>
      <c r="BM35" s="206"/>
      <c r="BN35" s="206"/>
      <c r="BO35" s="206"/>
      <c r="BP35" s="206"/>
      <c r="BT35" s="36">
        <v>4</v>
      </c>
      <c r="BU35" s="47" t="s">
        <v>174</v>
      </c>
      <c r="BV35" s="206"/>
      <c r="BW35" s="206"/>
      <c r="BX35" s="206"/>
      <c r="BY35" s="206"/>
      <c r="BZ35" s="206"/>
      <c r="CD35" s="36">
        <v>4</v>
      </c>
      <c r="CE35" s="47" t="s">
        <v>174</v>
      </c>
      <c r="CF35" s="206"/>
      <c r="CG35" s="206"/>
      <c r="CH35" s="206"/>
      <c r="CI35" s="206"/>
      <c r="CJ35" s="206"/>
      <c r="CN35" s="36">
        <v>4</v>
      </c>
      <c r="CO35" s="47" t="s">
        <v>174</v>
      </c>
      <c r="CP35" s="206"/>
      <c r="CQ35" s="206"/>
      <c r="CR35" s="206"/>
      <c r="CS35" s="206"/>
      <c r="CT35" s="206"/>
    </row>
    <row r="36" spans="2:98" x14ac:dyDescent="0.45">
      <c r="B36" s="36">
        <v>5</v>
      </c>
      <c r="C36" s="47" t="s">
        <v>175</v>
      </c>
      <c r="D36" s="215">
        <v>0.01</v>
      </c>
      <c r="E36" s="216"/>
      <c r="F36" s="216"/>
      <c r="G36" s="216"/>
      <c r="H36" s="217"/>
      <c r="L36" s="36">
        <v>5</v>
      </c>
      <c r="M36" s="47" t="s">
        <v>175</v>
      </c>
      <c r="N36" s="215">
        <v>0.01</v>
      </c>
      <c r="O36" s="216"/>
      <c r="P36" s="216"/>
      <c r="Q36" s="216"/>
      <c r="R36" s="217"/>
      <c r="V36" s="36">
        <v>5</v>
      </c>
      <c r="W36" s="47" t="s">
        <v>175</v>
      </c>
      <c r="X36" s="206"/>
      <c r="Y36" s="206"/>
      <c r="Z36" s="206"/>
      <c r="AA36" s="206"/>
      <c r="AB36" s="206"/>
      <c r="AF36" s="36">
        <v>5</v>
      </c>
      <c r="AG36" s="47" t="s">
        <v>175</v>
      </c>
      <c r="AH36" s="206"/>
      <c r="AI36" s="206"/>
      <c r="AJ36" s="206"/>
      <c r="AK36" s="206"/>
      <c r="AL36" s="206"/>
      <c r="AP36" s="36">
        <v>5</v>
      </c>
      <c r="AQ36" s="47" t="s">
        <v>175</v>
      </c>
      <c r="AR36" s="206"/>
      <c r="AS36" s="206"/>
      <c r="AT36" s="206"/>
      <c r="AU36" s="206"/>
      <c r="AV36" s="206"/>
      <c r="AZ36" s="36">
        <v>5</v>
      </c>
      <c r="BA36" s="47" t="s">
        <v>175</v>
      </c>
      <c r="BB36" s="206"/>
      <c r="BC36" s="206"/>
      <c r="BD36" s="206"/>
      <c r="BE36" s="206"/>
      <c r="BF36" s="206"/>
      <c r="BJ36" s="36">
        <v>5</v>
      </c>
      <c r="BK36" s="47" t="s">
        <v>175</v>
      </c>
      <c r="BL36" s="206"/>
      <c r="BM36" s="206"/>
      <c r="BN36" s="206"/>
      <c r="BO36" s="206"/>
      <c r="BP36" s="206"/>
      <c r="BT36" s="36">
        <v>5</v>
      </c>
      <c r="BU36" s="47" t="s">
        <v>175</v>
      </c>
      <c r="BV36" s="206"/>
      <c r="BW36" s="206"/>
      <c r="BX36" s="206"/>
      <c r="BY36" s="206"/>
      <c r="BZ36" s="206"/>
      <c r="CD36" s="36">
        <v>5</v>
      </c>
      <c r="CE36" s="47" t="s">
        <v>175</v>
      </c>
      <c r="CF36" s="206"/>
      <c r="CG36" s="206"/>
      <c r="CH36" s="206"/>
      <c r="CI36" s="206"/>
      <c r="CJ36" s="206"/>
      <c r="CN36" s="36">
        <v>5</v>
      </c>
      <c r="CO36" s="47" t="s">
        <v>175</v>
      </c>
      <c r="CP36" s="206"/>
      <c r="CQ36" s="206"/>
      <c r="CR36" s="206"/>
      <c r="CS36" s="206"/>
      <c r="CT36" s="206"/>
    </row>
    <row r="37" spans="2:98" x14ac:dyDescent="0.45">
      <c r="B37" s="36">
        <v>6</v>
      </c>
      <c r="C37" s="83" t="s">
        <v>176</v>
      </c>
      <c r="D37" s="153" t="s">
        <v>29</v>
      </c>
      <c r="E37" s="154"/>
      <c r="F37" s="154"/>
      <c r="G37" s="154"/>
      <c r="H37" s="155"/>
      <c r="L37" s="36">
        <v>6</v>
      </c>
      <c r="M37" s="83" t="s">
        <v>176</v>
      </c>
      <c r="N37" s="153" t="s">
        <v>29</v>
      </c>
      <c r="O37" s="154"/>
      <c r="P37" s="154"/>
      <c r="Q37" s="154"/>
      <c r="R37" s="155"/>
      <c r="V37" s="36">
        <v>6</v>
      </c>
      <c r="W37" s="83" t="s">
        <v>176</v>
      </c>
      <c r="X37" s="206"/>
      <c r="Y37" s="206"/>
      <c r="Z37" s="206"/>
      <c r="AA37" s="206"/>
      <c r="AB37" s="206"/>
      <c r="AF37" s="36">
        <v>6</v>
      </c>
      <c r="AG37" s="83" t="s">
        <v>176</v>
      </c>
      <c r="AH37" s="206"/>
      <c r="AI37" s="206"/>
      <c r="AJ37" s="206"/>
      <c r="AK37" s="206"/>
      <c r="AL37" s="206"/>
      <c r="AP37" s="36">
        <v>6</v>
      </c>
      <c r="AQ37" s="83" t="s">
        <v>176</v>
      </c>
      <c r="AR37" s="206"/>
      <c r="AS37" s="206"/>
      <c r="AT37" s="206"/>
      <c r="AU37" s="206"/>
      <c r="AV37" s="206"/>
      <c r="AZ37" s="36">
        <v>6</v>
      </c>
      <c r="BA37" s="83" t="s">
        <v>176</v>
      </c>
      <c r="BB37" s="206"/>
      <c r="BC37" s="206"/>
      <c r="BD37" s="206"/>
      <c r="BE37" s="206"/>
      <c r="BF37" s="206"/>
      <c r="BJ37" s="36">
        <v>6</v>
      </c>
      <c r="BK37" s="83" t="s">
        <v>176</v>
      </c>
      <c r="BL37" s="206"/>
      <c r="BM37" s="206"/>
      <c r="BN37" s="206"/>
      <c r="BO37" s="206"/>
      <c r="BP37" s="206"/>
      <c r="BT37" s="36">
        <v>6</v>
      </c>
      <c r="BU37" s="83" t="s">
        <v>176</v>
      </c>
      <c r="BV37" s="206"/>
      <c r="BW37" s="206"/>
      <c r="BX37" s="206"/>
      <c r="BY37" s="206"/>
      <c r="BZ37" s="206"/>
      <c r="CD37" s="36">
        <v>6</v>
      </c>
      <c r="CE37" s="83" t="s">
        <v>176</v>
      </c>
      <c r="CF37" s="206"/>
      <c r="CG37" s="206"/>
      <c r="CH37" s="206"/>
      <c r="CI37" s="206"/>
      <c r="CJ37" s="206"/>
      <c r="CN37" s="36">
        <v>6</v>
      </c>
      <c r="CO37" s="83" t="s">
        <v>176</v>
      </c>
      <c r="CP37" s="206"/>
      <c r="CQ37" s="206"/>
      <c r="CR37" s="206"/>
      <c r="CS37" s="206"/>
      <c r="CT37" s="206"/>
    </row>
    <row r="38" spans="2:98" x14ac:dyDescent="0.45">
      <c r="B38" s="36">
        <v>7</v>
      </c>
      <c r="C38" s="46" t="s">
        <v>177</v>
      </c>
      <c r="D38" s="153" t="s">
        <v>178</v>
      </c>
      <c r="E38" s="154"/>
      <c r="F38" s="154"/>
      <c r="G38" s="154"/>
      <c r="H38" s="155"/>
      <c r="L38" s="36">
        <v>7</v>
      </c>
      <c r="M38" s="46" t="s">
        <v>177</v>
      </c>
      <c r="N38" s="153" t="s">
        <v>178</v>
      </c>
      <c r="O38" s="154"/>
      <c r="P38" s="154"/>
      <c r="Q38" s="154"/>
      <c r="R38" s="155"/>
      <c r="V38" s="36">
        <v>7</v>
      </c>
      <c r="W38" s="46" t="s">
        <v>177</v>
      </c>
      <c r="X38" s="206"/>
      <c r="Y38" s="206"/>
      <c r="Z38" s="206"/>
      <c r="AA38" s="206"/>
      <c r="AB38" s="206"/>
      <c r="AF38" s="36">
        <v>7</v>
      </c>
      <c r="AG38" s="46" t="s">
        <v>177</v>
      </c>
      <c r="AH38" s="206"/>
      <c r="AI38" s="206"/>
      <c r="AJ38" s="206"/>
      <c r="AK38" s="206"/>
      <c r="AL38" s="206"/>
      <c r="AP38" s="36">
        <v>7</v>
      </c>
      <c r="AQ38" s="46" t="s">
        <v>177</v>
      </c>
      <c r="AR38" s="206"/>
      <c r="AS38" s="206"/>
      <c r="AT38" s="206"/>
      <c r="AU38" s="206"/>
      <c r="AV38" s="206"/>
      <c r="AZ38" s="36">
        <v>7</v>
      </c>
      <c r="BA38" s="46" t="s">
        <v>177</v>
      </c>
      <c r="BB38" s="206"/>
      <c r="BC38" s="206"/>
      <c r="BD38" s="206"/>
      <c r="BE38" s="206"/>
      <c r="BF38" s="206"/>
      <c r="BJ38" s="36">
        <v>7</v>
      </c>
      <c r="BK38" s="46" t="s">
        <v>177</v>
      </c>
      <c r="BL38" s="206"/>
      <c r="BM38" s="206"/>
      <c r="BN38" s="206"/>
      <c r="BO38" s="206"/>
      <c r="BP38" s="206"/>
      <c r="BT38" s="36">
        <v>7</v>
      </c>
      <c r="BU38" s="46" t="s">
        <v>177</v>
      </c>
      <c r="BV38" s="206"/>
      <c r="BW38" s="206"/>
      <c r="BX38" s="206"/>
      <c r="BY38" s="206"/>
      <c r="BZ38" s="206"/>
      <c r="CD38" s="36">
        <v>7</v>
      </c>
      <c r="CE38" s="46" t="s">
        <v>177</v>
      </c>
      <c r="CF38" s="206"/>
      <c r="CG38" s="206"/>
      <c r="CH38" s="206"/>
      <c r="CI38" s="206"/>
      <c r="CJ38" s="206"/>
      <c r="CN38" s="36">
        <v>7</v>
      </c>
      <c r="CO38" s="46" t="s">
        <v>177</v>
      </c>
      <c r="CP38" s="206"/>
      <c r="CQ38" s="206"/>
      <c r="CR38" s="206"/>
      <c r="CS38" s="206"/>
      <c r="CT38" s="206"/>
    </row>
    <row r="39" spans="2:98" x14ac:dyDescent="0.45">
      <c r="B39" s="36">
        <v>8</v>
      </c>
      <c r="C39" s="83" t="s">
        <v>179</v>
      </c>
      <c r="D39" s="215">
        <v>0.01</v>
      </c>
      <c r="E39" s="216"/>
      <c r="F39" s="216"/>
      <c r="G39" s="216"/>
      <c r="H39" s="217"/>
      <c r="L39" s="36">
        <v>8</v>
      </c>
      <c r="M39" s="83" t="s">
        <v>179</v>
      </c>
      <c r="N39" s="215">
        <v>0.01</v>
      </c>
      <c r="O39" s="216"/>
      <c r="P39" s="216"/>
      <c r="Q39" s="216"/>
      <c r="R39" s="217"/>
      <c r="V39" s="36">
        <v>8</v>
      </c>
      <c r="W39" s="83" t="s">
        <v>179</v>
      </c>
      <c r="X39" s="206"/>
      <c r="Y39" s="206"/>
      <c r="Z39" s="206"/>
      <c r="AA39" s="206"/>
      <c r="AB39" s="206"/>
      <c r="AF39" s="36">
        <v>8</v>
      </c>
      <c r="AG39" s="83" t="s">
        <v>179</v>
      </c>
      <c r="AH39" s="206"/>
      <c r="AI39" s="206"/>
      <c r="AJ39" s="206"/>
      <c r="AK39" s="206"/>
      <c r="AL39" s="206"/>
      <c r="AP39" s="36">
        <v>8</v>
      </c>
      <c r="AQ39" s="83" t="s">
        <v>179</v>
      </c>
      <c r="AR39" s="206"/>
      <c r="AS39" s="206"/>
      <c r="AT39" s="206"/>
      <c r="AU39" s="206"/>
      <c r="AV39" s="206"/>
      <c r="AZ39" s="36">
        <v>8</v>
      </c>
      <c r="BA39" s="83" t="s">
        <v>179</v>
      </c>
      <c r="BB39" s="206"/>
      <c r="BC39" s="206"/>
      <c r="BD39" s="206"/>
      <c r="BE39" s="206"/>
      <c r="BF39" s="206"/>
      <c r="BJ39" s="36">
        <v>8</v>
      </c>
      <c r="BK39" s="83" t="s">
        <v>179</v>
      </c>
      <c r="BL39" s="206"/>
      <c r="BM39" s="206"/>
      <c r="BN39" s="206"/>
      <c r="BO39" s="206"/>
      <c r="BP39" s="206"/>
      <c r="BT39" s="36">
        <v>8</v>
      </c>
      <c r="BU39" s="83" t="s">
        <v>179</v>
      </c>
      <c r="BV39" s="206"/>
      <c r="BW39" s="206"/>
      <c r="BX39" s="206"/>
      <c r="BY39" s="206"/>
      <c r="BZ39" s="206"/>
      <c r="CD39" s="36">
        <v>8</v>
      </c>
      <c r="CE39" s="83" t="s">
        <v>179</v>
      </c>
      <c r="CF39" s="206"/>
      <c r="CG39" s="206"/>
      <c r="CH39" s="206"/>
      <c r="CI39" s="206"/>
      <c r="CJ39" s="206"/>
      <c r="CN39" s="36">
        <v>8</v>
      </c>
      <c r="CO39" s="83" t="s">
        <v>179</v>
      </c>
      <c r="CP39" s="206"/>
      <c r="CQ39" s="206"/>
      <c r="CR39" s="206"/>
      <c r="CS39" s="206"/>
      <c r="CT39" s="206"/>
    </row>
    <row r="40" spans="2:98" x14ac:dyDescent="0.45">
      <c r="B40" s="36">
        <v>9</v>
      </c>
      <c r="C40" s="83" t="s">
        <v>180</v>
      </c>
      <c r="D40" s="206" t="s">
        <v>181</v>
      </c>
      <c r="E40" s="206"/>
      <c r="F40" s="206"/>
      <c r="G40" s="206"/>
      <c r="H40" s="206"/>
      <c r="L40" s="36">
        <v>9</v>
      </c>
      <c r="M40" s="83" t="s">
        <v>180</v>
      </c>
      <c r="N40" s="206" t="s">
        <v>181</v>
      </c>
      <c r="O40" s="206"/>
      <c r="P40" s="206"/>
      <c r="Q40" s="206"/>
      <c r="R40" s="206"/>
      <c r="V40" s="36">
        <v>9</v>
      </c>
      <c r="W40" s="83" t="s">
        <v>180</v>
      </c>
      <c r="X40" s="206"/>
      <c r="Y40" s="206"/>
      <c r="Z40" s="206"/>
      <c r="AA40" s="206"/>
      <c r="AB40" s="206"/>
      <c r="AF40" s="36">
        <v>9</v>
      </c>
      <c r="AG40" s="83" t="s">
        <v>180</v>
      </c>
      <c r="AH40" s="206"/>
      <c r="AI40" s="206"/>
      <c r="AJ40" s="206"/>
      <c r="AK40" s="206"/>
      <c r="AL40" s="206"/>
      <c r="AP40" s="36">
        <v>9</v>
      </c>
      <c r="AQ40" s="83" t="s">
        <v>180</v>
      </c>
      <c r="AR40" s="206"/>
      <c r="AS40" s="206"/>
      <c r="AT40" s="206"/>
      <c r="AU40" s="206"/>
      <c r="AV40" s="206"/>
      <c r="AZ40" s="36">
        <v>9</v>
      </c>
      <c r="BA40" s="83" t="s">
        <v>180</v>
      </c>
      <c r="BB40" s="206"/>
      <c r="BC40" s="206"/>
      <c r="BD40" s="206"/>
      <c r="BE40" s="206"/>
      <c r="BF40" s="206"/>
      <c r="BJ40" s="36">
        <v>9</v>
      </c>
      <c r="BK40" s="83" t="s">
        <v>180</v>
      </c>
      <c r="BL40" s="206"/>
      <c r="BM40" s="206"/>
      <c r="BN40" s="206"/>
      <c r="BO40" s="206"/>
      <c r="BP40" s="206"/>
      <c r="BT40" s="36">
        <v>9</v>
      </c>
      <c r="BU40" s="83" t="s">
        <v>180</v>
      </c>
      <c r="BV40" s="206"/>
      <c r="BW40" s="206"/>
      <c r="BX40" s="206"/>
      <c r="BY40" s="206"/>
      <c r="BZ40" s="206"/>
      <c r="CD40" s="36">
        <v>9</v>
      </c>
      <c r="CE40" s="83" t="s">
        <v>180</v>
      </c>
      <c r="CF40" s="206"/>
      <c r="CG40" s="206"/>
      <c r="CH40" s="206"/>
      <c r="CI40" s="206"/>
      <c r="CJ40" s="206"/>
      <c r="CN40" s="36">
        <v>9</v>
      </c>
      <c r="CO40" s="83" t="s">
        <v>180</v>
      </c>
      <c r="CP40" s="206"/>
      <c r="CQ40" s="206"/>
      <c r="CR40" s="206"/>
      <c r="CS40" s="206"/>
      <c r="CT40" s="206"/>
    </row>
    <row r="41" spans="2:98" ht="15" customHeight="1" x14ac:dyDescent="0.45">
      <c r="B41" s="209" t="s">
        <v>182</v>
      </c>
      <c r="C41" s="209"/>
      <c r="D41" s="210" t="s">
        <v>3</v>
      </c>
      <c r="E41" s="210"/>
      <c r="F41" s="210"/>
      <c r="G41" s="210"/>
      <c r="H41" s="210"/>
      <c r="L41" s="209" t="s">
        <v>182</v>
      </c>
      <c r="M41" s="209"/>
      <c r="N41" s="210" t="s">
        <v>3</v>
      </c>
      <c r="O41" s="210"/>
      <c r="P41" s="210"/>
      <c r="Q41" s="210"/>
      <c r="R41" s="210"/>
      <c r="V41" s="209" t="s">
        <v>182</v>
      </c>
      <c r="W41" s="209"/>
      <c r="X41" s="210" t="s">
        <v>3</v>
      </c>
      <c r="Y41" s="210"/>
      <c r="Z41" s="210"/>
      <c r="AA41" s="210"/>
      <c r="AB41" s="210"/>
      <c r="AF41" s="209" t="s">
        <v>182</v>
      </c>
      <c r="AG41" s="209"/>
      <c r="AH41" s="210" t="s">
        <v>3</v>
      </c>
      <c r="AI41" s="210"/>
      <c r="AJ41" s="210"/>
      <c r="AK41" s="210"/>
      <c r="AL41" s="210"/>
      <c r="AP41" s="209" t="s">
        <v>182</v>
      </c>
      <c r="AQ41" s="209"/>
      <c r="AR41" s="210" t="s">
        <v>3</v>
      </c>
      <c r="AS41" s="210"/>
      <c r="AT41" s="210"/>
      <c r="AU41" s="210"/>
      <c r="AV41" s="210"/>
      <c r="AZ41" s="209" t="s">
        <v>182</v>
      </c>
      <c r="BA41" s="209"/>
      <c r="BB41" s="210" t="s">
        <v>3</v>
      </c>
      <c r="BC41" s="210"/>
      <c r="BD41" s="210"/>
      <c r="BE41" s="210"/>
      <c r="BF41" s="210"/>
      <c r="BJ41" s="209" t="s">
        <v>182</v>
      </c>
      <c r="BK41" s="209"/>
      <c r="BL41" s="210" t="s">
        <v>3</v>
      </c>
      <c r="BM41" s="210"/>
      <c r="BN41" s="210"/>
      <c r="BO41" s="210"/>
      <c r="BP41" s="210"/>
      <c r="BT41" s="209" t="s">
        <v>182</v>
      </c>
      <c r="BU41" s="209"/>
      <c r="BV41" s="210" t="s">
        <v>3</v>
      </c>
      <c r="BW41" s="210"/>
      <c r="BX41" s="210"/>
      <c r="BY41" s="210"/>
      <c r="BZ41" s="210"/>
      <c r="CD41" s="209" t="s">
        <v>182</v>
      </c>
      <c r="CE41" s="209"/>
      <c r="CF41" s="210" t="s">
        <v>3</v>
      </c>
      <c r="CG41" s="210"/>
      <c r="CH41" s="210"/>
      <c r="CI41" s="210"/>
      <c r="CJ41" s="210"/>
      <c r="CN41" s="209" t="s">
        <v>182</v>
      </c>
      <c r="CO41" s="209"/>
      <c r="CP41" s="210" t="s">
        <v>3</v>
      </c>
      <c r="CQ41" s="210"/>
      <c r="CR41" s="210"/>
      <c r="CS41" s="210"/>
      <c r="CT41" s="210"/>
    </row>
    <row r="42" spans="2:98" x14ac:dyDescent="0.45">
      <c r="B42" s="1">
        <v>1</v>
      </c>
      <c r="C42" s="46" t="s">
        <v>183</v>
      </c>
      <c r="D42" s="206"/>
      <c r="E42" s="206"/>
      <c r="F42" s="206"/>
      <c r="G42" s="206"/>
      <c r="H42" s="206"/>
      <c r="L42" s="1">
        <v>1</v>
      </c>
      <c r="M42" s="46" t="s">
        <v>183</v>
      </c>
      <c r="N42" s="206"/>
      <c r="O42" s="206"/>
      <c r="P42" s="206"/>
      <c r="Q42" s="206"/>
      <c r="R42" s="206"/>
      <c r="V42" s="1">
        <v>1</v>
      </c>
      <c r="W42" s="46" t="s">
        <v>183</v>
      </c>
      <c r="X42" s="206"/>
      <c r="Y42" s="206"/>
      <c r="Z42" s="206"/>
      <c r="AA42" s="206"/>
      <c r="AB42" s="206"/>
      <c r="AF42" s="1">
        <v>1</v>
      </c>
      <c r="AG42" s="46" t="s">
        <v>183</v>
      </c>
      <c r="AH42" s="206"/>
      <c r="AI42" s="206"/>
      <c r="AJ42" s="206"/>
      <c r="AK42" s="206"/>
      <c r="AL42" s="206"/>
      <c r="AP42" s="1">
        <v>1</v>
      </c>
      <c r="AQ42" s="46" t="s">
        <v>183</v>
      </c>
      <c r="AR42" s="206"/>
      <c r="AS42" s="206"/>
      <c r="AT42" s="206"/>
      <c r="AU42" s="206"/>
      <c r="AV42" s="206"/>
      <c r="AZ42" s="1">
        <v>1</v>
      </c>
      <c r="BA42" s="46" t="s">
        <v>183</v>
      </c>
      <c r="BB42" s="206"/>
      <c r="BC42" s="206"/>
      <c r="BD42" s="206"/>
      <c r="BE42" s="206"/>
      <c r="BF42" s="206"/>
      <c r="BJ42" s="1">
        <v>1</v>
      </c>
      <c r="BK42" s="46" t="s">
        <v>183</v>
      </c>
      <c r="BL42" s="206"/>
      <c r="BM42" s="206"/>
      <c r="BN42" s="206"/>
      <c r="BO42" s="206"/>
      <c r="BP42" s="206"/>
      <c r="BT42" s="1">
        <v>1</v>
      </c>
      <c r="BU42" s="46" t="s">
        <v>183</v>
      </c>
      <c r="BV42" s="206"/>
      <c r="BW42" s="206"/>
      <c r="BX42" s="206"/>
      <c r="BY42" s="206"/>
      <c r="BZ42" s="206"/>
      <c r="CD42" s="1">
        <v>1</v>
      </c>
      <c r="CE42" s="46" t="s">
        <v>183</v>
      </c>
      <c r="CF42" s="206"/>
      <c r="CG42" s="206"/>
      <c r="CH42" s="206"/>
      <c r="CI42" s="206"/>
      <c r="CJ42" s="206"/>
      <c r="CN42" s="1">
        <v>1</v>
      </c>
      <c r="CO42" s="46" t="s">
        <v>183</v>
      </c>
      <c r="CP42" s="206"/>
      <c r="CQ42" s="206"/>
      <c r="CR42" s="206"/>
      <c r="CS42" s="206"/>
      <c r="CT42" s="206"/>
    </row>
    <row r="43" spans="2:98" x14ac:dyDescent="0.45">
      <c r="B43" s="1">
        <v>2</v>
      </c>
      <c r="C43" s="46" t="s">
        <v>184</v>
      </c>
      <c r="D43" s="206"/>
      <c r="E43" s="206"/>
      <c r="F43" s="206"/>
      <c r="G43" s="206"/>
      <c r="H43" s="206"/>
      <c r="L43" s="1">
        <v>2</v>
      </c>
      <c r="M43" s="46" t="s">
        <v>184</v>
      </c>
      <c r="N43" s="206"/>
      <c r="O43" s="206"/>
      <c r="P43" s="206"/>
      <c r="Q43" s="206"/>
      <c r="R43" s="206"/>
      <c r="V43" s="1">
        <v>2</v>
      </c>
      <c r="W43" s="46" t="s">
        <v>184</v>
      </c>
      <c r="X43" s="206"/>
      <c r="Y43" s="206"/>
      <c r="Z43" s="206"/>
      <c r="AA43" s="206"/>
      <c r="AB43" s="206"/>
      <c r="AF43" s="1">
        <v>2</v>
      </c>
      <c r="AG43" s="46" t="s">
        <v>184</v>
      </c>
      <c r="AH43" s="206"/>
      <c r="AI43" s="206"/>
      <c r="AJ43" s="206"/>
      <c r="AK43" s="206"/>
      <c r="AL43" s="206"/>
      <c r="AP43" s="1">
        <v>2</v>
      </c>
      <c r="AQ43" s="46" t="s">
        <v>184</v>
      </c>
      <c r="AR43" s="206"/>
      <c r="AS43" s="206"/>
      <c r="AT43" s="206"/>
      <c r="AU43" s="206"/>
      <c r="AV43" s="206"/>
      <c r="AZ43" s="1">
        <v>2</v>
      </c>
      <c r="BA43" s="46" t="s">
        <v>184</v>
      </c>
      <c r="BB43" s="206"/>
      <c r="BC43" s="206"/>
      <c r="BD43" s="206"/>
      <c r="BE43" s="206"/>
      <c r="BF43" s="206"/>
      <c r="BJ43" s="1">
        <v>2</v>
      </c>
      <c r="BK43" s="46" t="s">
        <v>184</v>
      </c>
      <c r="BL43" s="206"/>
      <c r="BM43" s="206"/>
      <c r="BN43" s="206"/>
      <c r="BO43" s="206"/>
      <c r="BP43" s="206"/>
      <c r="BT43" s="1">
        <v>2</v>
      </c>
      <c r="BU43" s="46" t="s">
        <v>184</v>
      </c>
      <c r="BV43" s="206"/>
      <c r="BW43" s="206"/>
      <c r="BX43" s="206"/>
      <c r="BY43" s="206"/>
      <c r="BZ43" s="206"/>
      <c r="CD43" s="1">
        <v>2</v>
      </c>
      <c r="CE43" s="46" t="s">
        <v>184</v>
      </c>
      <c r="CF43" s="206"/>
      <c r="CG43" s="206"/>
      <c r="CH43" s="206"/>
      <c r="CI43" s="206"/>
      <c r="CJ43" s="206"/>
      <c r="CN43" s="1">
        <v>2</v>
      </c>
      <c r="CO43" s="46" t="s">
        <v>184</v>
      </c>
      <c r="CP43" s="206"/>
      <c r="CQ43" s="206"/>
      <c r="CR43" s="206"/>
      <c r="CS43" s="206"/>
      <c r="CT43" s="206"/>
    </row>
    <row r="44" spans="2:98" x14ac:dyDescent="0.45">
      <c r="B44" s="1">
        <v>3</v>
      </c>
      <c r="C44" s="46" t="s">
        <v>185</v>
      </c>
      <c r="D44" s="206"/>
      <c r="E44" s="206"/>
      <c r="F44" s="206"/>
      <c r="G44" s="206"/>
      <c r="H44" s="206"/>
      <c r="L44" s="1">
        <v>3</v>
      </c>
      <c r="M44" s="46" t="s">
        <v>185</v>
      </c>
      <c r="N44" s="206"/>
      <c r="O44" s="206"/>
      <c r="P44" s="206"/>
      <c r="Q44" s="206"/>
      <c r="R44" s="206"/>
      <c r="V44" s="1">
        <v>3</v>
      </c>
      <c r="W44" s="46" t="s">
        <v>185</v>
      </c>
      <c r="X44" s="206"/>
      <c r="Y44" s="206"/>
      <c r="Z44" s="206"/>
      <c r="AA44" s="206"/>
      <c r="AB44" s="206"/>
      <c r="AF44" s="1">
        <v>3</v>
      </c>
      <c r="AG44" s="46" t="s">
        <v>185</v>
      </c>
      <c r="AH44" s="206"/>
      <c r="AI44" s="206"/>
      <c r="AJ44" s="206"/>
      <c r="AK44" s="206"/>
      <c r="AL44" s="206"/>
      <c r="AP44" s="1">
        <v>3</v>
      </c>
      <c r="AQ44" s="46" t="s">
        <v>185</v>
      </c>
      <c r="AR44" s="206"/>
      <c r="AS44" s="206"/>
      <c r="AT44" s="206"/>
      <c r="AU44" s="206"/>
      <c r="AV44" s="206"/>
      <c r="AZ44" s="1">
        <v>3</v>
      </c>
      <c r="BA44" s="46" t="s">
        <v>185</v>
      </c>
      <c r="BB44" s="206"/>
      <c r="BC44" s="206"/>
      <c r="BD44" s="206"/>
      <c r="BE44" s="206"/>
      <c r="BF44" s="206"/>
      <c r="BJ44" s="1">
        <v>3</v>
      </c>
      <c r="BK44" s="46" t="s">
        <v>185</v>
      </c>
      <c r="BL44" s="206"/>
      <c r="BM44" s="206"/>
      <c r="BN44" s="206"/>
      <c r="BO44" s="206"/>
      <c r="BP44" s="206"/>
      <c r="BT44" s="1">
        <v>3</v>
      </c>
      <c r="BU44" s="46" t="s">
        <v>185</v>
      </c>
      <c r="BV44" s="206"/>
      <c r="BW44" s="206"/>
      <c r="BX44" s="206"/>
      <c r="BY44" s="206"/>
      <c r="BZ44" s="206"/>
      <c r="CD44" s="1">
        <v>3</v>
      </c>
      <c r="CE44" s="46" t="s">
        <v>185</v>
      </c>
      <c r="CF44" s="206"/>
      <c r="CG44" s="206"/>
      <c r="CH44" s="206"/>
      <c r="CI44" s="206"/>
      <c r="CJ44" s="206"/>
      <c r="CN44" s="1">
        <v>3</v>
      </c>
      <c r="CO44" s="46" t="s">
        <v>185</v>
      </c>
      <c r="CP44" s="206"/>
      <c r="CQ44" s="206"/>
      <c r="CR44" s="206"/>
      <c r="CS44" s="206"/>
      <c r="CT44" s="206"/>
    </row>
    <row r="45" spans="2:98" x14ac:dyDescent="0.45">
      <c r="B45" s="1">
        <v>4</v>
      </c>
      <c r="C45" s="46" t="s">
        <v>186</v>
      </c>
      <c r="D45" s="206"/>
      <c r="E45" s="206"/>
      <c r="F45" s="206"/>
      <c r="G45" s="206"/>
      <c r="H45" s="206"/>
      <c r="L45" s="1">
        <v>4</v>
      </c>
      <c r="M45" s="46" t="s">
        <v>186</v>
      </c>
      <c r="N45" s="206"/>
      <c r="O45" s="206"/>
      <c r="P45" s="206"/>
      <c r="Q45" s="206"/>
      <c r="R45" s="206"/>
      <c r="V45" s="1">
        <v>4</v>
      </c>
      <c r="W45" s="46" t="s">
        <v>186</v>
      </c>
      <c r="X45" s="206"/>
      <c r="Y45" s="206"/>
      <c r="Z45" s="206"/>
      <c r="AA45" s="206"/>
      <c r="AB45" s="206"/>
      <c r="AF45" s="1">
        <v>4</v>
      </c>
      <c r="AG45" s="46" t="s">
        <v>186</v>
      </c>
      <c r="AH45" s="206"/>
      <c r="AI45" s="206"/>
      <c r="AJ45" s="206"/>
      <c r="AK45" s="206"/>
      <c r="AL45" s="206"/>
      <c r="AP45" s="1">
        <v>4</v>
      </c>
      <c r="AQ45" s="46" t="s">
        <v>186</v>
      </c>
      <c r="AR45" s="206"/>
      <c r="AS45" s="206"/>
      <c r="AT45" s="206"/>
      <c r="AU45" s="206"/>
      <c r="AV45" s="206"/>
      <c r="AZ45" s="1">
        <v>4</v>
      </c>
      <c r="BA45" s="46" t="s">
        <v>186</v>
      </c>
      <c r="BB45" s="206"/>
      <c r="BC45" s="206"/>
      <c r="BD45" s="206"/>
      <c r="BE45" s="206"/>
      <c r="BF45" s="206"/>
      <c r="BJ45" s="1">
        <v>4</v>
      </c>
      <c r="BK45" s="46" t="s">
        <v>186</v>
      </c>
      <c r="BL45" s="206"/>
      <c r="BM45" s="206"/>
      <c r="BN45" s="206"/>
      <c r="BO45" s="206"/>
      <c r="BP45" s="206"/>
      <c r="BT45" s="1">
        <v>4</v>
      </c>
      <c r="BU45" s="46" t="s">
        <v>186</v>
      </c>
      <c r="BV45" s="206"/>
      <c r="BW45" s="206"/>
      <c r="BX45" s="206"/>
      <c r="BY45" s="206"/>
      <c r="BZ45" s="206"/>
      <c r="CD45" s="1">
        <v>4</v>
      </c>
      <c r="CE45" s="46" t="s">
        <v>186</v>
      </c>
      <c r="CF45" s="206"/>
      <c r="CG45" s="206"/>
      <c r="CH45" s="206"/>
      <c r="CI45" s="206"/>
      <c r="CJ45" s="206"/>
      <c r="CN45" s="1">
        <v>4</v>
      </c>
      <c r="CO45" s="46" t="s">
        <v>186</v>
      </c>
      <c r="CP45" s="206"/>
      <c r="CQ45" s="206"/>
      <c r="CR45" s="206"/>
      <c r="CS45" s="206"/>
      <c r="CT45" s="206"/>
    </row>
    <row r="46" spans="2:98" x14ac:dyDescent="0.45">
      <c r="B46" s="37">
        <v>5</v>
      </c>
      <c r="C46" s="48" t="s">
        <v>187</v>
      </c>
      <c r="D46" s="206"/>
      <c r="E46" s="206"/>
      <c r="F46" s="206"/>
      <c r="G46" s="206"/>
      <c r="H46" s="206"/>
      <c r="L46" s="37">
        <v>5</v>
      </c>
      <c r="M46" s="48" t="s">
        <v>187</v>
      </c>
      <c r="N46" s="206"/>
      <c r="O46" s="206"/>
      <c r="P46" s="206"/>
      <c r="Q46" s="206"/>
      <c r="R46" s="206"/>
      <c r="V46" s="37">
        <v>5</v>
      </c>
      <c r="W46" s="48" t="s">
        <v>187</v>
      </c>
      <c r="X46" s="206"/>
      <c r="Y46" s="206"/>
      <c r="Z46" s="206"/>
      <c r="AA46" s="206"/>
      <c r="AB46" s="206"/>
      <c r="AF46" s="37">
        <v>5</v>
      </c>
      <c r="AG46" s="48" t="s">
        <v>187</v>
      </c>
      <c r="AH46" s="206"/>
      <c r="AI46" s="206"/>
      <c r="AJ46" s="206"/>
      <c r="AK46" s="206"/>
      <c r="AL46" s="206"/>
      <c r="AP46" s="37">
        <v>5</v>
      </c>
      <c r="AQ46" s="48" t="s">
        <v>187</v>
      </c>
      <c r="AR46" s="206"/>
      <c r="AS46" s="206"/>
      <c r="AT46" s="206"/>
      <c r="AU46" s="206"/>
      <c r="AV46" s="206"/>
      <c r="AZ46" s="37">
        <v>5</v>
      </c>
      <c r="BA46" s="48" t="s">
        <v>187</v>
      </c>
      <c r="BB46" s="206"/>
      <c r="BC46" s="206"/>
      <c r="BD46" s="206"/>
      <c r="BE46" s="206"/>
      <c r="BF46" s="206"/>
      <c r="BJ46" s="37">
        <v>5</v>
      </c>
      <c r="BK46" s="48" t="s">
        <v>187</v>
      </c>
      <c r="BL46" s="206"/>
      <c r="BM46" s="206"/>
      <c r="BN46" s="206"/>
      <c r="BO46" s="206"/>
      <c r="BP46" s="206"/>
      <c r="BT46" s="37">
        <v>5</v>
      </c>
      <c r="BU46" s="48" t="s">
        <v>187</v>
      </c>
      <c r="BV46" s="206"/>
      <c r="BW46" s="206"/>
      <c r="BX46" s="206"/>
      <c r="BY46" s="206"/>
      <c r="BZ46" s="206"/>
      <c r="CD46" s="37">
        <v>5</v>
      </c>
      <c r="CE46" s="48" t="s">
        <v>187</v>
      </c>
      <c r="CF46" s="206"/>
      <c r="CG46" s="206"/>
      <c r="CH46" s="206"/>
      <c r="CI46" s="206"/>
      <c r="CJ46" s="206"/>
      <c r="CN46" s="37">
        <v>5</v>
      </c>
      <c r="CO46" s="48" t="s">
        <v>187</v>
      </c>
      <c r="CP46" s="206"/>
      <c r="CQ46" s="206"/>
      <c r="CR46" s="206"/>
      <c r="CS46" s="206"/>
      <c r="CT46" s="206"/>
    </row>
    <row r="47" spans="2:98" x14ac:dyDescent="0.45">
      <c r="C47" s="24"/>
      <c r="D47" s="25"/>
      <c r="E47" s="25"/>
      <c r="F47" s="25"/>
      <c r="G47" s="25"/>
      <c r="H47" s="25"/>
      <c r="M47" s="24"/>
      <c r="N47" s="25"/>
      <c r="O47" s="25"/>
      <c r="P47" s="25"/>
      <c r="Q47" s="25"/>
      <c r="R47" s="25"/>
      <c r="W47" s="24"/>
      <c r="X47" s="25"/>
      <c r="Y47" s="25"/>
      <c r="Z47" s="25"/>
      <c r="AA47" s="25"/>
      <c r="AB47" s="25"/>
      <c r="AG47" s="24"/>
      <c r="AH47" s="25"/>
      <c r="AI47" s="25"/>
      <c r="AJ47" s="25"/>
      <c r="AK47" s="25"/>
      <c r="AL47" s="25"/>
      <c r="AQ47" s="24"/>
      <c r="AR47" s="25"/>
      <c r="AS47" s="25"/>
      <c r="AT47" s="25"/>
      <c r="AU47" s="25"/>
      <c r="AV47" s="25"/>
      <c r="BA47" s="24"/>
      <c r="BB47" s="25"/>
      <c r="BC47" s="25"/>
      <c r="BD47" s="25"/>
      <c r="BE47" s="25"/>
      <c r="BF47" s="25"/>
      <c r="BK47" s="24"/>
      <c r="BL47" s="25"/>
      <c r="BM47" s="25"/>
      <c r="BN47" s="25"/>
      <c r="BO47" s="25"/>
      <c r="BP47" s="25"/>
      <c r="BU47" s="24"/>
      <c r="BV47" s="25"/>
      <c r="BW47" s="25"/>
      <c r="BX47" s="25"/>
      <c r="BY47" s="25"/>
      <c r="BZ47" s="25"/>
      <c r="CE47" s="24"/>
      <c r="CF47" s="25"/>
      <c r="CG47" s="25"/>
      <c r="CH47" s="25"/>
      <c r="CI47" s="25"/>
      <c r="CJ47" s="25"/>
      <c r="CO47" s="24"/>
      <c r="CP47" s="25"/>
      <c r="CQ47" s="25"/>
      <c r="CR47" s="25"/>
      <c r="CS47" s="25"/>
      <c r="CT47" s="25"/>
    </row>
    <row r="48" spans="2:98" ht="15" customHeight="1" x14ac:dyDescent="0.45">
      <c r="B48" s="221" t="s">
        <v>188</v>
      </c>
      <c r="C48" s="222"/>
      <c r="D48" s="222"/>
      <c r="E48" s="222"/>
      <c r="F48" s="222"/>
      <c r="G48" s="6" t="s">
        <v>189</v>
      </c>
      <c r="H48" s="82" t="str">
        <f>IF(AND(E60=100%,G60=100%),"Yes","No")</f>
        <v>No</v>
      </c>
      <c r="L48" s="221" t="s">
        <v>188</v>
      </c>
      <c r="M48" s="222"/>
      <c r="N48" s="222"/>
      <c r="O48" s="222"/>
      <c r="P48" s="222"/>
      <c r="Q48" s="6" t="s">
        <v>189</v>
      </c>
      <c r="R48" s="82" t="str">
        <f>IF(AND(O60=100%,Q60=100%),"Yes","No")</f>
        <v>Yes</v>
      </c>
      <c r="V48" s="221" t="s">
        <v>188</v>
      </c>
      <c r="W48" s="222"/>
      <c r="X48" s="222"/>
      <c r="Y48" s="222"/>
      <c r="Z48" s="222"/>
      <c r="AA48" s="6" t="s">
        <v>189</v>
      </c>
      <c r="AB48" s="82" t="str">
        <f>IF(AND(Y60=100%,AA60=100%),"Yes","No")</f>
        <v>No</v>
      </c>
      <c r="AF48" s="221" t="s">
        <v>188</v>
      </c>
      <c r="AG48" s="222"/>
      <c r="AH48" s="222"/>
      <c r="AI48" s="222"/>
      <c r="AJ48" s="222"/>
      <c r="AK48" s="6" t="s">
        <v>189</v>
      </c>
      <c r="AL48" s="82" t="str">
        <f>IF(AND(AI60=100%,AK60=100%),"Yes","No")</f>
        <v>No</v>
      </c>
      <c r="AP48" s="221" t="s">
        <v>188</v>
      </c>
      <c r="AQ48" s="222"/>
      <c r="AR48" s="222"/>
      <c r="AS48" s="222"/>
      <c r="AT48" s="222"/>
      <c r="AU48" s="6" t="s">
        <v>189</v>
      </c>
      <c r="AV48" s="82" t="str">
        <f>IF(AND(AS60=100%,AU60=100%),"Yes","No")</f>
        <v>No</v>
      </c>
      <c r="AZ48" s="221" t="s">
        <v>188</v>
      </c>
      <c r="BA48" s="222"/>
      <c r="BB48" s="222"/>
      <c r="BC48" s="222"/>
      <c r="BD48" s="222"/>
      <c r="BE48" s="6" t="s">
        <v>189</v>
      </c>
      <c r="BF48" s="82" t="str">
        <f>IF(AND(BC60=100%,BE60=100%),"Yes","No")</f>
        <v>No</v>
      </c>
      <c r="BJ48" s="221" t="s">
        <v>188</v>
      </c>
      <c r="BK48" s="222"/>
      <c r="BL48" s="222"/>
      <c r="BM48" s="222"/>
      <c r="BN48" s="222"/>
      <c r="BO48" s="6" t="s">
        <v>189</v>
      </c>
      <c r="BP48" s="82" t="str">
        <f>IF(AND(BM60=100%,BO60=100%),"Yes","No")</f>
        <v>No</v>
      </c>
      <c r="BT48" s="221" t="s">
        <v>188</v>
      </c>
      <c r="BU48" s="222"/>
      <c r="BV48" s="222"/>
      <c r="BW48" s="222"/>
      <c r="BX48" s="222"/>
      <c r="BY48" s="6" t="s">
        <v>189</v>
      </c>
      <c r="BZ48" s="82" t="str">
        <f>IF(AND(BW60=100%,BY60=100%),"Yes","No")</f>
        <v>No</v>
      </c>
      <c r="CD48" s="221" t="s">
        <v>188</v>
      </c>
      <c r="CE48" s="222"/>
      <c r="CF48" s="222"/>
      <c r="CG48" s="222"/>
      <c r="CH48" s="222"/>
      <c r="CI48" s="6" t="s">
        <v>189</v>
      </c>
      <c r="CJ48" s="82" t="str">
        <f>IF(AND(CG60=100%,CI60=100%),"Yes","No")</f>
        <v>No</v>
      </c>
      <c r="CN48" s="221" t="s">
        <v>188</v>
      </c>
      <c r="CO48" s="222"/>
      <c r="CP48" s="222"/>
      <c r="CQ48" s="222"/>
      <c r="CR48" s="222"/>
      <c r="CS48" s="6" t="s">
        <v>189</v>
      </c>
      <c r="CT48" s="82" t="str">
        <f>IF(AND(CQ60=100%,CS60=100%),"Yes","No")</f>
        <v>No</v>
      </c>
    </row>
    <row r="49" spans="2:98" ht="29" customHeight="1" x14ac:dyDescent="0.45">
      <c r="B49" s="15"/>
      <c r="C49" s="69" t="s">
        <v>190</v>
      </c>
      <c r="D49" s="79" t="s">
        <v>191</v>
      </c>
      <c r="E49" s="112" t="s">
        <v>192</v>
      </c>
      <c r="F49" s="79" t="s">
        <v>193</v>
      </c>
      <c r="G49" s="79" t="s">
        <v>194</v>
      </c>
      <c r="H49" s="79" t="s">
        <v>195</v>
      </c>
      <c r="L49" s="16"/>
      <c r="M49" s="69" t="s">
        <v>190</v>
      </c>
      <c r="N49" s="79" t="s">
        <v>191</v>
      </c>
      <c r="O49" s="112" t="s">
        <v>192</v>
      </c>
      <c r="P49" s="79" t="s">
        <v>193</v>
      </c>
      <c r="Q49" s="79" t="s">
        <v>194</v>
      </c>
      <c r="R49" s="79" t="s">
        <v>195</v>
      </c>
      <c r="V49" s="16"/>
      <c r="W49" s="69" t="s">
        <v>190</v>
      </c>
      <c r="X49" s="79" t="s">
        <v>191</v>
      </c>
      <c r="Y49" s="112" t="s">
        <v>192</v>
      </c>
      <c r="Z49" s="79" t="s">
        <v>193</v>
      </c>
      <c r="AA49" s="79" t="s">
        <v>194</v>
      </c>
      <c r="AB49" s="79" t="s">
        <v>195</v>
      </c>
      <c r="AF49" s="16"/>
      <c r="AG49" s="69" t="s">
        <v>190</v>
      </c>
      <c r="AH49" s="79" t="s">
        <v>191</v>
      </c>
      <c r="AI49" s="112" t="s">
        <v>192</v>
      </c>
      <c r="AJ49" s="79" t="s">
        <v>193</v>
      </c>
      <c r="AK49" s="79" t="s">
        <v>194</v>
      </c>
      <c r="AL49" s="79" t="s">
        <v>195</v>
      </c>
      <c r="AP49" s="16"/>
      <c r="AQ49" s="69" t="s">
        <v>190</v>
      </c>
      <c r="AR49" s="79" t="s">
        <v>191</v>
      </c>
      <c r="AS49" s="112" t="s">
        <v>192</v>
      </c>
      <c r="AT49" s="79" t="s">
        <v>193</v>
      </c>
      <c r="AU49" s="79" t="s">
        <v>194</v>
      </c>
      <c r="AV49" s="79" t="s">
        <v>195</v>
      </c>
      <c r="AZ49" s="16"/>
      <c r="BA49" s="69" t="s">
        <v>190</v>
      </c>
      <c r="BB49" s="79" t="s">
        <v>191</v>
      </c>
      <c r="BC49" s="112" t="s">
        <v>192</v>
      </c>
      <c r="BD49" s="79" t="s">
        <v>193</v>
      </c>
      <c r="BE49" s="79" t="s">
        <v>194</v>
      </c>
      <c r="BF49" s="79" t="s">
        <v>195</v>
      </c>
      <c r="BJ49" s="16"/>
      <c r="BK49" s="69" t="s">
        <v>190</v>
      </c>
      <c r="BL49" s="79" t="s">
        <v>191</v>
      </c>
      <c r="BM49" s="112" t="s">
        <v>192</v>
      </c>
      <c r="BN49" s="79" t="s">
        <v>193</v>
      </c>
      <c r="BO49" s="79" t="s">
        <v>194</v>
      </c>
      <c r="BP49" s="79" t="s">
        <v>195</v>
      </c>
      <c r="BT49" s="16"/>
      <c r="BU49" s="69" t="s">
        <v>190</v>
      </c>
      <c r="BV49" s="79" t="s">
        <v>191</v>
      </c>
      <c r="BW49" s="112" t="s">
        <v>192</v>
      </c>
      <c r="BX49" s="79" t="s">
        <v>193</v>
      </c>
      <c r="BY49" s="79" t="s">
        <v>194</v>
      </c>
      <c r="BZ49" s="79" t="s">
        <v>195</v>
      </c>
      <c r="CD49" s="16"/>
      <c r="CE49" s="69" t="s">
        <v>190</v>
      </c>
      <c r="CF49" s="79" t="s">
        <v>191</v>
      </c>
      <c r="CG49" s="112" t="s">
        <v>192</v>
      </c>
      <c r="CH49" s="79" t="s">
        <v>193</v>
      </c>
      <c r="CI49" s="79" t="s">
        <v>194</v>
      </c>
      <c r="CJ49" s="79" t="s">
        <v>195</v>
      </c>
      <c r="CN49" s="16"/>
      <c r="CO49" s="69" t="s">
        <v>190</v>
      </c>
      <c r="CP49" s="79" t="s">
        <v>191</v>
      </c>
      <c r="CQ49" s="112" t="s">
        <v>192</v>
      </c>
      <c r="CR49" s="79" t="s">
        <v>193</v>
      </c>
      <c r="CS49" s="79" t="s">
        <v>194</v>
      </c>
      <c r="CT49" s="79" t="s">
        <v>195</v>
      </c>
    </row>
    <row r="50" spans="2:98" ht="14.75" customHeight="1" x14ac:dyDescent="0.45">
      <c r="B50" s="15"/>
      <c r="C50" s="53" t="s">
        <v>196</v>
      </c>
      <c r="D50" s="68"/>
      <c r="E50" s="68"/>
      <c r="F50" s="68"/>
      <c r="G50" s="70"/>
      <c r="H50" s="68"/>
      <c r="L50" s="15"/>
      <c r="M50" s="53" t="s">
        <v>196</v>
      </c>
      <c r="N50" s="68"/>
      <c r="O50" s="68"/>
      <c r="P50" s="68"/>
      <c r="Q50" s="70"/>
      <c r="R50" s="68"/>
      <c r="V50" s="15"/>
      <c r="W50" s="53" t="s">
        <v>196</v>
      </c>
      <c r="X50" s="68"/>
      <c r="Y50" s="68"/>
      <c r="Z50" s="68"/>
      <c r="AA50" s="70"/>
      <c r="AB50" s="68"/>
      <c r="AF50" s="15"/>
      <c r="AG50" s="53" t="s">
        <v>196</v>
      </c>
      <c r="AH50" s="68"/>
      <c r="AI50" s="68"/>
      <c r="AJ50" s="68"/>
      <c r="AK50" s="70"/>
      <c r="AL50" s="68"/>
      <c r="AP50" s="15"/>
      <c r="AQ50" s="53" t="s">
        <v>196</v>
      </c>
      <c r="AR50" s="68"/>
      <c r="AS50" s="68"/>
      <c r="AT50" s="68"/>
      <c r="AU50" s="70"/>
      <c r="AV50" s="68"/>
      <c r="AZ50" s="15"/>
      <c r="BA50" s="53" t="s">
        <v>196</v>
      </c>
      <c r="BB50" s="68"/>
      <c r="BC50" s="68"/>
      <c r="BD50" s="68"/>
      <c r="BE50" s="70"/>
      <c r="BF50" s="68"/>
      <c r="BJ50" s="15"/>
      <c r="BK50" s="53" t="s">
        <v>196</v>
      </c>
      <c r="BL50" s="68"/>
      <c r="BM50" s="68"/>
      <c r="BN50" s="68"/>
      <c r="BO50" s="70"/>
      <c r="BP50" s="68"/>
      <c r="BT50" s="15"/>
      <c r="BU50" s="53" t="s">
        <v>196</v>
      </c>
      <c r="BV50" s="68"/>
      <c r="BW50" s="68"/>
      <c r="BX50" s="68"/>
      <c r="BY50" s="70"/>
      <c r="BZ50" s="68"/>
      <c r="CD50" s="15"/>
      <c r="CE50" s="53" t="s">
        <v>196</v>
      </c>
      <c r="CF50" s="68"/>
      <c r="CG50" s="68"/>
      <c r="CH50" s="68"/>
      <c r="CI50" s="70"/>
      <c r="CJ50" s="68"/>
      <c r="CN50" s="15"/>
      <c r="CO50" s="53" t="s">
        <v>196</v>
      </c>
      <c r="CP50" s="68"/>
      <c r="CQ50" s="68"/>
      <c r="CR50" s="68"/>
      <c r="CS50" s="70"/>
      <c r="CT50" s="68"/>
    </row>
    <row r="51" spans="2:98" x14ac:dyDescent="0.45">
      <c r="B51" s="15"/>
      <c r="C51" s="71" t="s">
        <v>197</v>
      </c>
      <c r="D51" s="139">
        <v>0</v>
      </c>
      <c r="E51" s="140">
        <v>0.36</v>
      </c>
      <c r="F51" s="139">
        <v>0.85</v>
      </c>
      <c r="G51" s="140">
        <v>0.36</v>
      </c>
      <c r="H51" s="58"/>
      <c r="L51" s="15"/>
      <c r="M51" s="71" t="s">
        <v>197</v>
      </c>
      <c r="N51" s="140">
        <v>0</v>
      </c>
      <c r="O51" s="140">
        <v>0</v>
      </c>
      <c r="P51" s="140">
        <v>0.2</v>
      </c>
      <c r="Q51" s="140">
        <v>0</v>
      </c>
      <c r="R51" s="58"/>
      <c r="V51" s="15"/>
      <c r="W51" s="71" t="s">
        <v>197</v>
      </c>
      <c r="X51" s="58"/>
      <c r="Y51" s="58"/>
      <c r="Z51" s="58"/>
      <c r="AA51" s="93"/>
      <c r="AB51" s="58"/>
      <c r="AF51" s="15"/>
      <c r="AG51" s="71" t="s">
        <v>197</v>
      </c>
      <c r="AH51" s="58"/>
      <c r="AI51" s="58"/>
      <c r="AJ51" s="58"/>
      <c r="AK51" s="93"/>
      <c r="AL51" s="58"/>
      <c r="AP51" s="15"/>
      <c r="AQ51" s="71" t="s">
        <v>197</v>
      </c>
      <c r="AR51" s="58"/>
      <c r="AS51" s="58"/>
      <c r="AT51" s="58"/>
      <c r="AU51" s="93"/>
      <c r="AV51" s="58"/>
      <c r="AZ51" s="15"/>
      <c r="BA51" s="71" t="s">
        <v>197</v>
      </c>
      <c r="BB51" s="58"/>
      <c r="BC51" s="58"/>
      <c r="BD51" s="58"/>
      <c r="BE51" s="93"/>
      <c r="BF51" s="58"/>
      <c r="BJ51" s="15"/>
      <c r="BK51" s="71" t="s">
        <v>197</v>
      </c>
      <c r="BL51" s="58"/>
      <c r="BM51" s="58"/>
      <c r="BN51" s="58"/>
      <c r="BO51" s="93"/>
      <c r="BP51" s="58"/>
      <c r="BT51" s="15"/>
      <c r="BU51" s="71" t="s">
        <v>197</v>
      </c>
      <c r="BV51" s="58"/>
      <c r="BW51" s="58"/>
      <c r="BX51" s="58"/>
      <c r="BY51" s="93"/>
      <c r="BZ51" s="58"/>
      <c r="CD51" s="15"/>
      <c r="CE51" s="71" t="s">
        <v>197</v>
      </c>
      <c r="CF51" s="58"/>
      <c r="CG51" s="58"/>
      <c r="CH51" s="58"/>
      <c r="CI51" s="93"/>
      <c r="CJ51" s="58"/>
      <c r="CN51" s="15"/>
      <c r="CO51" s="71" t="s">
        <v>197</v>
      </c>
      <c r="CP51" s="58"/>
      <c r="CQ51" s="58"/>
      <c r="CR51" s="58"/>
      <c r="CS51" s="93"/>
      <c r="CT51" s="58"/>
    </row>
    <row r="52" spans="2:98" x14ac:dyDescent="0.45">
      <c r="B52" s="15"/>
      <c r="C52" s="71" t="s">
        <v>198</v>
      </c>
      <c r="D52" s="139">
        <v>0</v>
      </c>
      <c r="E52" s="140">
        <v>0.45</v>
      </c>
      <c r="F52" s="139">
        <v>0.85</v>
      </c>
      <c r="G52" s="140">
        <v>0.45</v>
      </c>
      <c r="H52" s="58"/>
      <c r="L52" s="15"/>
      <c r="M52" s="71" t="s">
        <v>198</v>
      </c>
      <c r="N52" s="140">
        <v>0</v>
      </c>
      <c r="O52" s="140">
        <v>0</v>
      </c>
      <c r="P52" s="140">
        <v>0.2</v>
      </c>
      <c r="Q52" s="140">
        <v>0</v>
      </c>
      <c r="R52" s="58"/>
      <c r="V52" s="15"/>
      <c r="W52" s="71" t="s">
        <v>198</v>
      </c>
      <c r="X52" s="58"/>
      <c r="Y52" s="58"/>
      <c r="Z52" s="58"/>
      <c r="AA52" s="93"/>
      <c r="AB52" s="58"/>
      <c r="AF52" s="15"/>
      <c r="AG52" s="71" t="s">
        <v>198</v>
      </c>
      <c r="AH52" s="58"/>
      <c r="AI52" s="58"/>
      <c r="AJ52" s="58"/>
      <c r="AK52" s="93"/>
      <c r="AL52" s="58"/>
      <c r="AP52" s="15"/>
      <c r="AQ52" s="71" t="s">
        <v>198</v>
      </c>
      <c r="AR52" s="58"/>
      <c r="AS52" s="58"/>
      <c r="AT52" s="58"/>
      <c r="AU52" s="93"/>
      <c r="AV52" s="58"/>
      <c r="AZ52" s="15"/>
      <c r="BA52" s="71" t="s">
        <v>198</v>
      </c>
      <c r="BB52" s="58"/>
      <c r="BC52" s="58"/>
      <c r="BD52" s="58"/>
      <c r="BE52" s="93"/>
      <c r="BF52" s="58"/>
      <c r="BJ52" s="15"/>
      <c r="BK52" s="71" t="s">
        <v>198</v>
      </c>
      <c r="BL52" s="58"/>
      <c r="BM52" s="58"/>
      <c r="BN52" s="58"/>
      <c r="BO52" s="93"/>
      <c r="BP52" s="58"/>
      <c r="BT52" s="15"/>
      <c r="BU52" s="71" t="s">
        <v>198</v>
      </c>
      <c r="BV52" s="58"/>
      <c r="BW52" s="58"/>
      <c r="BX52" s="58"/>
      <c r="BY52" s="93"/>
      <c r="BZ52" s="58"/>
      <c r="CD52" s="15"/>
      <c r="CE52" s="71" t="s">
        <v>198</v>
      </c>
      <c r="CF52" s="58"/>
      <c r="CG52" s="58"/>
      <c r="CH52" s="58"/>
      <c r="CI52" s="93"/>
      <c r="CJ52" s="58"/>
      <c r="CN52" s="15"/>
      <c r="CO52" s="71" t="s">
        <v>198</v>
      </c>
      <c r="CP52" s="58"/>
      <c r="CQ52" s="58"/>
      <c r="CR52" s="58"/>
      <c r="CS52" s="93"/>
      <c r="CT52" s="58"/>
    </row>
    <row r="53" spans="2:98" ht="16.5" customHeight="1" x14ac:dyDescent="0.45">
      <c r="B53" s="15"/>
      <c r="C53" s="114" t="s">
        <v>199</v>
      </c>
      <c r="D53" s="204">
        <v>0</v>
      </c>
      <c r="E53" s="141">
        <v>0.03</v>
      </c>
      <c r="F53" s="200">
        <v>0.35</v>
      </c>
      <c r="G53" s="202">
        <v>0.17</v>
      </c>
      <c r="H53" s="196"/>
      <c r="L53" s="15"/>
      <c r="M53" s="114" t="s">
        <v>199</v>
      </c>
      <c r="N53" s="225">
        <v>0</v>
      </c>
      <c r="O53" s="141">
        <v>0</v>
      </c>
      <c r="P53" s="227">
        <v>0.2</v>
      </c>
      <c r="Q53" s="218">
        <v>0</v>
      </c>
      <c r="R53" s="196"/>
      <c r="V53" s="15"/>
      <c r="W53" s="114" t="s">
        <v>199</v>
      </c>
      <c r="X53" s="198"/>
      <c r="Y53" s="115"/>
      <c r="Z53" s="192"/>
      <c r="AA53" s="194"/>
      <c r="AB53" s="196"/>
      <c r="AF53" s="15"/>
      <c r="AG53" s="114" t="s">
        <v>199</v>
      </c>
      <c r="AH53" s="198"/>
      <c r="AI53" s="115"/>
      <c r="AJ53" s="192"/>
      <c r="AK53" s="194"/>
      <c r="AL53" s="196"/>
      <c r="AP53" s="15"/>
      <c r="AQ53" s="114" t="s">
        <v>199</v>
      </c>
      <c r="AR53" s="198"/>
      <c r="AS53" s="115"/>
      <c r="AT53" s="192"/>
      <c r="AU53" s="194"/>
      <c r="AV53" s="196"/>
      <c r="AZ53" s="15"/>
      <c r="BA53" s="114" t="s">
        <v>199</v>
      </c>
      <c r="BB53" s="198"/>
      <c r="BC53" s="115"/>
      <c r="BD53" s="192"/>
      <c r="BE53" s="194"/>
      <c r="BF53" s="196"/>
      <c r="BJ53" s="15"/>
      <c r="BK53" s="114" t="s">
        <v>199</v>
      </c>
      <c r="BL53" s="198"/>
      <c r="BM53" s="115"/>
      <c r="BN53" s="192"/>
      <c r="BO53" s="194"/>
      <c r="BP53" s="196"/>
      <c r="BT53" s="15"/>
      <c r="BU53" s="114" t="s">
        <v>199</v>
      </c>
      <c r="BV53" s="198"/>
      <c r="BW53" s="115"/>
      <c r="BX53" s="192"/>
      <c r="BY53" s="194"/>
      <c r="BZ53" s="196"/>
      <c r="CD53" s="15"/>
      <c r="CE53" s="114" t="s">
        <v>199</v>
      </c>
      <c r="CF53" s="198"/>
      <c r="CG53" s="115"/>
      <c r="CH53" s="192"/>
      <c r="CI53" s="194"/>
      <c r="CJ53" s="196"/>
      <c r="CN53" s="15"/>
      <c r="CO53" s="114" t="s">
        <v>199</v>
      </c>
      <c r="CP53" s="198"/>
      <c r="CQ53" s="115"/>
      <c r="CR53" s="192"/>
      <c r="CS53" s="194"/>
      <c r="CT53" s="196"/>
    </row>
    <row r="54" spans="2:98" x14ac:dyDescent="0.45">
      <c r="B54" s="15"/>
      <c r="C54" s="77" t="s">
        <v>200</v>
      </c>
      <c r="D54" s="205"/>
      <c r="E54" s="141">
        <v>0.14000000000000001</v>
      </c>
      <c r="F54" s="201"/>
      <c r="G54" s="203"/>
      <c r="H54" s="197"/>
      <c r="L54" s="15"/>
      <c r="M54" s="77" t="s">
        <v>200</v>
      </c>
      <c r="N54" s="226"/>
      <c r="O54" s="141">
        <v>0</v>
      </c>
      <c r="P54" s="228"/>
      <c r="Q54" s="219"/>
      <c r="R54" s="197"/>
      <c r="V54" s="15"/>
      <c r="W54" s="77" t="s">
        <v>200</v>
      </c>
      <c r="X54" s="199"/>
      <c r="Y54" s="115"/>
      <c r="Z54" s="193"/>
      <c r="AA54" s="195"/>
      <c r="AB54" s="197"/>
      <c r="AF54" s="15"/>
      <c r="AG54" s="77" t="s">
        <v>200</v>
      </c>
      <c r="AH54" s="199"/>
      <c r="AI54" s="115"/>
      <c r="AJ54" s="193"/>
      <c r="AK54" s="195"/>
      <c r="AL54" s="197"/>
      <c r="AP54" s="15"/>
      <c r="AQ54" s="77" t="s">
        <v>200</v>
      </c>
      <c r="AR54" s="199"/>
      <c r="AS54" s="115"/>
      <c r="AT54" s="193"/>
      <c r="AU54" s="195"/>
      <c r="AV54" s="197"/>
      <c r="AZ54" s="15"/>
      <c r="BA54" s="77" t="s">
        <v>200</v>
      </c>
      <c r="BB54" s="199"/>
      <c r="BC54" s="115"/>
      <c r="BD54" s="193"/>
      <c r="BE54" s="195"/>
      <c r="BF54" s="197"/>
      <c r="BJ54" s="15"/>
      <c r="BK54" s="77" t="s">
        <v>200</v>
      </c>
      <c r="BL54" s="199"/>
      <c r="BM54" s="115"/>
      <c r="BN54" s="193"/>
      <c r="BO54" s="195"/>
      <c r="BP54" s="197"/>
      <c r="BT54" s="15"/>
      <c r="BU54" s="77" t="s">
        <v>200</v>
      </c>
      <c r="BV54" s="199"/>
      <c r="BW54" s="115"/>
      <c r="BX54" s="193"/>
      <c r="BY54" s="195"/>
      <c r="BZ54" s="197"/>
      <c r="CD54" s="15"/>
      <c r="CE54" s="77" t="s">
        <v>200</v>
      </c>
      <c r="CF54" s="199"/>
      <c r="CG54" s="115"/>
      <c r="CH54" s="193"/>
      <c r="CI54" s="195"/>
      <c r="CJ54" s="197"/>
      <c r="CN54" s="15"/>
      <c r="CO54" s="77" t="s">
        <v>200</v>
      </c>
      <c r="CP54" s="199"/>
      <c r="CQ54" s="115"/>
      <c r="CR54" s="193"/>
      <c r="CS54" s="195"/>
      <c r="CT54" s="197"/>
    </row>
    <row r="55" spans="2:98" x14ac:dyDescent="0.45">
      <c r="B55" s="15"/>
      <c r="C55" s="71" t="s">
        <v>201</v>
      </c>
      <c r="D55" s="139">
        <v>0</v>
      </c>
      <c r="E55" s="140">
        <v>0</v>
      </c>
      <c r="F55" s="139">
        <v>0.2</v>
      </c>
      <c r="G55" s="140">
        <v>0</v>
      </c>
      <c r="H55" s="58"/>
      <c r="L55" s="15"/>
      <c r="M55" s="71" t="s">
        <v>201</v>
      </c>
      <c r="N55" s="140">
        <v>0</v>
      </c>
      <c r="O55" s="140">
        <v>0</v>
      </c>
      <c r="P55" s="140">
        <v>0.2</v>
      </c>
      <c r="Q55" s="140">
        <v>0</v>
      </c>
      <c r="R55" s="58"/>
      <c r="V55" s="15"/>
      <c r="W55" s="71" t="s">
        <v>201</v>
      </c>
      <c r="X55" s="58"/>
      <c r="Y55" s="58"/>
      <c r="Z55" s="58"/>
      <c r="AA55" s="93"/>
      <c r="AB55" s="58"/>
      <c r="AF55" s="15"/>
      <c r="AG55" s="71" t="s">
        <v>201</v>
      </c>
      <c r="AH55" s="58"/>
      <c r="AI55" s="58"/>
      <c r="AJ55" s="58"/>
      <c r="AK55" s="93"/>
      <c r="AL55" s="58"/>
      <c r="AP55" s="15"/>
      <c r="AQ55" s="71" t="s">
        <v>201</v>
      </c>
      <c r="AR55" s="58"/>
      <c r="AS55" s="58"/>
      <c r="AT55" s="58"/>
      <c r="AU55" s="93"/>
      <c r="AV55" s="58"/>
      <c r="AZ55" s="15"/>
      <c r="BA55" s="71" t="s">
        <v>201</v>
      </c>
      <c r="BB55" s="58"/>
      <c r="BC55" s="58"/>
      <c r="BD55" s="58"/>
      <c r="BE55" s="93"/>
      <c r="BF55" s="58"/>
      <c r="BJ55" s="15"/>
      <c r="BK55" s="71" t="s">
        <v>201</v>
      </c>
      <c r="BL55" s="58"/>
      <c r="BM55" s="58"/>
      <c r="BN55" s="58"/>
      <c r="BO55" s="93"/>
      <c r="BP55" s="58"/>
      <c r="BT55" s="15"/>
      <c r="BU55" s="71" t="s">
        <v>201</v>
      </c>
      <c r="BV55" s="58"/>
      <c r="BW55" s="58"/>
      <c r="BX55" s="58"/>
      <c r="BY55" s="93"/>
      <c r="BZ55" s="58"/>
      <c r="CD55" s="15"/>
      <c r="CE55" s="71" t="s">
        <v>201</v>
      </c>
      <c r="CF55" s="58"/>
      <c r="CG55" s="58"/>
      <c r="CH55" s="58"/>
      <c r="CI55" s="93"/>
      <c r="CJ55" s="58"/>
      <c r="CN55" s="15"/>
      <c r="CO55" s="71" t="s">
        <v>201</v>
      </c>
      <c r="CP55" s="58"/>
      <c r="CQ55" s="58"/>
      <c r="CR55" s="58"/>
      <c r="CS55" s="93"/>
      <c r="CT55" s="58"/>
    </row>
    <row r="56" spans="2:98" x14ac:dyDescent="0.45">
      <c r="B56" s="38"/>
      <c r="C56" s="72" t="s">
        <v>202</v>
      </c>
      <c r="D56" s="129"/>
      <c r="E56" s="94"/>
      <c r="F56" s="129"/>
      <c r="G56" s="94"/>
      <c r="H56" s="95"/>
      <c r="L56" s="38"/>
      <c r="M56" s="72" t="s">
        <v>202</v>
      </c>
      <c r="N56" s="143"/>
      <c r="O56" s="143"/>
      <c r="P56" s="143"/>
      <c r="Q56" s="143"/>
      <c r="R56" s="95"/>
      <c r="V56" s="38"/>
      <c r="W56" s="72" t="s">
        <v>202</v>
      </c>
      <c r="X56" s="94"/>
      <c r="Y56" s="94"/>
      <c r="Z56" s="94"/>
      <c r="AA56" s="94"/>
      <c r="AB56" s="95"/>
      <c r="AF56" s="38"/>
      <c r="AG56" s="72" t="s">
        <v>202</v>
      </c>
      <c r="AH56" s="94"/>
      <c r="AI56" s="94"/>
      <c r="AJ56" s="94"/>
      <c r="AK56" s="94"/>
      <c r="AL56" s="95"/>
      <c r="AP56" s="38"/>
      <c r="AQ56" s="72" t="s">
        <v>202</v>
      </c>
      <c r="AR56" s="94"/>
      <c r="AS56" s="94"/>
      <c r="AT56" s="94"/>
      <c r="AU56" s="94"/>
      <c r="AV56" s="95"/>
      <c r="AZ56" s="38"/>
      <c r="BA56" s="72" t="s">
        <v>202</v>
      </c>
      <c r="BB56" s="94"/>
      <c r="BC56" s="94"/>
      <c r="BD56" s="94"/>
      <c r="BE56" s="94"/>
      <c r="BF56" s="95"/>
      <c r="BJ56" s="38"/>
      <c r="BK56" s="72" t="s">
        <v>202</v>
      </c>
      <c r="BL56" s="94"/>
      <c r="BM56" s="94"/>
      <c r="BN56" s="94"/>
      <c r="BO56" s="94"/>
      <c r="BP56" s="95"/>
      <c r="BT56" s="38"/>
      <c r="BU56" s="72" t="s">
        <v>202</v>
      </c>
      <c r="BV56" s="94"/>
      <c r="BW56" s="94"/>
      <c r="BX56" s="94"/>
      <c r="BY56" s="94"/>
      <c r="BZ56" s="95"/>
      <c r="CD56" s="38"/>
      <c r="CE56" s="72" t="s">
        <v>202</v>
      </c>
      <c r="CF56" s="94"/>
      <c r="CG56" s="94"/>
      <c r="CH56" s="94"/>
      <c r="CI56" s="94"/>
      <c r="CJ56" s="95"/>
      <c r="CN56" s="38"/>
      <c r="CO56" s="72" t="s">
        <v>202</v>
      </c>
      <c r="CP56" s="94"/>
      <c r="CQ56" s="94"/>
      <c r="CR56" s="94"/>
      <c r="CS56" s="94"/>
      <c r="CT56" s="95"/>
    </row>
    <row r="57" spans="2:98" x14ac:dyDescent="0.45">
      <c r="B57" s="15"/>
      <c r="C57" s="71" t="s">
        <v>113</v>
      </c>
      <c r="D57" s="139">
        <v>0</v>
      </c>
      <c r="E57" s="140">
        <v>0</v>
      </c>
      <c r="F57" s="139">
        <v>0.19</v>
      </c>
      <c r="G57" s="140">
        <v>0</v>
      </c>
      <c r="H57" s="58"/>
      <c r="L57" s="15"/>
      <c r="M57" s="71" t="s">
        <v>113</v>
      </c>
      <c r="N57" s="140">
        <v>0</v>
      </c>
      <c r="O57" s="140">
        <v>0.59</v>
      </c>
      <c r="P57" s="140">
        <v>0.98</v>
      </c>
      <c r="Q57" s="140">
        <v>0.59</v>
      </c>
      <c r="R57" s="58"/>
      <c r="V57" s="15"/>
      <c r="W57" s="71" t="s">
        <v>113</v>
      </c>
      <c r="X57" s="58"/>
      <c r="Y57" s="58"/>
      <c r="Z57" s="58"/>
      <c r="AA57" s="93"/>
      <c r="AB57" s="58"/>
      <c r="AF57" s="15"/>
      <c r="AG57" s="71" t="s">
        <v>113</v>
      </c>
      <c r="AH57" s="58"/>
      <c r="AI57" s="58"/>
      <c r="AJ57" s="58"/>
      <c r="AK57" s="93"/>
      <c r="AL57" s="58"/>
      <c r="AP57" s="15"/>
      <c r="AQ57" s="71" t="s">
        <v>113</v>
      </c>
      <c r="AR57" s="58"/>
      <c r="AS57" s="58"/>
      <c r="AT57" s="58"/>
      <c r="AU57" s="93"/>
      <c r="AV57" s="58"/>
      <c r="AZ57" s="15"/>
      <c r="BA57" s="71" t="s">
        <v>113</v>
      </c>
      <c r="BB57" s="58"/>
      <c r="BC57" s="58"/>
      <c r="BD57" s="58"/>
      <c r="BE57" s="93"/>
      <c r="BF57" s="58"/>
      <c r="BJ57" s="15"/>
      <c r="BK57" s="71" t="s">
        <v>113</v>
      </c>
      <c r="BL57" s="58"/>
      <c r="BM57" s="58"/>
      <c r="BN57" s="58"/>
      <c r="BO57" s="93"/>
      <c r="BP57" s="58"/>
      <c r="BT57" s="15"/>
      <c r="BU57" s="71" t="s">
        <v>113</v>
      </c>
      <c r="BV57" s="58"/>
      <c r="BW57" s="58"/>
      <c r="BX57" s="58"/>
      <c r="BY57" s="93"/>
      <c r="BZ57" s="58"/>
      <c r="CD57" s="15"/>
      <c r="CE57" s="71" t="s">
        <v>113</v>
      </c>
      <c r="CF57" s="58"/>
      <c r="CG57" s="58"/>
      <c r="CH57" s="58"/>
      <c r="CI57" s="93"/>
      <c r="CJ57" s="58"/>
      <c r="CN57" s="15"/>
      <c r="CO57" s="71" t="s">
        <v>113</v>
      </c>
      <c r="CP57" s="58"/>
      <c r="CQ57" s="58"/>
      <c r="CR57" s="58"/>
      <c r="CS57" s="93"/>
      <c r="CT57" s="58"/>
    </row>
    <row r="58" spans="2:98" x14ac:dyDescent="0.45">
      <c r="B58" s="15"/>
      <c r="C58" s="71" t="s">
        <v>203</v>
      </c>
      <c r="D58" s="139">
        <v>0</v>
      </c>
      <c r="E58" s="140">
        <v>0</v>
      </c>
      <c r="F58" s="139">
        <v>0.19</v>
      </c>
      <c r="G58" s="140">
        <v>0</v>
      </c>
      <c r="H58" s="58"/>
      <c r="L58" s="15"/>
      <c r="M58" s="71" t="s">
        <v>203</v>
      </c>
      <c r="N58" s="140">
        <v>0</v>
      </c>
      <c r="O58" s="140">
        <v>0.39</v>
      </c>
      <c r="P58" s="140">
        <v>0.98</v>
      </c>
      <c r="Q58" s="140">
        <v>0.39</v>
      </c>
      <c r="R58" s="58"/>
      <c r="V58" s="15"/>
      <c r="W58" s="71" t="s">
        <v>203</v>
      </c>
      <c r="X58" s="58"/>
      <c r="Y58" s="58"/>
      <c r="Z58" s="58"/>
      <c r="AA58" s="93"/>
      <c r="AB58" s="58"/>
      <c r="AF58" s="15"/>
      <c r="AG58" s="71" t="s">
        <v>203</v>
      </c>
      <c r="AH58" s="58"/>
      <c r="AI58" s="58"/>
      <c r="AJ58" s="58"/>
      <c r="AK58" s="93"/>
      <c r="AL58" s="58"/>
      <c r="AP58" s="15"/>
      <c r="AQ58" s="71" t="s">
        <v>203</v>
      </c>
      <c r="AR58" s="58"/>
      <c r="AS58" s="58"/>
      <c r="AT58" s="58"/>
      <c r="AU58" s="93"/>
      <c r="AV58" s="58"/>
      <c r="AZ58" s="15"/>
      <c r="BA58" s="71" t="s">
        <v>203</v>
      </c>
      <c r="BB58" s="58"/>
      <c r="BC58" s="58"/>
      <c r="BD58" s="58"/>
      <c r="BE58" s="93"/>
      <c r="BF58" s="58"/>
      <c r="BJ58" s="15"/>
      <c r="BK58" s="71" t="s">
        <v>203</v>
      </c>
      <c r="BL58" s="58"/>
      <c r="BM58" s="58"/>
      <c r="BN58" s="58"/>
      <c r="BO58" s="93"/>
      <c r="BP58" s="58"/>
      <c r="BT58" s="15"/>
      <c r="BU58" s="71" t="s">
        <v>203</v>
      </c>
      <c r="BV58" s="58"/>
      <c r="BW58" s="58"/>
      <c r="BX58" s="58"/>
      <c r="BY58" s="93"/>
      <c r="BZ58" s="58"/>
      <c r="CD58" s="15"/>
      <c r="CE58" s="71" t="s">
        <v>203</v>
      </c>
      <c r="CF58" s="58"/>
      <c r="CG58" s="58"/>
      <c r="CH58" s="58"/>
      <c r="CI58" s="93"/>
      <c r="CJ58" s="58"/>
      <c r="CN58" s="15"/>
      <c r="CO58" s="71" t="s">
        <v>203</v>
      </c>
      <c r="CP58" s="58"/>
      <c r="CQ58" s="58"/>
      <c r="CR58" s="58"/>
      <c r="CS58" s="93"/>
      <c r="CT58" s="58"/>
    </row>
    <row r="59" spans="2:98" x14ac:dyDescent="0.45">
      <c r="B59" s="15"/>
      <c r="C59" s="71" t="s">
        <v>204</v>
      </c>
      <c r="D59" s="142">
        <v>0.01</v>
      </c>
      <c r="E59" s="140">
        <v>0.02</v>
      </c>
      <c r="F59" s="142">
        <v>0.2</v>
      </c>
      <c r="G59" s="140">
        <v>0.02</v>
      </c>
      <c r="H59" s="58"/>
      <c r="L59" s="15"/>
      <c r="M59" s="71" t="s">
        <v>204</v>
      </c>
      <c r="N59" s="144">
        <v>0.01</v>
      </c>
      <c r="O59" s="140">
        <v>0.02</v>
      </c>
      <c r="P59" s="144">
        <v>1</v>
      </c>
      <c r="Q59" s="140">
        <v>0.02</v>
      </c>
      <c r="R59" s="58"/>
      <c r="V59" s="15"/>
      <c r="W59" s="71" t="s">
        <v>204</v>
      </c>
      <c r="X59" s="113"/>
      <c r="Y59" s="93"/>
      <c r="Z59" s="96"/>
      <c r="AA59" s="93"/>
      <c r="AB59" s="58"/>
      <c r="AF59" s="15"/>
      <c r="AG59" s="71" t="s">
        <v>204</v>
      </c>
      <c r="AH59" s="113"/>
      <c r="AI59" s="93"/>
      <c r="AJ59" s="96"/>
      <c r="AK59" s="93"/>
      <c r="AL59" s="58"/>
      <c r="AP59" s="15"/>
      <c r="AQ59" s="71" t="s">
        <v>204</v>
      </c>
      <c r="AR59" s="113"/>
      <c r="AS59" s="93"/>
      <c r="AT59" s="96"/>
      <c r="AU59" s="93"/>
      <c r="AV59" s="58"/>
      <c r="AZ59" s="15"/>
      <c r="BA59" s="71" t="s">
        <v>204</v>
      </c>
      <c r="BB59" s="113"/>
      <c r="BC59" s="93"/>
      <c r="BD59" s="96"/>
      <c r="BE59" s="93"/>
      <c r="BF59" s="58"/>
      <c r="BJ59" s="15"/>
      <c r="BK59" s="71" t="s">
        <v>204</v>
      </c>
      <c r="BL59" s="113"/>
      <c r="BM59" s="93"/>
      <c r="BN59" s="96"/>
      <c r="BO59" s="93"/>
      <c r="BP59" s="58"/>
      <c r="BT59" s="15"/>
      <c r="BU59" s="71" t="s">
        <v>204</v>
      </c>
      <c r="BV59" s="113"/>
      <c r="BW59" s="93"/>
      <c r="BX59" s="96"/>
      <c r="BY59" s="93"/>
      <c r="BZ59" s="58"/>
      <c r="CD59" s="15"/>
      <c r="CE59" s="71" t="s">
        <v>204</v>
      </c>
      <c r="CF59" s="113"/>
      <c r="CG59" s="93"/>
      <c r="CH59" s="96"/>
      <c r="CI59" s="93"/>
      <c r="CJ59" s="58"/>
      <c r="CN59" s="15"/>
      <c r="CO59" s="71" t="s">
        <v>204</v>
      </c>
      <c r="CP59" s="113"/>
      <c r="CQ59" s="93"/>
      <c r="CR59" s="96"/>
      <c r="CS59" s="93"/>
      <c r="CT59" s="58"/>
    </row>
    <row r="60" spans="2:98" x14ac:dyDescent="0.45">
      <c r="B60" s="38"/>
      <c r="C60" s="78" t="s">
        <v>205</v>
      </c>
      <c r="D60" s="81"/>
      <c r="E60" s="81"/>
      <c r="F60" s="81"/>
      <c r="G60" s="81"/>
      <c r="H60" s="81"/>
      <c r="L60" s="38"/>
      <c r="M60" s="78" t="s">
        <v>205</v>
      </c>
      <c r="N60" s="145"/>
      <c r="O60" s="146">
        <v>1</v>
      </c>
      <c r="P60" s="145"/>
      <c r="Q60" s="146">
        <v>1</v>
      </c>
      <c r="R60" s="81">
        <f>SUM(R51:R55,R57:R59)</f>
        <v>0</v>
      </c>
      <c r="V60" s="38"/>
      <c r="W60" s="78" t="s">
        <v>205</v>
      </c>
      <c r="X60" s="81">
        <f>SUM(X51:X55,X57:X59)</f>
        <v>0</v>
      </c>
      <c r="Y60" s="81">
        <f>SUM(Y51:Y55,Y57:Y59)</f>
        <v>0</v>
      </c>
      <c r="Z60" s="81">
        <f>SUM(Z51:Z55,Z57:Z59)</f>
        <v>0</v>
      </c>
      <c r="AA60" s="81">
        <f>SUM(AA51:AA55,AA57:AA59)</f>
        <v>0</v>
      </c>
      <c r="AB60" s="81">
        <f>SUM(AB51:AB55,AB57:AB59)</f>
        <v>0</v>
      </c>
      <c r="AF60" s="38"/>
      <c r="AG60" s="78" t="s">
        <v>205</v>
      </c>
      <c r="AH60" s="81">
        <f>SUM(AH51:AH55,AH57:AH59)</f>
        <v>0</v>
      </c>
      <c r="AI60" s="81">
        <f>SUM(AI51:AI55,AI57:AI59)</f>
        <v>0</v>
      </c>
      <c r="AJ60" s="81">
        <f>SUM(AJ51:AJ55,AJ57:AJ59)</f>
        <v>0</v>
      </c>
      <c r="AK60" s="81">
        <f>SUM(AK51:AK55,AK57:AK59)</f>
        <v>0</v>
      </c>
      <c r="AL60" s="81">
        <f>SUM(AL51:AL55,AL57:AL59)</f>
        <v>0</v>
      </c>
      <c r="AP60" s="38"/>
      <c r="AQ60" s="78" t="s">
        <v>205</v>
      </c>
      <c r="AR60" s="81">
        <f>SUM(AR51:AR55,AR57:AR59)</f>
        <v>0</v>
      </c>
      <c r="AS60" s="81">
        <f>SUM(AS51:AS55,AS57:AS59)</f>
        <v>0</v>
      </c>
      <c r="AT60" s="81">
        <f>SUM(AT51:AT55,AT57:AT59)</f>
        <v>0</v>
      </c>
      <c r="AU60" s="81">
        <f>SUM(AU51:AU55,AU57:AU59)</f>
        <v>0</v>
      </c>
      <c r="AV60" s="81">
        <f>SUM(AV51:AV55,AV57:AV59)</f>
        <v>0</v>
      </c>
      <c r="AZ60" s="38"/>
      <c r="BA60" s="78" t="s">
        <v>205</v>
      </c>
      <c r="BB60" s="81">
        <f>SUM(BB51:BB55,BB57:BB59)</f>
        <v>0</v>
      </c>
      <c r="BC60" s="81">
        <f>SUM(BC51:BC55,BC57:BC59)</f>
        <v>0</v>
      </c>
      <c r="BD60" s="81">
        <f>SUM(BD51:BD55,BD57:BD59)</f>
        <v>0</v>
      </c>
      <c r="BE60" s="81">
        <f>SUM(BE51:BE55,BE57:BE59)</f>
        <v>0</v>
      </c>
      <c r="BF60" s="81">
        <f>SUM(BF51:BF55,BF57:BF59)</f>
        <v>0</v>
      </c>
      <c r="BJ60" s="38"/>
      <c r="BK60" s="78" t="s">
        <v>205</v>
      </c>
      <c r="BL60" s="81">
        <f>SUM(BL51:BL55,BL57:BL59)</f>
        <v>0</v>
      </c>
      <c r="BM60" s="81">
        <f>SUM(BM51:BM55,BM57:BM59)</f>
        <v>0</v>
      </c>
      <c r="BN60" s="81">
        <f>SUM(BN51:BN55,BN57:BN59)</f>
        <v>0</v>
      </c>
      <c r="BO60" s="81">
        <f>SUM(BO51:BO55,BO57:BO59)</f>
        <v>0</v>
      </c>
      <c r="BP60" s="81">
        <f>SUM(BP51:BP55,BP57:BP59)</f>
        <v>0</v>
      </c>
      <c r="BT60" s="38"/>
      <c r="BU60" s="78" t="s">
        <v>205</v>
      </c>
      <c r="BV60" s="81">
        <f>SUM(BV51:BV55,BV57:BV59)</f>
        <v>0</v>
      </c>
      <c r="BW60" s="81">
        <f>SUM(BW51:BW55,BW57:BW59)</f>
        <v>0</v>
      </c>
      <c r="BX60" s="81">
        <f>SUM(BX51:BX55,BX57:BX59)</f>
        <v>0</v>
      </c>
      <c r="BY60" s="81">
        <f>SUM(BY51:BY55,BY57:BY59)</f>
        <v>0</v>
      </c>
      <c r="BZ60" s="81">
        <f>SUM(BZ51:BZ55,BZ57:BZ59)</f>
        <v>0</v>
      </c>
      <c r="CD60" s="38"/>
      <c r="CE60" s="78" t="s">
        <v>205</v>
      </c>
      <c r="CF60" s="81">
        <f>SUM(CF51:CF55,CF57:CF59)</f>
        <v>0</v>
      </c>
      <c r="CG60" s="81">
        <f>SUM(CG51:CG55,CG57:CG59)</f>
        <v>0</v>
      </c>
      <c r="CH60" s="81">
        <f>SUM(CH51:CH55,CH57:CH59)</f>
        <v>0</v>
      </c>
      <c r="CI60" s="81">
        <f>SUM(CI51:CI55,CI57:CI59)</f>
        <v>0</v>
      </c>
      <c r="CJ60" s="81">
        <f>SUM(CJ51:CJ55,CJ57:CJ59)</f>
        <v>0</v>
      </c>
      <c r="CN60" s="38"/>
      <c r="CO60" s="78" t="s">
        <v>205</v>
      </c>
      <c r="CP60" s="81">
        <f>SUM(CP51:CP55,CP57:CP59)</f>
        <v>0</v>
      </c>
      <c r="CQ60" s="81">
        <f>SUM(CQ51:CQ55,CQ57:CQ59)</f>
        <v>0</v>
      </c>
      <c r="CR60" s="81">
        <f>SUM(CR51:CR55,CR57:CR59)</f>
        <v>0</v>
      </c>
      <c r="CS60" s="81">
        <f>SUM(CS51:CS55,CS57:CS59)</f>
        <v>0</v>
      </c>
      <c r="CT60" s="81">
        <f>SUM(CT51:CT55,CT57:CT59)</f>
        <v>0</v>
      </c>
    </row>
    <row r="61" spans="2:98" x14ac:dyDescent="0.45">
      <c r="D61" s="39"/>
      <c r="E61" s="39"/>
      <c r="F61" s="40"/>
      <c r="G61" s="39"/>
      <c r="H61" s="41"/>
      <c r="N61" s="39"/>
      <c r="O61" s="39"/>
      <c r="P61" s="40"/>
      <c r="Q61" s="39"/>
      <c r="R61" s="41"/>
      <c r="X61" s="39"/>
      <c r="Y61" s="39"/>
      <c r="Z61" s="40"/>
      <c r="AA61" s="39"/>
      <c r="AB61" s="41"/>
      <c r="AH61" s="39"/>
      <c r="AI61" s="39"/>
      <c r="AJ61" s="40"/>
      <c r="AK61" s="39"/>
      <c r="AL61" s="41"/>
      <c r="AR61" s="39"/>
      <c r="AS61" s="39"/>
      <c r="AT61" s="40"/>
      <c r="AU61" s="39"/>
      <c r="AV61" s="41"/>
      <c r="BB61" s="39"/>
      <c r="BC61" s="39"/>
      <c r="BD61" s="40"/>
      <c r="BE61" s="39"/>
      <c r="BF61" s="41"/>
      <c r="BL61" s="39"/>
      <c r="BM61" s="39"/>
      <c r="BN61" s="40"/>
      <c r="BO61" s="39"/>
      <c r="BP61" s="41"/>
      <c r="BV61" s="39"/>
      <c r="BW61" s="39"/>
      <c r="BX61" s="40"/>
      <c r="BY61" s="39"/>
      <c r="BZ61" s="41"/>
      <c r="CF61" s="39"/>
      <c r="CG61" s="39"/>
      <c r="CH61" s="40"/>
      <c r="CI61" s="39"/>
      <c r="CJ61" s="41"/>
      <c r="CP61" s="39"/>
      <c r="CQ61" s="39"/>
      <c r="CR61" s="40"/>
      <c r="CS61" s="39"/>
      <c r="CT61" s="41"/>
    </row>
    <row r="62" spans="2:98" ht="15" customHeight="1" x14ac:dyDescent="0.45">
      <c r="B62" s="207" t="s">
        <v>206</v>
      </c>
      <c r="C62" s="207"/>
      <c r="D62" s="213" t="s">
        <v>3</v>
      </c>
      <c r="E62" s="214"/>
      <c r="F62" s="6" t="s">
        <v>7</v>
      </c>
      <c r="G62" s="43">
        <f>COUNTA(D63:G64)/ROWS(D63:G64)</f>
        <v>1</v>
      </c>
      <c r="L62" s="207" t="s">
        <v>206</v>
      </c>
      <c r="M62" s="207"/>
      <c r="N62" s="213" t="s">
        <v>3</v>
      </c>
      <c r="O62" s="214"/>
      <c r="P62" s="6" t="s">
        <v>7</v>
      </c>
      <c r="Q62" s="43">
        <f>COUNTA(N63:Q64)/ROWS(N63:Q64)</f>
        <v>1</v>
      </c>
      <c r="V62" s="207" t="s">
        <v>206</v>
      </c>
      <c r="W62" s="207"/>
      <c r="X62" s="213" t="s">
        <v>3</v>
      </c>
      <c r="Y62" s="214"/>
      <c r="Z62" s="6" t="s">
        <v>7</v>
      </c>
      <c r="AA62" s="43">
        <f>COUNTA(X63:AA64)/ROWS(X63:AA64)</f>
        <v>0</v>
      </c>
      <c r="AF62" s="207" t="s">
        <v>206</v>
      </c>
      <c r="AG62" s="207"/>
      <c r="AH62" s="213" t="s">
        <v>3</v>
      </c>
      <c r="AI62" s="214"/>
      <c r="AJ62" s="6" t="s">
        <v>7</v>
      </c>
      <c r="AK62" s="43">
        <f>COUNTA(AH63:AK64)/ROWS(AH63:AK64)</f>
        <v>0</v>
      </c>
      <c r="AP62" s="207" t="s">
        <v>206</v>
      </c>
      <c r="AQ62" s="207"/>
      <c r="AR62" s="213" t="s">
        <v>3</v>
      </c>
      <c r="AS62" s="214"/>
      <c r="AT62" s="6" t="s">
        <v>7</v>
      </c>
      <c r="AU62" s="43">
        <f>COUNTA(AR63:AU64)/ROWS(AR63:AU64)</f>
        <v>0</v>
      </c>
      <c r="AZ62" s="207" t="s">
        <v>206</v>
      </c>
      <c r="BA62" s="207"/>
      <c r="BB62" s="213" t="s">
        <v>3</v>
      </c>
      <c r="BC62" s="214"/>
      <c r="BD62" s="6" t="s">
        <v>7</v>
      </c>
      <c r="BE62" s="43">
        <f>COUNTA(BB63:BE64)/ROWS(BB63:BE64)</f>
        <v>0</v>
      </c>
      <c r="BJ62" s="207" t="s">
        <v>206</v>
      </c>
      <c r="BK62" s="207"/>
      <c r="BL62" s="213" t="s">
        <v>3</v>
      </c>
      <c r="BM62" s="214"/>
      <c r="BN62" s="6" t="s">
        <v>7</v>
      </c>
      <c r="BO62" s="43">
        <f>COUNTA(BL63:BO64)/ROWS(BL63:BO64)</f>
        <v>0</v>
      </c>
      <c r="BT62" s="207" t="s">
        <v>206</v>
      </c>
      <c r="BU62" s="207"/>
      <c r="BV62" s="213" t="s">
        <v>3</v>
      </c>
      <c r="BW62" s="214"/>
      <c r="BX62" s="6" t="s">
        <v>7</v>
      </c>
      <c r="BY62" s="43">
        <f>COUNTA(BV63:BY64)/ROWS(BV63:BY64)</f>
        <v>0</v>
      </c>
      <c r="CD62" s="207" t="s">
        <v>206</v>
      </c>
      <c r="CE62" s="207"/>
      <c r="CF62" s="213" t="s">
        <v>3</v>
      </c>
      <c r="CG62" s="214"/>
      <c r="CH62" s="6" t="s">
        <v>7</v>
      </c>
      <c r="CI62" s="43">
        <f>COUNTA(CF63:CI64)/ROWS(CF63:CI64)</f>
        <v>0</v>
      </c>
      <c r="CN62" s="207" t="s">
        <v>206</v>
      </c>
      <c r="CO62" s="207"/>
      <c r="CP62" s="213" t="s">
        <v>3</v>
      </c>
      <c r="CQ62" s="214"/>
      <c r="CR62" s="6" t="s">
        <v>7</v>
      </c>
      <c r="CS62" s="43">
        <f>COUNTA(CP63:CS64)/ROWS(CP63:CS64)</f>
        <v>0</v>
      </c>
    </row>
    <row r="63" spans="2:98" x14ac:dyDescent="0.45">
      <c r="B63" s="42">
        <v>1</v>
      </c>
      <c r="C63" s="44" t="s">
        <v>207</v>
      </c>
      <c r="D63" s="211">
        <v>7.5000000000000002E-4</v>
      </c>
      <c r="E63" s="212"/>
      <c r="F63" s="212"/>
      <c r="G63" s="212"/>
      <c r="H63" s="52">
        <f>D63</f>
        <v>7.5000000000000002E-4</v>
      </c>
      <c r="L63" s="42">
        <v>1</v>
      </c>
      <c r="M63" s="44" t="s">
        <v>207</v>
      </c>
      <c r="N63" s="211">
        <v>7.5000000000000002E-4</v>
      </c>
      <c r="O63" s="212"/>
      <c r="P63" s="212"/>
      <c r="Q63" s="212"/>
      <c r="R63" s="52">
        <f>N63</f>
        <v>7.5000000000000002E-4</v>
      </c>
      <c r="V63" s="42">
        <v>1</v>
      </c>
      <c r="W63" s="44" t="s">
        <v>207</v>
      </c>
      <c r="X63" s="211"/>
      <c r="Y63" s="212"/>
      <c r="Z63" s="212"/>
      <c r="AA63" s="212"/>
      <c r="AB63" s="52">
        <f>X63</f>
        <v>0</v>
      </c>
      <c r="AF63" s="42">
        <v>1</v>
      </c>
      <c r="AG63" s="44" t="s">
        <v>207</v>
      </c>
      <c r="AH63" s="211"/>
      <c r="AI63" s="212"/>
      <c r="AJ63" s="212"/>
      <c r="AK63" s="212"/>
      <c r="AL63" s="52">
        <f>AH63</f>
        <v>0</v>
      </c>
      <c r="AP63" s="42">
        <v>1</v>
      </c>
      <c r="AQ63" s="44" t="s">
        <v>207</v>
      </c>
      <c r="AR63" s="211"/>
      <c r="AS63" s="212"/>
      <c r="AT63" s="212"/>
      <c r="AU63" s="212"/>
      <c r="AV63" s="52">
        <f>AR63</f>
        <v>0</v>
      </c>
      <c r="AZ63" s="42">
        <v>1</v>
      </c>
      <c r="BA63" s="44" t="s">
        <v>207</v>
      </c>
      <c r="BB63" s="211"/>
      <c r="BC63" s="212"/>
      <c r="BD63" s="212"/>
      <c r="BE63" s="212"/>
      <c r="BF63" s="52">
        <f>BB63</f>
        <v>0</v>
      </c>
      <c r="BJ63" s="42">
        <v>1</v>
      </c>
      <c r="BK63" s="44" t="s">
        <v>207</v>
      </c>
      <c r="BL63" s="211"/>
      <c r="BM63" s="212"/>
      <c r="BN63" s="212"/>
      <c r="BO63" s="212"/>
      <c r="BP63" s="52">
        <f>BL63</f>
        <v>0</v>
      </c>
      <c r="BT63" s="42">
        <v>1</v>
      </c>
      <c r="BU63" s="44" t="s">
        <v>207</v>
      </c>
      <c r="BV63" s="211"/>
      <c r="BW63" s="212"/>
      <c r="BX63" s="212"/>
      <c r="BY63" s="212"/>
      <c r="BZ63" s="52">
        <f>BV63</f>
        <v>0</v>
      </c>
      <c r="CD63" s="42">
        <v>1</v>
      </c>
      <c r="CE63" s="44" t="s">
        <v>207</v>
      </c>
      <c r="CF63" s="211"/>
      <c r="CG63" s="212"/>
      <c r="CH63" s="212"/>
      <c r="CI63" s="212"/>
      <c r="CJ63" s="52">
        <f>CF63</f>
        <v>0</v>
      </c>
      <c r="CN63" s="42">
        <v>1</v>
      </c>
      <c r="CO63" s="44" t="s">
        <v>207</v>
      </c>
      <c r="CP63" s="211"/>
      <c r="CQ63" s="212"/>
      <c r="CR63" s="212"/>
      <c r="CS63" s="212"/>
      <c r="CT63" s="52">
        <f>CP63</f>
        <v>0</v>
      </c>
    </row>
    <row r="64" spans="2:98" ht="42.75" x14ac:dyDescent="0.45">
      <c r="B64" s="42">
        <v>2</v>
      </c>
      <c r="C64" s="44" t="s">
        <v>208</v>
      </c>
      <c r="D64" s="211" t="s">
        <v>51</v>
      </c>
      <c r="E64" s="212"/>
      <c r="F64" s="212"/>
      <c r="G64" s="212"/>
      <c r="H64" s="52" t="str">
        <f>D64</f>
        <v>No</v>
      </c>
      <c r="L64" s="42">
        <v>2</v>
      </c>
      <c r="M64" s="44" t="s">
        <v>208</v>
      </c>
      <c r="N64" s="211" t="s">
        <v>51</v>
      </c>
      <c r="O64" s="212"/>
      <c r="P64" s="212"/>
      <c r="Q64" s="212"/>
      <c r="R64" s="52" t="str">
        <f>N64</f>
        <v>No</v>
      </c>
      <c r="V64" s="42">
        <v>2</v>
      </c>
      <c r="W64" s="44" t="s">
        <v>208</v>
      </c>
      <c r="X64" s="211"/>
      <c r="Y64" s="212"/>
      <c r="Z64" s="212"/>
      <c r="AA64" s="212"/>
      <c r="AB64" s="52">
        <f>X64</f>
        <v>0</v>
      </c>
      <c r="AF64" s="42">
        <v>2</v>
      </c>
      <c r="AG64" s="44" t="s">
        <v>208</v>
      </c>
      <c r="AH64" s="211"/>
      <c r="AI64" s="212"/>
      <c r="AJ64" s="212"/>
      <c r="AK64" s="212"/>
      <c r="AL64" s="52">
        <f>AH64</f>
        <v>0</v>
      </c>
      <c r="AP64" s="42">
        <v>2</v>
      </c>
      <c r="AQ64" s="44" t="s">
        <v>208</v>
      </c>
      <c r="AR64" s="211"/>
      <c r="AS64" s="212"/>
      <c r="AT64" s="212"/>
      <c r="AU64" s="212"/>
      <c r="AV64" s="52">
        <f>AR64</f>
        <v>0</v>
      </c>
      <c r="AZ64" s="42">
        <v>2</v>
      </c>
      <c r="BA64" s="44" t="s">
        <v>208</v>
      </c>
      <c r="BB64" s="211"/>
      <c r="BC64" s="212"/>
      <c r="BD64" s="212"/>
      <c r="BE64" s="212"/>
      <c r="BF64" s="52">
        <f>BB64</f>
        <v>0</v>
      </c>
      <c r="BJ64" s="42">
        <v>2</v>
      </c>
      <c r="BK64" s="44" t="s">
        <v>208</v>
      </c>
      <c r="BL64" s="211"/>
      <c r="BM64" s="212"/>
      <c r="BN64" s="212"/>
      <c r="BO64" s="212"/>
      <c r="BP64" s="52">
        <f>BL64</f>
        <v>0</v>
      </c>
      <c r="BT64" s="42">
        <v>2</v>
      </c>
      <c r="BU64" s="44" t="s">
        <v>208</v>
      </c>
      <c r="BV64" s="211"/>
      <c r="BW64" s="212"/>
      <c r="BX64" s="212"/>
      <c r="BY64" s="212"/>
      <c r="BZ64" s="52">
        <f>BV64</f>
        <v>0</v>
      </c>
      <c r="CD64" s="42">
        <v>2</v>
      </c>
      <c r="CE64" s="44" t="s">
        <v>208</v>
      </c>
      <c r="CF64" s="211"/>
      <c r="CG64" s="212"/>
      <c r="CH64" s="212"/>
      <c r="CI64" s="212"/>
      <c r="CJ64" s="52">
        <f>CF64</f>
        <v>0</v>
      </c>
      <c r="CN64" s="42">
        <v>2</v>
      </c>
      <c r="CO64" s="44" t="s">
        <v>208</v>
      </c>
      <c r="CP64" s="211"/>
      <c r="CQ64" s="212"/>
      <c r="CR64" s="212"/>
      <c r="CS64" s="212"/>
      <c r="CT64" s="52">
        <f>CP64</f>
        <v>0</v>
      </c>
    </row>
    <row r="66" spans="1:95" x14ac:dyDescent="0.45">
      <c r="A66" s="74"/>
      <c r="B66" s="74"/>
      <c r="C66" s="74"/>
      <c r="D66" s="74"/>
      <c r="E66" s="74"/>
      <c r="L66" s="74"/>
      <c r="M66" s="74"/>
      <c r="N66" s="74"/>
      <c r="O66" s="74"/>
      <c r="V66" s="74"/>
      <c r="W66" s="74"/>
      <c r="X66" s="74"/>
      <c r="Y66" s="74"/>
      <c r="AF66" s="74"/>
      <c r="AG66" s="74"/>
      <c r="AH66" s="74"/>
      <c r="AI66" s="74"/>
      <c r="AP66" s="74"/>
      <c r="AQ66" s="74"/>
      <c r="AR66" s="74"/>
      <c r="AS66" s="74"/>
      <c r="AZ66" s="74"/>
      <c r="BA66" s="74"/>
      <c r="BB66" s="74"/>
      <c r="BC66" s="74"/>
      <c r="BJ66" s="74"/>
      <c r="BK66" s="74"/>
      <c r="BL66" s="74"/>
      <c r="BM66" s="74"/>
      <c r="BT66" s="74"/>
      <c r="BU66" s="74"/>
      <c r="BV66" s="74"/>
      <c r="BW66" s="74"/>
      <c r="CD66" s="74"/>
      <c r="CE66" s="74"/>
      <c r="CF66" s="74"/>
      <c r="CG66" s="74"/>
      <c r="CN66" s="74"/>
      <c r="CO66" s="74"/>
      <c r="CP66" s="74"/>
      <c r="CQ66" s="74"/>
    </row>
    <row r="67" spans="1:95" x14ac:dyDescent="0.45">
      <c r="A67" s="74"/>
      <c r="B67" s="74"/>
      <c r="C67" s="74"/>
      <c r="D67" s="74"/>
      <c r="E67" s="74"/>
      <c r="L67" s="74"/>
      <c r="M67" s="74"/>
      <c r="N67" s="74"/>
      <c r="O67" s="74"/>
      <c r="V67" s="74"/>
      <c r="W67" s="74"/>
      <c r="X67" s="74"/>
      <c r="Y67" s="74"/>
      <c r="AF67" s="74"/>
      <c r="AG67" s="74"/>
      <c r="AH67" s="74"/>
      <c r="AI67" s="74"/>
      <c r="AP67" s="74"/>
      <c r="AQ67" s="74"/>
      <c r="AR67" s="74"/>
      <c r="AS67" s="74"/>
      <c r="AZ67" s="74"/>
      <c r="BA67" s="74"/>
      <c r="BB67" s="74"/>
      <c r="BC67" s="74"/>
      <c r="BJ67" s="74"/>
      <c r="BK67" s="74"/>
      <c r="BL67" s="74"/>
      <c r="BM67" s="74"/>
      <c r="BT67" s="74"/>
      <c r="BU67" s="74"/>
      <c r="BV67" s="74"/>
      <c r="BW67" s="74"/>
      <c r="CD67" s="74"/>
      <c r="CE67" s="74"/>
      <c r="CF67" s="74"/>
      <c r="CG67" s="74"/>
      <c r="CN67" s="74"/>
      <c r="CO67" s="74"/>
      <c r="CP67" s="74"/>
      <c r="CQ67" s="74"/>
    </row>
    <row r="68" spans="1:95" x14ac:dyDescent="0.45">
      <c r="A68" s="74"/>
      <c r="B68" s="74"/>
      <c r="C68" s="74"/>
      <c r="D68" s="74"/>
      <c r="E68" s="74"/>
      <c r="L68" s="74"/>
      <c r="M68" s="74"/>
      <c r="N68" s="74"/>
      <c r="O68" s="74"/>
      <c r="V68" s="74"/>
      <c r="W68" s="74"/>
      <c r="X68" s="74"/>
      <c r="Y68" s="74"/>
      <c r="AF68" s="74"/>
      <c r="AG68" s="74"/>
      <c r="AH68" s="74"/>
      <c r="AI68" s="74"/>
      <c r="AP68" s="74"/>
      <c r="AQ68" s="74"/>
      <c r="AR68" s="74"/>
      <c r="AS68" s="74"/>
      <c r="AZ68" s="74"/>
      <c r="BA68" s="74"/>
      <c r="BB68" s="74"/>
      <c r="BC68" s="74"/>
      <c r="BJ68" s="74"/>
      <c r="BK68" s="74"/>
      <c r="BL68" s="74"/>
      <c r="BM68" s="74"/>
      <c r="BT68" s="74"/>
      <c r="BU68" s="74"/>
      <c r="BV68" s="74"/>
      <c r="BW68" s="74"/>
      <c r="CD68" s="74"/>
      <c r="CE68" s="74"/>
      <c r="CF68" s="74"/>
      <c r="CG68" s="74"/>
      <c r="CN68" s="74"/>
      <c r="CO68" s="74"/>
      <c r="CP68" s="74"/>
      <c r="CQ68" s="74"/>
    </row>
    <row r="69" spans="1:95" x14ac:dyDescent="0.45">
      <c r="A69" s="74"/>
      <c r="B69" s="74"/>
      <c r="C69" s="74"/>
      <c r="D69" s="74"/>
      <c r="E69" s="74"/>
      <c r="L69" s="74"/>
      <c r="M69" s="74"/>
      <c r="N69" s="74"/>
      <c r="O69" s="74"/>
      <c r="V69" s="74"/>
      <c r="W69" s="74"/>
      <c r="X69" s="74"/>
      <c r="Y69" s="74"/>
      <c r="AF69" s="74"/>
      <c r="AG69" s="74"/>
      <c r="AH69" s="74"/>
      <c r="AI69" s="74"/>
      <c r="AP69" s="74"/>
      <c r="AQ69" s="74"/>
      <c r="AR69" s="74"/>
      <c r="AS69" s="74"/>
      <c r="AZ69" s="74"/>
      <c r="BA69" s="74"/>
      <c r="BB69" s="74"/>
      <c r="BC69" s="74"/>
      <c r="BJ69" s="74"/>
      <c r="BK69" s="74"/>
      <c r="BL69" s="74"/>
      <c r="BM69" s="74"/>
      <c r="BT69" s="74"/>
      <c r="BU69" s="74"/>
      <c r="BV69" s="74"/>
      <c r="BW69" s="74"/>
      <c r="CD69" s="74"/>
      <c r="CE69" s="74"/>
      <c r="CF69" s="74"/>
      <c r="CG69" s="74"/>
      <c r="CN69" s="74"/>
      <c r="CO69" s="74"/>
      <c r="CP69" s="74"/>
      <c r="CQ69" s="74"/>
    </row>
    <row r="70" spans="1:95" x14ac:dyDescent="0.45">
      <c r="A70" s="74"/>
      <c r="B70" s="74"/>
      <c r="C70" s="74"/>
      <c r="D70" s="74"/>
      <c r="E70" s="74"/>
      <c r="L70" s="74"/>
      <c r="M70" s="74"/>
      <c r="N70" s="74"/>
      <c r="O70" s="74"/>
      <c r="V70" s="74"/>
      <c r="W70" s="74"/>
      <c r="X70" s="74"/>
      <c r="Y70" s="74"/>
      <c r="AF70" s="74"/>
      <c r="AG70" s="74"/>
      <c r="AH70" s="74"/>
      <c r="AI70" s="74"/>
      <c r="AP70" s="74"/>
      <c r="AQ70" s="74"/>
      <c r="AR70" s="74"/>
      <c r="AS70" s="74"/>
      <c r="AZ70" s="74"/>
      <c r="BA70" s="74"/>
      <c r="BB70" s="74"/>
      <c r="BC70" s="74"/>
      <c r="BJ70" s="74"/>
      <c r="BK70" s="74"/>
      <c r="BL70" s="74"/>
      <c r="BM70" s="74"/>
      <c r="BT70" s="74"/>
      <c r="BU70" s="74"/>
      <c r="BV70" s="74"/>
      <c r="BW70" s="74"/>
      <c r="CD70" s="74"/>
      <c r="CE70" s="74"/>
      <c r="CF70" s="74"/>
      <c r="CG70" s="74"/>
      <c r="CN70" s="74"/>
      <c r="CO70" s="74"/>
      <c r="CP70" s="74"/>
      <c r="CQ70" s="74"/>
    </row>
    <row r="71" spans="1:95" x14ac:dyDescent="0.45">
      <c r="A71" s="74"/>
      <c r="B71" s="74"/>
      <c r="C71" s="74"/>
      <c r="D71" s="74"/>
      <c r="E71" s="74"/>
      <c r="L71" s="74"/>
      <c r="M71" s="74"/>
      <c r="N71" s="74"/>
      <c r="O71" s="74"/>
      <c r="V71" s="74"/>
      <c r="W71" s="74"/>
      <c r="X71" s="74"/>
      <c r="Y71" s="74"/>
      <c r="AF71" s="74"/>
      <c r="AG71" s="74"/>
      <c r="AH71" s="74"/>
      <c r="AI71" s="74"/>
      <c r="AP71" s="74"/>
      <c r="AQ71" s="74"/>
      <c r="AR71" s="74"/>
      <c r="AS71" s="74"/>
      <c r="AZ71" s="74"/>
      <c r="BA71" s="74"/>
      <c r="BB71" s="74"/>
      <c r="BC71" s="74"/>
      <c r="BJ71" s="74"/>
      <c r="BK71" s="74"/>
      <c r="BL71" s="74"/>
      <c r="BM71" s="74"/>
      <c r="BT71" s="74"/>
      <c r="BU71" s="74"/>
      <c r="BV71" s="74"/>
      <c r="BW71" s="74"/>
      <c r="CD71" s="74"/>
      <c r="CE71" s="74"/>
      <c r="CF71" s="74"/>
      <c r="CG71" s="74"/>
      <c r="CN71" s="74"/>
      <c r="CO71" s="74"/>
      <c r="CP71" s="74"/>
      <c r="CQ71" s="74"/>
    </row>
    <row r="72" spans="1:95" x14ac:dyDescent="0.45">
      <c r="A72" s="74"/>
      <c r="B72" s="74"/>
      <c r="C72" s="74"/>
      <c r="D72" s="74"/>
      <c r="E72" s="74"/>
      <c r="L72" s="74"/>
      <c r="M72" s="74"/>
      <c r="N72" s="74"/>
      <c r="O72" s="74"/>
      <c r="V72" s="74"/>
      <c r="W72" s="74"/>
      <c r="X72" s="74"/>
      <c r="Y72" s="74"/>
      <c r="AF72" s="74"/>
      <c r="AG72" s="74"/>
      <c r="AH72" s="74"/>
      <c r="AI72" s="74"/>
      <c r="AP72" s="74"/>
      <c r="AQ72" s="74"/>
      <c r="AR72" s="74"/>
      <c r="AS72" s="74"/>
      <c r="AZ72" s="74"/>
      <c r="BA72" s="74"/>
      <c r="BB72" s="74"/>
      <c r="BC72" s="74"/>
      <c r="BJ72" s="74"/>
      <c r="BK72" s="74"/>
      <c r="BL72" s="74"/>
      <c r="BM72" s="74"/>
      <c r="BT72" s="74"/>
      <c r="BU72" s="74"/>
      <c r="BV72" s="74"/>
      <c r="BW72" s="74"/>
      <c r="CD72" s="74"/>
      <c r="CE72" s="74"/>
      <c r="CF72" s="74"/>
      <c r="CG72" s="74"/>
      <c r="CN72" s="74"/>
      <c r="CO72" s="74"/>
      <c r="CP72" s="74"/>
      <c r="CQ72" s="74"/>
    </row>
    <row r="73" spans="1:95" x14ac:dyDescent="0.45">
      <c r="A73" s="74"/>
      <c r="B73" s="74"/>
      <c r="C73" s="74"/>
      <c r="D73" s="74"/>
      <c r="E73" s="74"/>
      <c r="L73" s="74"/>
      <c r="M73" s="74"/>
      <c r="N73" s="74"/>
      <c r="O73" s="74"/>
      <c r="V73" s="74"/>
      <c r="W73" s="74"/>
      <c r="X73" s="74"/>
      <c r="Y73" s="74"/>
      <c r="AF73" s="74"/>
      <c r="AG73" s="74"/>
      <c r="AH73" s="74"/>
      <c r="AI73" s="74"/>
      <c r="AP73" s="74"/>
      <c r="AQ73" s="74"/>
      <c r="AR73" s="74"/>
      <c r="AS73" s="74"/>
      <c r="AZ73" s="74"/>
      <c r="BA73" s="74"/>
      <c r="BB73" s="74"/>
      <c r="BC73" s="74"/>
      <c r="BJ73" s="74"/>
      <c r="BK73" s="74"/>
      <c r="BL73" s="74"/>
      <c r="BM73" s="74"/>
      <c r="BT73" s="74"/>
      <c r="BU73" s="74"/>
      <c r="BV73" s="74"/>
      <c r="BW73" s="74"/>
      <c r="CD73" s="74"/>
      <c r="CE73" s="74"/>
      <c r="CF73" s="74"/>
      <c r="CG73" s="74"/>
      <c r="CN73" s="74"/>
      <c r="CO73" s="74"/>
      <c r="CP73" s="74"/>
      <c r="CQ73" s="74"/>
    </row>
    <row r="74" spans="1:95" x14ac:dyDescent="0.45">
      <c r="A74" s="74"/>
      <c r="B74" s="74"/>
      <c r="C74" s="74"/>
      <c r="D74" s="74"/>
      <c r="E74" s="74"/>
      <c r="L74" s="74"/>
      <c r="M74" s="74"/>
      <c r="N74" s="74"/>
      <c r="O74" s="74"/>
      <c r="V74" s="74"/>
      <c r="W74" s="74"/>
      <c r="X74" s="74"/>
      <c r="Y74" s="74"/>
      <c r="AF74" s="74"/>
      <c r="AG74" s="74"/>
      <c r="AH74" s="74"/>
      <c r="AI74" s="74"/>
      <c r="AP74" s="74"/>
      <c r="AQ74" s="74"/>
      <c r="AR74" s="74"/>
      <c r="AS74" s="74"/>
      <c r="AZ74" s="74"/>
      <c r="BA74" s="74"/>
      <c r="BB74" s="74"/>
      <c r="BC74" s="74"/>
      <c r="BJ74" s="74"/>
      <c r="BK74" s="74"/>
      <c r="BL74" s="74"/>
      <c r="BM74" s="74"/>
      <c r="BT74" s="74"/>
      <c r="BU74" s="74"/>
      <c r="BV74" s="74"/>
      <c r="BW74" s="74"/>
      <c r="CD74" s="74"/>
      <c r="CE74" s="74"/>
      <c r="CF74" s="74"/>
      <c r="CG74" s="74"/>
      <c r="CN74" s="74"/>
      <c r="CO74" s="74"/>
      <c r="CP74" s="74"/>
      <c r="CQ74" s="74"/>
    </row>
    <row r="75" spans="1:95" s="75" customFormat="1" hidden="1" x14ac:dyDescent="0.45">
      <c r="I75" s="76"/>
      <c r="S75" s="76"/>
      <c r="AC75" s="76"/>
      <c r="AM75" s="76"/>
      <c r="AW75" s="76"/>
      <c r="BG75" s="76"/>
      <c r="BQ75" s="76"/>
      <c r="CA75" s="76"/>
      <c r="CK75" s="76"/>
    </row>
    <row r="76" spans="1:95" hidden="1" x14ac:dyDescent="0.45">
      <c r="A76" s="74"/>
      <c r="B76" s="74"/>
      <c r="C76" s="74"/>
      <c r="D76" s="74"/>
      <c r="E76" s="74"/>
      <c r="L76" s="74"/>
      <c r="M76" s="74"/>
      <c r="N76" s="74"/>
      <c r="O76" s="74"/>
      <c r="V76" s="74"/>
      <c r="W76" s="74"/>
      <c r="X76" s="74"/>
      <c r="Y76" s="74"/>
      <c r="AF76" s="74"/>
      <c r="AG76" s="74"/>
      <c r="AH76" s="74"/>
      <c r="AI76" s="74"/>
      <c r="AP76" s="74"/>
      <c r="AQ76" s="74"/>
      <c r="AR76" s="74"/>
      <c r="AS76" s="74"/>
      <c r="AZ76" s="74"/>
      <c r="BA76" s="74"/>
      <c r="BB76" s="74"/>
      <c r="BC76" s="74"/>
      <c r="BJ76" s="74"/>
      <c r="BK76" s="74"/>
      <c r="BL76" s="74"/>
      <c r="BM76" s="74"/>
      <c r="BT76" s="74"/>
      <c r="BU76" s="74"/>
      <c r="BV76" s="74"/>
      <c r="BW76" s="74"/>
      <c r="CD76" s="74"/>
      <c r="CE76" s="74"/>
      <c r="CF76" s="74"/>
      <c r="CG76" s="74"/>
      <c r="CN76" s="74"/>
      <c r="CO76" s="74"/>
      <c r="CP76" s="74"/>
      <c r="CQ76" s="74"/>
    </row>
    <row r="77" spans="1:95" hidden="1" x14ac:dyDescent="0.45">
      <c r="A77" s="74"/>
      <c r="B77" s="74"/>
      <c r="C77" s="74"/>
      <c r="D77" s="74"/>
      <c r="E77" s="74"/>
      <c r="L77" s="74"/>
      <c r="M77" s="74"/>
      <c r="N77" s="74"/>
      <c r="O77" s="74"/>
      <c r="V77" s="74"/>
      <c r="W77" s="74"/>
      <c r="X77" s="74"/>
      <c r="Y77" s="74"/>
      <c r="AF77" s="74"/>
      <c r="AG77" s="74"/>
      <c r="AH77" s="74"/>
      <c r="AI77" s="74"/>
      <c r="AP77" s="74"/>
      <c r="AQ77" s="74"/>
      <c r="AR77" s="74"/>
      <c r="AS77" s="74"/>
      <c r="AZ77" s="74"/>
      <c r="BA77" s="74"/>
      <c r="BB77" s="74"/>
      <c r="BC77" s="74"/>
      <c r="BJ77" s="74"/>
      <c r="BK77" s="74"/>
      <c r="BL77" s="74"/>
      <c r="BM77" s="74"/>
      <c r="BT77" s="74"/>
      <c r="BU77" s="74"/>
      <c r="BV77" s="74"/>
      <c r="BW77" s="74"/>
      <c r="CD77" s="74"/>
      <c r="CE77" s="74"/>
      <c r="CF77" s="74"/>
      <c r="CG77" s="74"/>
      <c r="CN77" s="74"/>
      <c r="CO77" s="74"/>
      <c r="CP77" s="74"/>
      <c r="CQ77" s="74"/>
    </row>
    <row r="78" spans="1:95" hidden="1" x14ac:dyDescent="0.45">
      <c r="A78" s="74"/>
      <c r="C78" s="177"/>
      <c r="D78" s="191"/>
      <c r="E78" s="74"/>
      <c r="M78" s="177"/>
      <c r="N78" s="191"/>
      <c r="O78" s="74"/>
      <c r="W78" s="177"/>
      <c r="X78" s="191"/>
      <c r="Y78" s="74"/>
      <c r="AG78" s="177"/>
      <c r="AH78" s="191"/>
      <c r="AI78" s="74"/>
      <c r="AQ78" s="177"/>
      <c r="AR78" s="191"/>
      <c r="AS78" s="74"/>
      <c r="BA78" s="177"/>
      <c r="BB78" s="191"/>
      <c r="BC78" s="74"/>
      <c r="BK78" s="177"/>
      <c r="BL78" s="191"/>
      <c r="BM78" s="74"/>
      <c r="BU78" s="177"/>
      <c r="BV78" s="191"/>
      <c r="BW78" s="74"/>
      <c r="CE78" s="177"/>
      <c r="CF78" s="191"/>
      <c r="CG78" s="74"/>
      <c r="CO78" s="177"/>
      <c r="CP78" s="191"/>
      <c r="CQ78" s="74"/>
    </row>
    <row r="79" spans="1:95" hidden="1" x14ac:dyDescent="0.45">
      <c r="A79" s="74"/>
      <c r="C79" s="1"/>
      <c r="D79" s="45"/>
      <c r="E79" s="74"/>
      <c r="M79" s="1"/>
      <c r="N79" s="45"/>
      <c r="O79" s="74"/>
      <c r="W79" s="1"/>
      <c r="X79" s="45"/>
      <c r="Y79" s="74"/>
      <c r="AG79" s="1"/>
      <c r="AH79" s="45"/>
      <c r="AI79" s="74"/>
      <c r="AQ79" s="1"/>
      <c r="AR79" s="45"/>
      <c r="AS79" s="74"/>
      <c r="BA79" s="1"/>
      <c r="BB79" s="45"/>
      <c r="BC79" s="74"/>
      <c r="BK79" s="1"/>
      <c r="BL79" s="45"/>
      <c r="BM79" s="74"/>
      <c r="BU79" s="1"/>
      <c r="BV79" s="45"/>
      <c r="BW79" s="74"/>
      <c r="CE79" s="1"/>
      <c r="CF79" s="45"/>
      <c r="CG79" s="74"/>
      <c r="CO79" s="1"/>
      <c r="CP79" s="45"/>
      <c r="CQ79" s="74"/>
    </row>
    <row r="80" spans="1:95" hidden="1" x14ac:dyDescent="0.45">
      <c r="A80" s="74"/>
      <c r="C80" s="1"/>
      <c r="D80" s="45"/>
      <c r="E80" s="84"/>
      <c r="M80" s="1"/>
      <c r="N80" s="45"/>
      <c r="O80" s="84"/>
      <c r="W80" s="1"/>
      <c r="X80" s="45"/>
      <c r="Y80" s="84"/>
      <c r="AG80" s="1"/>
      <c r="AH80" s="45"/>
      <c r="AI80" s="84"/>
      <c r="AQ80" s="1"/>
      <c r="AR80" s="45"/>
      <c r="AS80" s="84"/>
      <c r="BA80" s="1"/>
      <c r="BB80" s="45"/>
      <c r="BC80" s="84"/>
      <c r="BK80" s="1"/>
      <c r="BL80" s="45"/>
      <c r="BM80" s="84"/>
      <c r="BU80" s="1"/>
      <c r="BV80" s="45"/>
      <c r="BW80" s="84"/>
      <c r="CE80" s="1"/>
      <c r="CF80" s="45"/>
      <c r="CG80" s="84"/>
      <c r="CO80" s="1"/>
      <c r="CP80" s="45"/>
      <c r="CQ80" s="84"/>
    </row>
    <row r="81" spans="1:95" hidden="1" x14ac:dyDescent="0.45">
      <c r="A81" s="74"/>
      <c r="C81" s="1"/>
      <c r="D81" s="45"/>
      <c r="E81" s="84"/>
      <c r="M81" s="1"/>
      <c r="N81" s="45"/>
      <c r="O81" s="84"/>
      <c r="W81" s="1"/>
      <c r="X81" s="45"/>
      <c r="Y81" s="84"/>
      <c r="AG81" s="1"/>
      <c r="AH81" s="45"/>
      <c r="AI81" s="84"/>
      <c r="AQ81" s="1"/>
      <c r="AR81" s="45"/>
      <c r="AS81" s="84"/>
      <c r="BA81" s="1"/>
      <c r="BB81" s="45"/>
      <c r="BC81" s="84"/>
      <c r="BK81" s="1"/>
      <c r="BL81" s="45"/>
      <c r="BM81" s="84"/>
      <c r="BU81" s="1"/>
      <c r="BV81" s="45"/>
      <c r="BW81" s="84"/>
      <c r="CE81" s="1"/>
      <c r="CF81" s="45"/>
      <c r="CG81" s="84"/>
      <c r="CO81" s="1"/>
      <c r="CP81" s="45"/>
      <c r="CQ81" s="84"/>
    </row>
    <row r="82" spans="1:95" hidden="1" x14ac:dyDescent="0.45">
      <c r="A82" s="74"/>
      <c r="C82" s="1"/>
      <c r="D82" s="45"/>
      <c r="E82" s="84"/>
      <c r="M82" s="1"/>
      <c r="N82" s="45"/>
      <c r="O82" s="84"/>
      <c r="W82" s="1"/>
      <c r="X82" s="45"/>
      <c r="Y82" s="84"/>
      <c r="AG82" s="1"/>
      <c r="AH82" s="45"/>
      <c r="AI82" s="84"/>
      <c r="AQ82" s="1"/>
      <c r="AR82" s="45"/>
      <c r="AS82" s="84"/>
      <c r="BA82" s="1"/>
      <c r="BB82" s="45"/>
      <c r="BC82" s="84"/>
      <c r="BK82" s="1"/>
      <c r="BL82" s="45"/>
      <c r="BM82" s="84"/>
      <c r="BU82" s="1"/>
      <c r="BV82" s="45"/>
      <c r="BW82" s="84"/>
      <c r="CE82" s="1"/>
      <c r="CF82" s="45"/>
      <c r="CG82" s="84"/>
      <c r="CO82" s="1"/>
      <c r="CP82" s="45"/>
      <c r="CQ82" s="84"/>
    </row>
    <row r="83" spans="1:95" hidden="1" x14ac:dyDescent="0.45">
      <c r="A83" s="74"/>
      <c r="C83" s="1"/>
      <c r="D83" s="45"/>
      <c r="E83" s="84"/>
      <c r="M83" s="1"/>
      <c r="N83" s="45"/>
      <c r="O83" s="84"/>
      <c r="W83" s="1"/>
      <c r="X83" s="45"/>
      <c r="Y83" s="84"/>
      <c r="AG83" s="1"/>
      <c r="AH83" s="45"/>
      <c r="AI83" s="84"/>
      <c r="AQ83" s="1"/>
      <c r="AR83" s="45"/>
      <c r="AS83" s="84"/>
      <c r="BA83" s="1"/>
      <c r="BB83" s="45"/>
      <c r="BC83" s="84"/>
      <c r="BK83" s="1"/>
      <c r="BL83" s="45"/>
      <c r="BM83" s="84"/>
      <c r="BU83" s="1"/>
      <c r="BV83" s="45"/>
      <c r="BW83" s="84"/>
      <c r="CE83" s="1"/>
      <c r="CF83" s="45"/>
      <c r="CG83" s="84"/>
      <c r="CO83" s="1"/>
      <c r="CP83" s="45"/>
      <c r="CQ83" s="84"/>
    </row>
    <row r="84" spans="1:95" hidden="1" x14ac:dyDescent="0.45">
      <c r="A84" s="74"/>
      <c r="C84" s="1"/>
      <c r="D84" s="45"/>
      <c r="E84" s="84"/>
      <c r="M84" s="1"/>
      <c r="N84" s="45"/>
      <c r="O84" s="84"/>
      <c r="W84" s="1"/>
      <c r="X84" s="45"/>
      <c r="Y84" s="84"/>
      <c r="AG84" s="1"/>
      <c r="AH84" s="45"/>
      <c r="AI84" s="84"/>
      <c r="AQ84" s="1"/>
      <c r="AR84" s="45"/>
      <c r="AS84" s="84"/>
      <c r="BA84" s="1"/>
      <c r="BB84" s="45"/>
      <c r="BC84" s="84"/>
      <c r="BK84" s="1"/>
      <c r="BL84" s="45"/>
      <c r="BM84" s="84"/>
      <c r="BU84" s="1"/>
      <c r="BV84" s="45"/>
      <c r="BW84" s="84"/>
      <c r="CE84" s="1"/>
      <c r="CF84" s="45"/>
      <c r="CG84" s="84"/>
      <c r="CO84" s="1"/>
      <c r="CP84" s="45"/>
      <c r="CQ84" s="84"/>
    </row>
    <row r="85" spans="1:95" hidden="1" x14ac:dyDescent="0.45">
      <c r="A85" s="74"/>
      <c r="C85" s="1"/>
      <c r="D85" s="45"/>
      <c r="E85" s="84"/>
      <c r="M85" s="1"/>
      <c r="N85" s="45"/>
      <c r="O85" s="84"/>
      <c r="W85" s="1"/>
      <c r="X85" s="45"/>
      <c r="Y85" s="84"/>
      <c r="AG85" s="1"/>
      <c r="AH85" s="45"/>
      <c r="AI85" s="84"/>
      <c r="AQ85" s="1"/>
      <c r="AR85" s="45"/>
      <c r="AS85" s="84"/>
      <c r="BA85" s="1"/>
      <c r="BB85" s="45"/>
      <c r="BC85" s="84"/>
      <c r="BK85" s="1"/>
      <c r="BL85" s="45"/>
      <c r="BM85" s="84"/>
      <c r="BU85" s="1"/>
      <c r="BV85" s="45"/>
      <c r="BW85" s="84"/>
      <c r="CE85" s="1"/>
      <c r="CF85" s="45"/>
      <c r="CG85" s="84"/>
      <c r="CO85" s="1"/>
      <c r="CP85" s="45"/>
      <c r="CQ85" s="84"/>
    </row>
    <row r="86" spans="1:95" hidden="1" x14ac:dyDescent="0.45">
      <c r="A86" s="74"/>
      <c r="C86" s="1"/>
      <c r="D86" s="46"/>
      <c r="E86" s="84"/>
      <c r="M86" s="1"/>
      <c r="N86" s="46"/>
      <c r="O86" s="84"/>
      <c r="W86" s="1"/>
      <c r="X86" s="46"/>
      <c r="Y86" s="84"/>
      <c r="AG86" s="1"/>
      <c r="AH86" s="46"/>
      <c r="AI86" s="84"/>
      <c r="AQ86" s="1"/>
      <c r="AR86" s="46"/>
      <c r="AS86" s="84"/>
      <c r="BA86" s="1"/>
      <c r="BB86" s="46"/>
      <c r="BC86" s="84"/>
      <c r="BK86" s="1"/>
      <c r="BL86" s="46"/>
      <c r="BM86" s="84"/>
      <c r="BU86" s="1"/>
      <c r="BV86" s="46"/>
      <c r="BW86" s="84"/>
      <c r="CE86" s="1"/>
      <c r="CF86" s="46"/>
      <c r="CG86" s="84"/>
      <c r="CO86" s="1"/>
      <c r="CP86" s="46"/>
      <c r="CQ86" s="84"/>
    </row>
    <row r="87" spans="1:95" hidden="1" x14ac:dyDescent="0.45">
      <c r="A87" s="74"/>
      <c r="C87" s="1"/>
      <c r="D87" s="46"/>
      <c r="E87" s="84"/>
      <c r="M87" s="1"/>
      <c r="N87" s="46"/>
      <c r="O87" s="84"/>
      <c r="W87" s="1"/>
      <c r="X87" s="46"/>
      <c r="Y87" s="84"/>
      <c r="AG87" s="1"/>
      <c r="AH87" s="46"/>
      <c r="AI87" s="84"/>
      <c r="AQ87" s="1"/>
      <c r="AR87" s="46"/>
      <c r="AS87" s="84"/>
      <c r="BA87" s="1"/>
      <c r="BB87" s="46"/>
      <c r="BC87" s="84"/>
      <c r="BK87" s="1"/>
      <c r="BL87" s="46"/>
      <c r="BM87" s="84"/>
      <c r="BU87" s="1"/>
      <c r="BV87" s="46"/>
      <c r="BW87" s="84"/>
      <c r="CE87" s="1"/>
      <c r="CF87" s="46"/>
      <c r="CG87" s="84"/>
      <c r="CO87" s="1"/>
      <c r="CP87" s="46"/>
      <c r="CQ87" s="84"/>
    </row>
    <row r="88" spans="1:95" hidden="1" x14ac:dyDescent="0.45">
      <c r="A88" s="74"/>
      <c r="C88" s="1"/>
      <c r="D88" s="45"/>
      <c r="E88" s="84"/>
      <c r="M88" s="1"/>
      <c r="N88" s="45"/>
      <c r="O88" s="84"/>
      <c r="W88" s="1"/>
      <c r="X88" s="45"/>
      <c r="Y88" s="84"/>
      <c r="AG88" s="1"/>
      <c r="AH88" s="45"/>
      <c r="AI88" s="84"/>
      <c r="AQ88" s="1"/>
      <c r="AR88" s="45"/>
      <c r="AS88" s="84"/>
      <c r="BA88" s="1"/>
      <c r="BB88" s="45"/>
      <c r="BC88" s="84"/>
      <c r="BK88" s="1"/>
      <c r="BL88" s="45"/>
      <c r="BM88" s="84"/>
      <c r="BU88" s="1"/>
      <c r="BV88" s="45"/>
      <c r="BW88" s="84"/>
      <c r="CE88" s="1"/>
      <c r="CF88" s="45"/>
      <c r="CG88" s="84"/>
      <c r="CO88" s="1"/>
      <c r="CP88" s="45"/>
      <c r="CQ88" s="84"/>
    </row>
    <row r="89" spans="1:95" hidden="1" x14ac:dyDescent="0.45">
      <c r="A89" s="74"/>
      <c r="C89" s="1"/>
      <c r="D89" s="45"/>
      <c r="E89" s="84"/>
      <c r="M89" s="1"/>
      <c r="N89" s="45"/>
      <c r="O89" s="84"/>
      <c r="W89" s="1"/>
      <c r="X89" s="45"/>
      <c r="Y89" s="84"/>
      <c r="AG89" s="1"/>
      <c r="AH89" s="45"/>
      <c r="AI89" s="84"/>
      <c r="AQ89" s="1"/>
      <c r="AR89" s="45"/>
      <c r="AS89" s="84"/>
      <c r="BA89" s="1"/>
      <c r="BB89" s="45"/>
      <c r="BC89" s="84"/>
      <c r="BK89" s="1"/>
      <c r="BL89" s="45"/>
      <c r="BM89" s="84"/>
      <c r="BU89" s="1"/>
      <c r="BV89" s="45"/>
      <c r="BW89" s="84"/>
      <c r="CE89" s="1"/>
      <c r="CF89" s="45"/>
      <c r="CG89" s="84"/>
      <c r="CO89" s="1"/>
      <c r="CP89" s="45"/>
      <c r="CQ89" s="84"/>
    </row>
    <row r="90" spans="1:95" hidden="1" x14ac:dyDescent="0.45">
      <c r="A90" s="74"/>
      <c r="C90" s="1"/>
      <c r="D90" s="45"/>
      <c r="E90" s="84"/>
      <c r="M90" s="1"/>
      <c r="N90" s="45"/>
      <c r="O90" s="84"/>
      <c r="W90" s="1"/>
      <c r="X90" s="45"/>
      <c r="Y90" s="84"/>
      <c r="AG90" s="1"/>
      <c r="AH90" s="45"/>
      <c r="AI90" s="84"/>
      <c r="AQ90" s="1"/>
      <c r="AR90" s="45"/>
      <c r="AS90" s="84"/>
      <c r="BA90" s="1"/>
      <c r="BB90" s="45"/>
      <c r="BC90" s="84"/>
      <c r="BK90" s="1"/>
      <c r="BL90" s="45"/>
      <c r="BM90" s="84"/>
      <c r="BU90" s="1"/>
      <c r="BV90" s="45"/>
      <c r="BW90" s="84"/>
      <c r="CE90" s="1"/>
      <c r="CF90" s="45"/>
      <c r="CG90" s="84"/>
      <c r="CO90" s="1"/>
      <c r="CP90" s="45"/>
      <c r="CQ90" s="84"/>
    </row>
    <row r="91" spans="1:95" ht="15" hidden="1" customHeight="1" x14ac:dyDescent="0.45">
      <c r="A91" s="74"/>
      <c r="C91" s="1"/>
      <c r="D91" s="45"/>
      <c r="E91" s="84"/>
      <c r="M91" s="1"/>
      <c r="N91" s="45"/>
      <c r="O91" s="84"/>
      <c r="W91" s="1"/>
      <c r="X91" s="45"/>
      <c r="Y91" s="84"/>
      <c r="AG91" s="1"/>
      <c r="AH91" s="45"/>
      <c r="AI91" s="84"/>
      <c r="AQ91" s="1"/>
      <c r="AR91" s="45"/>
      <c r="AS91" s="84"/>
      <c r="BA91" s="1"/>
      <c r="BB91" s="45"/>
      <c r="BC91" s="84"/>
      <c r="BK91" s="1"/>
      <c r="BL91" s="45"/>
      <c r="BM91" s="84"/>
      <c r="BU91" s="1"/>
      <c r="BV91" s="45"/>
      <c r="BW91" s="84"/>
      <c r="CE91" s="1"/>
      <c r="CF91" s="45"/>
      <c r="CG91" s="84"/>
      <c r="CO91" s="1"/>
      <c r="CP91" s="45"/>
      <c r="CQ91" s="84"/>
    </row>
    <row r="92" spans="1:95" hidden="1" x14ac:dyDescent="0.45">
      <c r="A92" s="74"/>
      <c r="E92" s="84"/>
      <c r="O92" s="84"/>
      <c r="Y92" s="84"/>
      <c r="AI92" s="84"/>
      <c r="AS92" s="84"/>
      <c r="BC92" s="84"/>
      <c r="BM92" s="84"/>
      <c r="BW92" s="84"/>
      <c r="CG92" s="84"/>
      <c r="CQ92" s="84"/>
    </row>
    <row r="93" spans="1:95" hidden="1" x14ac:dyDescent="0.45">
      <c r="A93" s="74"/>
      <c r="C93" s="207"/>
      <c r="D93" s="207"/>
      <c r="E93" s="84"/>
      <c r="M93" s="207"/>
      <c r="N93" s="207"/>
      <c r="O93" s="84"/>
      <c r="W93" s="207"/>
      <c r="X93" s="207"/>
      <c r="Y93" s="84"/>
      <c r="AG93" s="207"/>
      <c r="AH93" s="207"/>
      <c r="AI93" s="84"/>
      <c r="AQ93" s="207"/>
      <c r="AR93" s="207"/>
      <c r="AS93" s="84"/>
      <c r="BA93" s="207"/>
      <c r="BB93" s="207"/>
      <c r="BC93" s="84"/>
      <c r="BK93" s="207"/>
      <c r="BL93" s="207"/>
      <c r="BM93" s="84"/>
      <c r="BU93" s="207"/>
      <c r="BV93" s="207"/>
      <c r="BW93" s="84"/>
      <c r="CE93" s="207"/>
      <c r="CF93" s="207"/>
      <c r="CG93" s="84"/>
      <c r="CO93" s="207"/>
      <c r="CP93" s="207"/>
      <c r="CQ93" s="84"/>
    </row>
    <row r="94" spans="1:95" hidden="1" x14ac:dyDescent="0.45">
      <c r="A94" s="74"/>
      <c r="C94" s="1"/>
      <c r="D94" s="46"/>
      <c r="E94" s="84"/>
      <c r="M94" s="1"/>
      <c r="N94" s="46"/>
      <c r="O94" s="84"/>
      <c r="W94" s="1"/>
      <c r="X94" s="46"/>
      <c r="Y94" s="84"/>
      <c r="AG94" s="1"/>
      <c r="AH94" s="46"/>
      <c r="AI94" s="84"/>
      <c r="AQ94" s="1"/>
      <c r="AR94" s="46"/>
      <c r="AS94" s="84"/>
      <c r="BA94" s="1"/>
      <c r="BB94" s="46"/>
      <c r="BC94" s="84"/>
      <c r="BK94" s="1"/>
      <c r="BL94" s="46"/>
      <c r="BM94" s="84"/>
      <c r="BU94" s="1"/>
      <c r="BV94" s="46"/>
      <c r="BW94" s="84"/>
      <c r="CE94" s="1"/>
      <c r="CF94" s="46"/>
      <c r="CG94" s="84"/>
      <c r="CO94" s="1"/>
      <c r="CP94" s="46"/>
      <c r="CQ94" s="84"/>
    </row>
    <row r="95" spans="1:95" hidden="1" x14ac:dyDescent="0.45">
      <c r="A95" s="74"/>
      <c r="C95" s="1"/>
      <c r="D95" s="46"/>
      <c r="E95" s="84"/>
      <c r="M95" s="1"/>
      <c r="N95" s="46"/>
      <c r="O95" s="84"/>
      <c r="W95" s="1"/>
      <c r="X95" s="46"/>
      <c r="Y95" s="84"/>
      <c r="AG95" s="1"/>
      <c r="AH95" s="46"/>
      <c r="AI95" s="84"/>
      <c r="AQ95" s="1"/>
      <c r="AR95" s="46"/>
      <c r="AS95" s="84"/>
      <c r="BA95" s="1"/>
      <c r="BB95" s="46"/>
      <c r="BC95" s="84"/>
      <c r="BK95" s="1"/>
      <c r="BL95" s="46"/>
      <c r="BM95" s="84"/>
      <c r="BU95" s="1"/>
      <c r="BV95" s="46"/>
      <c r="BW95" s="84"/>
      <c r="CE95" s="1"/>
      <c r="CF95" s="46"/>
      <c r="CG95" s="84"/>
      <c r="CO95" s="1"/>
      <c r="CP95" s="46"/>
      <c r="CQ95" s="84"/>
    </row>
    <row r="96" spans="1:95" hidden="1" x14ac:dyDescent="0.45">
      <c r="A96" s="74"/>
      <c r="C96" s="1"/>
      <c r="D96" s="46"/>
      <c r="E96" s="84"/>
      <c r="M96" s="1"/>
      <c r="N96" s="46"/>
      <c r="O96" s="84"/>
      <c r="W96" s="1"/>
      <c r="X96" s="46"/>
      <c r="Y96" s="84"/>
      <c r="AG96" s="1"/>
      <c r="AH96" s="46"/>
      <c r="AI96" s="84"/>
      <c r="AQ96" s="1"/>
      <c r="AR96" s="46"/>
      <c r="AS96" s="84"/>
      <c r="BA96" s="1"/>
      <c r="BB96" s="46"/>
      <c r="BC96" s="84"/>
      <c r="BK96" s="1"/>
      <c r="BL96" s="46"/>
      <c r="BM96" s="84"/>
      <c r="BU96" s="1"/>
      <c r="BV96" s="46"/>
      <c r="BW96" s="84"/>
      <c r="CE96" s="1"/>
      <c r="CF96" s="46"/>
      <c r="CG96" s="84"/>
      <c r="CO96" s="1"/>
      <c r="CP96" s="46"/>
      <c r="CQ96" s="84"/>
    </row>
    <row r="97" spans="1:95" hidden="1" x14ac:dyDescent="0.45">
      <c r="A97" s="74"/>
      <c r="C97" s="1"/>
      <c r="D97" s="46"/>
      <c r="E97" s="84"/>
      <c r="M97" s="1"/>
      <c r="N97" s="46"/>
      <c r="O97" s="84"/>
      <c r="W97" s="1"/>
      <c r="X97" s="46"/>
      <c r="Y97" s="84"/>
      <c r="AG97" s="1"/>
      <c r="AH97" s="46"/>
      <c r="AI97" s="84"/>
      <c r="AQ97" s="1"/>
      <c r="AR97" s="46"/>
      <c r="AS97" s="84"/>
      <c r="BA97" s="1"/>
      <c r="BB97" s="46"/>
      <c r="BC97" s="84"/>
      <c r="BK97" s="1"/>
      <c r="BL97" s="46"/>
      <c r="BM97" s="84"/>
      <c r="BU97" s="1"/>
      <c r="BV97" s="46"/>
      <c r="BW97" s="84"/>
      <c r="CE97" s="1"/>
      <c r="CF97" s="46"/>
      <c r="CG97" s="84"/>
      <c r="CO97" s="1"/>
      <c r="CP97" s="46"/>
      <c r="CQ97" s="84"/>
    </row>
    <row r="98" spans="1:95" ht="15" hidden="1" customHeight="1" x14ac:dyDescent="0.45">
      <c r="A98" s="74"/>
      <c r="C98" s="1"/>
      <c r="D98" s="46"/>
      <c r="E98" s="84"/>
      <c r="M98" s="1"/>
      <c r="N98" s="46"/>
      <c r="O98" s="84"/>
      <c r="W98" s="1"/>
      <c r="X98" s="46"/>
      <c r="Y98" s="84"/>
      <c r="AG98" s="1"/>
      <c r="AH98" s="46"/>
      <c r="AI98" s="84"/>
      <c r="AQ98" s="1"/>
      <c r="AR98" s="46"/>
      <c r="AS98" s="84"/>
      <c r="BA98" s="1"/>
      <c r="BB98" s="46"/>
      <c r="BC98" s="84"/>
      <c r="BK98" s="1"/>
      <c r="BL98" s="46"/>
      <c r="BM98" s="84"/>
      <c r="BU98" s="1"/>
      <c r="BV98" s="46"/>
      <c r="BW98" s="84"/>
      <c r="CE98" s="1"/>
      <c r="CF98" s="46"/>
      <c r="CG98" s="84"/>
      <c r="CO98" s="1"/>
      <c r="CP98" s="46"/>
      <c r="CQ98" s="84"/>
    </row>
    <row r="99" spans="1:95" hidden="1" x14ac:dyDescent="0.45">
      <c r="A99" s="74"/>
      <c r="C99" s="1"/>
      <c r="D99" s="46"/>
      <c r="E99" s="84"/>
      <c r="M99" s="1"/>
      <c r="N99" s="46"/>
      <c r="O99" s="84"/>
      <c r="W99" s="1"/>
      <c r="X99" s="46"/>
      <c r="Y99" s="84"/>
      <c r="AG99" s="1"/>
      <c r="AH99" s="46"/>
      <c r="AI99" s="84"/>
      <c r="AQ99" s="1"/>
      <c r="AR99" s="46"/>
      <c r="AS99" s="84"/>
      <c r="BA99" s="1"/>
      <c r="BB99" s="46"/>
      <c r="BC99" s="84"/>
      <c r="BK99" s="1"/>
      <c r="BL99" s="46"/>
      <c r="BM99" s="84"/>
      <c r="BU99" s="1"/>
      <c r="BV99" s="46"/>
      <c r="BW99" s="84"/>
      <c r="CE99" s="1"/>
      <c r="CF99" s="46"/>
      <c r="CG99" s="84"/>
      <c r="CO99" s="1"/>
      <c r="CP99" s="46"/>
      <c r="CQ99" s="84"/>
    </row>
    <row r="100" spans="1:95" hidden="1" x14ac:dyDescent="0.45">
      <c r="A100" s="74"/>
      <c r="C100" s="1"/>
      <c r="D100" s="46"/>
      <c r="E100" s="84"/>
      <c r="M100" s="1"/>
      <c r="N100" s="46"/>
      <c r="O100" s="84"/>
      <c r="W100" s="1"/>
      <c r="X100" s="46"/>
      <c r="Y100" s="84"/>
      <c r="AG100" s="1"/>
      <c r="AH100" s="46"/>
      <c r="AI100" s="84"/>
      <c r="AQ100" s="1"/>
      <c r="AR100" s="46"/>
      <c r="AS100" s="84"/>
      <c r="BA100" s="1"/>
      <c r="BB100" s="46"/>
      <c r="BC100" s="84"/>
      <c r="BK100" s="1"/>
      <c r="BL100" s="46"/>
      <c r="BM100" s="84"/>
      <c r="BU100" s="1"/>
      <c r="BV100" s="46"/>
      <c r="BW100" s="84"/>
      <c r="CE100" s="1"/>
      <c r="CF100" s="46"/>
      <c r="CG100" s="84"/>
      <c r="CO100" s="1"/>
      <c r="CP100" s="46"/>
      <c r="CQ100" s="84"/>
    </row>
    <row r="101" spans="1:95" hidden="1" x14ac:dyDescent="0.45">
      <c r="A101" s="74"/>
      <c r="C101" s="1"/>
      <c r="D101" s="46"/>
      <c r="E101" s="84"/>
      <c r="M101" s="1"/>
      <c r="N101" s="46"/>
      <c r="O101" s="84"/>
      <c r="W101" s="1"/>
      <c r="X101" s="46"/>
      <c r="Y101" s="84"/>
      <c r="AG101" s="1"/>
      <c r="AH101" s="46"/>
      <c r="AI101" s="84"/>
      <c r="AQ101" s="1"/>
      <c r="AR101" s="46"/>
      <c r="AS101" s="84"/>
      <c r="BA101" s="1"/>
      <c r="BB101" s="46"/>
      <c r="BC101" s="84"/>
      <c r="BK101" s="1"/>
      <c r="BL101" s="46"/>
      <c r="BM101" s="84"/>
      <c r="BU101" s="1"/>
      <c r="BV101" s="46"/>
      <c r="BW101" s="84"/>
      <c r="CE101" s="1"/>
      <c r="CF101" s="46"/>
      <c r="CG101" s="84"/>
      <c r="CO101" s="1"/>
      <c r="CP101" s="46"/>
      <c r="CQ101" s="84"/>
    </row>
    <row r="102" spans="1:95" hidden="1" x14ac:dyDescent="0.45">
      <c r="A102" s="74"/>
      <c r="D102" s="24"/>
      <c r="E102" s="84"/>
      <c r="N102" s="24"/>
      <c r="O102" s="84"/>
      <c r="X102" s="24"/>
      <c r="Y102" s="84"/>
      <c r="AH102" s="24"/>
      <c r="AI102" s="84"/>
      <c r="AR102" s="24"/>
      <c r="AS102" s="84"/>
      <c r="BB102" s="24"/>
      <c r="BC102" s="84"/>
      <c r="BL102" s="24"/>
      <c r="BM102" s="84"/>
      <c r="BV102" s="24"/>
      <c r="BW102" s="84"/>
      <c r="CF102" s="24"/>
      <c r="CG102" s="84"/>
      <c r="CP102" s="24"/>
      <c r="CQ102" s="84"/>
    </row>
    <row r="103" spans="1:95" hidden="1" x14ac:dyDescent="0.45">
      <c r="A103" s="74"/>
      <c r="C103" s="207"/>
      <c r="D103" s="207"/>
      <c r="E103" s="84"/>
      <c r="M103" s="207"/>
      <c r="N103" s="207"/>
      <c r="O103" s="84"/>
      <c r="W103" s="207"/>
      <c r="X103" s="207"/>
      <c r="Y103" s="84"/>
      <c r="AG103" s="207"/>
      <c r="AH103" s="207"/>
      <c r="AI103" s="84"/>
      <c r="AQ103" s="207"/>
      <c r="AR103" s="207"/>
      <c r="AS103" s="84"/>
      <c r="BA103" s="207"/>
      <c r="BB103" s="207"/>
      <c r="BC103" s="84"/>
      <c r="BK103" s="207"/>
      <c r="BL103" s="207"/>
      <c r="BM103" s="84"/>
      <c r="BU103" s="207"/>
      <c r="BV103" s="207"/>
      <c r="BW103" s="84"/>
      <c r="CE103" s="207"/>
      <c r="CF103" s="207"/>
      <c r="CG103" s="84"/>
      <c r="CO103" s="207"/>
      <c r="CP103" s="207"/>
      <c r="CQ103" s="84"/>
    </row>
    <row r="104" spans="1:95" hidden="1" x14ac:dyDescent="0.45">
      <c r="A104" s="74"/>
      <c r="C104" s="1"/>
      <c r="D104" s="46"/>
      <c r="E104" s="84"/>
      <c r="M104" s="1"/>
      <c r="N104" s="46"/>
      <c r="O104" s="84"/>
      <c r="W104" s="1"/>
      <c r="X104" s="46"/>
      <c r="Y104" s="84"/>
      <c r="AG104" s="1"/>
      <c r="AH104" s="46"/>
      <c r="AI104" s="84"/>
      <c r="AQ104" s="1"/>
      <c r="AR104" s="46"/>
      <c r="AS104" s="84"/>
      <c r="BA104" s="1"/>
      <c r="BB104" s="46"/>
      <c r="BC104" s="84"/>
      <c r="BK104" s="1"/>
      <c r="BL104" s="46"/>
      <c r="BM104" s="84"/>
      <c r="BU104" s="1"/>
      <c r="BV104" s="46"/>
      <c r="BW104" s="84"/>
      <c r="CE104" s="1"/>
      <c r="CF104" s="46"/>
      <c r="CG104" s="84"/>
      <c r="CO104" s="1"/>
      <c r="CP104" s="46"/>
      <c r="CQ104" s="84"/>
    </row>
    <row r="105" spans="1:95" ht="15" hidden="1" customHeight="1" x14ac:dyDescent="0.45">
      <c r="A105" s="74"/>
      <c r="C105" s="1"/>
      <c r="D105" s="46"/>
      <c r="E105" s="84"/>
      <c r="M105" s="1"/>
      <c r="N105" s="46"/>
      <c r="O105" s="84"/>
      <c r="W105" s="1"/>
      <c r="X105" s="46"/>
      <c r="Y105" s="84"/>
      <c r="AG105" s="1"/>
      <c r="AH105" s="46"/>
      <c r="AI105" s="84"/>
      <c r="AQ105" s="1"/>
      <c r="AR105" s="46"/>
      <c r="AS105" s="84"/>
      <c r="BA105" s="1"/>
      <c r="BB105" s="46"/>
      <c r="BC105" s="84"/>
      <c r="BK105" s="1"/>
      <c r="BL105" s="46"/>
      <c r="BM105" s="84"/>
      <c r="BU105" s="1"/>
      <c r="BV105" s="46"/>
      <c r="BW105" s="84"/>
      <c r="CE105" s="1"/>
      <c r="CF105" s="46"/>
      <c r="CG105" s="84"/>
      <c r="CO105" s="1"/>
      <c r="CP105" s="46"/>
      <c r="CQ105" s="84"/>
    </row>
    <row r="106" spans="1:95" hidden="1" x14ac:dyDescent="0.45">
      <c r="A106" s="74"/>
      <c r="C106" s="36"/>
      <c r="D106" s="47"/>
      <c r="E106" s="84"/>
      <c r="M106" s="36"/>
      <c r="N106" s="47"/>
      <c r="O106" s="84"/>
      <c r="W106" s="36"/>
      <c r="X106" s="47"/>
      <c r="Y106" s="84"/>
      <c r="AG106" s="36"/>
      <c r="AH106" s="47"/>
      <c r="AI106" s="84"/>
      <c r="AQ106" s="36"/>
      <c r="AR106" s="47"/>
      <c r="AS106" s="84"/>
      <c r="BA106" s="36"/>
      <c r="BB106" s="47"/>
      <c r="BC106" s="84"/>
      <c r="BK106" s="36"/>
      <c r="BL106" s="47"/>
      <c r="BM106" s="84"/>
      <c r="BU106" s="36"/>
      <c r="BV106" s="47"/>
      <c r="BW106" s="84"/>
      <c r="CE106" s="36"/>
      <c r="CF106" s="47"/>
      <c r="CG106" s="84"/>
      <c r="CO106" s="36"/>
      <c r="CP106" s="47"/>
      <c r="CQ106" s="84"/>
    </row>
    <row r="107" spans="1:95" hidden="1" x14ac:dyDescent="0.45">
      <c r="A107" s="74"/>
      <c r="C107" s="36"/>
      <c r="D107" s="47"/>
      <c r="E107" s="84"/>
      <c r="M107" s="36"/>
      <c r="N107" s="47"/>
      <c r="O107" s="84"/>
      <c r="W107" s="36"/>
      <c r="X107" s="47"/>
      <c r="Y107" s="84"/>
      <c r="AG107" s="36"/>
      <c r="AH107" s="47"/>
      <c r="AI107" s="84"/>
      <c r="AQ107" s="36"/>
      <c r="AR107" s="47"/>
      <c r="AS107" s="84"/>
      <c r="BA107" s="36"/>
      <c r="BB107" s="47"/>
      <c r="BC107" s="84"/>
      <c r="BK107" s="36"/>
      <c r="BL107" s="47"/>
      <c r="BM107" s="84"/>
      <c r="BU107" s="36"/>
      <c r="BV107" s="47"/>
      <c r="BW107" s="84"/>
      <c r="CE107" s="36"/>
      <c r="CF107" s="47"/>
      <c r="CG107" s="84"/>
      <c r="CO107" s="36"/>
      <c r="CP107" s="47"/>
      <c r="CQ107" s="84"/>
    </row>
    <row r="108" spans="1:95" hidden="1" x14ac:dyDescent="0.45">
      <c r="A108" s="74"/>
      <c r="C108" s="36"/>
      <c r="D108" s="47"/>
      <c r="E108" s="84"/>
      <c r="M108" s="36"/>
      <c r="N108" s="47"/>
      <c r="O108" s="84"/>
      <c r="W108" s="36"/>
      <c r="X108" s="47"/>
      <c r="Y108" s="84"/>
      <c r="AG108" s="36"/>
      <c r="AH108" s="47"/>
      <c r="AI108" s="84"/>
      <c r="AQ108" s="36"/>
      <c r="AR108" s="47"/>
      <c r="AS108" s="84"/>
      <c r="BA108" s="36"/>
      <c r="BB108" s="47"/>
      <c r="BC108" s="84"/>
      <c r="BK108" s="36"/>
      <c r="BL108" s="47"/>
      <c r="BM108" s="84"/>
      <c r="BU108" s="36"/>
      <c r="BV108" s="47"/>
      <c r="BW108" s="84"/>
      <c r="CE108" s="36"/>
      <c r="CF108" s="47"/>
      <c r="CG108" s="84"/>
      <c r="CO108" s="36"/>
      <c r="CP108" s="47"/>
      <c r="CQ108" s="84"/>
    </row>
    <row r="109" spans="1:95" hidden="1" x14ac:dyDescent="0.45">
      <c r="A109" s="74"/>
      <c r="C109" s="36"/>
      <c r="D109" s="83"/>
      <c r="E109" s="84"/>
      <c r="M109" s="36"/>
      <c r="N109" s="83"/>
      <c r="O109" s="84"/>
      <c r="W109" s="36"/>
      <c r="X109" s="83"/>
      <c r="Y109" s="84"/>
      <c r="AG109" s="36"/>
      <c r="AH109" s="83"/>
      <c r="AI109" s="84"/>
      <c r="AQ109" s="36"/>
      <c r="AR109" s="83"/>
      <c r="AS109" s="84"/>
      <c r="BA109" s="36"/>
      <c r="BB109" s="83"/>
      <c r="BC109" s="84"/>
      <c r="BK109" s="36"/>
      <c r="BL109" s="83"/>
      <c r="BM109" s="84"/>
      <c r="BU109" s="36"/>
      <c r="BV109" s="83"/>
      <c r="BW109" s="84"/>
      <c r="CE109" s="36"/>
      <c r="CF109" s="83"/>
      <c r="CG109" s="84"/>
      <c r="CO109" s="36"/>
      <c r="CP109" s="83"/>
      <c r="CQ109" s="84"/>
    </row>
    <row r="110" spans="1:95" hidden="1" x14ac:dyDescent="0.45">
      <c r="A110" s="74"/>
      <c r="C110" s="36"/>
      <c r="D110" s="46"/>
      <c r="E110" s="84"/>
      <c r="M110" s="36"/>
      <c r="N110" s="46"/>
      <c r="O110" s="84"/>
      <c r="W110" s="36"/>
      <c r="X110" s="46"/>
      <c r="Y110" s="84"/>
      <c r="AG110" s="36"/>
      <c r="AH110" s="46"/>
      <c r="AI110" s="84"/>
      <c r="AQ110" s="36"/>
      <c r="AR110" s="46"/>
      <c r="AS110" s="84"/>
      <c r="BA110" s="36"/>
      <c r="BB110" s="46"/>
      <c r="BC110" s="84"/>
      <c r="BK110" s="36"/>
      <c r="BL110" s="46"/>
      <c r="BM110" s="84"/>
      <c r="BU110" s="36"/>
      <c r="BV110" s="46"/>
      <c r="BW110" s="84"/>
      <c r="CE110" s="36"/>
      <c r="CF110" s="46"/>
      <c r="CG110" s="84"/>
      <c r="CO110" s="36"/>
      <c r="CP110" s="46"/>
      <c r="CQ110" s="84"/>
    </row>
    <row r="111" spans="1:95" hidden="1" x14ac:dyDescent="0.45">
      <c r="A111" s="74"/>
      <c r="C111" s="36"/>
      <c r="D111" s="83"/>
      <c r="E111" s="84"/>
      <c r="M111" s="36"/>
      <c r="N111" s="83"/>
      <c r="O111" s="84"/>
      <c r="W111" s="36"/>
      <c r="X111" s="83"/>
      <c r="Y111" s="84"/>
      <c r="AG111" s="36"/>
      <c r="AH111" s="83"/>
      <c r="AI111" s="84"/>
      <c r="AQ111" s="36"/>
      <c r="AR111" s="83"/>
      <c r="AS111" s="84"/>
      <c r="BA111" s="36"/>
      <c r="BB111" s="83"/>
      <c r="BC111" s="84"/>
      <c r="BK111" s="36"/>
      <c r="BL111" s="83"/>
      <c r="BM111" s="84"/>
      <c r="BU111" s="36"/>
      <c r="BV111" s="83"/>
      <c r="BW111" s="84"/>
      <c r="CE111" s="36"/>
      <c r="CF111" s="83"/>
      <c r="CG111" s="84"/>
      <c r="CO111" s="36"/>
      <c r="CP111" s="83"/>
      <c r="CQ111" s="84"/>
    </row>
    <row r="112" spans="1:95" hidden="1" x14ac:dyDescent="0.45">
      <c r="A112" s="74"/>
      <c r="C112" s="36"/>
      <c r="D112" s="83"/>
      <c r="E112" s="84"/>
      <c r="M112" s="36"/>
      <c r="N112" s="83"/>
      <c r="O112" s="84"/>
      <c r="W112" s="36"/>
      <c r="X112" s="83"/>
      <c r="Y112" s="84"/>
      <c r="AG112" s="36"/>
      <c r="AH112" s="83"/>
      <c r="AI112" s="84"/>
      <c r="AQ112" s="36"/>
      <c r="AR112" s="83"/>
      <c r="AS112" s="84"/>
      <c r="BA112" s="36"/>
      <c r="BB112" s="83"/>
      <c r="BC112" s="84"/>
      <c r="BK112" s="36"/>
      <c r="BL112" s="83"/>
      <c r="BM112" s="84"/>
      <c r="BU112" s="36"/>
      <c r="BV112" s="83"/>
      <c r="BW112" s="84"/>
      <c r="CE112" s="36"/>
      <c r="CF112" s="83"/>
      <c r="CG112" s="84"/>
      <c r="CO112" s="36"/>
      <c r="CP112" s="83"/>
      <c r="CQ112" s="84"/>
    </row>
    <row r="113" spans="1:95" hidden="1" x14ac:dyDescent="0.45">
      <c r="A113" s="74"/>
      <c r="C113" s="209"/>
      <c r="D113" s="209"/>
      <c r="E113" s="84"/>
      <c r="M113" s="209"/>
      <c r="N113" s="209"/>
      <c r="O113" s="84"/>
      <c r="W113" s="209"/>
      <c r="X113" s="209"/>
      <c r="Y113" s="84"/>
      <c r="AG113" s="209"/>
      <c r="AH113" s="209"/>
      <c r="AI113" s="84"/>
      <c r="AQ113" s="209"/>
      <c r="AR113" s="209"/>
      <c r="AS113" s="84"/>
      <c r="BA113" s="209"/>
      <c r="BB113" s="209"/>
      <c r="BC113" s="84"/>
      <c r="BK113" s="209"/>
      <c r="BL113" s="209"/>
      <c r="BM113" s="84"/>
      <c r="BU113" s="209"/>
      <c r="BV113" s="209"/>
      <c r="BW113" s="84"/>
      <c r="CE113" s="209"/>
      <c r="CF113" s="209"/>
      <c r="CG113" s="84"/>
      <c r="CO113" s="209"/>
      <c r="CP113" s="209"/>
      <c r="CQ113" s="84"/>
    </row>
    <row r="114" spans="1:95" hidden="1" x14ac:dyDescent="0.45">
      <c r="A114" s="74"/>
      <c r="C114" s="1"/>
      <c r="D114" s="46"/>
      <c r="E114" s="84"/>
      <c r="M114" s="1"/>
      <c r="N114" s="46"/>
      <c r="O114" s="84"/>
      <c r="W114" s="1"/>
      <c r="X114" s="46"/>
      <c r="Y114" s="84"/>
      <c r="AG114" s="1"/>
      <c r="AH114" s="46"/>
      <c r="AI114" s="84"/>
      <c r="AQ114" s="1"/>
      <c r="AR114" s="46"/>
      <c r="AS114" s="84"/>
      <c r="BA114" s="1"/>
      <c r="BB114" s="46"/>
      <c r="BC114" s="84"/>
      <c r="BK114" s="1"/>
      <c r="BL114" s="46"/>
      <c r="BM114" s="84"/>
      <c r="BU114" s="1"/>
      <c r="BV114" s="46"/>
      <c r="BW114" s="84"/>
      <c r="CE114" s="1"/>
      <c r="CF114" s="46"/>
      <c r="CG114" s="84"/>
      <c r="CO114" s="1"/>
      <c r="CP114" s="46"/>
      <c r="CQ114" s="84"/>
    </row>
    <row r="115" spans="1:95" hidden="1" x14ac:dyDescent="0.45">
      <c r="A115" s="74"/>
      <c r="C115" s="1"/>
      <c r="D115" s="46"/>
      <c r="E115" s="84"/>
      <c r="M115" s="1"/>
      <c r="N115" s="46"/>
      <c r="O115" s="84"/>
      <c r="W115" s="1"/>
      <c r="X115" s="46"/>
      <c r="Y115" s="84"/>
      <c r="AG115" s="1"/>
      <c r="AH115" s="46"/>
      <c r="AI115" s="84"/>
      <c r="AQ115" s="1"/>
      <c r="AR115" s="46"/>
      <c r="AS115" s="84"/>
      <c r="BA115" s="1"/>
      <c r="BB115" s="46"/>
      <c r="BC115" s="84"/>
      <c r="BK115" s="1"/>
      <c r="BL115" s="46"/>
      <c r="BM115" s="84"/>
      <c r="BU115" s="1"/>
      <c r="BV115" s="46"/>
      <c r="BW115" s="84"/>
      <c r="CE115" s="1"/>
      <c r="CF115" s="46"/>
      <c r="CG115" s="84"/>
      <c r="CO115" s="1"/>
      <c r="CP115" s="46"/>
      <c r="CQ115" s="84"/>
    </row>
    <row r="116" spans="1:95" hidden="1" x14ac:dyDescent="0.45">
      <c r="A116" s="74"/>
      <c r="C116" s="1"/>
      <c r="D116" s="46"/>
      <c r="E116" s="84"/>
      <c r="M116" s="1"/>
      <c r="N116" s="46"/>
      <c r="O116" s="84"/>
      <c r="W116" s="1"/>
      <c r="X116" s="46"/>
      <c r="Y116" s="84"/>
      <c r="AG116" s="1"/>
      <c r="AH116" s="46"/>
      <c r="AI116" s="84"/>
      <c r="AQ116" s="1"/>
      <c r="AR116" s="46"/>
      <c r="AS116" s="84"/>
      <c r="BA116" s="1"/>
      <c r="BB116" s="46"/>
      <c r="BC116" s="84"/>
      <c r="BK116" s="1"/>
      <c r="BL116" s="46"/>
      <c r="BM116" s="84"/>
      <c r="BU116" s="1"/>
      <c r="BV116" s="46"/>
      <c r="BW116" s="84"/>
      <c r="CE116" s="1"/>
      <c r="CF116" s="46"/>
      <c r="CG116" s="84"/>
      <c r="CO116" s="1"/>
      <c r="CP116" s="46"/>
      <c r="CQ116" s="84"/>
    </row>
    <row r="117" spans="1:95" hidden="1" x14ac:dyDescent="0.45">
      <c r="A117" s="74"/>
      <c r="C117" s="1"/>
      <c r="D117" s="46"/>
      <c r="E117" s="84"/>
      <c r="M117" s="1"/>
      <c r="N117" s="46"/>
      <c r="O117" s="84"/>
      <c r="W117" s="1"/>
      <c r="X117" s="46"/>
      <c r="Y117" s="84"/>
      <c r="AG117" s="1"/>
      <c r="AH117" s="46"/>
      <c r="AI117" s="84"/>
      <c r="AQ117" s="1"/>
      <c r="AR117" s="46"/>
      <c r="AS117" s="84"/>
      <c r="BA117" s="1"/>
      <c r="BB117" s="46"/>
      <c r="BC117" s="84"/>
      <c r="BK117" s="1"/>
      <c r="BL117" s="46"/>
      <c r="BM117" s="84"/>
      <c r="BU117" s="1"/>
      <c r="BV117" s="46"/>
      <c r="BW117" s="84"/>
      <c r="CE117" s="1"/>
      <c r="CF117" s="46"/>
      <c r="CG117" s="84"/>
      <c r="CO117" s="1"/>
      <c r="CP117" s="46"/>
      <c r="CQ117" s="84"/>
    </row>
    <row r="118" spans="1:95" hidden="1" x14ac:dyDescent="0.45">
      <c r="A118" s="74"/>
      <c r="C118" s="37"/>
      <c r="D118" s="48"/>
      <c r="E118" s="84"/>
      <c r="M118" s="37"/>
      <c r="N118" s="48"/>
      <c r="O118" s="84"/>
      <c r="W118" s="1"/>
      <c r="X118" s="48"/>
      <c r="Y118" s="84"/>
      <c r="AG118" s="1"/>
      <c r="AH118" s="48"/>
      <c r="AI118" s="84"/>
      <c r="AQ118" s="1"/>
      <c r="AR118" s="48"/>
      <c r="AS118" s="84"/>
      <c r="BA118" s="1"/>
      <c r="BB118" s="48"/>
      <c r="BC118" s="84"/>
      <c r="BK118" s="1"/>
      <c r="BL118" s="48"/>
      <c r="BM118" s="84"/>
      <c r="BU118" s="1"/>
      <c r="BV118" s="48"/>
      <c r="BW118" s="84"/>
      <c r="CE118" s="1"/>
      <c r="CF118" s="48"/>
      <c r="CG118" s="84"/>
      <c r="CO118" s="1"/>
      <c r="CP118" s="48"/>
      <c r="CQ118" s="84"/>
    </row>
    <row r="119" spans="1:95" x14ac:dyDescent="0.45">
      <c r="A119" s="74"/>
      <c r="C119" s="74"/>
      <c r="D119" s="74"/>
      <c r="L119" s="74"/>
      <c r="M119" s="74"/>
      <c r="N119" s="74"/>
      <c r="O119" s="74"/>
      <c r="V119" s="74"/>
      <c r="W119" s="74"/>
      <c r="X119" s="74"/>
      <c r="Y119" s="74"/>
      <c r="AF119" s="74"/>
      <c r="AG119" s="74"/>
      <c r="AH119" s="74"/>
      <c r="AI119" s="74"/>
      <c r="AP119" s="74"/>
      <c r="AQ119" s="74"/>
      <c r="AR119" s="74"/>
      <c r="AS119" s="74"/>
      <c r="AZ119" s="74"/>
      <c r="BA119" s="74"/>
      <c r="BB119" s="74"/>
      <c r="BC119" s="74"/>
      <c r="BJ119" s="74"/>
      <c r="BK119" s="74"/>
      <c r="BL119" s="74"/>
      <c r="BM119" s="74"/>
      <c r="BT119" s="74"/>
      <c r="BU119" s="74"/>
      <c r="BV119" s="74"/>
      <c r="BW119" s="74"/>
      <c r="CD119" s="74"/>
      <c r="CE119" s="74"/>
      <c r="CF119" s="74"/>
      <c r="CG119" s="74"/>
      <c r="CN119" s="74"/>
      <c r="CO119" s="74"/>
      <c r="CP119" s="74"/>
      <c r="CQ119" s="74"/>
    </row>
    <row r="120" spans="1:95" x14ac:dyDescent="0.45">
      <c r="A120" s="74"/>
      <c r="C120" s="74"/>
      <c r="D120" s="74"/>
      <c r="L120" s="74"/>
      <c r="M120" s="74"/>
      <c r="N120" s="74"/>
      <c r="O120" s="74"/>
      <c r="V120" s="74"/>
      <c r="W120" s="74"/>
      <c r="X120" s="74"/>
      <c r="Y120" s="74"/>
      <c r="AF120" s="74"/>
      <c r="AG120" s="74"/>
      <c r="AH120" s="74"/>
      <c r="AI120" s="74"/>
      <c r="AP120" s="74"/>
      <c r="AQ120" s="74"/>
      <c r="AR120" s="74"/>
      <c r="AS120" s="74"/>
      <c r="AZ120" s="74"/>
      <c r="BA120" s="74"/>
      <c r="BB120" s="74"/>
      <c r="BC120" s="74"/>
      <c r="BJ120" s="74"/>
      <c r="BK120" s="74"/>
      <c r="BL120" s="74"/>
      <c r="BM120" s="74"/>
      <c r="BT120" s="74"/>
      <c r="BU120" s="74"/>
      <c r="BV120" s="74"/>
      <c r="BW120" s="74"/>
      <c r="CD120" s="74"/>
      <c r="CE120" s="74"/>
      <c r="CF120" s="74"/>
      <c r="CG120" s="74"/>
      <c r="CN120" s="74"/>
      <c r="CO120" s="74"/>
      <c r="CP120" s="74"/>
      <c r="CQ120" s="74"/>
    </row>
    <row r="121" spans="1:95" x14ac:dyDescent="0.45">
      <c r="A121" s="74"/>
      <c r="C121" s="74"/>
      <c r="D121" s="74"/>
      <c r="L121" s="74"/>
      <c r="M121" s="74"/>
      <c r="N121" s="74"/>
      <c r="O121" s="74"/>
      <c r="V121" s="74"/>
      <c r="W121" s="74"/>
      <c r="X121" s="74"/>
      <c r="Y121" s="74"/>
      <c r="AF121" s="74"/>
      <c r="AG121" s="74"/>
      <c r="AH121" s="74"/>
      <c r="AI121" s="74"/>
      <c r="AP121" s="74"/>
      <c r="AQ121" s="74"/>
      <c r="AR121" s="74"/>
      <c r="AS121" s="74"/>
      <c r="AZ121" s="74"/>
      <c r="BA121" s="74"/>
      <c r="BB121" s="74"/>
      <c r="BC121" s="74"/>
      <c r="BJ121" s="74"/>
      <c r="BK121" s="74"/>
      <c r="BL121" s="74"/>
      <c r="BM121" s="74"/>
      <c r="BT121" s="74"/>
      <c r="BU121" s="74"/>
      <c r="BV121" s="74"/>
      <c r="BW121" s="74"/>
      <c r="CD121" s="74"/>
      <c r="CE121" s="74"/>
      <c r="CF121" s="74"/>
      <c r="CG121" s="74"/>
      <c r="CN121" s="74"/>
      <c r="CO121" s="74"/>
      <c r="CP121" s="74"/>
      <c r="CQ121" s="74"/>
    </row>
    <row r="122" spans="1:95" x14ac:dyDescent="0.45">
      <c r="A122" s="74"/>
      <c r="C122" s="74"/>
      <c r="D122" s="74"/>
      <c r="L122" s="74"/>
      <c r="M122" s="74"/>
      <c r="N122" s="74"/>
      <c r="O122" s="74"/>
      <c r="V122" s="74"/>
      <c r="W122" s="74"/>
      <c r="X122" s="74"/>
      <c r="Y122" s="74"/>
      <c r="AF122" s="74"/>
      <c r="AG122" s="74"/>
      <c r="AH122" s="74"/>
      <c r="AI122" s="74"/>
      <c r="AP122" s="74"/>
      <c r="AQ122" s="74"/>
      <c r="AR122" s="74"/>
      <c r="AS122" s="74"/>
      <c r="AZ122" s="74"/>
      <c r="BA122" s="74"/>
      <c r="BB122" s="74"/>
      <c r="BC122" s="74"/>
      <c r="BJ122" s="74"/>
      <c r="BK122" s="74"/>
      <c r="BL122" s="74"/>
      <c r="BM122" s="74"/>
      <c r="BT122" s="74"/>
      <c r="BU122" s="74"/>
      <c r="BV122" s="74"/>
      <c r="BW122" s="74"/>
      <c r="CD122" s="74"/>
      <c r="CE122" s="74"/>
      <c r="CF122" s="74"/>
      <c r="CG122" s="74"/>
      <c r="CN122" s="74"/>
      <c r="CO122" s="74"/>
      <c r="CP122" s="74"/>
      <c r="CQ122" s="74"/>
    </row>
    <row r="123" spans="1:95" x14ac:dyDescent="0.45">
      <c r="A123" s="74"/>
      <c r="C123" s="74"/>
      <c r="D123" s="74"/>
      <c r="L123" s="74"/>
      <c r="M123" s="74"/>
      <c r="N123" s="74"/>
      <c r="O123" s="74"/>
      <c r="V123" s="74"/>
      <c r="W123" s="74"/>
      <c r="X123" s="74"/>
      <c r="Y123" s="74"/>
      <c r="AF123" s="74"/>
      <c r="AG123" s="74"/>
      <c r="AH123" s="74"/>
      <c r="AI123" s="74"/>
      <c r="AP123" s="74"/>
      <c r="AQ123" s="74"/>
      <c r="AR123" s="74"/>
      <c r="AS123" s="74"/>
      <c r="AZ123" s="74"/>
      <c r="BA123" s="74"/>
      <c r="BB123" s="74"/>
      <c r="BC123" s="74"/>
      <c r="BJ123" s="74"/>
      <c r="BK123" s="74"/>
      <c r="BL123" s="74"/>
      <c r="BM123" s="74"/>
      <c r="BT123" s="74"/>
      <c r="BU123" s="74"/>
      <c r="BV123" s="74"/>
      <c r="BW123" s="74"/>
      <c r="CD123" s="74"/>
      <c r="CE123" s="74"/>
      <c r="CF123" s="74"/>
      <c r="CG123" s="74"/>
      <c r="CN123" s="74"/>
      <c r="CO123" s="74"/>
      <c r="CP123" s="74"/>
      <c r="CQ123" s="74"/>
    </row>
    <row r="124" spans="1:95" x14ac:dyDescent="0.45">
      <c r="A124" s="74"/>
      <c r="C124" s="74"/>
      <c r="D124" s="74"/>
      <c r="L124" s="74"/>
      <c r="M124" s="74"/>
      <c r="N124" s="74"/>
      <c r="O124" s="74"/>
      <c r="V124" s="74"/>
      <c r="W124" s="74"/>
      <c r="X124" s="74"/>
      <c r="Y124" s="74"/>
      <c r="AF124" s="74"/>
      <c r="AG124" s="74"/>
      <c r="AH124" s="74"/>
      <c r="AI124" s="74"/>
      <c r="AP124" s="74"/>
      <c r="AQ124" s="74"/>
      <c r="AR124" s="74"/>
      <c r="AS124" s="74"/>
      <c r="AZ124" s="74"/>
      <c r="BA124" s="74"/>
      <c r="BB124" s="74"/>
      <c r="BC124" s="74"/>
      <c r="BJ124" s="74"/>
      <c r="BK124" s="74"/>
      <c r="BL124" s="74"/>
      <c r="BM124" s="74"/>
      <c r="BT124" s="74"/>
      <c r="BU124" s="74"/>
      <c r="BV124" s="74"/>
      <c r="BW124" s="74"/>
      <c r="CD124" s="74"/>
      <c r="CE124" s="74"/>
      <c r="CF124" s="74"/>
      <c r="CG124" s="74"/>
      <c r="CN124" s="74"/>
      <c r="CO124" s="74"/>
      <c r="CP124" s="74"/>
      <c r="CQ124" s="74"/>
    </row>
    <row r="125" spans="1:95" x14ac:dyDescent="0.45">
      <c r="A125" s="74"/>
      <c r="C125" s="74"/>
      <c r="D125" s="74"/>
      <c r="L125" s="74"/>
      <c r="M125" s="74"/>
      <c r="N125" s="74"/>
      <c r="O125" s="74"/>
      <c r="V125" s="74"/>
      <c r="W125" s="74"/>
      <c r="X125" s="74"/>
      <c r="Y125" s="74"/>
      <c r="AF125" s="74"/>
      <c r="AG125" s="74"/>
      <c r="AH125" s="74"/>
      <c r="AI125" s="74"/>
      <c r="AP125" s="74"/>
      <c r="AQ125" s="74"/>
      <c r="AR125" s="74"/>
      <c r="AS125" s="74"/>
      <c r="AZ125" s="74"/>
      <c r="BA125" s="74"/>
      <c r="BB125" s="74"/>
      <c r="BC125" s="74"/>
      <c r="BJ125" s="74"/>
      <c r="BK125" s="74"/>
      <c r="BL125" s="74"/>
      <c r="BM125" s="74"/>
      <c r="BT125" s="74"/>
      <c r="BU125" s="74"/>
      <c r="BV125" s="74"/>
      <c r="BW125" s="74"/>
      <c r="CD125" s="74"/>
      <c r="CE125" s="74"/>
      <c r="CF125" s="74"/>
      <c r="CG125" s="74"/>
      <c r="CN125" s="74"/>
      <c r="CO125" s="74"/>
      <c r="CP125" s="74"/>
      <c r="CQ125" s="74"/>
    </row>
    <row r="126" spans="1:95" x14ac:dyDescent="0.45">
      <c r="A126" s="74"/>
      <c r="C126" s="74"/>
      <c r="D126" s="74"/>
      <c r="L126" s="74"/>
      <c r="M126" s="74"/>
      <c r="N126" s="74"/>
      <c r="O126" s="74"/>
      <c r="V126" s="74"/>
      <c r="W126" s="74"/>
      <c r="X126" s="74"/>
      <c r="Y126" s="74"/>
      <c r="AF126" s="74"/>
      <c r="AG126" s="74"/>
      <c r="AH126" s="74"/>
      <c r="AI126" s="74"/>
      <c r="AP126" s="74"/>
      <c r="AQ126" s="74"/>
      <c r="AR126" s="74"/>
      <c r="AS126" s="74"/>
      <c r="AZ126" s="74"/>
      <c r="BA126" s="74"/>
      <c r="BB126" s="74"/>
      <c r="BC126" s="74"/>
      <c r="BJ126" s="74"/>
      <c r="BK126" s="74"/>
      <c r="BL126" s="74"/>
      <c r="BM126" s="74"/>
      <c r="BT126" s="74"/>
      <c r="BU126" s="74"/>
      <c r="BV126" s="74"/>
      <c r="BW126" s="74"/>
      <c r="CD126" s="74"/>
      <c r="CE126" s="74"/>
      <c r="CF126" s="74"/>
      <c r="CG126" s="74"/>
      <c r="CN126" s="74"/>
      <c r="CO126" s="74"/>
      <c r="CP126" s="74"/>
      <c r="CQ126" s="74"/>
    </row>
    <row r="127" spans="1:95" x14ac:dyDescent="0.45">
      <c r="A127" s="74"/>
      <c r="C127" s="74"/>
      <c r="D127" s="74"/>
      <c r="E127" s="74"/>
      <c r="L127" s="74"/>
      <c r="M127" s="74"/>
      <c r="N127" s="74"/>
      <c r="O127" s="74"/>
      <c r="V127" s="74"/>
      <c r="W127" s="74"/>
      <c r="X127" s="74"/>
      <c r="Y127" s="74"/>
      <c r="AF127" s="74"/>
      <c r="AG127" s="74"/>
      <c r="AH127" s="74"/>
      <c r="AI127" s="74"/>
      <c r="AP127" s="74"/>
      <c r="AQ127" s="74"/>
      <c r="AR127" s="74"/>
      <c r="AS127" s="74"/>
      <c r="AZ127" s="74"/>
      <c r="BA127" s="74"/>
      <c r="BB127" s="74"/>
      <c r="BC127" s="74"/>
      <c r="BJ127" s="74"/>
      <c r="BK127" s="74"/>
      <c r="BL127" s="74"/>
      <c r="BM127" s="74"/>
      <c r="BT127" s="74"/>
      <c r="BU127" s="74"/>
      <c r="BV127" s="74"/>
      <c r="BW127" s="74"/>
      <c r="CD127" s="74"/>
      <c r="CE127" s="74"/>
      <c r="CF127" s="74"/>
      <c r="CG127" s="74"/>
      <c r="CN127" s="74"/>
      <c r="CO127" s="74"/>
      <c r="CP127" s="74"/>
      <c r="CQ127" s="74"/>
    </row>
    <row r="128" spans="1:95" x14ac:dyDescent="0.45">
      <c r="A128" s="74"/>
      <c r="C128" s="74"/>
      <c r="D128" s="74"/>
      <c r="E128" s="74"/>
      <c r="L128" s="74"/>
      <c r="M128" s="74"/>
      <c r="N128" s="74"/>
      <c r="O128" s="74"/>
      <c r="V128" s="74"/>
      <c r="W128" s="74"/>
      <c r="X128" s="74"/>
      <c r="Y128" s="74"/>
      <c r="AF128" s="74"/>
      <c r="AG128" s="74"/>
      <c r="AH128" s="74"/>
      <c r="AI128" s="74"/>
      <c r="AP128" s="74"/>
      <c r="AQ128" s="74"/>
      <c r="AR128" s="74"/>
      <c r="AS128" s="74"/>
      <c r="AZ128" s="74"/>
      <c r="BA128" s="74"/>
      <c r="BB128" s="74"/>
      <c r="BC128" s="74"/>
      <c r="BJ128" s="74"/>
      <c r="BK128" s="74"/>
      <c r="BL128" s="74"/>
      <c r="BM128" s="74"/>
      <c r="BT128" s="74"/>
      <c r="BU128" s="74"/>
      <c r="BV128" s="74"/>
      <c r="BW128" s="74"/>
      <c r="CD128" s="74"/>
      <c r="CE128" s="74"/>
      <c r="CF128" s="74"/>
      <c r="CG128" s="74"/>
      <c r="CN128" s="74"/>
      <c r="CO128" s="74"/>
      <c r="CP128" s="74"/>
      <c r="CQ128" s="74"/>
    </row>
    <row r="129" spans="1:95" x14ac:dyDescent="0.45">
      <c r="A129" s="74"/>
      <c r="C129" s="74"/>
      <c r="D129" s="74"/>
      <c r="E129" s="74"/>
      <c r="L129" s="74"/>
      <c r="M129" s="74"/>
      <c r="N129" s="74"/>
      <c r="O129" s="74"/>
      <c r="V129" s="74"/>
      <c r="W129" s="74"/>
      <c r="X129" s="74"/>
      <c r="Y129" s="74"/>
      <c r="AF129" s="74"/>
      <c r="AG129" s="74"/>
      <c r="AH129" s="74"/>
      <c r="AI129" s="74"/>
      <c r="AP129" s="74"/>
      <c r="AQ129" s="74"/>
      <c r="AR129" s="74"/>
      <c r="AS129" s="74"/>
      <c r="AZ129" s="74"/>
      <c r="BA129" s="74"/>
      <c r="BB129" s="74"/>
      <c r="BC129" s="74"/>
      <c r="BJ129" s="74"/>
      <c r="BK129" s="74"/>
      <c r="BL129" s="74"/>
      <c r="BM129" s="74"/>
      <c r="BT129" s="74"/>
      <c r="BU129" s="74"/>
      <c r="BV129" s="74"/>
      <c r="BW129" s="74"/>
      <c r="CD129" s="74"/>
      <c r="CE129" s="74"/>
      <c r="CF129" s="74"/>
      <c r="CG129" s="74"/>
      <c r="CN129" s="74"/>
      <c r="CO129" s="74"/>
      <c r="CP129" s="74"/>
      <c r="CQ129" s="74"/>
    </row>
    <row r="130" spans="1:95" x14ac:dyDescent="0.45">
      <c r="A130" s="74"/>
      <c r="C130" s="74"/>
      <c r="D130" s="74"/>
      <c r="E130" s="74"/>
      <c r="L130" s="74"/>
      <c r="M130" s="74"/>
      <c r="N130" s="74"/>
      <c r="O130" s="74"/>
      <c r="V130" s="74"/>
      <c r="W130" s="74"/>
      <c r="X130" s="74"/>
      <c r="Y130" s="74"/>
      <c r="AF130" s="74"/>
      <c r="AG130" s="74"/>
      <c r="AH130" s="74"/>
      <c r="AI130" s="74"/>
      <c r="AP130" s="74"/>
      <c r="AQ130" s="74"/>
      <c r="AR130" s="74"/>
      <c r="AS130" s="74"/>
      <c r="AZ130" s="74"/>
      <c r="BA130" s="74"/>
      <c r="BB130" s="74"/>
      <c r="BC130" s="74"/>
      <c r="BJ130" s="74"/>
      <c r="BK130" s="74"/>
      <c r="BL130" s="74"/>
      <c r="BM130" s="74"/>
      <c r="BT130" s="74"/>
      <c r="BU130" s="74"/>
      <c r="BV130" s="74"/>
      <c r="BW130" s="74"/>
      <c r="CD130" s="74"/>
      <c r="CE130" s="74"/>
      <c r="CF130" s="74"/>
      <c r="CG130" s="74"/>
      <c r="CN130" s="74"/>
      <c r="CO130" s="74"/>
      <c r="CP130" s="74"/>
      <c r="CQ130" s="74"/>
    </row>
    <row r="131" spans="1:95" x14ac:dyDescent="0.45">
      <c r="A131" s="74"/>
      <c r="C131" s="74"/>
      <c r="D131" s="74"/>
      <c r="E131" s="74"/>
      <c r="L131" s="74"/>
      <c r="M131" s="74"/>
      <c r="N131" s="74"/>
      <c r="O131" s="74"/>
      <c r="V131" s="74"/>
      <c r="W131" s="74"/>
      <c r="X131" s="74"/>
      <c r="Y131" s="74"/>
      <c r="AF131" s="74"/>
      <c r="AG131" s="74"/>
      <c r="AH131" s="74"/>
      <c r="AI131" s="74"/>
      <c r="AP131" s="74"/>
      <c r="AQ131" s="74"/>
      <c r="AR131" s="74"/>
      <c r="AS131" s="74"/>
      <c r="AZ131" s="74"/>
      <c r="BA131" s="74"/>
      <c r="BB131" s="74"/>
      <c r="BC131" s="74"/>
      <c r="BJ131" s="74"/>
      <c r="BK131" s="74"/>
      <c r="BL131" s="74"/>
      <c r="BM131" s="74"/>
      <c r="BT131" s="74"/>
      <c r="BU131" s="74"/>
      <c r="BV131" s="74"/>
      <c r="BW131" s="74"/>
      <c r="CD131" s="74"/>
      <c r="CE131" s="74"/>
      <c r="CF131" s="74"/>
      <c r="CG131" s="74"/>
      <c r="CN131" s="74"/>
      <c r="CO131" s="74"/>
      <c r="CP131" s="74"/>
      <c r="CQ131" s="74"/>
    </row>
    <row r="132" spans="1:95" x14ac:dyDescent="0.45">
      <c r="A132" s="74"/>
      <c r="C132" s="74"/>
      <c r="D132" s="74"/>
      <c r="E132" s="74"/>
      <c r="L132" s="74"/>
      <c r="M132" s="74"/>
      <c r="N132" s="74"/>
      <c r="O132" s="74"/>
      <c r="V132" s="74"/>
      <c r="W132" s="74"/>
      <c r="X132" s="74"/>
      <c r="Y132" s="74"/>
      <c r="AF132" s="74"/>
      <c r="AG132" s="74"/>
      <c r="AH132" s="74"/>
      <c r="AI132" s="74"/>
      <c r="AP132" s="74"/>
      <c r="AQ132" s="74"/>
      <c r="AR132" s="74"/>
      <c r="AS132" s="74"/>
      <c r="AZ132" s="74"/>
      <c r="BA132" s="74"/>
      <c r="BB132" s="74"/>
      <c r="BC132" s="74"/>
      <c r="BJ132" s="74"/>
      <c r="BK132" s="74"/>
      <c r="BL132" s="74"/>
      <c r="BM132" s="74"/>
      <c r="BT132" s="74"/>
      <c r="BU132" s="74"/>
      <c r="BV132" s="74"/>
      <c r="BW132" s="74"/>
      <c r="CD132" s="74"/>
      <c r="CE132" s="74"/>
      <c r="CF132" s="74"/>
      <c r="CG132" s="74"/>
      <c r="CN132" s="74"/>
      <c r="CO132" s="74"/>
      <c r="CP132" s="74"/>
      <c r="CQ132" s="74"/>
    </row>
    <row r="133" spans="1:95" x14ac:dyDescent="0.45">
      <c r="A133" s="74"/>
      <c r="C133" s="74"/>
      <c r="D133" s="74"/>
      <c r="E133" s="74"/>
      <c r="L133" s="74"/>
      <c r="M133" s="74"/>
      <c r="N133" s="74"/>
      <c r="O133" s="74"/>
      <c r="V133" s="74"/>
      <c r="W133" s="74"/>
      <c r="X133" s="74"/>
      <c r="Y133" s="74"/>
      <c r="AF133" s="74"/>
      <c r="AG133" s="74"/>
      <c r="AH133" s="74"/>
      <c r="AI133" s="74"/>
      <c r="AP133" s="74"/>
      <c r="AQ133" s="74"/>
      <c r="AR133" s="74"/>
      <c r="AS133" s="74"/>
      <c r="AZ133" s="74"/>
      <c r="BA133" s="74"/>
      <c r="BB133" s="74"/>
      <c r="BC133" s="74"/>
      <c r="BJ133" s="74"/>
      <c r="BK133" s="74"/>
      <c r="BL133" s="74"/>
      <c r="BM133" s="74"/>
      <c r="BT133" s="74"/>
      <c r="BU133" s="74"/>
      <c r="BV133" s="74"/>
      <c r="BW133" s="74"/>
      <c r="CD133" s="74"/>
      <c r="CE133" s="74"/>
      <c r="CF133" s="74"/>
      <c r="CG133" s="74"/>
      <c r="CN133" s="74"/>
      <c r="CO133" s="74"/>
      <c r="CP133" s="74"/>
      <c r="CQ133" s="74"/>
    </row>
    <row r="134" spans="1:95" x14ac:dyDescent="0.45">
      <c r="A134" s="74"/>
      <c r="C134" s="74"/>
      <c r="D134" s="74"/>
      <c r="E134" s="74"/>
      <c r="L134" s="74"/>
      <c r="M134" s="74"/>
      <c r="N134" s="74"/>
      <c r="O134" s="74"/>
      <c r="V134" s="74"/>
      <c r="W134" s="74"/>
      <c r="X134" s="74"/>
      <c r="Y134" s="74"/>
      <c r="AF134" s="74"/>
      <c r="AG134" s="74"/>
      <c r="AH134" s="74"/>
      <c r="AI134" s="74"/>
      <c r="AP134" s="74"/>
      <c r="AQ134" s="74"/>
      <c r="AR134" s="74"/>
      <c r="AS134" s="74"/>
      <c r="AZ134" s="74"/>
      <c r="BA134" s="74"/>
      <c r="BB134" s="74"/>
      <c r="BC134" s="74"/>
      <c r="BJ134" s="74"/>
      <c r="BK134" s="74"/>
      <c r="BL134" s="74"/>
      <c r="BM134" s="74"/>
      <c r="BT134" s="74"/>
      <c r="BU134" s="74"/>
      <c r="BV134" s="74"/>
      <c r="BW134" s="74"/>
      <c r="CD134" s="74"/>
      <c r="CE134" s="74"/>
      <c r="CF134" s="74"/>
      <c r="CG134" s="74"/>
      <c r="CN134" s="74"/>
      <c r="CO134" s="74"/>
      <c r="CP134" s="74"/>
      <c r="CQ134" s="74"/>
    </row>
    <row r="135" spans="1:95" x14ac:dyDescent="0.45">
      <c r="A135" s="74"/>
      <c r="B135" s="74"/>
      <c r="C135" s="74"/>
      <c r="D135" s="74"/>
      <c r="E135" s="74"/>
    </row>
    <row r="136" spans="1:95" x14ac:dyDescent="0.45">
      <c r="A136" s="74"/>
      <c r="B136" s="74"/>
      <c r="C136" s="74"/>
      <c r="D136" s="74"/>
      <c r="E136" s="74"/>
    </row>
  </sheetData>
  <mergeCells count="561">
    <mergeCell ref="CP64:CS64"/>
    <mergeCell ref="CP46:CT46"/>
    <mergeCell ref="CN48:CR48"/>
    <mergeCell ref="CN62:CO62"/>
    <mergeCell ref="CP62:CQ62"/>
    <mergeCell ref="CP63:CS63"/>
    <mergeCell ref="CP42:CT42"/>
    <mergeCell ref="CP43:CT43"/>
    <mergeCell ref="CP44:CT44"/>
    <mergeCell ref="CP45:CT45"/>
    <mergeCell ref="CP53:CP54"/>
    <mergeCell ref="CR53:CR54"/>
    <mergeCell ref="CS53:CS54"/>
    <mergeCell ref="CT53:CT54"/>
    <mergeCell ref="CP34:CT34"/>
    <mergeCell ref="CP35:CT35"/>
    <mergeCell ref="CP36:CT36"/>
    <mergeCell ref="CP37:CT37"/>
    <mergeCell ref="CN41:CO41"/>
    <mergeCell ref="CP41:CT41"/>
    <mergeCell ref="CP26:CT26"/>
    <mergeCell ref="CN31:CO31"/>
    <mergeCell ref="CP31:CR31"/>
    <mergeCell ref="CP32:CT32"/>
    <mergeCell ref="CP33:CT33"/>
    <mergeCell ref="CP38:CT38"/>
    <mergeCell ref="CP39:CT39"/>
    <mergeCell ref="CP40:CT40"/>
    <mergeCell ref="CP21:CR21"/>
    <mergeCell ref="CP22:CT22"/>
    <mergeCell ref="CP23:CT23"/>
    <mergeCell ref="CP24:CT24"/>
    <mergeCell ref="CP25:CT25"/>
    <mergeCell ref="CF64:CI64"/>
    <mergeCell ref="CN6:CO6"/>
    <mergeCell ref="CP6:CR6"/>
    <mergeCell ref="CP7:CT7"/>
    <mergeCell ref="CP8:CT8"/>
    <mergeCell ref="CP9:CT9"/>
    <mergeCell ref="CP10:CT10"/>
    <mergeCell ref="CP11:CT11"/>
    <mergeCell ref="CP12:CT12"/>
    <mergeCell ref="CP13:CT13"/>
    <mergeCell ref="CP14:CT14"/>
    <mergeCell ref="CP15:CT15"/>
    <mergeCell ref="CP16:CT16"/>
    <mergeCell ref="CP17:CT17"/>
    <mergeCell ref="CP19:CT19"/>
    <mergeCell ref="CN21:CO21"/>
    <mergeCell ref="CF46:CJ46"/>
    <mergeCell ref="CD48:CH48"/>
    <mergeCell ref="CD62:CE62"/>
    <mergeCell ref="CF62:CG62"/>
    <mergeCell ref="CF63:CI63"/>
    <mergeCell ref="CF42:CJ42"/>
    <mergeCell ref="CF43:CJ43"/>
    <mergeCell ref="CF44:CJ44"/>
    <mergeCell ref="CF45:CJ45"/>
    <mergeCell ref="CF34:CJ34"/>
    <mergeCell ref="CF35:CJ35"/>
    <mergeCell ref="CF36:CJ36"/>
    <mergeCell ref="CF37:CJ37"/>
    <mergeCell ref="CF53:CF54"/>
    <mergeCell ref="CH53:CH54"/>
    <mergeCell ref="CI53:CI54"/>
    <mergeCell ref="CJ53:CJ54"/>
    <mergeCell ref="CF41:CJ41"/>
    <mergeCell ref="CF38:CJ38"/>
    <mergeCell ref="CF39:CJ39"/>
    <mergeCell ref="CF40:CJ40"/>
    <mergeCell ref="CF26:CJ26"/>
    <mergeCell ref="CD31:CE31"/>
    <mergeCell ref="CF31:CH31"/>
    <mergeCell ref="CF32:CJ32"/>
    <mergeCell ref="CF33:CJ33"/>
    <mergeCell ref="CF21:CH21"/>
    <mergeCell ref="CF22:CJ22"/>
    <mergeCell ref="CF23:CJ23"/>
    <mergeCell ref="CF24:CJ24"/>
    <mergeCell ref="CF25:CJ25"/>
    <mergeCell ref="CF27:CJ27"/>
    <mergeCell ref="CF28:CJ28"/>
    <mergeCell ref="CF29:CJ29"/>
    <mergeCell ref="BV64:BY64"/>
    <mergeCell ref="CD6:CE6"/>
    <mergeCell ref="CF6:CH6"/>
    <mergeCell ref="CF7:CJ7"/>
    <mergeCell ref="CF8:CJ8"/>
    <mergeCell ref="CF9:CJ9"/>
    <mergeCell ref="CF10:CJ10"/>
    <mergeCell ref="CF11:CJ11"/>
    <mergeCell ref="CF12:CJ12"/>
    <mergeCell ref="CF13:CJ13"/>
    <mergeCell ref="CF14:CJ14"/>
    <mergeCell ref="CF15:CJ15"/>
    <mergeCell ref="CF16:CJ16"/>
    <mergeCell ref="CF17:CJ17"/>
    <mergeCell ref="CF19:CJ19"/>
    <mergeCell ref="CD21:CE21"/>
    <mergeCell ref="BV46:BZ46"/>
    <mergeCell ref="BT48:BX48"/>
    <mergeCell ref="BT62:BU62"/>
    <mergeCell ref="BV62:BW62"/>
    <mergeCell ref="BV63:BY63"/>
    <mergeCell ref="BV42:BZ42"/>
    <mergeCell ref="BV43:BZ43"/>
    <mergeCell ref="CD41:CE41"/>
    <mergeCell ref="BV44:BZ44"/>
    <mergeCell ref="BV45:BZ45"/>
    <mergeCell ref="BV34:BZ34"/>
    <mergeCell ref="BV35:BZ35"/>
    <mergeCell ref="BV36:BZ36"/>
    <mergeCell ref="BV37:BZ37"/>
    <mergeCell ref="BT41:BU41"/>
    <mergeCell ref="BV41:BZ41"/>
    <mergeCell ref="BV26:BZ26"/>
    <mergeCell ref="BT31:BU31"/>
    <mergeCell ref="BV31:BX31"/>
    <mergeCell ref="BV32:BZ32"/>
    <mergeCell ref="BV33:BZ33"/>
    <mergeCell ref="BV38:BZ38"/>
    <mergeCell ref="BV39:BZ39"/>
    <mergeCell ref="BV40:BZ40"/>
    <mergeCell ref="BV21:BX21"/>
    <mergeCell ref="BV22:BZ22"/>
    <mergeCell ref="BV23:BZ23"/>
    <mergeCell ref="BV24:BZ24"/>
    <mergeCell ref="BV25:BZ25"/>
    <mergeCell ref="BL64:BO64"/>
    <mergeCell ref="BT6:BU6"/>
    <mergeCell ref="BV6:BX6"/>
    <mergeCell ref="BV7:BZ7"/>
    <mergeCell ref="BV8:BZ8"/>
    <mergeCell ref="BV9:BZ9"/>
    <mergeCell ref="BV10:BZ10"/>
    <mergeCell ref="BV11:BZ11"/>
    <mergeCell ref="BV12:BZ12"/>
    <mergeCell ref="BV13:BZ13"/>
    <mergeCell ref="BV14:BZ14"/>
    <mergeCell ref="BV15:BZ15"/>
    <mergeCell ref="BV16:BZ16"/>
    <mergeCell ref="BV17:BZ17"/>
    <mergeCell ref="BV19:BZ19"/>
    <mergeCell ref="BT21:BU21"/>
    <mergeCell ref="BL46:BP46"/>
    <mergeCell ref="BJ48:BN48"/>
    <mergeCell ref="BJ62:BK62"/>
    <mergeCell ref="BL62:BM62"/>
    <mergeCell ref="BL63:BO63"/>
    <mergeCell ref="BL42:BP42"/>
    <mergeCell ref="BL43:BP43"/>
    <mergeCell ref="BL44:BP44"/>
    <mergeCell ref="BL45:BP45"/>
    <mergeCell ref="BL34:BP34"/>
    <mergeCell ref="BL35:BP35"/>
    <mergeCell ref="BL36:BP36"/>
    <mergeCell ref="BL37:BP37"/>
    <mergeCell ref="BL41:BP41"/>
    <mergeCell ref="BL38:BP38"/>
    <mergeCell ref="BL39:BP39"/>
    <mergeCell ref="BL40:BP40"/>
    <mergeCell ref="BL26:BP26"/>
    <mergeCell ref="BJ31:BK31"/>
    <mergeCell ref="BL31:BN31"/>
    <mergeCell ref="BL32:BP32"/>
    <mergeCell ref="BL33:BP33"/>
    <mergeCell ref="BL21:BN21"/>
    <mergeCell ref="BL22:BP22"/>
    <mergeCell ref="BL23:BP23"/>
    <mergeCell ref="BL24:BP24"/>
    <mergeCell ref="BL25:BP25"/>
    <mergeCell ref="BB64:BE64"/>
    <mergeCell ref="BJ6:BK6"/>
    <mergeCell ref="BL6:BN6"/>
    <mergeCell ref="BL7:BP7"/>
    <mergeCell ref="BL8:BP8"/>
    <mergeCell ref="BL9:BP9"/>
    <mergeCell ref="BL10:BP10"/>
    <mergeCell ref="BL11:BP11"/>
    <mergeCell ref="BL12:BP12"/>
    <mergeCell ref="BL13:BP13"/>
    <mergeCell ref="BL14:BP14"/>
    <mergeCell ref="BL15:BP15"/>
    <mergeCell ref="BL16:BP16"/>
    <mergeCell ref="BL17:BP17"/>
    <mergeCell ref="BL19:BP19"/>
    <mergeCell ref="BJ21:BK21"/>
    <mergeCell ref="BB46:BF46"/>
    <mergeCell ref="AZ48:BD48"/>
    <mergeCell ref="AZ62:BA62"/>
    <mergeCell ref="BB62:BC62"/>
    <mergeCell ref="BB63:BE63"/>
    <mergeCell ref="BB42:BF42"/>
    <mergeCell ref="BB43:BF43"/>
    <mergeCell ref="BJ41:BK41"/>
    <mergeCell ref="AP62:AQ62"/>
    <mergeCell ref="BB44:BF44"/>
    <mergeCell ref="BB45:BF45"/>
    <mergeCell ref="BB34:BF34"/>
    <mergeCell ref="BB35:BF35"/>
    <mergeCell ref="BB36:BF36"/>
    <mergeCell ref="AZ41:BA41"/>
    <mergeCell ref="BB41:BF41"/>
    <mergeCell ref="BB26:BF26"/>
    <mergeCell ref="AZ31:BA31"/>
    <mergeCell ref="BB31:BD31"/>
    <mergeCell ref="BB32:BF32"/>
    <mergeCell ref="BB33:BF33"/>
    <mergeCell ref="BB38:BF38"/>
    <mergeCell ref="BB39:BF39"/>
    <mergeCell ref="BB40:BF40"/>
    <mergeCell ref="BB27:BF27"/>
    <mergeCell ref="BB28:BF28"/>
    <mergeCell ref="BB29:BF29"/>
    <mergeCell ref="AR62:AS62"/>
    <mergeCell ref="BB21:BD21"/>
    <mergeCell ref="BB22:BF22"/>
    <mergeCell ref="BB23:BF23"/>
    <mergeCell ref="BB24:BF24"/>
    <mergeCell ref="BB25:BF25"/>
    <mergeCell ref="BB37:BF37"/>
    <mergeCell ref="AR64:AU64"/>
    <mergeCell ref="AZ6:BA6"/>
    <mergeCell ref="BB6:BD6"/>
    <mergeCell ref="BB7:BF7"/>
    <mergeCell ref="BB8:BF8"/>
    <mergeCell ref="BB9:BF9"/>
    <mergeCell ref="BB10:BF10"/>
    <mergeCell ref="BB11:BF11"/>
    <mergeCell ref="BB12:BF12"/>
    <mergeCell ref="BB13:BF13"/>
    <mergeCell ref="BB14:BF14"/>
    <mergeCell ref="BB15:BF15"/>
    <mergeCell ref="BB16:BF16"/>
    <mergeCell ref="BB17:BF17"/>
    <mergeCell ref="BB19:BF19"/>
    <mergeCell ref="AZ21:BA21"/>
    <mergeCell ref="AR46:AV46"/>
    <mergeCell ref="AP48:AT48"/>
    <mergeCell ref="AR63:AU63"/>
    <mergeCell ref="AR42:AV42"/>
    <mergeCell ref="AR43:AV43"/>
    <mergeCell ref="AR44:AV44"/>
    <mergeCell ref="AR45:AV45"/>
    <mergeCell ref="AR34:AV34"/>
    <mergeCell ref="AR35:AV35"/>
    <mergeCell ref="AR36:AV36"/>
    <mergeCell ref="AR37:AV37"/>
    <mergeCell ref="AR39:AV39"/>
    <mergeCell ref="AR53:AR54"/>
    <mergeCell ref="AT53:AT54"/>
    <mergeCell ref="AU53:AU54"/>
    <mergeCell ref="AV53:AV54"/>
    <mergeCell ref="AR14:AV14"/>
    <mergeCell ref="AR15:AV15"/>
    <mergeCell ref="AR16:AV16"/>
    <mergeCell ref="AR17:AV17"/>
    <mergeCell ref="AR19:AV19"/>
    <mergeCell ref="AP21:AQ21"/>
    <mergeCell ref="AH46:AL46"/>
    <mergeCell ref="AF48:AJ48"/>
    <mergeCell ref="AF62:AG62"/>
    <mergeCell ref="AH62:AI62"/>
    <mergeCell ref="AH42:AL42"/>
    <mergeCell ref="AH43:AL43"/>
    <mergeCell ref="AP41:AQ41"/>
    <mergeCell ref="AR41:AV41"/>
    <mergeCell ref="AR26:AV26"/>
    <mergeCell ref="AP31:AQ31"/>
    <mergeCell ref="AR31:AT31"/>
    <mergeCell ref="AR32:AV32"/>
    <mergeCell ref="AR33:AV33"/>
    <mergeCell ref="AR21:AT21"/>
    <mergeCell ref="AR22:AV22"/>
    <mergeCell ref="AR23:AV23"/>
    <mergeCell ref="AR24:AV24"/>
    <mergeCell ref="AR40:AV40"/>
    <mergeCell ref="AP6:AQ6"/>
    <mergeCell ref="AR6:AT6"/>
    <mergeCell ref="AR7:AV7"/>
    <mergeCell ref="AR8:AV8"/>
    <mergeCell ref="AR9:AV9"/>
    <mergeCell ref="AR10:AV10"/>
    <mergeCell ref="AR11:AV11"/>
    <mergeCell ref="AR12:AV12"/>
    <mergeCell ref="AR13:AV13"/>
    <mergeCell ref="X26:AB26"/>
    <mergeCell ref="AH27:AL27"/>
    <mergeCell ref="AH28:AL28"/>
    <mergeCell ref="AH29:AL29"/>
    <mergeCell ref="X31:Z31"/>
    <mergeCell ref="X32:AB32"/>
    <mergeCell ref="X33:AB33"/>
    <mergeCell ref="AF6:AG6"/>
    <mergeCell ref="AH6:AJ6"/>
    <mergeCell ref="AH7:AL7"/>
    <mergeCell ref="AH8:AL8"/>
    <mergeCell ref="AH9:AL9"/>
    <mergeCell ref="AH10:AL10"/>
    <mergeCell ref="AH11:AL11"/>
    <mergeCell ref="AH12:AL12"/>
    <mergeCell ref="AH13:AL13"/>
    <mergeCell ref="AH14:AL14"/>
    <mergeCell ref="AH15:AL15"/>
    <mergeCell ref="AH16:AL16"/>
    <mergeCell ref="AH17:AL17"/>
    <mergeCell ref="AH19:AL19"/>
    <mergeCell ref="AF21:AG21"/>
    <mergeCell ref="AH21:AJ21"/>
    <mergeCell ref="AH22:AL22"/>
    <mergeCell ref="X29:AB29"/>
    <mergeCell ref="N64:Q64"/>
    <mergeCell ref="N63:Q63"/>
    <mergeCell ref="N32:R32"/>
    <mergeCell ref="N33:R33"/>
    <mergeCell ref="N34:R34"/>
    <mergeCell ref="N38:R38"/>
    <mergeCell ref="N39:R39"/>
    <mergeCell ref="N40:R40"/>
    <mergeCell ref="X46:AB46"/>
    <mergeCell ref="V48:Z48"/>
    <mergeCell ref="V62:W62"/>
    <mergeCell ref="X34:AB34"/>
    <mergeCell ref="X35:AB35"/>
    <mergeCell ref="X36:AB36"/>
    <mergeCell ref="X37:AB37"/>
    <mergeCell ref="R53:R54"/>
    <mergeCell ref="N53:N54"/>
    <mergeCell ref="P53:P54"/>
    <mergeCell ref="V6:W6"/>
    <mergeCell ref="X6:Z6"/>
    <mergeCell ref="X7:AB7"/>
    <mergeCell ref="X8:AB8"/>
    <mergeCell ref="X9:AB9"/>
    <mergeCell ref="X10:AB10"/>
    <mergeCell ref="X11:AB11"/>
    <mergeCell ref="X12:AB12"/>
    <mergeCell ref="X13:AB13"/>
    <mergeCell ref="X14:AB14"/>
    <mergeCell ref="X15:AB15"/>
    <mergeCell ref="X16:AB16"/>
    <mergeCell ref="X17:AB17"/>
    <mergeCell ref="X19:AB19"/>
    <mergeCell ref="V21:W21"/>
    <mergeCell ref="N46:R46"/>
    <mergeCell ref="L48:P48"/>
    <mergeCell ref="L62:M62"/>
    <mergeCell ref="N62:O62"/>
    <mergeCell ref="N42:R42"/>
    <mergeCell ref="N43:R43"/>
    <mergeCell ref="N15:R15"/>
    <mergeCell ref="N16:R16"/>
    <mergeCell ref="N17:R17"/>
    <mergeCell ref="N19:R19"/>
    <mergeCell ref="N35:R35"/>
    <mergeCell ref="N36:R36"/>
    <mergeCell ref="N37:R37"/>
    <mergeCell ref="L41:M41"/>
    <mergeCell ref="N41:R41"/>
    <mergeCell ref="L31:M31"/>
    <mergeCell ref="N31:P31"/>
    <mergeCell ref="X28:AB28"/>
    <mergeCell ref="N10:R10"/>
    <mergeCell ref="N11:R11"/>
    <mergeCell ref="N12:R12"/>
    <mergeCell ref="N13:R13"/>
    <mergeCell ref="N14:R14"/>
    <mergeCell ref="L6:M6"/>
    <mergeCell ref="N6:P6"/>
    <mergeCell ref="N7:R7"/>
    <mergeCell ref="N8:R8"/>
    <mergeCell ref="N9:R9"/>
    <mergeCell ref="D13:H13"/>
    <mergeCell ref="B4:H4"/>
    <mergeCell ref="D10:H10"/>
    <mergeCell ref="B48:F48"/>
    <mergeCell ref="D36:H36"/>
    <mergeCell ref="D37:H37"/>
    <mergeCell ref="B41:C41"/>
    <mergeCell ref="D41:H41"/>
    <mergeCell ref="D34:H34"/>
    <mergeCell ref="D35:H35"/>
    <mergeCell ref="D22:H22"/>
    <mergeCell ref="D23:H23"/>
    <mergeCell ref="D24:H24"/>
    <mergeCell ref="D25:H25"/>
    <mergeCell ref="B21:C21"/>
    <mergeCell ref="D21:F21"/>
    <mergeCell ref="D11:H11"/>
    <mergeCell ref="D12:H12"/>
    <mergeCell ref="B6:C6"/>
    <mergeCell ref="D6:F6"/>
    <mergeCell ref="D7:H7"/>
    <mergeCell ref="D8:H8"/>
    <mergeCell ref="D9:H9"/>
    <mergeCell ref="D14:H14"/>
    <mergeCell ref="D15:H15"/>
    <mergeCell ref="D16:H16"/>
    <mergeCell ref="D17:H17"/>
    <mergeCell ref="D19:H19"/>
    <mergeCell ref="D46:H46"/>
    <mergeCell ref="D26:H26"/>
    <mergeCell ref="B31:C31"/>
    <mergeCell ref="D31:F31"/>
    <mergeCell ref="D32:H32"/>
    <mergeCell ref="D33:H33"/>
    <mergeCell ref="D42:H42"/>
    <mergeCell ref="D43:H43"/>
    <mergeCell ref="D44:H44"/>
    <mergeCell ref="D45:H45"/>
    <mergeCell ref="D18:H18"/>
    <mergeCell ref="C113:D113"/>
    <mergeCell ref="D27:H27"/>
    <mergeCell ref="D28:H28"/>
    <mergeCell ref="D29:H29"/>
    <mergeCell ref="N27:R27"/>
    <mergeCell ref="N28:R28"/>
    <mergeCell ref="N29:R29"/>
    <mergeCell ref="M103:N103"/>
    <mergeCell ref="M113:N113"/>
    <mergeCell ref="C78:D78"/>
    <mergeCell ref="C93:D93"/>
    <mergeCell ref="M78:N78"/>
    <mergeCell ref="M93:N93"/>
    <mergeCell ref="C103:D103"/>
    <mergeCell ref="D64:G64"/>
    <mergeCell ref="B62:C62"/>
    <mergeCell ref="D62:E62"/>
    <mergeCell ref="D63:G63"/>
    <mergeCell ref="D38:H38"/>
    <mergeCell ref="D40:H40"/>
    <mergeCell ref="D39:H39"/>
    <mergeCell ref="N44:R44"/>
    <mergeCell ref="N45:R45"/>
    <mergeCell ref="Q53:Q54"/>
    <mergeCell ref="AH64:AK64"/>
    <mergeCell ref="AH63:AK63"/>
    <mergeCell ref="V41:W41"/>
    <mergeCell ref="X41:AB41"/>
    <mergeCell ref="X38:AB38"/>
    <mergeCell ref="X39:AB39"/>
    <mergeCell ref="X40:AB40"/>
    <mergeCell ref="X62:Y62"/>
    <mergeCell ref="X63:AA63"/>
    <mergeCell ref="X42:AB42"/>
    <mergeCell ref="X43:AB43"/>
    <mergeCell ref="X44:AB44"/>
    <mergeCell ref="X45:AB45"/>
    <mergeCell ref="X64:AA64"/>
    <mergeCell ref="AH44:AL44"/>
    <mergeCell ref="AH45:AL45"/>
    <mergeCell ref="X53:X54"/>
    <mergeCell ref="Z53:Z54"/>
    <mergeCell ref="AA53:AA54"/>
    <mergeCell ref="AB53:AB54"/>
    <mergeCell ref="AH53:AH54"/>
    <mergeCell ref="AJ53:AJ54"/>
    <mergeCell ref="CO78:CP78"/>
    <mergeCell ref="CO93:CP93"/>
    <mergeCell ref="CE103:CF103"/>
    <mergeCell ref="W113:X113"/>
    <mergeCell ref="BA78:BB78"/>
    <mergeCell ref="BA93:BB93"/>
    <mergeCell ref="BK78:BL78"/>
    <mergeCell ref="BK93:BL93"/>
    <mergeCell ref="BA103:BB103"/>
    <mergeCell ref="W78:X78"/>
    <mergeCell ref="W93:X93"/>
    <mergeCell ref="W103:X103"/>
    <mergeCell ref="AG103:AH103"/>
    <mergeCell ref="AG113:AH113"/>
    <mergeCell ref="AQ103:AR103"/>
    <mergeCell ref="AQ113:AR113"/>
    <mergeCell ref="AQ78:AR78"/>
    <mergeCell ref="AQ93:AR93"/>
    <mergeCell ref="AG78:AH78"/>
    <mergeCell ref="AG93:AH93"/>
    <mergeCell ref="CF18:CJ18"/>
    <mergeCell ref="CP18:CT18"/>
    <mergeCell ref="CE113:CF113"/>
    <mergeCell ref="CP27:CT27"/>
    <mergeCell ref="CP28:CT28"/>
    <mergeCell ref="CP29:CT29"/>
    <mergeCell ref="CO103:CP103"/>
    <mergeCell ref="CO113:CP113"/>
    <mergeCell ref="BA113:BB113"/>
    <mergeCell ref="BL27:BP27"/>
    <mergeCell ref="BL28:BP28"/>
    <mergeCell ref="BL29:BP29"/>
    <mergeCell ref="BK103:BL103"/>
    <mergeCell ref="BK113:BL113"/>
    <mergeCell ref="BV27:BZ27"/>
    <mergeCell ref="BV28:BZ28"/>
    <mergeCell ref="BV29:BZ29"/>
    <mergeCell ref="BU103:BV103"/>
    <mergeCell ref="BU113:BV113"/>
    <mergeCell ref="BU78:BV78"/>
    <mergeCell ref="BU93:BV93"/>
    <mergeCell ref="CE78:CF78"/>
    <mergeCell ref="CE93:CF93"/>
    <mergeCell ref="BB18:BF18"/>
    <mergeCell ref="BL18:BP18"/>
    <mergeCell ref="BV18:BZ18"/>
    <mergeCell ref="AF41:AG41"/>
    <mergeCell ref="AH41:AL41"/>
    <mergeCell ref="AH38:AL38"/>
    <mergeCell ref="AH39:AL39"/>
    <mergeCell ref="AH40:AL40"/>
    <mergeCell ref="AH26:AL26"/>
    <mergeCell ref="AF31:AG31"/>
    <mergeCell ref="AH31:AJ31"/>
    <mergeCell ref="AH32:AL32"/>
    <mergeCell ref="AH33:AL33"/>
    <mergeCell ref="AH34:AL34"/>
    <mergeCell ref="AH35:AL35"/>
    <mergeCell ref="AH36:AL36"/>
    <mergeCell ref="AH23:AL23"/>
    <mergeCell ref="AH24:AL24"/>
    <mergeCell ref="AH25:AL25"/>
    <mergeCell ref="AH37:AL37"/>
    <mergeCell ref="AR25:AV25"/>
    <mergeCell ref="AR38:AV38"/>
    <mergeCell ref="AR27:AV27"/>
    <mergeCell ref="AR28:AV28"/>
    <mergeCell ref="AR29:AV29"/>
    <mergeCell ref="F53:F54"/>
    <mergeCell ref="G53:G54"/>
    <mergeCell ref="H53:H54"/>
    <mergeCell ref="D53:D54"/>
    <mergeCell ref="X18:AB18"/>
    <mergeCell ref="AH18:AL18"/>
    <mergeCell ref="AR18:AV18"/>
    <mergeCell ref="L21:M21"/>
    <mergeCell ref="N21:P21"/>
    <mergeCell ref="N18:R18"/>
    <mergeCell ref="N22:R22"/>
    <mergeCell ref="N23:R23"/>
    <mergeCell ref="N24:R24"/>
    <mergeCell ref="N25:R25"/>
    <mergeCell ref="N26:R26"/>
    <mergeCell ref="V31:W31"/>
    <mergeCell ref="X21:Z21"/>
    <mergeCell ref="X22:AB22"/>
    <mergeCell ref="X23:AB23"/>
    <mergeCell ref="X24:AB24"/>
    <mergeCell ref="X25:AB25"/>
    <mergeCell ref="X27:AB27"/>
    <mergeCell ref="AK53:AK54"/>
    <mergeCell ref="AL53:AL54"/>
    <mergeCell ref="BX53:BX54"/>
    <mergeCell ref="BY53:BY54"/>
    <mergeCell ref="BZ53:BZ54"/>
    <mergeCell ref="BB53:BB54"/>
    <mergeCell ref="BD53:BD54"/>
    <mergeCell ref="BE53:BE54"/>
    <mergeCell ref="BF53:BF54"/>
    <mergeCell ref="BL53:BL54"/>
    <mergeCell ref="BN53:BN54"/>
    <mergeCell ref="BO53:BO54"/>
    <mergeCell ref="BP53:BP54"/>
    <mergeCell ref="BV53:BV54"/>
  </mergeCells>
  <dataValidations count="2">
    <dataValidation type="list" allowBlank="1" showInputMessage="1" showErrorMessage="1" sqref="CP38:CT38 CF38:CJ38 X38:AB38 AH38:AL38 AR38:AV38 BB38:BF38 BL38:BP38 BV38:BZ38" xr:uid="{7E9EEEF5-788A-4221-B054-985D36C2082E}">
      <formula1>"Paid to platform cash, Reinvest"</formula1>
    </dataValidation>
    <dataValidation type="list" allowBlank="1" showInputMessage="1" showErrorMessage="1" sqref="CP12:CT12 CF12:CJ12 X12:AB12 AH12:AL12 AR12:AV12 BB12:BF12 BL12:BP12 BV12:BZ12" xr:uid="{831009D3-B953-418F-87E7-C2C7A1774E3C}">
      <formula1>"1/Very Flow, 2/Low,3/Low to Medium,4/Medium,5/Medium to High,6/High,7/Very High"</formula1>
    </dataValidation>
  </dataValidation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285CC5-801E-4261-AF45-043BC95E5536}">
  <sheetPr codeName="Sheet5"/>
  <dimension ref="B1:FA69"/>
  <sheetViews>
    <sheetView workbookViewId="0">
      <selection activeCell="E19" sqref="E19"/>
    </sheetView>
  </sheetViews>
  <sheetFormatPr defaultRowHeight="14.25" x14ac:dyDescent="0.45"/>
  <cols>
    <col min="2" max="2" width="3.33203125" customWidth="1"/>
    <col min="3" max="3" width="24.33203125" customWidth="1"/>
    <col min="4" max="5" width="17.33203125" customWidth="1"/>
    <col min="6" max="6" width="16" customWidth="1"/>
    <col min="7" max="7" width="11.33203125" customWidth="1"/>
    <col min="8" max="8" width="9.53125" customWidth="1"/>
    <col min="9" max="9" width="4.53125" customWidth="1"/>
    <col min="12" max="12" width="16.33203125" customWidth="1"/>
    <col min="13" max="13" width="23.33203125" customWidth="1"/>
    <col min="14" max="14" width="1" style="51" customWidth="1"/>
    <col min="15" max="15" width="1.33203125" style="34" customWidth="1"/>
    <col min="16" max="16" width="0.53125" customWidth="1"/>
    <col min="18" max="18" width="3.33203125" customWidth="1"/>
    <col min="19" max="19" width="24.33203125" customWidth="1"/>
    <col min="20" max="21" width="17.33203125" customWidth="1"/>
    <col min="22" max="22" width="16" customWidth="1"/>
    <col min="23" max="23" width="11.33203125" customWidth="1"/>
    <col min="24" max="24" width="9.53125" customWidth="1"/>
    <col min="25" max="25" width="4.53125" customWidth="1"/>
    <col min="28" max="28" width="16.33203125" customWidth="1"/>
    <col min="29" max="29" width="23.33203125" customWidth="1"/>
    <col min="30" max="30" width="1" style="51" customWidth="1"/>
    <col min="31" max="31" width="1.33203125" style="34" customWidth="1"/>
    <col min="32" max="32" width="0.53125" customWidth="1"/>
    <col min="34" max="34" width="3.33203125" customWidth="1"/>
    <col min="35" max="35" width="24.33203125" customWidth="1"/>
    <col min="36" max="37" width="17.33203125" customWidth="1"/>
    <col min="38" max="38" width="16" customWidth="1"/>
    <col min="39" max="39" width="11.33203125" customWidth="1"/>
    <col min="40" max="40" width="9.53125" customWidth="1"/>
    <col min="41" max="41" width="4.53125" customWidth="1"/>
    <col min="44" max="44" width="16.33203125" customWidth="1"/>
    <col min="45" max="45" width="23.33203125" customWidth="1"/>
    <col min="46" max="46" width="1" style="51" customWidth="1"/>
    <col min="47" max="47" width="1.33203125" style="34" customWidth="1"/>
    <col min="48" max="48" width="0.53125" customWidth="1"/>
    <col min="50" max="50" width="3.33203125" customWidth="1"/>
    <col min="51" max="51" width="24.33203125" customWidth="1"/>
    <col min="52" max="53" width="17.33203125" customWidth="1"/>
    <col min="54" max="54" width="16" customWidth="1"/>
    <col min="55" max="55" width="11.33203125" customWidth="1"/>
    <col min="56" max="56" width="9.53125" customWidth="1"/>
    <col min="57" max="57" width="4.53125" customWidth="1"/>
    <col min="60" max="60" width="16.33203125" customWidth="1"/>
    <col min="61" max="61" width="23.33203125" customWidth="1"/>
    <col min="62" max="62" width="1" style="51" customWidth="1"/>
    <col min="63" max="63" width="1.33203125" style="34" customWidth="1"/>
    <col min="64" max="64" width="0.53125" customWidth="1"/>
    <col min="66" max="66" width="3.33203125" customWidth="1"/>
    <col min="67" max="67" width="24.33203125" customWidth="1"/>
    <col min="68" max="69" width="17.33203125" customWidth="1"/>
    <col min="70" max="70" width="16" customWidth="1"/>
    <col min="71" max="71" width="11.33203125" customWidth="1"/>
    <col min="72" max="72" width="9.53125" customWidth="1"/>
    <col min="73" max="73" width="4.53125" customWidth="1"/>
    <col min="76" max="76" width="16.33203125" customWidth="1"/>
    <col min="77" max="77" width="23.33203125" customWidth="1"/>
    <col min="78" max="78" width="1" style="51" customWidth="1"/>
    <col min="79" max="79" width="1.33203125" style="34" customWidth="1"/>
    <col min="80" max="80" width="0.53125" customWidth="1"/>
    <col min="82" max="82" width="3.33203125" customWidth="1"/>
    <col min="83" max="83" width="24.33203125" customWidth="1"/>
    <col min="84" max="85" width="17.33203125" customWidth="1"/>
    <col min="86" max="86" width="16" customWidth="1"/>
    <col min="87" max="87" width="11.33203125" customWidth="1"/>
    <col min="88" max="88" width="9.53125" customWidth="1"/>
    <col min="89" max="89" width="4.53125" customWidth="1"/>
    <col min="92" max="92" width="16.33203125" customWidth="1"/>
    <col min="93" max="93" width="23.33203125" customWidth="1"/>
    <col min="94" max="94" width="1" style="51" customWidth="1"/>
    <col min="95" max="95" width="1.33203125" style="34" customWidth="1"/>
    <col min="96" max="96" width="0.53125" customWidth="1"/>
    <col min="98" max="98" width="3.33203125" customWidth="1"/>
    <col min="99" max="99" width="24.33203125" customWidth="1"/>
    <col min="100" max="101" width="17.33203125" customWidth="1"/>
    <col min="102" max="102" width="16" customWidth="1"/>
    <col min="103" max="103" width="11.33203125" customWidth="1"/>
    <col min="104" max="104" width="9.53125" customWidth="1"/>
    <col min="105" max="105" width="4.53125" customWidth="1"/>
    <col min="108" max="108" width="16.33203125" customWidth="1"/>
    <col min="109" max="109" width="23.33203125" customWidth="1"/>
    <col min="110" max="110" width="1" style="51" customWidth="1"/>
    <col min="111" max="111" width="1.33203125" style="34" customWidth="1"/>
    <col min="112" max="112" width="0.53125" customWidth="1"/>
    <col min="114" max="114" width="3.33203125" customWidth="1"/>
    <col min="115" max="115" width="24.33203125" customWidth="1"/>
    <col min="116" max="117" width="17.33203125" customWidth="1"/>
    <col min="118" max="118" width="16" customWidth="1"/>
    <col min="119" max="119" width="11.33203125" customWidth="1"/>
    <col min="120" max="120" width="9.53125" customWidth="1"/>
    <col min="121" max="121" width="4.53125" customWidth="1"/>
    <col min="124" max="124" width="16.33203125" customWidth="1"/>
    <col min="125" max="125" width="23.33203125" customWidth="1"/>
    <col min="126" max="126" width="1" style="51" customWidth="1"/>
    <col min="127" max="127" width="1.33203125" style="34" customWidth="1"/>
    <col min="128" max="128" width="0.53125" customWidth="1"/>
    <col min="130" max="130" width="3.33203125" customWidth="1"/>
    <col min="131" max="131" width="24.33203125" customWidth="1"/>
    <col min="132" max="133" width="17.33203125" customWidth="1"/>
    <col min="134" max="134" width="16" customWidth="1"/>
    <col min="135" max="135" width="11.33203125" customWidth="1"/>
    <col min="136" max="136" width="9.53125" customWidth="1"/>
    <col min="137" max="137" width="4.53125" customWidth="1"/>
    <col min="140" max="140" width="16.33203125" customWidth="1"/>
    <col min="141" max="141" width="23.33203125" customWidth="1"/>
    <col min="142" max="142" width="1" style="51" customWidth="1"/>
    <col min="143" max="143" width="1.33203125" style="34" customWidth="1"/>
    <col min="144" max="144" width="0.53125" customWidth="1"/>
    <col min="146" max="146" width="3.33203125" customWidth="1"/>
    <col min="147" max="147" width="24.33203125" customWidth="1"/>
    <col min="148" max="149" width="17.33203125" customWidth="1"/>
    <col min="150" max="150" width="16" customWidth="1"/>
    <col min="151" max="151" width="11.33203125" customWidth="1"/>
    <col min="152" max="152" width="9.53125" customWidth="1"/>
    <col min="153" max="153" width="4.53125" customWidth="1"/>
    <col min="156" max="156" width="16.33203125" customWidth="1"/>
    <col min="157" max="157" width="23.33203125" customWidth="1"/>
  </cols>
  <sheetData>
    <row r="1" spans="2:157" ht="14.65" thickBot="1" x14ac:dyDescent="0.5"/>
    <row r="2" spans="2:157" ht="33.4" x14ac:dyDescent="0.9">
      <c r="B2" s="9" t="s">
        <v>0</v>
      </c>
      <c r="C2" s="32"/>
      <c r="D2" s="32"/>
      <c r="E2" s="32"/>
      <c r="F2" s="32"/>
      <c r="G2" s="32"/>
      <c r="H2" s="32"/>
      <c r="I2" s="32"/>
      <c r="J2" s="32"/>
      <c r="K2" s="32"/>
      <c r="L2" s="32"/>
      <c r="M2" s="33"/>
      <c r="O2" s="35"/>
      <c r="P2" s="2"/>
      <c r="AE2" s="35"/>
      <c r="AF2" s="2"/>
      <c r="AU2" s="35"/>
      <c r="AV2" s="2"/>
      <c r="BK2" s="35"/>
      <c r="BL2" s="2"/>
      <c r="CA2" s="35"/>
      <c r="CB2" s="2"/>
      <c r="CQ2" s="35"/>
      <c r="CR2" s="2"/>
      <c r="DG2" s="35"/>
      <c r="DH2" s="2"/>
      <c r="DW2" s="35"/>
      <c r="DX2" s="2"/>
      <c r="EM2" s="35"/>
      <c r="EN2" s="2"/>
    </row>
    <row r="3" spans="2:157" ht="31.15" thickBot="1" x14ac:dyDescent="0.95">
      <c r="B3" s="63" t="s">
        <v>209</v>
      </c>
      <c r="C3" s="20"/>
      <c r="D3" s="20"/>
      <c r="E3" s="20"/>
      <c r="F3" s="20"/>
      <c r="G3" s="20"/>
      <c r="H3" s="20"/>
      <c r="I3" s="20"/>
      <c r="J3" s="20"/>
      <c r="K3" s="20"/>
      <c r="L3" s="20"/>
      <c r="M3" s="22"/>
      <c r="O3" s="35"/>
      <c r="P3" s="2"/>
      <c r="AE3" s="35"/>
      <c r="AF3" s="2"/>
      <c r="AU3" s="35"/>
      <c r="AV3" s="2"/>
      <c r="BK3" s="35"/>
      <c r="BL3" s="2"/>
      <c r="CA3" s="35"/>
      <c r="CB3" s="2"/>
      <c r="CQ3" s="35"/>
      <c r="CR3" s="2"/>
      <c r="DG3" s="35"/>
      <c r="DH3" s="2"/>
      <c r="DW3" s="35"/>
      <c r="DX3" s="2"/>
      <c r="EM3" s="35"/>
      <c r="EN3" s="2"/>
    </row>
    <row r="4" spans="2:157" ht="14.65" thickBot="1" x14ac:dyDescent="0.5">
      <c r="B4" s="164" t="s">
        <v>2</v>
      </c>
      <c r="C4" s="165"/>
      <c r="D4" s="165"/>
      <c r="E4" s="165"/>
      <c r="F4" s="165"/>
      <c r="G4" s="165"/>
      <c r="H4" s="165"/>
      <c r="I4" s="165"/>
      <c r="J4" s="165"/>
      <c r="K4" s="165"/>
      <c r="L4" s="165"/>
      <c r="M4" s="166"/>
    </row>
    <row r="5" spans="2:157" ht="14.65" thickBot="1" x14ac:dyDescent="0.5">
      <c r="C5" s="97" t="s">
        <v>210</v>
      </c>
      <c r="D5" s="97"/>
      <c r="E5" s="97"/>
      <c r="F5" s="97"/>
    </row>
    <row r="6" spans="2:157" ht="14.65" thickBot="1" x14ac:dyDescent="0.5">
      <c r="B6" s="229" t="s">
        <v>211</v>
      </c>
      <c r="C6" s="230"/>
      <c r="D6" s="231" t="e">
        <f>'Page Two - IM Info contd'!#REF!</f>
        <v>#REF!</v>
      </c>
      <c r="E6" s="232"/>
      <c r="F6" s="233"/>
      <c r="J6" s="234" t="s">
        <v>212</v>
      </c>
      <c r="K6" s="235"/>
      <c r="L6" s="235"/>
      <c r="M6" s="236"/>
      <c r="R6" s="229" t="s">
        <v>211</v>
      </c>
      <c r="S6" s="230"/>
      <c r="T6" s="231" t="e">
        <f>'Page Two - IM Info contd'!#REF!</f>
        <v>#REF!</v>
      </c>
      <c r="U6" s="232"/>
      <c r="V6" s="233"/>
      <c r="Z6" s="234" t="s">
        <v>212</v>
      </c>
      <c r="AA6" s="235"/>
      <c r="AB6" s="235"/>
      <c r="AC6" s="236"/>
      <c r="AH6" s="229" t="s">
        <v>211</v>
      </c>
      <c r="AI6" s="230"/>
      <c r="AJ6" s="231" t="e">
        <f>'Page Two - IM Info contd'!#REF!</f>
        <v>#REF!</v>
      </c>
      <c r="AK6" s="232"/>
      <c r="AL6" s="233"/>
      <c r="AP6" s="234" t="s">
        <v>212</v>
      </c>
      <c r="AQ6" s="235"/>
      <c r="AR6" s="235"/>
      <c r="AS6" s="236"/>
      <c r="AX6" s="229" t="s">
        <v>211</v>
      </c>
      <c r="AY6" s="230"/>
      <c r="AZ6" s="231" t="e">
        <f>'Page Two - IM Info contd'!#REF!</f>
        <v>#REF!</v>
      </c>
      <c r="BA6" s="232"/>
      <c r="BB6" s="233"/>
      <c r="BF6" s="234" t="s">
        <v>212</v>
      </c>
      <c r="BG6" s="235"/>
      <c r="BH6" s="235"/>
      <c r="BI6" s="236"/>
      <c r="BN6" s="229" t="s">
        <v>211</v>
      </c>
      <c r="BO6" s="230"/>
      <c r="BP6" s="231" t="e">
        <f>'Page Two - IM Info contd'!#REF!</f>
        <v>#REF!</v>
      </c>
      <c r="BQ6" s="232"/>
      <c r="BR6" s="233"/>
      <c r="BV6" s="234" t="s">
        <v>212</v>
      </c>
      <c r="BW6" s="235"/>
      <c r="BX6" s="235"/>
      <c r="BY6" s="236"/>
      <c r="CD6" s="229" t="s">
        <v>211</v>
      </c>
      <c r="CE6" s="230"/>
      <c r="CF6" s="231" t="e">
        <f>'Page Two - IM Info contd'!#REF!</f>
        <v>#REF!</v>
      </c>
      <c r="CG6" s="232"/>
      <c r="CH6" s="233"/>
      <c r="CL6" s="234" t="s">
        <v>212</v>
      </c>
      <c r="CM6" s="235"/>
      <c r="CN6" s="235"/>
      <c r="CO6" s="236"/>
      <c r="CT6" s="229" t="s">
        <v>211</v>
      </c>
      <c r="CU6" s="230"/>
      <c r="CV6" s="231" t="e">
        <f>'Page Two - IM Info contd'!#REF!</f>
        <v>#REF!</v>
      </c>
      <c r="CW6" s="232"/>
      <c r="CX6" s="233"/>
      <c r="DB6" s="234" t="s">
        <v>212</v>
      </c>
      <c r="DC6" s="235"/>
      <c r="DD6" s="235"/>
      <c r="DE6" s="236"/>
      <c r="DJ6" s="229" t="s">
        <v>211</v>
      </c>
      <c r="DK6" s="230"/>
      <c r="DL6" s="231" t="e">
        <f>'Page Two - IM Info contd'!#REF!</f>
        <v>#REF!</v>
      </c>
      <c r="DM6" s="232"/>
      <c r="DN6" s="233"/>
      <c r="DR6" s="234" t="s">
        <v>212</v>
      </c>
      <c r="DS6" s="235"/>
      <c r="DT6" s="235"/>
      <c r="DU6" s="236"/>
      <c r="DZ6" s="229" t="s">
        <v>211</v>
      </c>
      <c r="EA6" s="230"/>
      <c r="EB6" s="231" t="e">
        <f>'Page Two - IM Info contd'!#REF!</f>
        <v>#REF!</v>
      </c>
      <c r="EC6" s="232"/>
      <c r="ED6" s="233"/>
      <c r="EH6" s="234" t="s">
        <v>212</v>
      </c>
      <c r="EI6" s="235"/>
      <c r="EJ6" s="235"/>
      <c r="EK6" s="236"/>
      <c r="EP6" s="229" t="s">
        <v>211</v>
      </c>
      <c r="EQ6" s="230"/>
      <c r="ER6" s="231" t="e">
        <f>'Page Two - IM Info contd'!#REF!</f>
        <v>#REF!</v>
      </c>
      <c r="ES6" s="232"/>
      <c r="ET6" s="233"/>
      <c r="EX6" s="234" t="s">
        <v>212</v>
      </c>
      <c r="EY6" s="235"/>
      <c r="EZ6" s="235"/>
      <c r="FA6" s="236"/>
    </row>
    <row r="7" spans="2:157" x14ac:dyDescent="0.45">
      <c r="B7" s="229" t="s">
        <v>139</v>
      </c>
      <c r="C7" s="230"/>
      <c r="D7" s="231">
        <f>'Page Four - Portfolio Details'!E81</f>
        <v>0</v>
      </c>
      <c r="E7" s="232"/>
      <c r="F7" s="233"/>
      <c r="I7" s="25"/>
      <c r="J7" s="25"/>
      <c r="M7" s="56"/>
      <c r="R7" s="229" t="s">
        <v>139</v>
      </c>
      <c r="S7" s="230"/>
      <c r="T7" s="231">
        <f>'Page Four - Portfolio Details'!O81</f>
        <v>0</v>
      </c>
      <c r="U7" s="232"/>
      <c r="V7" s="233"/>
      <c r="Y7" s="25"/>
      <c r="Z7" s="25"/>
      <c r="AC7" s="56"/>
      <c r="AH7" s="229" t="s">
        <v>139</v>
      </c>
      <c r="AI7" s="230"/>
      <c r="AJ7" s="231">
        <f>'Page Four - Portfolio Details'!Y81</f>
        <v>0</v>
      </c>
      <c r="AK7" s="232"/>
      <c r="AL7" s="233"/>
      <c r="AO7" s="25"/>
      <c r="AP7" s="25"/>
      <c r="AS7" s="56"/>
      <c r="AX7" s="229" t="s">
        <v>139</v>
      </c>
      <c r="AY7" s="230"/>
      <c r="AZ7" s="231">
        <f>'Page Four - Portfolio Details'!AI81</f>
        <v>0</v>
      </c>
      <c r="BA7" s="232"/>
      <c r="BB7" s="233"/>
      <c r="BE7" s="25"/>
      <c r="BF7" s="25"/>
      <c r="BI7" s="56"/>
      <c r="BN7" s="229" t="s">
        <v>139</v>
      </c>
      <c r="BO7" s="230"/>
      <c r="BP7" s="231">
        <f>'Page Four - Portfolio Details'!AS81</f>
        <v>0</v>
      </c>
      <c r="BQ7" s="232"/>
      <c r="BR7" s="233"/>
      <c r="BU7" s="25"/>
      <c r="BV7" s="25"/>
      <c r="BY7" s="56"/>
      <c r="CD7" s="229" t="s">
        <v>139</v>
      </c>
      <c r="CE7" s="230"/>
      <c r="CF7" s="231">
        <f>'Page Four - Portfolio Details'!BC81</f>
        <v>0</v>
      </c>
      <c r="CG7" s="232"/>
      <c r="CH7" s="233"/>
      <c r="CK7" s="25"/>
      <c r="CL7" s="25"/>
      <c r="CO7" s="56"/>
      <c r="CT7" s="229" t="s">
        <v>139</v>
      </c>
      <c r="CU7" s="230"/>
      <c r="CV7" s="231">
        <f>'Page Four - Portfolio Details'!BM81</f>
        <v>0</v>
      </c>
      <c r="CW7" s="232"/>
      <c r="CX7" s="233"/>
      <c r="DA7" s="25"/>
      <c r="DB7" s="25"/>
      <c r="DE7" s="56"/>
      <c r="DJ7" s="229" t="s">
        <v>139</v>
      </c>
      <c r="DK7" s="230"/>
      <c r="DL7" s="231">
        <f>'Page Four - Portfolio Details'!BW81</f>
        <v>0</v>
      </c>
      <c r="DM7" s="232"/>
      <c r="DN7" s="233"/>
      <c r="DQ7" s="25"/>
      <c r="DR7" s="25"/>
      <c r="DU7" s="56"/>
      <c r="DZ7" s="229" t="s">
        <v>139</v>
      </c>
      <c r="EA7" s="230"/>
      <c r="EB7" s="231">
        <f>'Page Four - Portfolio Details'!CG81</f>
        <v>0</v>
      </c>
      <c r="EC7" s="232"/>
      <c r="ED7" s="233"/>
      <c r="EG7" s="25"/>
      <c r="EH7" s="25"/>
      <c r="EK7" s="56"/>
      <c r="EP7" s="229" t="s">
        <v>139</v>
      </c>
      <c r="EQ7" s="230"/>
      <c r="ER7" s="231">
        <f>'Page Four - Portfolio Details'!CQ81</f>
        <v>0</v>
      </c>
      <c r="ES7" s="232"/>
      <c r="ET7" s="233"/>
      <c r="EW7" s="25"/>
      <c r="EX7" s="25"/>
      <c r="FA7" s="56"/>
    </row>
    <row r="8" spans="2:157" ht="15" customHeight="1" x14ac:dyDescent="0.45">
      <c r="B8" s="177" t="s">
        <v>213</v>
      </c>
      <c r="C8" s="191"/>
      <c r="D8" s="188">
        <f>'Page Four - Portfolio Details'!E86</f>
        <v>0</v>
      </c>
      <c r="E8" s="190"/>
      <c r="F8" s="189"/>
      <c r="J8" s="237" t="s">
        <v>214</v>
      </c>
      <c r="K8" s="237"/>
      <c r="L8" s="237"/>
      <c r="M8" s="237"/>
      <c r="R8" s="177" t="s">
        <v>213</v>
      </c>
      <c r="S8" s="191"/>
      <c r="T8" s="188">
        <f>'Page Four - Portfolio Details'!O86</f>
        <v>0</v>
      </c>
      <c r="U8" s="190"/>
      <c r="V8" s="189"/>
      <c r="Z8" s="237" t="s">
        <v>214</v>
      </c>
      <c r="AA8" s="237"/>
      <c r="AB8" s="237"/>
      <c r="AC8" s="237"/>
      <c r="AH8" s="177" t="s">
        <v>213</v>
      </c>
      <c r="AI8" s="191"/>
      <c r="AJ8" s="188">
        <f>'Page Four - Portfolio Details'!Y86</f>
        <v>0</v>
      </c>
      <c r="AK8" s="190"/>
      <c r="AL8" s="189"/>
      <c r="AP8" s="237" t="s">
        <v>214</v>
      </c>
      <c r="AQ8" s="237"/>
      <c r="AR8" s="237"/>
      <c r="AS8" s="237"/>
      <c r="AX8" s="177" t="s">
        <v>213</v>
      </c>
      <c r="AY8" s="191"/>
      <c r="AZ8" s="188">
        <f>'Page Four - Portfolio Details'!AI86</f>
        <v>0</v>
      </c>
      <c r="BA8" s="190"/>
      <c r="BB8" s="189"/>
      <c r="BF8" s="237" t="s">
        <v>214</v>
      </c>
      <c r="BG8" s="237"/>
      <c r="BH8" s="237"/>
      <c r="BI8" s="237"/>
      <c r="BN8" s="177" t="s">
        <v>213</v>
      </c>
      <c r="BO8" s="191"/>
      <c r="BP8" s="188">
        <f>'Page Four - Portfolio Details'!AS86</f>
        <v>0</v>
      </c>
      <c r="BQ8" s="190"/>
      <c r="BR8" s="189"/>
      <c r="BV8" s="237" t="s">
        <v>214</v>
      </c>
      <c r="BW8" s="237"/>
      <c r="BX8" s="237"/>
      <c r="BY8" s="237"/>
      <c r="CD8" s="177" t="s">
        <v>213</v>
      </c>
      <c r="CE8" s="191"/>
      <c r="CF8" s="188">
        <f>'Page Four - Portfolio Details'!BC86</f>
        <v>0</v>
      </c>
      <c r="CG8" s="190"/>
      <c r="CH8" s="189"/>
      <c r="CL8" s="237" t="s">
        <v>214</v>
      </c>
      <c r="CM8" s="237"/>
      <c r="CN8" s="237"/>
      <c r="CO8" s="237"/>
      <c r="CT8" s="177" t="s">
        <v>213</v>
      </c>
      <c r="CU8" s="191"/>
      <c r="CV8" s="188">
        <f>'Page Four - Portfolio Details'!BM86</f>
        <v>0</v>
      </c>
      <c r="CW8" s="190"/>
      <c r="CX8" s="189"/>
      <c r="DB8" s="237" t="s">
        <v>214</v>
      </c>
      <c r="DC8" s="237"/>
      <c r="DD8" s="237"/>
      <c r="DE8" s="237"/>
      <c r="DJ8" s="177" t="s">
        <v>213</v>
      </c>
      <c r="DK8" s="191"/>
      <c r="DL8" s="188">
        <f>'Page Four - Portfolio Details'!BW86</f>
        <v>0</v>
      </c>
      <c r="DM8" s="190"/>
      <c r="DN8" s="189"/>
      <c r="DR8" s="237" t="s">
        <v>214</v>
      </c>
      <c r="DS8" s="237"/>
      <c r="DT8" s="237"/>
      <c r="DU8" s="237"/>
      <c r="DZ8" s="177" t="s">
        <v>213</v>
      </c>
      <c r="EA8" s="191"/>
      <c r="EB8" s="188">
        <f>'Page Four - Portfolio Details'!CG86</f>
        <v>0</v>
      </c>
      <c r="EC8" s="190"/>
      <c r="ED8" s="189"/>
      <c r="EH8" s="237" t="s">
        <v>214</v>
      </c>
      <c r="EI8" s="237"/>
      <c r="EJ8" s="237"/>
      <c r="EK8" s="237"/>
      <c r="EP8" s="177" t="s">
        <v>213</v>
      </c>
      <c r="EQ8" s="191"/>
      <c r="ER8" s="188">
        <f>'Page Four - Portfolio Details'!CQ86</f>
        <v>0</v>
      </c>
      <c r="ES8" s="190"/>
      <c r="ET8" s="189"/>
      <c r="EX8" s="237" t="s">
        <v>214</v>
      </c>
      <c r="EY8" s="237"/>
      <c r="EZ8" s="237"/>
      <c r="FA8" s="237"/>
    </row>
    <row r="9" spans="2:157" x14ac:dyDescent="0.45">
      <c r="C9" s="97"/>
      <c r="J9" s="71" t="s">
        <v>215</v>
      </c>
      <c r="K9" s="71"/>
      <c r="L9" s="65" t="s">
        <v>216</v>
      </c>
      <c r="M9" s="48" t="s">
        <v>217</v>
      </c>
      <c r="Z9" s="71" t="s">
        <v>215</v>
      </c>
      <c r="AA9" s="71"/>
      <c r="AB9" s="65" t="s">
        <v>216</v>
      </c>
      <c r="AC9" s="48" t="s">
        <v>217</v>
      </c>
      <c r="AP9" s="71" t="s">
        <v>215</v>
      </c>
      <c r="AQ9" s="71"/>
      <c r="AR9" s="65" t="s">
        <v>216</v>
      </c>
      <c r="AS9" s="48" t="s">
        <v>217</v>
      </c>
      <c r="BF9" s="71" t="s">
        <v>215</v>
      </c>
      <c r="BG9" s="71"/>
      <c r="BH9" s="65" t="s">
        <v>216</v>
      </c>
      <c r="BI9" s="48" t="s">
        <v>217</v>
      </c>
      <c r="BV9" s="71" t="s">
        <v>215</v>
      </c>
      <c r="BW9" s="71"/>
      <c r="BX9" s="65" t="s">
        <v>216</v>
      </c>
      <c r="BY9" s="48" t="s">
        <v>217</v>
      </c>
      <c r="CL9" s="71" t="s">
        <v>215</v>
      </c>
      <c r="CM9" s="71"/>
      <c r="CN9" s="65" t="s">
        <v>216</v>
      </c>
      <c r="CO9" s="48" t="s">
        <v>217</v>
      </c>
      <c r="DB9" s="71" t="s">
        <v>215</v>
      </c>
      <c r="DC9" s="71"/>
      <c r="DD9" s="65" t="s">
        <v>216</v>
      </c>
      <c r="DE9" s="48" t="s">
        <v>217</v>
      </c>
      <c r="DR9" s="71" t="s">
        <v>215</v>
      </c>
      <c r="DS9" s="71"/>
      <c r="DT9" s="65" t="s">
        <v>216</v>
      </c>
      <c r="DU9" s="48" t="s">
        <v>217</v>
      </c>
      <c r="EH9" s="71" t="s">
        <v>215</v>
      </c>
      <c r="EI9" s="71"/>
      <c r="EJ9" s="65" t="s">
        <v>216</v>
      </c>
      <c r="EK9" s="48" t="s">
        <v>217</v>
      </c>
      <c r="EX9" s="71" t="s">
        <v>215</v>
      </c>
      <c r="EY9" s="71"/>
      <c r="EZ9" s="65" t="s">
        <v>216</v>
      </c>
      <c r="FA9" s="48" t="s">
        <v>217</v>
      </c>
    </row>
    <row r="10" spans="2:157" x14ac:dyDescent="0.45">
      <c r="C10" s="24"/>
      <c r="D10" s="26"/>
      <c r="E10" s="26"/>
      <c r="F10" s="55"/>
      <c r="G10" s="25"/>
      <c r="H10" s="25"/>
      <c r="I10" s="15">
        <v>1</v>
      </c>
      <c r="J10" s="92"/>
      <c r="K10" s="92"/>
      <c r="L10" s="59"/>
      <c r="M10" s="59"/>
      <c r="S10" s="24"/>
      <c r="T10" s="26"/>
      <c r="U10" s="26"/>
      <c r="V10" s="55"/>
      <c r="W10" s="25"/>
      <c r="X10" s="25"/>
      <c r="Y10" s="15">
        <v>1</v>
      </c>
      <c r="Z10" s="92"/>
      <c r="AA10" s="92"/>
      <c r="AB10" s="59"/>
      <c r="AC10" s="59"/>
      <c r="AI10" s="24"/>
      <c r="AJ10" s="26"/>
      <c r="AK10" s="26"/>
      <c r="AL10" s="55"/>
      <c r="AM10" s="25"/>
      <c r="AN10" s="25"/>
      <c r="AO10" s="15">
        <v>1</v>
      </c>
      <c r="AP10" s="92"/>
      <c r="AQ10" s="92"/>
      <c r="AR10" s="59"/>
      <c r="AS10" s="59"/>
      <c r="AY10" s="24"/>
      <c r="AZ10" s="26"/>
      <c r="BA10" s="26"/>
      <c r="BB10" s="55"/>
      <c r="BC10" s="25"/>
      <c r="BD10" s="25"/>
      <c r="BE10" s="15">
        <v>1</v>
      </c>
      <c r="BF10" s="92"/>
      <c r="BG10" s="92"/>
      <c r="BH10" s="59"/>
      <c r="BI10" s="59"/>
      <c r="BO10" s="24"/>
      <c r="BP10" s="26"/>
      <c r="BQ10" s="26"/>
      <c r="BR10" s="55"/>
      <c r="BS10" s="25"/>
      <c r="BT10" s="25"/>
      <c r="BU10" s="15">
        <v>1</v>
      </c>
      <c r="BV10" s="92"/>
      <c r="BW10" s="92"/>
      <c r="BX10" s="59"/>
      <c r="BY10" s="59"/>
      <c r="CE10" s="24"/>
      <c r="CF10" s="26"/>
      <c r="CG10" s="26"/>
      <c r="CH10" s="55"/>
      <c r="CI10" s="25"/>
      <c r="CJ10" s="25"/>
      <c r="CK10" s="15">
        <v>1</v>
      </c>
      <c r="CL10" s="92"/>
      <c r="CM10" s="92"/>
      <c r="CN10" s="59"/>
      <c r="CO10" s="59"/>
      <c r="CU10" s="24"/>
      <c r="CV10" s="26"/>
      <c r="CW10" s="26"/>
      <c r="CX10" s="55"/>
      <c r="CY10" s="25"/>
      <c r="CZ10" s="25"/>
      <c r="DA10" s="15">
        <v>1</v>
      </c>
      <c r="DB10" s="92"/>
      <c r="DC10" s="92"/>
      <c r="DD10" s="59"/>
      <c r="DE10" s="59"/>
      <c r="DK10" s="24"/>
      <c r="DL10" s="26"/>
      <c r="DM10" s="26"/>
      <c r="DN10" s="55"/>
      <c r="DO10" s="25"/>
      <c r="DP10" s="25"/>
      <c r="DQ10" s="15">
        <v>1</v>
      </c>
      <c r="DR10" s="92"/>
      <c r="DS10" s="92"/>
      <c r="DT10" s="59"/>
      <c r="DU10" s="59"/>
      <c r="EA10" s="24"/>
      <c r="EB10" s="26"/>
      <c r="EC10" s="26"/>
      <c r="ED10" s="55"/>
      <c r="EE10" s="25"/>
      <c r="EF10" s="25"/>
      <c r="EG10" s="15">
        <v>1</v>
      </c>
      <c r="EH10" s="92"/>
      <c r="EI10" s="92"/>
      <c r="EJ10" s="59"/>
      <c r="EK10" s="59"/>
      <c r="EQ10" s="24"/>
      <c r="ER10" s="26"/>
      <c r="ES10" s="26"/>
      <c r="ET10" s="55"/>
      <c r="EU10" s="25"/>
      <c r="EV10" s="25"/>
      <c r="EW10" s="15">
        <v>1</v>
      </c>
      <c r="EX10" s="92"/>
      <c r="EY10" s="92"/>
      <c r="EZ10" s="59"/>
      <c r="FA10" s="59"/>
    </row>
    <row r="11" spans="2:157" x14ac:dyDescent="0.45">
      <c r="B11" s="72" t="s">
        <v>218</v>
      </c>
      <c r="C11" s="72"/>
      <c r="D11" s="72"/>
      <c r="E11" s="72"/>
      <c r="F11" s="72"/>
      <c r="I11" s="15">
        <v>2</v>
      </c>
      <c r="J11" s="92"/>
      <c r="K11" s="92"/>
      <c r="L11" s="59"/>
      <c r="M11" s="59"/>
      <c r="R11" s="72" t="s">
        <v>218</v>
      </c>
      <c r="S11" s="72"/>
      <c r="T11" s="72"/>
      <c r="U11" s="72"/>
      <c r="V11" s="72"/>
      <c r="Y11" s="15">
        <v>2</v>
      </c>
      <c r="Z11" s="92"/>
      <c r="AA11" s="92"/>
      <c r="AB11" s="59"/>
      <c r="AC11" s="59"/>
      <c r="AH11" s="72" t="s">
        <v>218</v>
      </c>
      <c r="AI11" s="72"/>
      <c r="AJ11" s="72"/>
      <c r="AK11" s="72"/>
      <c r="AL11" s="72"/>
      <c r="AO11" s="15">
        <v>2</v>
      </c>
      <c r="AP11" s="92"/>
      <c r="AQ11" s="92"/>
      <c r="AR11" s="59"/>
      <c r="AS11" s="59"/>
      <c r="AX11" s="72" t="s">
        <v>218</v>
      </c>
      <c r="AY11" s="72"/>
      <c r="AZ11" s="72"/>
      <c r="BA11" s="72"/>
      <c r="BB11" s="72"/>
      <c r="BE11" s="15">
        <v>2</v>
      </c>
      <c r="BF11" s="92"/>
      <c r="BG11" s="92"/>
      <c r="BH11" s="59"/>
      <c r="BI11" s="59"/>
      <c r="BN11" s="72" t="s">
        <v>218</v>
      </c>
      <c r="BO11" s="72"/>
      <c r="BP11" s="72"/>
      <c r="BQ11" s="72"/>
      <c r="BR11" s="72"/>
      <c r="BU11" s="15">
        <v>2</v>
      </c>
      <c r="BV11" s="92"/>
      <c r="BW11" s="92"/>
      <c r="BX11" s="59"/>
      <c r="BY11" s="59"/>
      <c r="CD11" s="72" t="s">
        <v>218</v>
      </c>
      <c r="CE11" s="72"/>
      <c r="CF11" s="72"/>
      <c r="CG11" s="72"/>
      <c r="CH11" s="72"/>
      <c r="CK11" s="15">
        <v>2</v>
      </c>
      <c r="CL11" s="92"/>
      <c r="CM11" s="92"/>
      <c r="CN11" s="59"/>
      <c r="CO11" s="59"/>
      <c r="CT11" s="72" t="s">
        <v>218</v>
      </c>
      <c r="CU11" s="72"/>
      <c r="CV11" s="72"/>
      <c r="CW11" s="72"/>
      <c r="CX11" s="72"/>
      <c r="DA11" s="15">
        <v>2</v>
      </c>
      <c r="DB11" s="92"/>
      <c r="DC11" s="92"/>
      <c r="DD11" s="59"/>
      <c r="DE11" s="59"/>
      <c r="DJ11" s="72" t="s">
        <v>218</v>
      </c>
      <c r="DK11" s="72"/>
      <c r="DL11" s="72"/>
      <c r="DM11" s="72"/>
      <c r="DN11" s="72"/>
      <c r="DQ11" s="15">
        <v>2</v>
      </c>
      <c r="DR11" s="92"/>
      <c r="DS11" s="92"/>
      <c r="DT11" s="59"/>
      <c r="DU11" s="59"/>
      <c r="DZ11" s="72" t="s">
        <v>218</v>
      </c>
      <c r="EA11" s="72"/>
      <c r="EB11" s="72"/>
      <c r="EC11" s="72"/>
      <c r="ED11" s="72"/>
      <c r="EG11" s="15">
        <v>2</v>
      </c>
      <c r="EH11" s="92"/>
      <c r="EI11" s="92"/>
      <c r="EJ11" s="59"/>
      <c r="EK11" s="59"/>
      <c r="EP11" s="72" t="s">
        <v>218</v>
      </c>
      <c r="EQ11" s="72"/>
      <c r="ER11" s="72"/>
      <c r="ES11" s="72"/>
      <c r="ET11" s="72"/>
      <c r="EW11" s="15">
        <v>2</v>
      </c>
      <c r="EX11" s="92"/>
      <c r="EY11" s="92"/>
      <c r="EZ11" s="59"/>
      <c r="FA11" s="59"/>
    </row>
    <row r="12" spans="2:157" x14ac:dyDescent="0.45">
      <c r="B12" s="67"/>
      <c r="C12" s="67"/>
      <c r="D12" s="65" t="s">
        <v>219</v>
      </c>
      <c r="E12" s="47" t="s">
        <v>220</v>
      </c>
      <c r="F12" s="66" t="s">
        <v>221</v>
      </c>
      <c r="I12" s="15">
        <v>3</v>
      </c>
      <c r="J12" s="92"/>
      <c r="K12" s="92"/>
      <c r="L12" s="59"/>
      <c r="M12" s="59"/>
      <c r="R12" s="67"/>
      <c r="S12" s="67"/>
      <c r="T12" s="65" t="s">
        <v>219</v>
      </c>
      <c r="U12" s="47" t="s">
        <v>220</v>
      </c>
      <c r="V12" s="66" t="s">
        <v>221</v>
      </c>
      <c r="Y12" s="15">
        <v>3</v>
      </c>
      <c r="Z12" s="92"/>
      <c r="AA12" s="92"/>
      <c r="AB12" s="59"/>
      <c r="AC12" s="59"/>
      <c r="AH12" s="67"/>
      <c r="AI12" s="67"/>
      <c r="AJ12" s="65" t="s">
        <v>219</v>
      </c>
      <c r="AK12" s="47" t="s">
        <v>220</v>
      </c>
      <c r="AL12" s="66" t="s">
        <v>221</v>
      </c>
      <c r="AO12" s="15">
        <v>3</v>
      </c>
      <c r="AP12" s="92"/>
      <c r="AQ12" s="92"/>
      <c r="AR12" s="59"/>
      <c r="AS12" s="59"/>
      <c r="AX12" s="67"/>
      <c r="AY12" s="67"/>
      <c r="AZ12" s="65" t="s">
        <v>219</v>
      </c>
      <c r="BA12" s="47" t="s">
        <v>220</v>
      </c>
      <c r="BB12" s="66" t="s">
        <v>221</v>
      </c>
      <c r="BE12" s="15">
        <v>3</v>
      </c>
      <c r="BF12" s="92"/>
      <c r="BG12" s="92"/>
      <c r="BH12" s="59"/>
      <c r="BI12" s="59"/>
      <c r="BN12" s="67"/>
      <c r="BO12" s="67"/>
      <c r="BP12" s="65" t="s">
        <v>219</v>
      </c>
      <c r="BQ12" s="47" t="s">
        <v>220</v>
      </c>
      <c r="BR12" s="66" t="s">
        <v>221</v>
      </c>
      <c r="BU12" s="15">
        <v>3</v>
      </c>
      <c r="BV12" s="92"/>
      <c r="BW12" s="92"/>
      <c r="BX12" s="59"/>
      <c r="BY12" s="59"/>
      <c r="CD12" s="67"/>
      <c r="CE12" s="67"/>
      <c r="CF12" s="65" t="s">
        <v>219</v>
      </c>
      <c r="CG12" s="47" t="s">
        <v>220</v>
      </c>
      <c r="CH12" s="66" t="s">
        <v>221</v>
      </c>
      <c r="CK12" s="15">
        <v>3</v>
      </c>
      <c r="CL12" s="92"/>
      <c r="CM12" s="92"/>
      <c r="CN12" s="59"/>
      <c r="CO12" s="59"/>
      <c r="CT12" s="67"/>
      <c r="CU12" s="67"/>
      <c r="CV12" s="65" t="s">
        <v>219</v>
      </c>
      <c r="CW12" s="47" t="s">
        <v>220</v>
      </c>
      <c r="CX12" s="66" t="s">
        <v>221</v>
      </c>
      <c r="DA12" s="15">
        <v>3</v>
      </c>
      <c r="DB12" s="92"/>
      <c r="DC12" s="92"/>
      <c r="DD12" s="59"/>
      <c r="DE12" s="59"/>
      <c r="DJ12" s="67"/>
      <c r="DK12" s="67"/>
      <c r="DL12" s="65" t="s">
        <v>219</v>
      </c>
      <c r="DM12" s="47" t="s">
        <v>220</v>
      </c>
      <c r="DN12" s="66" t="s">
        <v>221</v>
      </c>
      <c r="DQ12" s="15">
        <v>3</v>
      </c>
      <c r="DR12" s="92"/>
      <c r="DS12" s="92"/>
      <c r="DT12" s="59"/>
      <c r="DU12" s="59"/>
      <c r="DZ12" s="67"/>
      <c r="EA12" s="67"/>
      <c r="EB12" s="65" t="s">
        <v>219</v>
      </c>
      <c r="EC12" s="47" t="s">
        <v>220</v>
      </c>
      <c r="ED12" s="66" t="s">
        <v>221</v>
      </c>
      <c r="EG12" s="15">
        <v>3</v>
      </c>
      <c r="EH12" s="92"/>
      <c r="EI12" s="92"/>
      <c r="EJ12" s="59"/>
      <c r="EK12" s="59"/>
      <c r="EP12" s="67"/>
      <c r="EQ12" s="67"/>
      <c r="ER12" s="65" t="s">
        <v>219</v>
      </c>
      <c r="ES12" s="47" t="s">
        <v>220</v>
      </c>
      <c r="ET12" s="66" t="s">
        <v>221</v>
      </c>
      <c r="EW12" s="15">
        <v>3</v>
      </c>
      <c r="EX12" s="92"/>
      <c r="EY12" s="92"/>
      <c r="EZ12" s="59"/>
      <c r="FA12" s="59"/>
    </row>
    <row r="13" spans="2:157" x14ac:dyDescent="0.45">
      <c r="B13" s="71" t="s">
        <v>222</v>
      </c>
      <c r="C13" s="71"/>
      <c r="D13" s="57"/>
      <c r="E13" s="57"/>
      <c r="F13" s="58"/>
      <c r="I13" s="15">
        <v>4</v>
      </c>
      <c r="J13" s="92"/>
      <c r="K13" s="92"/>
      <c r="L13" s="59"/>
      <c r="M13" s="59"/>
      <c r="R13" s="71" t="s">
        <v>222</v>
      </c>
      <c r="S13" s="71"/>
      <c r="T13" s="57"/>
      <c r="U13" s="57"/>
      <c r="V13" s="58"/>
      <c r="Y13" s="15">
        <v>4</v>
      </c>
      <c r="Z13" s="92"/>
      <c r="AA13" s="92"/>
      <c r="AB13" s="59"/>
      <c r="AC13" s="59"/>
      <c r="AH13" s="71" t="s">
        <v>222</v>
      </c>
      <c r="AI13" s="71"/>
      <c r="AJ13" s="57"/>
      <c r="AK13" s="57"/>
      <c r="AL13" s="58"/>
      <c r="AO13" s="15">
        <v>4</v>
      </c>
      <c r="AP13" s="92"/>
      <c r="AQ13" s="92"/>
      <c r="AR13" s="59"/>
      <c r="AS13" s="59"/>
      <c r="AX13" s="71" t="s">
        <v>222</v>
      </c>
      <c r="AY13" s="71"/>
      <c r="AZ13" s="57"/>
      <c r="BA13" s="57"/>
      <c r="BB13" s="58"/>
      <c r="BE13" s="15">
        <v>4</v>
      </c>
      <c r="BF13" s="92"/>
      <c r="BG13" s="92"/>
      <c r="BH13" s="59"/>
      <c r="BI13" s="59"/>
      <c r="BN13" s="71" t="s">
        <v>222</v>
      </c>
      <c r="BO13" s="71"/>
      <c r="BP13" s="57"/>
      <c r="BQ13" s="57"/>
      <c r="BR13" s="58"/>
      <c r="BU13" s="15">
        <v>4</v>
      </c>
      <c r="BV13" s="92"/>
      <c r="BW13" s="92"/>
      <c r="BX13" s="59"/>
      <c r="BY13" s="59"/>
      <c r="CD13" s="71" t="s">
        <v>222</v>
      </c>
      <c r="CE13" s="71"/>
      <c r="CF13" s="57"/>
      <c r="CG13" s="57"/>
      <c r="CH13" s="58"/>
      <c r="CK13" s="15">
        <v>4</v>
      </c>
      <c r="CL13" s="92"/>
      <c r="CM13" s="92"/>
      <c r="CN13" s="59"/>
      <c r="CO13" s="59"/>
      <c r="CT13" s="71" t="s">
        <v>222</v>
      </c>
      <c r="CU13" s="71"/>
      <c r="CV13" s="57"/>
      <c r="CW13" s="57"/>
      <c r="CX13" s="58"/>
      <c r="DA13" s="15">
        <v>4</v>
      </c>
      <c r="DB13" s="92"/>
      <c r="DC13" s="92"/>
      <c r="DD13" s="59"/>
      <c r="DE13" s="59"/>
      <c r="DJ13" s="71" t="s">
        <v>222</v>
      </c>
      <c r="DK13" s="71"/>
      <c r="DL13" s="57"/>
      <c r="DM13" s="57"/>
      <c r="DN13" s="58"/>
      <c r="DQ13" s="15">
        <v>4</v>
      </c>
      <c r="DR13" s="92"/>
      <c r="DS13" s="92"/>
      <c r="DT13" s="59"/>
      <c r="DU13" s="59"/>
      <c r="DZ13" s="71" t="s">
        <v>222</v>
      </c>
      <c r="EA13" s="71"/>
      <c r="EB13" s="57"/>
      <c r="EC13" s="57"/>
      <c r="ED13" s="58"/>
      <c r="EG13" s="15">
        <v>4</v>
      </c>
      <c r="EH13" s="92"/>
      <c r="EI13" s="92"/>
      <c r="EJ13" s="59"/>
      <c r="EK13" s="59"/>
      <c r="EP13" s="71" t="s">
        <v>222</v>
      </c>
      <c r="EQ13" s="71"/>
      <c r="ER13" s="57"/>
      <c r="ES13" s="57"/>
      <c r="ET13" s="58"/>
      <c r="EW13" s="15">
        <v>4</v>
      </c>
      <c r="EX13" s="92"/>
      <c r="EY13" s="92"/>
      <c r="EZ13" s="59"/>
      <c r="FA13" s="59"/>
    </row>
    <row r="14" spans="2:157" x14ac:dyDescent="0.45">
      <c r="B14" s="71" t="s">
        <v>223</v>
      </c>
      <c r="C14" s="71"/>
      <c r="D14" s="57"/>
      <c r="E14" s="57"/>
      <c r="F14" s="58"/>
      <c r="I14" s="15">
        <v>5</v>
      </c>
      <c r="J14" s="92"/>
      <c r="K14" s="92"/>
      <c r="L14" s="59"/>
      <c r="M14" s="59"/>
      <c r="R14" s="71" t="s">
        <v>223</v>
      </c>
      <c r="S14" s="71"/>
      <c r="T14" s="57"/>
      <c r="U14" s="57"/>
      <c r="V14" s="58"/>
      <c r="Y14" s="15">
        <v>5</v>
      </c>
      <c r="Z14" s="92"/>
      <c r="AA14" s="92"/>
      <c r="AB14" s="59"/>
      <c r="AC14" s="59"/>
      <c r="AH14" s="71" t="s">
        <v>223</v>
      </c>
      <c r="AI14" s="71"/>
      <c r="AJ14" s="57"/>
      <c r="AK14" s="57"/>
      <c r="AL14" s="58"/>
      <c r="AO14" s="15">
        <v>5</v>
      </c>
      <c r="AP14" s="92"/>
      <c r="AQ14" s="92"/>
      <c r="AR14" s="59"/>
      <c r="AS14" s="59"/>
      <c r="AX14" s="71" t="s">
        <v>223</v>
      </c>
      <c r="AY14" s="71"/>
      <c r="AZ14" s="57"/>
      <c r="BA14" s="57"/>
      <c r="BB14" s="58"/>
      <c r="BE14" s="15">
        <v>5</v>
      </c>
      <c r="BF14" s="92"/>
      <c r="BG14" s="92"/>
      <c r="BH14" s="59"/>
      <c r="BI14" s="59"/>
      <c r="BN14" s="71" t="s">
        <v>223</v>
      </c>
      <c r="BO14" s="71"/>
      <c r="BP14" s="57"/>
      <c r="BQ14" s="57"/>
      <c r="BR14" s="58"/>
      <c r="BU14" s="15">
        <v>5</v>
      </c>
      <c r="BV14" s="92"/>
      <c r="BW14" s="92"/>
      <c r="BX14" s="59"/>
      <c r="BY14" s="59"/>
      <c r="CD14" s="71" t="s">
        <v>223</v>
      </c>
      <c r="CE14" s="71"/>
      <c r="CF14" s="57"/>
      <c r="CG14" s="57"/>
      <c r="CH14" s="58"/>
      <c r="CK14" s="15">
        <v>5</v>
      </c>
      <c r="CL14" s="92"/>
      <c r="CM14" s="92"/>
      <c r="CN14" s="59"/>
      <c r="CO14" s="59"/>
      <c r="CT14" s="71" t="s">
        <v>223</v>
      </c>
      <c r="CU14" s="71"/>
      <c r="CV14" s="57"/>
      <c r="CW14" s="57"/>
      <c r="CX14" s="58"/>
      <c r="DA14" s="15">
        <v>5</v>
      </c>
      <c r="DB14" s="92"/>
      <c r="DC14" s="92"/>
      <c r="DD14" s="59"/>
      <c r="DE14" s="59"/>
      <c r="DJ14" s="71" t="s">
        <v>223</v>
      </c>
      <c r="DK14" s="71"/>
      <c r="DL14" s="57"/>
      <c r="DM14" s="57"/>
      <c r="DN14" s="58"/>
      <c r="DQ14" s="15">
        <v>5</v>
      </c>
      <c r="DR14" s="92"/>
      <c r="DS14" s="92"/>
      <c r="DT14" s="59"/>
      <c r="DU14" s="59"/>
      <c r="DZ14" s="71" t="s">
        <v>223</v>
      </c>
      <c r="EA14" s="71"/>
      <c r="EB14" s="57"/>
      <c r="EC14" s="57"/>
      <c r="ED14" s="58"/>
      <c r="EG14" s="15">
        <v>5</v>
      </c>
      <c r="EH14" s="92"/>
      <c r="EI14" s="92"/>
      <c r="EJ14" s="59"/>
      <c r="EK14" s="59"/>
      <c r="EP14" s="71" t="s">
        <v>223</v>
      </c>
      <c r="EQ14" s="71"/>
      <c r="ER14" s="57"/>
      <c r="ES14" s="57"/>
      <c r="ET14" s="58"/>
      <c r="EW14" s="15">
        <v>5</v>
      </c>
      <c r="EX14" s="92"/>
      <c r="EY14" s="92"/>
      <c r="EZ14" s="59"/>
      <c r="FA14" s="59"/>
    </row>
    <row r="15" spans="2:157" x14ac:dyDescent="0.45">
      <c r="B15" s="71" t="s">
        <v>224</v>
      </c>
      <c r="C15" s="71"/>
      <c r="D15" s="57"/>
      <c r="E15" s="57"/>
      <c r="F15" s="58"/>
      <c r="M15" s="54"/>
      <c r="R15" s="71" t="s">
        <v>224</v>
      </c>
      <c r="S15" s="71"/>
      <c r="T15" s="57"/>
      <c r="U15" s="57"/>
      <c r="V15" s="58"/>
      <c r="AC15" s="54"/>
      <c r="AH15" s="71" t="s">
        <v>224</v>
      </c>
      <c r="AI15" s="71"/>
      <c r="AJ15" s="57"/>
      <c r="AK15" s="57"/>
      <c r="AL15" s="58"/>
      <c r="AS15" s="54"/>
      <c r="AX15" s="71" t="s">
        <v>224</v>
      </c>
      <c r="AY15" s="71"/>
      <c r="AZ15" s="57"/>
      <c r="BA15" s="57"/>
      <c r="BB15" s="58"/>
      <c r="BI15" s="54"/>
      <c r="BN15" s="71" t="s">
        <v>224</v>
      </c>
      <c r="BO15" s="71"/>
      <c r="BP15" s="57"/>
      <c r="BQ15" s="57"/>
      <c r="BR15" s="58"/>
      <c r="BY15" s="54"/>
      <c r="CD15" s="71" t="s">
        <v>224</v>
      </c>
      <c r="CE15" s="71"/>
      <c r="CF15" s="57"/>
      <c r="CG15" s="57"/>
      <c r="CH15" s="58"/>
      <c r="CO15" s="54"/>
      <c r="CT15" s="71" t="s">
        <v>224</v>
      </c>
      <c r="CU15" s="71"/>
      <c r="CV15" s="57"/>
      <c r="CW15" s="57"/>
      <c r="CX15" s="58"/>
      <c r="DE15" s="54"/>
      <c r="DJ15" s="71" t="s">
        <v>224</v>
      </c>
      <c r="DK15" s="71"/>
      <c r="DL15" s="57"/>
      <c r="DM15" s="57"/>
      <c r="DN15" s="58"/>
      <c r="DU15" s="54"/>
      <c r="DZ15" s="71" t="s">
        <v>224</v>
      </c>
      <c r="EA15" s="71"/>
      <c r="EB15" s="57"/>
      <c r="EC15" s="57"/>
      <c r="ED15" s="58"/>
      <c r="EK15" s="54"/>
      <c r="EP15" s="71" t="s">
        <v>224</v>
      </c>
      <c r="EQ15" s="71"/>
      <c r="ER15" s="57"/>
      <c r="ES15" s="57"/>
      <c r="ET15" s="58"/>
      <c r="FA15" s="54"/>
    </row>
    <row r="16" spans="2:157" x14ac:dyDescent="0.45">
      <c r="B16" s="71" t="s">
        <v>225</v>
      </c>
      <c r="C16" s="71"/>
      <c r="D16" s="57"/>
      <c r="E16" s="57"/>
      <c r="F16" s="58"/>
      <c r="J16" s="72" t="s">
        <v>226</v>
      </c>
      <c r="K16" s="72"/>
      <c r="L16" s="72"/>
      <c r="M16" s="72"/>
      <c r="R16" s="71" t="s">
        <v>225</v>
      </c>
      <c r="S16" s="71"/>
      <c r="T16" s="57"/>
      <c r="U16" s="57"/>
      <c r="V16" s="58"/>
      <c r="Z16" s="72" t="s">
        <v>226</v>
      </c>
      <c r="AA16" s="72"/>
      <c r="AB16" s="72"/>
      <c r="AC16" s="72"/>
      <c r="AH16" s="71" t="s">
        <v>225</v>
      </c>
      <c r="AI16" s="71"/>
      <c r="AJ16" s="57"/>
      <c r="AK16" s="57"/>
      <c r="AL16" s="58"/>
      <c r="AP16" s="72" t="s">
        <v>226</v>
      </c>
      <c r="AQ16" s="72"/>
      <c r="AR16" s="72"/>
      <c r="AS16" s="72"/>
      <c r="AX16" s="71" t="s">
        <v>225</v>
      </c>
      <c r="AY16" s="71"/>
      <c r="AZ16" s="57"/>
      <c r="BA16" s="57"/>
      <c r="BB16" s="58"/>
      <c r="BF16" s="72" t="s">
        <v>226</v>
      </c>
      <c r="BG16" s="72"/>
      <c r="BH16" s="72"/>
      <c r="BI16" s="72"/>
      <c r="BN16" s="71" t="s">
        <v>225</v>
      </c>
      <c r="BO16" s="71"/>
      <c r="BP16" s="57"/>
      <c r="BQ16" s="57"/>
      <c r="BR16" s="58"/>
      <c r="BV16" s="72" t="s">
        <v>226</v>
      </c>
      <c r="BW16" s="72"/>
      <c r="BX16" s="72"/>
      <c r="BY16" s="72"/>
      <c r="CD16" s="71" t="s">
        <v>225</v>
      </c>
      <c r="CE16" s="71"/>
      <c r="CF16" s="57"/>
      <c r="CG16" s="57"/>
      <c r="CH16" s="58"/>
      <c r="CL16" s="72" t="s">
        <v>226</v>
      </c>
      <c r="CM16" s="72"/>
      <c r="CN16" s="72"/>
      <c r="CO16" s="72"/>
      <c r="CT16" s="71" t="s">
        <v>225</v>
      </c>
      <c r="CU16" s="71"/>
      <c r="CV16" s="57"/>
      <c r="CW16" s="57"/>
      <c r="CX16" s="58"/>
      <c r="DB16" s="72" t="s">
        <v>226</v>
      </c>
      <c r="DC16" s="72"/>
      <c r="DD16" s="72"/>
      <c r="DE16" s="72"/>
      <c r="DJ16" s="71" t="s">
        <v>225</v>
      </c>
      <c r="DK16" s="71"/>
      <c r="DL16" s="57"/>
      <c r="DM16" s="57"/>
      <c r="DN16" s="58"/>
      <c r="DR16" s="72" t="s">
        <v>226</v>
      </c>
      <c r="DS16" s="72"/>
      <c r="DT16" s="72"/>
      <c r="DU16" s="72"/>
      <c r="DZ16" s="71" t="s">
        <v>225</v>
      </c>
      <c r="EA16" s="71"/>
      <c r="EB16" s="57"/>
      <c r="EC16" s="57"/>
      <c r="ED16" s="58"/>
      <c r="EH16" s="72" t="s">
        <v>226</v>
      </c>
      <c r="EI16" s="72"/>
      <c r="EJ16" s="72"/>
      <c r="EK16" s="72"/>
      <c r="EP16" s="71" t="s">
        <v>225</v>
      </c>
      <c r="EQ16" s="71"/>
      <c r="ER16" s="57"/>
      <c r="ES16" s="57"/>
      <c r="ET16" s="58"/>
      <c r="EX16" s="72" t="s">
        <v>226</v>
      </c>
      <c r="EY16" s="72"/>
      <c r="EZ16" s="72"/>
      <c r="FA16" s="72"/>
    </row>
    <row r="17" spans="2:157" x14ac:dyDescent="0.45">
      <c r="B17" s="71" t="s">
        <v>227</v>
      </c>
      <c r="C17" s="71"/>
      <c r="D17" s="57"/>
      <c r="E17" s="57"/>
      <c r="F17" s="58"/>
      <c r="J17" s="71" t="s">
        <v>215</v>
      </c>
      <c r="K17" s="71"/>
      <c r="L17" s="65" t="s">
        <v>216</v>
      </c>
      <c r="M17" s="48" t="s">
        <v>217</v>
      </c>
      <c r="R17" s="71" t="s">
        <v>227</v>
      </c>
      <c r="S17" s="71"/>
      <c r="T17" s="57"/>
      <c r="U17" s="57"/>
      <c r="V17" s="58"/>
      <c r="Z17" s="71" t="s">
        <v>215</v>
      </c>
      <c r="AA17" s="71"/>
      <c r="AB17" s="65" t="s">
        <v>216</v>
      </c>
      <c r="AC17" s="48" t="s">
        <v>217</v>
      </c>
      <c r="AH17" s="71" t="s">
        <v>227</v>
      </c>
      <c r="AI17" s="71"/>
      <c r="AJ17" s="57"/>
      <c r="AK17" s="57"/>
      <c r="AL17" s="58"/>
      <c r="AP17" s="71" t="s">
        <v>215</v>
      </c>
      <c r="AQ17" s="71"/>
      <c r="AR17" s="65" t="s">
        <v>216</v>
      </c>
      <c r="AS17" s="48" t="s">
        <v>217</v>
      </c>
      <c r="AX17" s="71" t="s">
        <v>227</v>
      </c>
      <c r="AY17" s="71"/>
      <c r="AZ17" s="57"/>
      <c r="BA17" s="57"/>
      <c r="BB17" s="58"/>
      <c r="BF17" s="71" t="s">
        <v>215</v>
      </c>
      <c r="BG17" s="71"/>
      <c r="BH17" s="65" t="s">
        <v>216</v>
      </c>
      <c r="BI17" s="48" t="s">
        <v>217</v>
      </c>
      <c r="BN17" s="71" t="s">
        <v>227</v>
      </c>
      <c r="BO17" s="71"/>
      <c r="BP17" s="57"/>
      <c r="BQ17" s="57"/>
      <c r="BR17" s="58"/>
      <c r="BV17" s="71" t="s">
        <v>215</v>
      </c>
      <c r="BW17" s="71"/>
      <c r="BX17" s="65" t="s">
        <v>216</v>
      </c>
      <c r="BY17" s="48" t="s">
        <v>217</v>
      </c>
      <c r="CD17" s="71" t="s">
        <v>227</v>
      </c>
      <c r="CE17" s="71"/>
      <c r="CF17" s="57"/>
      <c r="CG17" s="57"/>
      <c r="CH17" s="58"/>
      <c r="CL17" s="71" t="s">
        <v>215</v>
      </c>
      <c r="CM17" s="71"/>
      <c r="CN17" s="65" t="s">
        <v>216</v>
      </c>
      <c r="CO17" s="48" t="s">
        <v>217</v>
      </c>
      <c r="CT17" s="71" t="s">
        <v>227</v>
      </c>
      <c r="CU17" s="71"/>
      <c r="CV17" s="57"/>
      <c r="CW17" s="57"/>
      <c r="CX17" s="58"/>
      <c r="DB17" s="71" t="s">
        <v>215</v>
      </c>
      <c r="DC17" s="71"/>
      <c r="DD17" s="65" t="s">
        <v>216</v>
      </c>
      <c r="DE17" s="48" t="s">
        <v>217</v>
      </c>
      <c r="DJ17" s="71" t="s">
        <v>227</v>
      </c>
      <c r="DK17" s="71"/>
      <c r="DL17" s="57"/>
      <c r="DM17" s="57"/>
      <c r="DN17" s="58"/>
      <c r="DR17" s="71" t="s">
        <v>215</v>
      </c>
      <c r="DS17" s="71"/>
      <c r="DT17" s="65" t="s">
        <v>216</v>
      </c>
      <c r="DU17" s="48" t="s">
        <v>217</v>
      </c>
      <c r="DZ17" s="71" t="s">
        <v>227</v>
      </c>
      <c r="EA17" s="71"/>
      <c r="EB17" s="57"/>
      <c r="EC17" s="57"/>
      <c r="ED17" s="58"/>
      <c r="EH17" s="71" t="s">
        <v>215</v>
      </c>
      <c r="EI17" s="71"/>
      <c r="EJ17" s="65" t="s">
        <v>216</v>
      </c>
      <c r="EK17" s="48" t="s">
        <v>217</v>
      </c>
      <c r="EP17" s="71" t="s">
        <v>227</v>
      </c>
      <c r="EQ17" s="71"/>
      <c r="ER17" s="57"/>
      <c r="ES17" s="57"/>
      <c r="ET17" s="58"/>
      <c r="EX17" s="71" t="s">
        <v>215</v>
      </c>
      <c r="EY17" s="71"/>
      <c r="EZ17" s="65" t="s">
        <v>216</v>
      </c>
      <c r="FA17" s="48" t="s">
        <v>217</v>
      </c>
    </row>
    <row r="18" spans="2:157" x14ac:dyDescent="0.45">
      <c r="B18" s="71" t="s">
        <v>228</v>
      </c>
      <c r="C18" s="71"/>
      <c r="D18" s="57"/>
      <c r="E18" s="57"/>
      <c r="F18" s="58"/>
      <c r="I18" s="15">
        <v>1</v>
      </c>
      <c r="J18" s="92"/>
      <c r="K18" s="92"/>
      <c r="L18" s="59"/>
      <c r="M18" s="59"/>
      <c r="R18" s="71" t="s">
        <v>228</v>
      </c>
      <c r="S18" s="71"/>
      <c r="T18" s="57"/>
      <c r="U18" s="57"/>
      <c r="V18" s="58"/>
      <c r="Y18" s="15">
        <v>1</v>
      </c>
      <c r="Z18" s="92"/>
      <c r="AA18" s="92"/>
      <c r="AB18" s="59"/>
      <c r="AC18" s="59"/>
      <c r="AH18" s="71" t="s">
        <v>228</v>
      </c>
      <c r="AI18" s="71"/>
      <c r="AJ18" s="57"/>
      <c r="AK18" s="57"/>
      <c r="AL18" s="58"/>
      <c r="AO18" s="15">
        <v>1</v>
      </c>
      <c r="AP18" s="92"/>
      <c r="AQ18" s="92"/>
      <c r="AR18" s="59"/>
      <c r="AS18" s="59"/>
      <c r="AX18" s="71" t="s">
        <v>228</v>
      </c>
      <c r="AY18" s="71"/>
      <c r="AZ18" s="57"/>
      <c r="BA18" s="57"/>
      <c r="BB18" s="58"/>
      <c r="BE18" s="15">
        <v>1</v>
      </c>
      <c r="BF18" s="92"/>
      <c r="BG18" s="92"/>
      <c r="BH18" s="59"/>
      <c r="BI18" s="59"/>
      <c r="BN18" s="71" t="s">
        <v>228</v>
      </c>
      <c r="BO18" s="71"/>
      <c r="BP18" s="57"/>
      <c r="BQ18" s="57"/>
      <c r="BR18" s="58"/>
      <c r="BU18" s="15">
        <v>1</v>
      </c>
      <c r="BV18" s="92"/>
      <c r="BW18" s="92"/>
      <c r="BX18" s="59"/>
      <c r="BY18" s="59"/>
      <c r="CD18" s="71" t="s">
        <v>228</v>
      </c>
      <c r="CE18" s="71"/>
      <c r="CF18" s="57"/>
      <c r="CG18" s="57"/>
      <c r="CH18" s="58"/>
      <c r="CK18" s="15">
        <v>1</v>
      </c>
      <c r="CL18" s="92"/>
      <c r="CM18" s="92"/>
      <c r="CN18" s="59"/>
      <c r="CO18" s="59"/>
      <c r="CT18" s="71" t="s">
        <v>228</v>
      </c>
      <c r="CU18" s="71"/>
      <c r="CV18" s="57"/>
      <c r="CW18" s="57"/>
      <c r="CX18" s="58"/>
      <c r="DA18" s="15">
        <v>1</v>
      </c>
      <c r="DB18" s="92"/>
      <c r="DC18" s="92"/>
      <c r="DD18" s="59"/>
      <c r="DE18" s="59"/>
      <c r="DJ18" s="71" t="s">
        <v>228</v>
      </c>
      <c r="DK18" s="71"/>
      <c r="DL18" s="57"/>
      <c r="DM18" s="57"/>
      <c r="DN18" s="58"/>
      <c r="DQ18" s="15">
        <v>1</v>
      </c>
      <c r="DR18" s="92"/>
      <c r="DS18" s="92"/>
      <c r="DT18" s="59"/>
      <c r="DU18" s="59"/>
      <c r="DZ18" s="71" t="s">
        <v>228</v>
      </c>
      <c r="EA18" s="71"/>
      <c r="EB18" s="57"/>
      <c r="EC18" s="57"/>
      <c r="ED18" s="58"/>
      <c r="EG18" s="15">
        <v>1</v>
      </c>
      <c r="EH18" s="92"/>
      <c r="EI18" s="92"/>
      <c r="EJ18" s="59"/>
      <c r="EK18" s="59"/>
      <c r="EP18" s="71" t="s">
        <v>228</v>
      </c>
      <c r="EQ18" s="71"/>
      <c r="ER18" s="57"/>
      <c r="ES18" s="57"/>
      <c r="ET18" s="58"/>
      <c r="EW18" s="15">
        <v>1</v>
      </c>
      <c r="EX18" s="92"/>
      <c r="EY18" s="92"/>
      <c r="EZ18" s="59"/>
      <c r="FA18" s="59"/>
    </row>
    <row r="19" spans="2:157" x14ac:dyDescent="0.45">
      <c r="B19" s="71" t="s">
        <v>229</v>
      </c>
      <c r="C19" s="71"/>
      <c r="D19" s="57"/>
      <c r="E19" s="57"/>
      <c r="F19" s="58"/>
      <c r="I19" s="15">
        <v>2</v>
      </c>
      <c r="J19" s="92"/>
      <c r="K19" s="92"/>
      <c r="L19" s="59"/>
      <c r="M19" s="59"/>
      <c r="R19" s="71" t="s">
        <v>229</v>
      </c>
      <c r="S19" s="71"/>
      <c r="T19" s="57"/>
      <c r="U19" s="57"/>
      <c r="V19" s="58"/>
      <c r="Y19" s="15">
        <v>2</v>
      </c>
      <c r="Z19" s="92"/>
      <c r="AA19" s="92"/>
      <c r="AB19" s="59"/>
      <c r="AC19" s="59"/>
      <c r="AH19" s="71" t="s">
        <v>229</v>
      </c>
      <c r="AI19" s="71"/>
      <c r="AJ19" s="57"/>
      <c r="AK19" s="57"/>
      <c r="AL19" s="58"/>
      <c r="AO19" s="15">
        <v>2</v>
      </c>
      <c r="AP19" s="92"/>
      <c r="AQ19" s="92"/>
      <c r="AR19" s="59"/>
      <c r="AS19" s="59"/>
      <c r="AX19" s="71" t="s">
        <v>229</v>
      </c>
      <c r="AY19" s="71"/>
      <c r="AZ19" s="57"/>
      <c r="BA19" s="57"/>
      <c r="BB19" s="58"/>
      <c r="BE19" s="15">
        <v>2</v>
      </c>
      <c r="BF19" s="92"/>
      <c r="BG19" s="92"/>
      <c r="BH19" s="59"/>
      <c r="BI19" s="59"/>
      <c r="BN19" s="71" t="s">
        <v>229</v>
      </c>
      <c r="BO19" s="71"/>
      <c r="BP19" s="57"/>
      <c r="BQ19" s="57"/>
      <c r="BR19" s="58"/>
      <c r="BU19" s="15">
        <v>2</v>
      </c>
      <c r="BV19" s="92"/>
      <c r="BW19" s="92"/>
      <c r="BX19" s="59"/>
      <c r="BY19" s="59"/>
      <c r="CD19" s="71" t="s">
        <v>229</v>
      </c>
      <c r="CE19" s="71"/>
      <c r="CF19" s="57"/>
      <c r="CG19" s="57"/>
      <c r="CH19" s="58"/>
      <c r="CK19" s="15">
        <v>2</v>
      </c>
      <c r="CL19" s="92"/>
      <c r="CM19" s="92"/>
      <c r="CN19" s="59"/>
      <c r="CO19" s="59"/>
      <c r="CT19" s="71" t="s">
        <v>229</v>
      </c>
      <c r="CU19" s="71"/>
      <c r="CV19" s="57"/>
      <c r="CW19" s="57"/>
      <c r="CX19" s="58"/>
      <c r="DA19" s="15">
        <v>2</v>
      </c>
      <c r="DB19" s="92"/>
      <c r="DC19" s="92"/>
      <c r="DD19" s="59"/>
      <c r="DE19" s="59"/>
      <c r="DJ19" s="71" t="s">
        <v>229</v>
      </c>
      <c r="DK19" s="71"/>
      <c r="DL19" s="57"/>
      <c r="DM19" s="57"/>
      <c r="DN19" s="58"/>
      <c r="DQ19" s="15">
        <v>2</v>
      </c>
      <c r="DR19" s="92"/>
      <c r="DS19" s="92"/>
      <c r="DT19" s="59"/>
      <c r="DU19" s="59"/>
      <c r="DZ19" s="71" t="s">
        <v>229</v>
      </c>
      <c r="EA19" s="71"/>
      <c r="EB19" s="57"/>
      <c r="EC19" s="57"/>
      <c r="ED19" s="58"/>
      <c r="EG19" s="15">
        <v>2</v>
      </c>
      <c r="EH19" s="92"/>
      <c r="EI19" s="92"/>
      <c r="EJ19" s="59"/>
      <c r="EK19" s="59"/>
      <c r="EP19" s="71" t="s">
        <v>229</v>
      </c>
      <c r="EQ19" s="71"/>
      <c r="ER19" s="57"/>
      <c r="ES19" s="57"/>
      <c r="ET19" s="58"/>
      <c r="EW19" s="15">
        <v>2</v>
      </c>
      <c r="EX19" s="92"/>
      <c r="EY19" s="92"/>
      <c r="EZ19" s="59"/>
      <c r="FA19" s="59"/>
    </row>
    <row r="20" spans="2:157" x14ac:dyDescent="0.45">
      <c r="B20" s="71" t="s">
        <v>230</v>
      </c>
      <c r="C20" s="71"/>
      <c r="D20" s="57"/>
      <c r="E20" s="57"/>
      <c r="F20" s="58"/>
      <c r="I20" s="15">
        <v>3</v>
      </c>
      <c r="J20" s="92"/>
      <c r="K20" s="92"/>
      <c r="L20" s="59"/>
      <c r="M20" s="59"/>
      <c r="R20" s="71" t="s">
        <v>230</v>
      </c>
      <c r="S20" s="71"/>
      <c r="T20" s="57"/>
      <c r="U20" s="57"/>
      <c r="V20" s="58"/>
      <c r="Y20" s="15">
        <v>3</v>
      </c>
      <c r="Z20" s="92"/>
      <c r="AA20" s="92"/>
      <c r="AB20" s="59"/>
      <c r="AC20" s="59"/>
      <c r="AH20" s="71" t="s">
        <v>230</v>
      </c>
      <c r="AI20" s="71"/>
      <c r="AJ20" s="57"/>
      <c r="AK20" s="57"/>
      <c r="AL20" s="58"/>
      <c r="AO20" s="15">
        <v>3</v>
      </c>
      <c r="AP20" s="92"/>
      <c r="AQ20" s="92"/>
      <c r="AR20" s="59"/>
      <c r="AS20" s="59"/>
      <c r="AX20" s="71" t="s">
        <v>230</v>
      </c>
      <c r="AY20" s="71"/>
      <c r="AZ20" s="57"/>
      <c r="BA20" s="57"/>
      <c r="BB20" s="58"/>
      <c r="BE20" s="15">
        <v>3</v>
      </c>
      <c r="BF20" s="92"/>
      <c r="BG20" s="92"/>
      <c r="BH20" s="59"/>
      <c r="BI20" s="59"/>
      <c r="BN20" s="71" t="s">
        <v>230</v>
      </c>
      <c r="BO20" s="71"/>
      <c r="BP20" s="57"/>
      <c r="BQ20" s="57"/>
      <c r="BR20" s="58"/>
      <c r="BU20" s="15">
        <v>3</v>
      </c>
      <c r="BV20" s="92"/>
      <c r="BW20" s="92"/>
      <c r="BX20" s="59"/>
      <c r="BY20" s="59"/>
      <c r="CD20" s="71" t="s">
        <v>230</v>
      </c>
      <c r="CE20" s="71"/>
      <c r="CF20" s="57"/>
      <c r="CG20" s="57"/>
      <c r="CH20" s="58"/>
      <c r="CK20" s="15">
        <v>3</v>
      </c>
      <c r="CL20" s="92"/>
      <c r="CM20" s="92"/>
      <c r="CN20" s="59"/>
      <c r="CO20" s="59"/>
      <c r="CT20" s="71" t="s">
        <v>230</v>
      </c>
      <c r="CU20" s="71"/>
      <c r="CV20" s="57"/>
      <c r="CW20" s="57"/>
      <c r="CX20" s="58"/>
      <c r="DA20" s="15">
        <v>3</v>
      </c>
      <c r="DB20" s="92"/>
      <c r="DC20" s="92"/>
      <c r="DD20" s="59"/>
      <c r="DE20" s="59"/>
      <c r="DJ20" s="71" t="s">
        <v>230</v>
      </c>
      <c r="DK20" s="71"/>
      <c r="DL20" s="57"/>
      <c r="DM20" s="57"/>
      <c r="DN20" s="58"/>
      <c r="DQ20" s="15">
        <v>3</v>
      </c>
      <c r="DR20" s="92"/>
      <c r="DS20" s="92"/>
      <c r="DT20" s="59"/>
      <c r="DU20" s="59"/>
      <c r="DZ20" s="71" t="s">
        <v>230</v>
      </c>
      <c r="EA20" s="71"/>
      <c r="EB20" s="57"/>
      <c r="EC20" s="57"/>
      <c r="ED20" s="58"/>
      <c r="EG20" s="15">
        <v>3</v>
      </c>
      <c r="EH20" s="92"/>
      <c r="EI20" s="92"/>
      <c r="EJ20" s="59"/>
      <c r="EK20" s="59"/>
      <c r="EP20" s="71" t="s">
        <v>230</v>
      </c>
      <c r="EQ20" s="71"/>
      <c r="ER20" s="57"/>
      <c r="ES20" s="57"/>
      <c r="ET20" s="58"/>
      <c r="EW20" s="15">
        <v>3</v>
      </c>
      <c r="EX20" s="92"/>
      <c r="EY20" s="92"/>
      <c r="EZ20" s="59"/>
      <c r="FA20" s="59"/>
    </row>
    <row r="21" spans="2:157" x14ac:dyDescent="0.45">
      <c r="B21" s="71" t="s">
        <v>231</v>
      </c>
      <c r="C21" s="71"/>
      <c r="D21" s="57"/>
      <c r="E21" s="57"/>
      <c r="F21" s="58"/>
      <c r="I21" s="15">
        <v>4</v>
      </c>
      <c r="J21" s="92"/>
      <c r="K21" s="92"/>
      <c r="L21" s="59"/>
      <c r="M21" s="59"/>
      <c r="R21" s="71" t="s">
        <v>231</v>
      </c>
      <c r="S21" s="71"/>
      <c r="T21" s="57"/>
      <c r="U21" s="57"/>
      <c r="V21" s="58"/>
      <c r="Y21" s="15">
        <v>4</v>
      </c>
      <c r="Z21" s="92"/>
      <c r="AA21" s="92"/>
      <c r="AB21" s="59"/>
      <c r="AC21" s="59"/>
      <c r="AH21" s="71" t="s">
        <v>231</v>
      </c>
      <c r="AI21" s="71"/>
      <c r="AJ21" s="57"/>
      <c r="AK21" s="57"/>
      <c r="AL21" s="58"/>
      <c r="AO21" s="15">
        <v>4</v>
      </c>
      <c r="AP21" s="92"/>
      <c r="AQ21" s="92"/>
      <c r="AR21" s="59"/>
      <c r="AS21" s="59"/>
      <c r="AX21" s="71" t="s">
        <v>231</v>
      </c>
      <c r="AY21" s="71"/>
      <c r="AZ21" s="57"/>
      <c r="BA21" s="57"/>
      <c r="BB21" s="58"/>
      <c r="BE21" s="15">
        <v>4</v>
      </c>
      <c r="BF21" s="92"/>
      <c r="BG21" s="92"/>
      <c r="BH21" s="59"/>
      <c r="BI21" s="59"/>
      <c r="BN21" s="71" t="s">
        <v>231</v>
      </c>
      <c r="BO21" s="71"/>
      <c r="BP21" s="57"/>
      <c r="BQ21" s="57"/>
      <c r="BR21" s="58"/>
      <c r="BU21" s="15">
        <v>4</v>
      </c>
      <c r="BV21" s="92"/>
      <c r="BW21" s="92"/>
      <c r="BX21" s="59"/>
      <c r="BY21" s="59"/>
      <c r="CD21" s="71" t="s">
        <v>231</v>
      </c>
      <c r="CE21" s="71"/>
      <c r="CF21" s="57"/>
      <c r="CG21" s="57"/>
      <c r="CH21" s="58"/>
      <c r="CK21" s="15">
        <v>4</v>
      </c>
      <c r="CL21" s="92"/>
      <c r="CM21" s="92"/>
      <c r="CN21" s="59"/>
      <c r="CO21" s="59"/>
      <c r="CT21" s="71" t="s">
        <v>231</v>
      </c>
      <c r="CU21" s="71"/>
      <c r="CV21" s="57"/>
      <c r="CW21" s="57"/>
      <c r="CX21" s="58"/>
      <c r="DA21" s="15">
        <v>4</v>
      </c>
      <c r="DB21" s="92"/>
      <c r="DC21" s="92"/>
      <c r="DD21" s="59"/>
      <c r="DE21" s="59"/>
      <c r="DJ21" s="71" t="s">
        <v>231</v>
      </c>
      <c r="DK21" s="71"/>
      <c r="DL21" s="57"/>
      <c r="DM21" s="57"/>
      <c r="DN21" s="58"/>
      <c r="DQ21" s="15">
        <v>4</v>
      </c>
      <c r="DR21" s="92"/>
      <c r="DS21" s="92"/>
      <c r="DT21" s="59"/>
      <c r="DU21" s="59"/>
      <c r="DZ21" s="71" t="s">
        <v>231</v>
      </c>
      <c r="EA21" s="71"/>
      <c r="EB21" s="57"/>
      <c r="EC21" s="57"/>
      <c r="ED21" s="58"/>
      <c r="EG21" s="15">
        <v>4</v>
      </c>
      <c r="EH21" s="92"/>
      <c r="EI21" s="92"/>
      <c r="EJ21" s="59"/>
      <c r="EK21" s="59"/>
      <c r="EP21" s="71" t="s">
        <v>231</v>
      </c>
      <c r="EQ21" s="71"/>
      <c r="ER21" s="57"/>
      <c r="ES21" s="57"/>
      <c r="ET21" s="58"/>
      <c r="EW21" s="15">
        <v>4</v>
      </c>
      <c r="EX21" s="92"/>
      <c r="EY21" s="92"/>
      <c r="EZ21" s="59"/>
      <c r="FA21" s="59"/>
    </row>
    <row r="22" spans="2:157" x14ac:dyDescent="0.45">
      <c r="B22" s="71" t="s">
        <v>232</v>
      </c>
      <c r="C22" s="71"/>
      <c r="D22" s="57"/>
      <c r="E22" s="57"/>
      <c r="F22" s="58"/>
      <c r="I22" s="15">
        <v>5</v>
      </c>
      <c r="J22" s="92"/>
      <c r="K22" s="92"/>
      <c r="L22" s="59"/>
      <c r="M22" s="59"/>
      <c r="R22" s="71" t="s">
        <v>232</v>
      </c>
      <c r="S22" s="71"/>
      <c r="T22" s="57"/>
      <c r="U22" s="57"/>
      <c r="V22" s="58"/>
      <c r="Y22" s="15">
        <v>5</v>
      </c>
      <c r="Z22" s="92"/>
      <c r="AA22" s="92"/>
      <c r="AB22" s="59"/>
      <c r="AC22" s="59"/>
      <c r="AH22" s="71" t="s">
        <v>232</v>
      </c>
      <c r="AI22" s="71"/>
      <c r="AJ22" s="57"/>
      <c r="AK22" s="57"/>
      <c r="AL22" s="58"/>
      <c r="AO22" s="15">
        <v>5</v>
      </c>
      <c r="AP22" s="92"/>
      <c r="AQ22" s="92"/>
      <c r="AR22" s="59"/>
      <c r="AS22" s="59"/>
      <c r="AX22" s="71" t="s">
        <v>232</v>
      </c>
      <c r="AY22" s="71"/>
      <c r="AZ22" s="57"/>
      <c r="BA22" s="57"/>
      <c r="BB22" s="58"/>
      <c r="BE22" s="15">
        <v>5</v>
      </c>
      <c r="BF22" s="92"/>
      <c r="BG22" s="92"/>
      <c r="BH22" s="59"/>
      <c r="BI22" s="59"/>
      <c r="BN22" s="71" t="s">
        <v>232</v>
      </c>
      <c r="BO22" s="71"/>
      <c r="BP22" s="57"/>
      <c r="BQ22" s="57"/>
      <c r="BR22" s="58"/>
      <c r="BU22" s="15">
        <v>5</v>
      </c>
      <c r="BV22" s="92"/>
      <c r="BW22" s="92"/>
      <c r="BX22" s="59"/>
      <c r="BY22" s="59"/>
      <c r="CD22" s="71" t="s">
        <v>232</v>
      </c>
      <c r="CE22" s="71"/>
      <c r="CF22" s="57"/>
      <c r="CG22" s="57"/>
      <c r="CH22" s="58"/>
      <c r="CK22" s="15">
        <v>5</v>
      </c>
      <c r="CL22" s="92"/>
      <c r="CM22" s="92"/>
      <c r="CN22" s="59"/>
      <c r="CO22" s="59"/>
      <c r="CT22" s="71" t="s">
        <v>232</v>
      </c>
      <c r="CU22" s="71"/>
      <c r="CV22" s="57"/>
      <c r="CW22" s="57"/>
      <c r="CX22" s="58"/>
      <c r="DA22" s="15">
        <v>5</v>
      </c>
      <c r="DB22" s="92"/>
      <c r="DC22" s="92"/>
      <c r="DD22" s="59"/>
      <c r="DE22" s="59"/>
      <c r="DJ22" s="71" t="s">
        <v>232</v>
      </c>
      <c r="DK22" s="71"/>
      <c r="DL22" s="57"/>
      <c r="DM22" s="57"/>
      <c r="DN22" s="58"/>
      <c r="DQ22" s="15">
        <v>5</v>
      </c>
      <c r="DR22" s="92"/>
      <c r="DS22" s="92"/>
      <c r="DT22" s="59"/>
      <c r="DU22" s="59"/>
      <c r="DZ22" s="71" t="s">
        <v>232</v>
      </c>
      <c r="EA22" s="71"/>
      <c r="EB22" s="57"/>
      <c r="EC22" s="57"/>
      <c r="ED22" s="58"/>
      <c r="EG22" s="15">
        <v>5</v>
      </c>
      <c r="EH22" s="92"/>
      <c r="EI22" s="92"/>
      <c r="EJ22" s="59"/>
      <c r="EK22" s="59"/>
      <c r="EP22" s="71" t="s">
        <v>232</v>
      </c>
      <c r="EQ22" s="71"/>
      <c r="ER22" s="57"/>
      <c r="ES22" s="57"/>
      <c r="ET22" s="58"/>
      <c r="EW22" s="15">
        <v>5</v>
      </c>
      <c r="EX22" s="92"/>
      <c r="EY22" s="92"/>
      <c r="EZ22" s="59"/>
      <c r="FA22" s="59"/>
    </row>
    <row r="23" spans="2:157" x14ac:dyDescent="0.45">
      <c r="B23" s="71" t="s">
        <v>233</v>
      </c>
      <c r="C23" s="71"/>
      <c r="D23" s="57"/>
      <c r="E23" s="57"/>
      <c r="F23" s="58"/>
      <c r="I23" s="25"/>
      <c r="M23" s="54"/>
      <c r="R23" s="71" t="s">
        <v>233</v>
      </c>
      <c r="S23" s="71"/>
      <c r="T23" s="57"/>
      <c r="U23" s="57"/>
      <c r="V23" s="58"/>
      <c r="Y23" s="25"/>
      <c r="AC23" s="54"/>
      <c r="AH23" s="71" t="s">
        <v>233</v>
      </c>
      <c r="AI23" s="71"/>
      <c r="AJ23" s="57"/>
      <c r="AK23" s="57"/>
      <c r="AL23" s="58"/>
      <c r="AO23" s="25"/>
      <c r="AS23" s="54"/>
      <c r="AX23" s="71" t="s">
        <v>233</v>
      </c>
      <c r="AY23" s="71"/>
      <c r="AZ23" s="57"/>
      <c r="BA23" s="57"/>
      <c r="BB23" s="58"/>
      <c r="BE23" s="25"/>
      <c r="BI23" s="54"/>
      <c r="BN23" s="71" t="s">
        <v>233</v>
      </c>
      <c r="BO23" s="71"/>
      <c r="BP23" s="57"/>
      <c r="BQ23" s="57"/>
      <c r="BR23" s="58"/>
      <c r="BU23" s="25"/>
      <c r="BY23" s="54"/>
      <c r="CD23" s="71" t="s">
        <v>233</v>
      </c>
      <c r="CE23" s="71"/>
      <c r="CF23" s="57"/>
      <c r="CG23" s="57"/>
      <c r="CH23" s="58"/>
      <c r="CK23" s="25"/>
      <c r="CO23" s="54"/>
      <c r="CT23" s="71" t="s">
        <v>233</v>
      </c>
      <c r="CU23" s="71"/>
      <c r="CV23" s="57"/>
      <c r="CW23" s="57"/>
      <c r="CX23" s="58"/>
      <c r="DA23" s="25"/>
      <c r="DE23" s="54"/>
      <c r="DJ23" s="71" t="s">
        <v>233</v>
      </c>
      <c r="DK23" s="71"/>
      <c r="DL23" s="57"/>
      <c r="DM23" s="57"/>
      <c r="DN23" s="58"/>
      <c r="DQ23" s="25"/>
      <c r="DU23" s="54"/>
      <c r="DZ23" s="71" t="s">
        <v>233</v>
      </c>
      <c r="EA23" s="71"/>
      <c r="EB23" s="57"/>
      <c r="EC23" s="57"/>
      <c r="ED23" s="58"/>
      <c r="EG23" s="25"/>
      <c r="EK23" s="54"/>
      <c r="EP23" s="71" t="s">
        <v>233</v>
      </c>
      <c r="EQ23" s="71"/>
      <c r="ER23" s="57"/>
      <c r="ES23" s="57"/>
      <c r="ET23" s="58"/>
      <c r="EW23" s="25"/>
      <c r="FA23" s="54"/>
    </row>
    <row r="24" spans="2:157" x14ac:dyDescent="0.45">
      <c r="B24" s="71" t="s">
        <v>234</v>
      </c>
      <c r="C24" s="71"/>
      <c r="D24" s="57"/>
      <c r="E24" s="57"/>
      <c r="F24" s="58"/>
      <c r="J24" s="72" t="s">
        <v>235</v>
      </c>
      <c r="K24" s="72"/>
      <c r="L24" s="72"/>
      <c r="M24" s="72"/>
      <c r="R24" s="71" t="s">
        <v>234</v>
      </c>
      <c r="S24" s="71"/>
      <c r="T24" s="57"/>
      <c r="U24" s="57"/>
      <c r="V24" s="58"/>
      <c r="Z24" s="72" t="s">
        <v>235</v>
      </c>
      <c r="AA24" s="72"/>
      <c r="AB24" s="72"/>
      <c r="AC24" s="72"/>
      <c r="AH24" s="71" t="s">
        <v>234</v>
      </c>
      <c r="AI24" s="71"/>
      <c r="AJ24" s="57"/>
      <c r="AK24" s="57"/>
      <c r="AL24" s="58"/>
      <c r="AP24" s="72" t="s">
        <v>235</v>
      </c>
      <c r="AQ24" s="72"/>
      <c r="AR24" s="72"/>
      <c r="AS24" s="72"/>
      <c r="AX24" s="71" t="s">
        <v>234</v>
      </c>
      <c r="AY24" s="71"/>
      <c r="AZ24" s="57"/>
      <c r="BA24" s="57"/>
      <c r="BB24" s="58"/>
      <c r="BF24" s="72" t="s">
        <v>235</v>
      </c>
      <c r="BG24" s="72"/>
      <c r="BH24" s="72"/>
      <c r="BI24" s="72"/>
      <c r="BN24" s="71" t="s">
        <v>234</v>
      </c>
      <c r="BO24" s="71"/>
      <c r="BP24" s="57"/>
      <c r="BQ24" s="57"/>
      <c r="BR24" s="58"/>
      <c r="BV24" s="72" t="s">
        <v>235</v>
      </c>
      <c r="BW24" s="72"/>
      <c r="BX24" s="72"/>
      <c r="BY24" s="72"/>
      <c r="CD24" s="71" t="s">
        <v>234</v>
      </c>
      <c r="CE24" s="71"/>
      <c r="CF24" s="57"/>
      <c r="CG24" s="57"/>
      <c r="CH24" s="58"/>
      <c r="CL24" s="72" t="s">
        <v>235</v>
      </c>
      <c r="CM24" s="72"/>
      <c r="CN24" s="72"/>
      <c r="CO24" s="72"/>
      <c r="CT24" s="71" t="s">
        <v>234</v>
      </c>
      <c r="CU24" s="71"/>
      <c r="CV24" s="57"/>
      <c r="CW24" s="57"/>
      <c r="CX24" s="58"/>
      <c r="DB24" s="72" t="s">
        <v>235</v>
      </c>
      <c r="DC24" s="72"/>
      <c r="DD24" s="72"/>
      <c r="DE24" s="72"/>
      <c r="DJ24" s="71" t="s">
        <v>234</v>
      </c>
      <c r="DK24" s="71"/>
      <c r="DL24" s="57"/>
      <c r="DM24" s="57"/>
      <c r="DN24" s="58"/>
      <c r="DR24" s="72" t="s">
        <v>235</v>
      </c>
      <c r="DS24" s="72"/>
      <c r="DT24" s="72"/>
      <c r="DU24" s="72"/>
      <c r="DZ24" s="71" t="s">
        <v>234</v>
      </c>
      <c r="EA24" s="71"/>
      <c r="EB24" s="57"/>
      <c r="EC24" s="57"/>
      <c r="ED24" s="58"/>
      <c r="EH24" s="72" t="s">
        <v>235</v>
      </c>
      <c r="EI24" s="72"/>
      <c r="EJ24" s="72"/>
      <c r="EK24" s="72"/>
      <c r="EP24" s="71" t="s">
        <v>234</v>
      </c>
      <c r="EQ24" s="71"/>
      <c r="ER24" s="57"/>
      <c r="ES24" s="57"/>
      <c r="ET24" s="58"/>
      <c r="EX24" s="72" t="s">
        <v>235</v>
      </c>
      <c r="EY24" s="72"/>
      <c r="EZ24" s="72"/>
      <c r="FA24" s="72"/>
    </row>
    <row r="25" spans="2:157" x14ac:dyDescent="0.45">
      <c r="B25" s="71" t="s">
        <v>236</v>
      </c>
      <c r="C25" s="71"/>
      <c r="D25" s="57"/>
      <c r="E25" s="57"/>
      <c r="F25" s="58"/>
      <c r="J25" s="71" t="s">
        <v>215</v>
      </c>
      <c r="K25" s="71"/>
      <c r="L25" s="65" t="s">
        <v>216</v>
      </c>
      <c r="M25" s="48" t="s">
        <v>217</v>
      </c>
      <c r="R25" s="71" t="s">
        <v>236</v>
      </c>
      <c r="S25" s="71"/>
      <c r="T25" s="57"/>
      <c r="U25" s="57"/>
      <c r="V25" s="58"/>
      <c r="Z25" s="71" t="s">
        <v>215</v>
      </c>
      <c r="AA25" s="71"/>
      <c r="AB25" s="65" t="s">
        <v>216</v>
      </c>
      <c r="AC25" s="48" t="s">
        <v>217</v>
      </c>
      <c r="AH25" s="71" t="s">
        <v>236</v>
      </c>
      <c r="AI25" s="71"/>
      <c r="AJ25" s="57"/>
      <c r="AK25" s="57"/>
      <c r="AL25" s="58"/>
      <c r="AP25" s="71" t="s">
        <v>215</v>
      </c>
      <c r="AQ25" s="71"/>
      <c r="AR25" s="65" t="s">
        <v>216</v>
      </c>
      <c r="AS25" s="48" t="s">
        <v>217</v>
      </c>
      <c r="AX25" s="71" t="s">
        <v>236</v>
      </c>
      <c r="AY25" s="71"/>
      <c r="AZ25" s="57"/>
      <c r="BA25" s="57"/>
      <c r="BB25" s="58"/>
      <c r="BF25" s="71" t="s">
        <v>215</v>
      </c>
      <c r="BG25" s="71"/>
      <c r="BH25" s="65" t="s">
        <v>216</v>
      </c>
      <c r="BI25" s="48" t="s">
        <v>217</v>
      </c>
      <c r="BN25" s="71" t="s">
        <v>236</v>
      </c>
      <c r="BO25" s="71"/>
      <c r="BP25" s="57"/>
      <c r="BQ25" s="57"/>
      <c r="BR25" s="58"/>
      <c r="BV25" s="71" t="s">
        <v>215</v>
      </c>
      <c r="BW25" s="71"/>
      <c r="BX25" s="65" t="s">
        <v>216</v>
      </c>
      <c r="BY25" s="48" t="s">
        <v>217</v>
      </c>
      <c r="CD25" s="71" t="s">
        <v>236</v>
      </c>
      <c r="CE25" s="71"/>
      <c r="CF25" s="57"/>
      <c r="CG25" s="57"/>
      <c r="CH25" s="58"/>
      <c r="CL25" s="71" t="s">
        <v>215</v>
      </c>
      <c r="CM25" s="71"/>
      <c r="CN25" s="65" t="s">
        <v>216</v>
      </c>
      <c r="CO25" s="48" t="s">
        <v>217</v>
      </c>
      <c r="CT25" s="71" t="s">
        <v>236</v>
      </c>
      <c r="CU25" s="71"/>
      <c r="CV25" s="57"/>
      <c r="CW25" s="57"/>
      <c r="CX25" s="58"/>
      <c r="DB25" s="71" t="s">
        <v>215</v>
      </c>
      <c r="DC25" s="71"/>
      <c r="DD25" s="65" t="s">
        <v>216</v>
      </c>
      <c r="DE25" s="48" t="s">
        <v>217</v>
      </c>
      <c r="DJ25" s="71" t="s">
        <v>236</v>
      </c>
      <c r="DK25" s="71"/>
      <c r="DL25" s="57"/>
      <c r="DM25" s="57"/>
      <c r="DN25" s="58"/>
      <c r="DR25" s="71" t="s">
        <v>215</v>
      </c>
      <c r="DS25" s="71"/>
      <c r="DT25" s="65" t="s">
        <v>216</v>
      </c>
      <c r="DU25" s="48" t="s">
        <v>217</v>
      </c>
      <c r="DZ25" s="71" t="s">
        <v>236</v>
      </c>
      <c r="EA25" s="71"/>
      <c r="EB25" s="57"/>
      <c r="EC25" s="57"/>
      <c r="ED25" s="58"/>
      <c r="EH25" s="71" t="s">
        <v>215</v>
      </c>
      <c r="EI25" s="71"/>
      <c r="EJ25" s="65" t="s">
        <v>216</v>
      </c>
      <c r="EK25" s="48" t="s">
        <v>217</v>
      </c>
      <c r="EP25" s="71" t="s">
        <v>236</v>
      </c>
      <c r="EQ25" s="71"/>
      <c r="ER25" s="57"/>
      <c r="ES25" s="57"/>
      <c r="ET25" s="58"/>
      <c r="EX25" s="71" t="s">
        <v>215</v>
      </c>
      <c r="EY25" s="71"/>
      <c r="EZ25" s="65" t="s">
        <v>216</v>
      </c>
      <c r="FA25" s="48" t="s">
        <v>217</v>
      </c>
    </row>
    <row r="26" spans="2:157" x14ac:dyDescent="0.45">
      <c r="D26" s="60"/>
      <c r="E26" s="60"/>
      <c r="F26" s="55"/>
      <c r="I26" s="15">
        <v>1</v>
      </c>
      <c r="J26" s="92"/>
      <c r="K26" s="92"/>
      <c r="L26" s="59"/>
      <c r="M26" s="59"/>
      <c r="T26" s="60"/>
      <c r="U26" s="60"/>
      <c r="V26" s="55"/>
      <c r="Y26" s="15">
        <v>1</v>
      </c>
      <c r="Z26" s="92"/>
      <c r="AA26" s="92"/>
      <c r="AB26" s="59"/>
      <c r="AC26" s="59"/>
      <c r="AJ26" s="60"/>
      <c r="AK26" s="60"/>
      <c r="AL26" s="55"/>
      <c r="AO26" s="15">
        <v>1</v>
      </c>
      <c r="AP26" s="92"/>
      <c r="AQ26" s="92"/>
      <c r="AR26" s="59"/>
      <c r="AS26" s="59"/>
      <c r="AZ26" s="60"/>
      <c r="BA26" s="60"/>
      <c r="BB26" s="55"/>
      <c r="BE26" s="15">
        <v>1</v>
      </c>
      <c r="BF26" s="92"/>
      <c r="BG26" s="92"/>
      <c r="BH26" s="59"/>
      <c r="BI26" s="59"/>
      <c r="BP26" s="60"/>
      <c r="BQ26" s="60"/>
      <c r="BR26" s="55"/>
      <c r="BU26" s="15">
        <v>1</v>
      </c>
      <c r="BV26" s="92"/>
      <c r="BW26" s="92"/>
      <c r="BX26" s="59"/>
      <c r="BY26" s="59"/>
      <c r="CF26" s="60"/>
      <c r="CG26" s="60"/>
      <c r="CH26" s="55"/>
      <c r="CK26" s="15">
        <v>1</v>
      </c>
      <c r="CL26" s="92"/>
      <c r="CM26" s="92"/>
      <c r="CN26" s="59"/>
      <c r="CO26" s="59"/>
      <c r="CV26" s="60"/>
      <c r="CW26" s="60"/>
      <c r="CX26" s="55"/>
      <c r="DA26" s="15">
        <v>1</v>
      </c>
      <c r="DB26" s="92"/>
      <c r="DC26" s="92"/>
      <c r="DD26" s="59"/>
      <c r="DE26" s="59"/>
      <c r="DL26" s="60"/>
      <c r="DM26" s="60"/>
      <c r="DN26" s="55"/>
      <c r="DQ26" s="15">
        <v>1</v>
      </c>
      <c r="DR26" s="92"/>
      <c r="DS26" s="92"/>
      <c r="DT26" s="59"/>
      <c r="DU26" s="59"/>
      <c r="EB26" s="60"/>
      <c r="EC26" s="60"/>
      <c r="ED26" s="55"/>
      <c r="EG26" s="15">
        <v>1</v>
      </c>
      <c r="EH26" s="92"/>
      <c r="EI26" s="92"/>
      <c r="EJ26" s="59"/>
      <c r="EK26" s="59"/>
      <c r="ER26" s="60"/>
      <c r="ES26" s="60"/>
      <c r="ET26" s="55"/>
      <c r="EW26" s="15">
        <v>1</v>
      </c>
      <c r="EX26" s="92"/>
      <c r="EY26" s="92"/>
      <c r="EZ26" s="59"/>
      <c r="FA26" s="59"/>
    </row>
    <row r="27" spans="2:157" x14ac:dyDescent="0.45">
      <c r="B27" s="3" t="s">
        <v>237</v>
      </c>
      <c r="C27" s="86"/>
      <c r="D27" s="86"/>
      <c r="E27" s="86"/>
      <c r="F27" s="86"/>
      <c r="I27" s="15">
        <v>2</v>
      </c>
      <c r="J27" s="92"/>
      <c r="K27" s="92"/>
      <c r="L27" s="59"/>
      <c r="M27" s="59"/>
      <c r="R27" s="3" t="s">
        <v>237</v>
      </c>
      <c r="S27" s="86"/>
      <c r="T27" s="86"/>
      <c r="U27" s="86"/>
      <c r="V27" s="86"/>
      <c r="Y27" s="15">
        <v>2</v>
      </c>
      <c r="Z27" s="92"/>
      <c r="AA27" s="92"/>
      <c r="AB27" s="59"/>
      <c r="AC27" s="59"/>
      <c r="AH27" s="3" t="s">
        <v>237</v>
      </c>
      <c r="AI27" s="86"/>
      <c r="AJ27" s="86"/>
      <c r="AK27" s="86"/>
      <c r="AL27" s="86"/>
      <c r="AO27" s="15">
        <v>2</v>
      </c>
      <c r="AP27" s="92"/>
      <c r="AQ27" s="92"/>
      <c r="AR27" s="59"/>
      <c r="AS27" s="59"/>
      <c r="AX27" s="3" t="s">
        <v>237</v>
      </c>
      <c r="AY27" s="86"/>
      <c r="AZ27" s="86"/>
      <c r="BA27" s="86"/>
      <c r="BB27" s="86"/>
      <c r="BE27" s="15">
        <v>2</v>
      </c>
      <c r="BF27" s="92"/>
      <c r="BG27" s="92"/>
      <c r="BH27" s="59"/>
      <c r="BI27" s="59"/>
      <c r="BN27" s="3" t="s">
        <v>237</v>
      </c>
      <c r="BO27" s="86"/>
      <c r="BP27" s="86"/>
      <c r="BQ27" s="86"/>
      <c r="BR27" s="86"/>
      <c r="BU27" s="15">
        <v>2</v>
      </c>
      <c r="BV27" s="92"/>
      <c r="BW27" s="92"/>
      <c r="BX27" s="59"/>
      <c r="BY27" s="59"/>
      <c r="CD27" s="3" t="s">
        <v>237</v>
      </c>
      <c r="CE27" s="86"/>
      <c r="CF27" s="86"/>
      <c r="CG27" s="86"/>
      <c r="CH27" s="86"/>
      <c r="CK27" s="15">
        <v>2</v>
      </c>
      <c r="CL27" s="92"/>
      <c r="CM27" s="92"/>
      <c r="CN27" s="59"/>
      <c r="CO27" s="59"/>
      <c r="CT27" s="3" t="s">
        <v>237</v>
      </c>
      <c r="CU27" s="86"/>
      <c r="CV27" s="86"/>
      <c r="CW27" s="86"/>
      <c r="CX27" s="86"/>
      <c r="DA27" s="15">
        <v>2</v>
      </c>
      <c r="DB27" s="92"/>
      <c r="DC27" s="92"/>
      <c r="DD27" s="59"/>
      <c r="DE27" s="59"/>
      <c r="DJ27" s="3" t="s">
        <v>237</v>
      </c>
      <c r="DK27" s="86"/>
      <c r="DL27" s="86"/>
      <c r="DM27" s="86"/>
      <c r="DN27" s="86"/>
      <c r="DQ27" s="15">
        <v>2</v>
      </c>
      <c r="DR27" s="92"/>
      <c r="DS27" s="92"/>
      <c r="DT27" s="59"/>
      <c r="DU27" s="59"/>
      <c r="DZ27" s="3" t="s">
        <v>237</v>
      </c>
      <c r="EA27" s="86"/>
      <c r="EB27" s="86"/>
      <c r="EC27" s="86"/>
      <c r="ED27" s="86"/>
      <c r="EG27" s="15">
        <v>2</v>
      </c>
      <c r="EH27" s="92"/>
      <c r="EI27" s="92"/>
      <c r="EJ27" s="59"/>
      <c r="EK27" s="59"/>
      <c r="EP27" s="3" t="s">
        <v>237</v>
      </c>
      <c r="EQ27" s="86"/>
      <c r="ER27" s="86"/>
      <c r="ES27" s="86"/>
      <c r="ET27" s="86"/>
      <c r="EW27" s="15">
        <v>2</v>
      </c>
      <c r="EX27" s="92"/>
      <c r="EY27" s="92"/>
      <c r="EZ27" s="59"/>
      <c r="FA27" s="59"/>
    </row>
    <row r="28" spans="2:157" x14ac:dyDescent="0.45">
      <c r="B28" s="88" t="s">
        <v>215</v>
      </c>
      <c r="C28" s="89"/>
      <c r="D28" s="65" t="s">
        <v>216</v>
      </c>
      <c r="E28" s="47" t="s">
        <v>238</v>
      </c>
      <c r="F28" s="66" t="s">
        <v>239</v>
      </c>
      <c r="I28" s="15">
        <v>3</v>
      </c>
      <c r="J28" s="92"/>
      <c r="K28" s="92"/>
      <c r="L28" s="59"/>
      <c r="M28" s="59"/>
      <c r="R28" s="88" t="s">
        <v>215</v>
      </c>
      <c r="S28" s="89"/>
      <c r="T28" s="65" t="s">
        <v>216</v>
      </c>
      <c r="U28" s="47" t="s">
        <v>238</v>
      </c>
      <c r="V28" s="66" t="s">
        <v>239</v>
      </c>
      <c r="Y28" s="15">
        <v>3</v>
      </c>
      <c r="Z28" s="92"/>
      <c r="AA28" s="92"/>
      <c r="AB28" s="59"/>
      <c r="AC28" s="59"/>
      <c r="AH28" s="88" t="s">
        <v>215</v>
      </c>
      <c r="AI28" s="89"/>
      <c r="AJ28" s="65" t="s">
        <v>216</v>
      </c>
      <c r="AK28" s="47" t="s">
        <v>238</v>
      </c>
      <c r="AL28" s="66" t="s">
        <v>239</v>
      </c>
      <c r="AO28" s="15">
        <v>3</v>
      </c>
      <c r="AP28" s="92"/>
      <c r="AQ28" s="92"/>
      <c r="AR28" s="59"/>
      <c r="AS28" s="59"/>
      <c r="AX28" s="88" t="s">
        <v>215</v>
      </c>
      <c r="AY28" s="89"/>
      <c r="AZ28" s="65" t="s">
        <v>216</v>
      </c>
      <c r="BA28" s="47" t="s">
        <v>238</v>
      </c>
      <c r="BB28" s="66" t="s">
        <v>239</v>
      </c>
      <c r="BE28" s="15">
        <v>3</v>
      </c>
      <c r="BF28" s="92"/>
      <c r="BG28" s="92"/>
      <c r="BH28" s="59"/>
      <c r="BI28" s="59"/>
      <c r="BN28" s="88" t="s">
        <v>215</v>
      </c>
      <c r="BO28" s="89"/>
      <c r="BP28" s="65" t="s">
        <v>216</v>
      </c>
      <c r="BQ28" s="47" t="s">
        <v>238</v>
      </c>
      <c r="BR28" s="66" t="s">
        <v>239</v>
      </c>
      <c r="BU28" s="15">
        <v>3</v>
      </c>
      <c r="BV28" s="92"/>
      <c r="BW28" s="92"/>
      <c r="BX28" s="59"/>
      <c r="BY28" s="59"/>
      <c r="CD28" s="88" t="s">
        <v>215</v>
      </c>
      <c r="CE28" s="89"/>
      <c r="CF28" s="65" t="s">
        <v>216</v>
      </c>
      <c r="CG28" s="47" t="s">
        <v>238</v>
      </c>
      <c r="CH28" s="66" t="s">
        <v>239</v>
      </c>
      <c r="CK28" s="15">
        <v>3</v>
      </c>
      <c r="CL28" s="92"/>
      <c r="CM28" s="92"/>
      <c r="CN28" s="59"/>
      <c r="CO28" s="59"/>
      <c r="CT28" s="88" t="s">
        <v>215</v>
      </c>
      <c r="CU28" s="89"/>
      <c r="CV28" s="65" t="s">
        <v>216</v>
      </c>
      <c r="CW28" s="47" t="s">
        <v>238</v>
      </c>
      <c r="CX28" s="66" t="s">
        <v>239</v>
      </c>
      <c r="DA28" s="15">
        <v>3</v>
      </c>
      <c r="DB28" s="92"/>
      <c r="DC28" s="92"/>
      <c r="DD28" s="59"/>
      <c r="DE28" s="59"/>
      <c r="DJ28" s="88" t="s">
        <v>215</v>
      </c>
      <c r="DK28" s="89"/>
      <c r="DL28" s="65" t="s">
        <v>216</v>
      </c>
      <c r="DM28" s="47" t="s">
        <v>238</v>
      </c>
      <c r="DN28" s="66" t="s">
        <v>239</v>
      </c>
      <c r="DQ28" s="15">
        <v>3</v>
      </c>
      <c r="DR28" s="92"/>
      <c r="DS28" s="92"/>
      <c r="DT28" s="59"/>
      <c r="DU28" s="59"/>
      <c r="DZ28" s="88" t="s">
        <v>215</v>
      </c>
      <c r="EA28" s="89"/>
      <c r="EB28" s="65" t="s">
        <v>216</v>
      </c>
      <c r="EC28" s="47" t="s">
        <v>238</v>
      </c>
      <c r="ED28" s="66" t="s">
        <v>239</v>
      </c>
      <c r="EG28" s="15">
        <v>3</v>
      </c>
      <c r="EH28" s="92"/>
      <c r="EI28" s="92"/>
      <c r="EJ28" s="59"/>
      <c r="EK28" s="59"/>
      <c r="EP28" s="88" t="s">
        <v>215</v>
      </c>
      <c r="EQ28" s="89"/>
      <c r="ER28" s="65" t="s">
        <v>216</v>
      </c>
      <c r="ES28" s="47" t="s">
        <v>238</v>
      </c>
      <c r="ET28" s="66" t="s">
        <v>239</v>
      </c>
      <c r="EW28" s="15">
        <v>3</v>
      </c>
      <c r="EX28" s="92"/>
      <c r="EY28" s="92"/>
      <c r="EZ28" s="59"/>
      <c r="FA28" s="59"/>
    </row>
    <row r="29" spans="2:157" x14ac:dyDescent="0.45">
      <c r="B29" s="90"/>
      <c r="C29" s="91"/>
      <c r="D29" s="59"/>
      <c r="E29" s="61"/>
      <c r="F29" s="62"/>
      <c r="I29" s="15">
        <v>4</v>
      </c>
      <c r="J29" s="90"/>
      <c r="K29" s="91"/>
      <c r="L29" s="59"/>
      <c r="M29" s="59"/>
      <c r="R29" s="90"/>
      <c r="S29" s="91"/>
      <c r="T29" s="59"/>
      <c r="U29" s="61"/>
      <c r="V29" s="62"/>
      <c r="Y29" s="15">
        <v>4</v>
      </c>
      <c r="Z29" s="90"/>
      <c r="AA29" s="91"/>
      <c r="AB29" s="59"/>
      <c r="AC29" s="59"/>
      <c r="AH29" s="90"/>
      <c r="AI29" s="91"/>
      <c r="AJ29" s="59"/>
      <c r="AK29" s="61"/>
      <c r="AL29" s="62"/>
      <c r="AO29" s="15">
        <v>4</v>
      </c>
      <c r="AP29" s="90"/>
      <c r="AQ29" s="91"/>
      <c r="AR29" s="59"/>
      <c r="AS29" s="59"/>
      <c r="AX29" s="90"/>
      <c r="AY29" s="91"/>
      <c r="AZ29" s="59"/>
      <c r="BA29" s="61"/>
      <c r="BB29" s="62"/>
      <c r="BE29" s="15">
        <v>4</v>
      </c>
      <c r="BF29" s="90"/>
      <c r="BG29" s="91"/>
      <c r="BH29" s="59"/>
      <c r="BI29" s="59"/>
      <c r="BN29" s="90"/>
      <c r="BO29" s="91"/>
      <c r="BP29" s="59"/>
      <c r="BQ29" s="61"/>
      <c r="BR29" s="62"/>
      <c r="BU29" s="15">
        <v>4</v>
      </c>
      <c r="BV29" s="90"/>
      <c r="BW29" s="91"/>
      <c r="BX29" s="59"/>
      <c r="BY29" s="59"/>
      <c r="CD29" s="90"/>
      <c r="CE29" s="91"/>
      <c r="CF29" s="59"/>
      <c r="CG29" s="61"/>
      <c r="CH29" s="62"/>
      <c r="CK29" s="15">
        <v>4</v>
      </c>
      <c r="CL29" s="90"/>
      <c r="CM29" s="91"/>
      <c r="CN29" s="59"/>
      <c r="CO29" s="59"/>
      <c r="CT29" s="90"/>
      <c r="CU29" s="91"/>
      <c r="CV29" s="59"/>
      <c r="CW29" s="61"/>
      <c r="CX29" s="62"/>
      <c r="DA29" s="15">
        <v>4</v>
      </c>
      <c r="DB29" s="90"/>
      <c r="DC29" s="91"/>
      <c r="DD29" s="59"/>
      <c r="DE29" s="59"/>
      <c r="DJ29" s="90"/>
      <c r="DK29" s="91"/>
      <c r="DL29" s="59"/>
      <c r="DM29" s="61"/>
      <c r="DN29" s="62"/>
      <c r="DQ29" s="15">
        <v>4</v>
      </c>
      <c r="DR29" s="90"/>
      <c r="DS29" s="91"/>
      <c r="DT29" s="59"/>
      <c r="DU29" s="59"/>
      <c r="DZ29" s="90"/>
      <c r="EA29" s="91"/>
      <c r="EB29" s="59"/>
      <c r="EC29" s="61"/>
      <c r="ED29" s="62"/>
      <c r="EG29" s="15">
        <v>4</v>
      </c>
      <c r="EH29" s="90"/>
      <c r="EI29" s="91"/>
      <c r="EJ29" s="59"/>
      <c r="EK29" s="59"/>
      <c r="EP29" s="90"/>
      <c r="EQ29" s="91"/>
      <c r="ER29" s="59"/>
      <c r="ES29" s="61"/>
      <c r="ET29" s="62"/>
      <c r="EW29" s="15">
        <v>4</v>
      </c>
      <c r="EX29" s="90"/>
      <c r="EY29" s="91"/>
      <c r="EZ29" s="59"/>
      <c r="FA29" s="59"/>
    </row>
    <row r="30" spans="2:157" x14ac:dyDescent="0.45">
      <c r="B30" s="90"/>
      <c r="C30" s="91"/>
      <c r="D30" s="59"/>
      <c r="E30" s="61"/>
      <c r="F30" s="62"/>
      <c r="I30" s="15">
        <v>5</v>
      </c>
      <c r="J30" s="90"/>
      <c r="K30" s="91"/>
      <c r="L30" s="59"/>
      <c r="M30" s="59"/>
      <c r="R30" s="90"/>
      <c r="S30" s="91"/>
      <c r="T30" s="59"/>
      <c r="U30" s="61"/>
      <c r="V30" s="62"/>
      <c r="Y30" s="15">
        <v>5</v>
      </c>
      <c r="Z30" s="90"/>
      <c r="AA30" s="91"/>
      <c r="AB30" s="59"/>
      <c r="AC30" s="59"/>
      <c r="AH30" s="90"/>
      <c r="AI30" s="91"/>
      <c r="AJ30" s="59"/>
      <c r="AK30" s="61"/>
      <c r="AL30" s="62"/>
      <c r="AO30" s="15">
        <v>5</v>
      </c>
      <c r="AP30" s="90"/>
      <c r="AQ30" s="91"/>
      <c r="AR30" s="59"/>
      <c r="AS30" s="59"/>
      <c r="AX30" s="90"/>
      <c r="AY30" s="91"/>
      <c r="AZ30" s="59"/>
      <c r="BA30" s="61"/>
      <c r="BB30" s="62"/>
      <c r="BE30" s="15">
        <v>5</v>
      </c>
      <c r="BF30" s="90"/>
      <c r="BG30" s="91"/>
      <c r="BH30" s="59"/>
      <c r="BI30" s="59"/>
      <c r="BN30" s="90"/>
      <c r="BO30" s="91"/>
      <c r="BP30" s="59"/>
      <c r="BQ30" s="61"/>
      <c r="BR30" s="62"/>
      <c r="BU30" s="15">
        <v>5</v>
      </c>
      <c r="BV30" s="90"/>
      <c r="BW30" s="91"/>
      <c r="BX30" s="59"/>
      <c r="BY30" s="59"/>
      <c r="CD30" s="90"/>
      <c r="CE30" s="91"/>
      <c r="CF30" s="59"/>
      <c r="CG30" s="61"/>
      <c r="CH30" s="62"/>
      <c r="CK30" s="15">
        <v>5</v>
      </c>
      <c r="CL30" s="90"/>
      <c r="CM30" s="91"/>
      <c r="CN30" s="59"/>
      <c r="CO30" s="59"/>
      <c r="CT30" s="90"/>
      <c r="CU30" s="91"/>
      <c r="CV30" s="59"/>
      <c r="CW30" s="61"/>
      <c r="CX30" s="62"/>
      <c r="DA30" s="15">
        <v>5</v>
      </c>
      <c r="DB30" s="90"/>
      <c r="DC30" s="91"/>
      <c r="DD30" s="59"/>
      <c r="DE30" s="59"/>
      <c r="DJ30" s="90"/>
      <c r="DK30" s="91"/>
      <c r="DL30" s="59"/>
      <c r="DM30" s="61"/>
      <c r="DN30" s="62"/>
      <c r="DQ30" s="15">
        <v>5</v>
      </c>
      <c r="DR30" s="90"/>
      <c r="DS30" s="91"/>
      <c r="DT30" s="59"/>
      <c r="DU30" s="59"/>
      <c r="DZ30" s="90"/>
      <c r="EA30" s="91"/>
      <c r="EB30" s="59"/>
      <c r="EC30" s="61"/>
      <c r="ED30" s="62"/>
      <c r="EG30" s="15">
        <v>5</v>
      </c>
      <c r="EH30" s="90"/>
      <c r="EI30" s="91"/>
      <c r="EJ30" s="59"/>
      <c r="EK30" s="59"/>
      <c r="EP30" s="90"/>
      <c r="EQ30" s="91"/>
      <c r="ER30" s="59"/>
      <c r="ES30" s="61"/>
      <c r="ET30" s="62"/>
      <c r="EW30" s="15">
        <v>5</v>
      </c>
      <c r="EX30" s="90"/>
      <c r="EY30" s="91"/>
      <c r="EZ30" s="59"/>
      <c r="FA30" s="59"/>
    </row>
    <row r="31" spans="2:157" x14ac:dyDescent="0.45">
      <c r="B31" s="90"/>
      <c r="C31" s="91"/>
      <c r="D31" s="59"/>
      <c r="E31" s="61"/>
      <c r="F31" s="62"/>
      <c r="I31" s="25"/>
      <c r="M31" s="54"/>
      <c r="R31" s="90"/>
      <c r="S31" s="91"/>
      <c r="T31" s="59"/>
      <c r="U31" s="61"/>
      <c r="V31" s="62"/>
      <c r="Y31" s="25"/>
      <c r="AC31" s="54"/>
      <c r="AH31" s="90"/>
      <c r="AI31" s="91"/>
      <c r="AJ31" s="59"/>
      <c r="AK31" s="61"/>
      <c r="AL31" s="62"/>
      <c r="AO31" s="25"/>
      <c r="AS31" s="54"/>
      <c r="AX31" s="90"/>
      <c r="AY31" s="91"/>
      <c r="AZ31" s="59"/>
      <c r="BA31" s="61"/>
      <c r="BB31" s="62"/>
      <c r="BE31" s="25"/>
      <c r="BI31" s="54"/>
      <c r="BN31" s="90"/>
      <c r="BO31" s="91"/>
      <c r="BP31" s="59"/>
      <c r="BQ31" s="61"/>
      <c r="BR31" s="62"/>
      <c r="BU31" s="25"/>
      <c r="BY31" s="54"/>
      <c r="CD31" s="90"/>
      <c r="CE31" s="91"/>
      <c r="CF31" s="59"/>
      <c r="CG31" s="61"/>
      <c r="CH31" s="62"/>
      <c r="CK31" s="25"/>
      <c r="CO31" s="54"/>
      <c r="CT31" s="90"/>
      <c r="CU31" s="91"/>
      <c r="CV31" s="59"/>
      <c r="CW31" s="61"/>
      <c r="CX31" s="62"/>
      <c r="DA31" s="25"/>
      <c r="DE31" s="54"/>
      <c r="DJ31" s="90"/>
      <c r="DK31" s="91"/>
      <c r="DL31" s="59"/>
      <c r="DM31" s="61"/>
      <c r="DN31" s="62"/>
      <c r="DQ31" s="25"/>
      <c r="DU31" s="54"/>
      <c r="DZ31" s="90"/>
      <c r="EA31" s="91"/>
      <c r="EB31" s="59"/>
      <c r="EC31" s="61"/>
      <c r="ED31" s="62"/>
      <c r="EG31" s="25"/>
      <c r="EK31" s="54"/>
      <c r="EP31" s="90"/>
      <c r="EQ31" s="91"/>
      <c r="ER31" s="59"/>
      <c r="ES31" s="61"/>
      <c r="ET31" s="62"/>
      <c r="EW31" s="25"/>
      <c r="FA31" s="54"/>
    </row>
    <row r="32" spans="2:157" x14ac:dyDescent="0.45">
      <c r="B32" s="90"/>
      <c r="C32" s="91"/>
      <c r="D32" s="59"/>
      <c r="E32" s="61"/>
      <c r="F32" s="62"/>
      <c r="J32" s="72" t="s">
        <v>240</v>
      </c>
      <c r="K32" s="72"/>
      <c r="L32" s="72"/>
      <c r="M32" s="72"/>
      <c r="R32" s="90"/>
      <c r="S32" s="91"/>
      <c r="T32" s="59"/>
      <c r="U32" s="61"/>
      <c r="V32" s="62"/>
      <c r="Z32" s="72" t="s">
        <v>240</v>
      </c>
      <c r="AA32" s="72"/>
      <c r="AB32" s="72"/>
      <c r="AC32" s="72"/>
      <c r="AH32" s="90"/>
      <c r="AI32" s="91"/>
      <c r="AJ32" s="59"/>
      <c r="AK32" s="61"/>
      <c r="AL32" s="62"/>
      <c r="AP32" s="72" t="s">
        <v>240</v>
      </c>
      <c r="AQ32" s="72"/>
      <c r="AR32" s="72"/>
      <c r="AS32" s="72"/>
      <c r="AX32" s="90"/>
      <c r="AY32" s="91"/>
      <c r="AZ32" s="59"/>
      <c r="BA32" s="61"/>
      <c r="BB32" s="62"/>
      <c r="BF32" s="72" t="s">
        <v>240</v>
      </c>
      <c r="BG32" s="72"/>
      <c r="BH32" s="72"/>
      <c r="BI32" s="72"/>
      <c r="BN32" s="90"/>
      <c r="BO32" s="91"/>
      <c r="BP32" s="59"/>
      <c r="BQ32" s="61"/>
      <c r="BR32" s="62"/>
      <c r="BV32" s="72" t="s">
        <v>240</v>
      </c>
      <c r="BW32" s="72"/>
      <c r="BX32" s="72"/>
      <c r="BY32" s="72"/>
      <c r="CD32" s="90"/>
      <c r="CE32" s="91"/>
      <c r="CF32" s="59"/>
      <c r="CG32" s="61"/>
      <c r="CH32" s="62"/>
      <c r="CL32" s="72" t="s">
        <v>240</v>
      </c>
      <c r="CM32" s="72"/>
      <c r="CN32" s="72"/>
      <c r="CO32" s="72"/>
      <c r="CT32" s="90"/>
      <c r="CU32" s="91"/>
      <c r="CV32" s="59"/>
      <c r="CW32" s="61"/>
      <c r="CX32" s="62"/>
      <c r="DB32" s="72" t="s">
        <v>240</v>
      </c>
      <c r="DC32" s="72"/>
      <c r="DD32" s="72"/>
      <c r="DE32" s="72"/>
      <c r="DJ32" s="90"/>
      <c r="DK32" s="91"/>
      <c r="DL32" s="59"/>
      <c r="DM32" s="61"/>
      <c r="DN32" s="62"/>
      <c r="DR32" s="72" t="s">
        <v>240</v>
      </c>
      <c r="DS32" s="72"/>
      <c r="DT32" s="72"/>
      <c r="DU32" s="72"/>
      <c r="DZ32" s="90"/>
      <c r="EA32" s="91"/>
      <c r="EB32" s="59"/>
      <c r="EC32" s="61"/>
      <c r="ED32" s="62"/>
      <c r="EH32" s="72" t="s">
        <v>240</v>
      </c>
      <c r="EI32" s="72"/>
      <c r="EJ32" s="72"/>
      <c r="EK32" s="72"/>
      <c r="EP32" s="90"/>
      <c r="EQ32" s="91"/>
      <c r="ER32" s="59"/>
      <c r="ES32" s="61"/>
      <c r="ET32" s="62"/>
      <c r="EX32" s="72" t="s">
        <v>240</v>
      </c>
      <c r="EY32" s="72"/>
      <c r="EZ32" s="72"/>
      <c r="FA32" s="72"/>
    </row>
    <row r="33" spans="2:157" x14ac:dyDescent="0.45">
      <c r="B33" s="90"/>
      <c r="C33" s="91"/>
      <c r="D33" s="59"/>
      <c r="E33" s="61"/>
      <c r="F33" s="62"/>
      <c r="J33" s="71" t="s">
        <v>215</v>
      </c>
      <c r="K33" s="71"/>
      <c r="L33" s="65" t="s">
        <v>216</v>
      </c>
      <c r="M33" s="48" t="s">
        <v>217</v>
      </c>
      <c r="R33" s="90"/>
      <c r="S33" s="91"/>
      <c r="T33" s="59"/>
      <c r="U33" s="61"/>
      <c r="V33" s="62"/>
      <c r="Z33" s="71" t="s">
        <v>215</v>
      </c>
      <c r="AA33" s="71"/>
      <c r="AB33" s="65" t="s">
        <v>216</v>
      </c>
      <c r="AC33" s="48" t="s">
        <v>217</v>
      </c>
      <c r="AH33" s="90"/>
      <c r="AI33" s="91"/>
      <c r="AJ33" s="59"/>
      <c r="AK33" s="61"/>
      <c r="AL33" s="62"/>
      <c r="AP33" s="71" t="s">
        <v>215</v>
      </c>
      <c r="AQ33" s="71"/>
      <c r="AR33" s="65" t="s">
        <v>216</v>
      </c>
      <c r="AS33" s="48" t="s">
        <v>217</v>
      </c>
      <c r="AX33" s="90"/>
      <c r="AY33" s="91"/>
      <c r="AZ33" s="59"/>
      <c r="BA33" s="61"/>
      <c r="BB33" s="62"/>
      <c r="BF33" s="71" t="s">
        <v>215</v>
      </c>
      <c r="BG33" s="71"/>
      <c r="BH33" s="65" t="s">
        <v>216</v>
      </c>
      <c r="BI33" s="48" t="s">
        <v>217</v>
      </c>
      <c r="BN33" s="90"/>
      <c r="BO33" s="91"/>
      <c r="BP33" s="59"/>
      <c r="BQ33" s="61"/>
      <c r="BR33" s="62"/>
      <c r="BV33" s="71" t="s">
        <v>215</v>
      </c>
      <c r="BW33" s="71"/>
      <c r="BX33" s="65" t="s">
        <v>216</v>
      </c>
      <c r="BY33" s="48" t="s">
        <v>217</v>
      </c>
      <c r="CD33" s="90"/>
      <c r="CE33" s="91"/>
      <c r="CF33" s="59"/>
      <c r="CG33" s="61"/>
      <c r="CH33" s="62"/>
      <c r="CL33" s="71" t="s">
        <v>215</v>
      </c>
      <c r="CM33" s="71"/>
      <c r="CN33" s="65" t="s">
        <v>216</v>
      </c>
      <c r="CO33" s="48" t="s">
        <v>217</v>
      </c>
      <c r="CT33" s="90"/>
      <c r="CU33" s="91"/>
      <c r="CV33" s="59"/>
      <c r="CW33" s="61"/>
      <c r="CX33" s="62"/>
      <c r="DB33" s="71" t="s">
        <v>215</v>
      </c>
      <c r="DC33" s="71"/>
      <c r="DD33" s="65" t="s">
        <v>216</v>
      </c>
      <c r="DE33" s="48" t="s">
        <v>217</v>
      </c>
      <c r="DJ33" s="90"/>
      <c r="DK33" s="91"/>
      <c r="DL33" s="59"/>
      <c r="DM33" s="61"/>
      <c r="DN33" s="62"/>
      <c r="DR33" s="71" t="s">
        <v>215</v>
      </c>
      <c r="DS33" s="71"/>
      <c r="DT33" s="65" t="s">
        <v>216</v>
      </c>
      <c r="DU33" s="48" t="s">
        <v>217</v>
      </c>
      <c r="DZ33" s="90"/>
      <c r="EA33" s="91"/>
      <c r="EB33" s="59"/>
      <c r="EC33" s="61"/>
      <c r="ED33" s="62"/>
      <c r="EH33" s="71" t="s">
        <v>215</v>
      </c>
      <c r="EI33" s="71"/>
      <c r="EJ33" s="65" t="s">
        <v>216</v>
      </c>
      <c r="EK33" s="48" t="s">
        <v>217</v>
      </c>
      <c r="EP33" s="90"/>
      <c r="EQ33" s="91"/>
      <c r="ER33" s="59"/>
      <c r="ES33" s="61"/>
      <c r="ET33" s="62"/>
      <c r="EX33" s="71" t="s">
        <v>215</v>
      </c>
      <c r="EY33" s="71"/>
      <c r="EZ33" s="65" t="s">
        <v>216</v>
      </c>
      <c r="FA33" s="48" t="s">
        <v>217</v>
      </c>
    </row>
    <row r="34" spans="2:157" x14ac:dyDescent="0.45">
      <c r="D34" s="27"/>
      <c r="E34" s="60"/>
      <c r="F34" s="55"/>
      <c r="I34" s="15">
        <v>1</v>
      </c>
      <c r="J34" s="92"/>
      <c r="K34" s="92"/>
      <c r="L34" s="59"/>
      <c r="M34" s="59"/>
      <c r="T34" s="27"/>
      <c r="U34" s="60"/>
      <c r="V34" s="55"/>
      <c r="Y34" s="15">
        <v>1</v>
      </c>
      <c r="Z34" s="92"/>
      <c r="AA34" s="92"/>
      <c r="AB34" s="59"/>
      <c r="AC34" s="59"/>
      <c r="AJ34" s="27"/>
      <c r="AK34" s="60"/>
      <c r="AL34" s="55"/>
      <c r="AO34" s="15">
        <v>1</v>
      </c>
      <c r="AP34" s="92"/>
      <c r="AQ34" s="92"/>
      <c r="AR34" s="59"/>
      <c r="AS34" s="59"/>
      <c r="AZ34" s="27"/>
      <c r="BA34" s="60"/>
      <c r="BB34" s="55"/>
      <c r="BE34" s="15">
        <v>1</v>
      </c>
      <c r="BF34" s="92"/>
      <c r="BG34" s="92"/>
      <c r="BH34" s="59"/>
      <c r="BI34" s="59"/>
      <c r="BP34" s="27"/>
      <c r="BQ34" s="60"/>
      <c r="BR34" s="55"/>
      <c r="BU34" s="15">
        <v>1</v>
      </c>
      <c r="BV34" s="92"/>
      <c r="BW34" s="92"/>
      <c r="BX34" s="59"/>
      <c r="BY34" s="59"/>
      <c r="CF34" s="27"/>
      <c r="CG34" s="60"/>
      <c r="CH34" s="55"/>
      <c r="CK34" s="15">
        <v>1</v>
      </c>
      <c r="CL34" s="92"/>
      <c r="CM34" s="92"/>
      <c r="CN34" s="59"/>
      <c r="CO34" s="59"/>
      <c r="CV34" s="27"/>
      <c r="CW34" s="60"/>
      <c r="CX34" s="55"/>
      <c r="DA34" s="15">
        <v>1</v>
      </c>
      <c r="DB34" s="92"/>
      <c r="DC34" s="92"/>
      <c r="DD34" s="59"/>
      <c r="DE34" s="59"/>
      <c r="DL34" s="27"/>
      <c r="DM34" s="60"/>
      <c r="DN34" s="55"/>
      <c r="DQ34" s="15">
        <v>1</v>
      </c>
      <c r="DR34" s="92"/>
      <c r="DS34" s="92"/>
      <c r="DT34" s="59"/>
      <c r="DU34" s="59"/>
      <c r="EB34" s="27"/>
      <c r="EC34" s="60"/>
      <c r="ED34" s="55"/>
      <c r="EG34" s="15">
        <v>1</v>
      </c>
      <c r="EH34" s="92"/>
      <c r="EI34" s="92"/>
      <c r="EJ34" s="59"/>
      <c r="EK34" s="59"/>
      <c r="ER34" s="27"/>
      <c r="ES34" s="60"/>
      <c r="ET34" s="55"/>
      <c r="EW34" s="15">
        <v>1</v>
      </c>
      <c r="EX34" s="92"/>
      <c r="EY34" s="92"/>
      <c r="EZ34" s="59"/>
      <c r="FA34" s="59"/>
    </row>
    <row r="35" spans="2:157" x14ac:dyDescent="0.45">
      <c r="B35" s="3" t="s">
        <v>241</v>
      </c>
      <c r="C35" s="86"/>
      <c r="D35" s="86"/>
      <c r="E35" s="86"/>
      <c r="F35" s="86"/>
      <c r="I35" s="15">
        <v>2</v>
      </c>
      <c r="J35" s="92"/>
      <c r="K35" s="92"/>
      <c r="L35" s="59"/>
      <c r="M35" s="59"/>
      <c r="R35" s="3" t="s">
        <v>241</v>
      </c>
      <c r="S35" s="86"/>
      <c r="T35" s="86"/>
      <c r="U35" s="86"/>
      <c r="V35" s="86"/>
      <c r="Y35" s="15">
        <v>2</v>
      </c>
      <c r="Z35" s="92"/>
      <c r="AA35" s="92"/>
      <c r="AB35" s="59"/>
      <c r="AC35" s="59"/>
      <c r="AH35" s="3" t="s">
        <v>241</v>
      </c>
      <c r="AI35" s="86"/>
      <c r="AJ35" s="86"/>
      <c r="AK35" s="86"/>
      <c r="AL35" s="86"/>
      <c r="AO35" s="15">
        <v>2</v>
      </c>
      <c r="AP35" s="92"/>
      <c r="AQ35" s="92"/>
      <c r="AR35" s="59"/>
      <c r="AS35" s="59"/>
      <c r="AX35" s="3" t="s">
        <v>241</v>
      </c>
      <c r="AY35" s="86"/>
      <c r="AZ35" s="86"/>
      <c r="BA35" s="86"/>
      <c r="BB35" s="86"/>
      <c r="BE35" s="15">
        <v>2</v>
      </c>
      <c r="BF35" s="92"/>
      <c r="BG35" s="92"/>
      <c r="BH35" s="59"/>
      <c r="BI35" s="59"/>
      <c r="BN35" s="3" t="s">
        <v>241</v>
      </c>
      <c r="BO35" s="86"/>
      <c r="BP35" s="86"/>
      <c r="BQ35" s="86"/>
      <c r="BR35" s="86"/>
      <c r="BU35" s="15">
        <v>2</v>
      </c>
      <c r="BV35" s="92"/>
      <c r="BW35" s="92"/>
      <c r="BX35" s="59"/>
      <c r="BY35" s="59"/>
      <c r="CD35" s="3" t="s">
        <v>241</v>
      </c>
      <c r="CE35" s="86"/>
      <c r="CF35" s="86"/>
      <c r="CG35" s="86"/>
      <c r="CH35" s="86"/>
      <c r="CK35" s="15">
        <v>2</v>
      </c>
      <c r="CL35" s="92"/>
      <c r="CM35" s="92"/>
      <c r="CN35" s="59"/>
      <c r="CO35" s="59"/>
      <c r="CT35" s="3" t="s">
        <v>241</v>
      </c>
      <c r="CU35" s="86"/>
      <c r="CV35" s="86"/>
      <c r="CW35" s="86"/>
      <c r="CX35" s="86"/>
      <c r="DA35" s="15">
        <v>2</v>
      </c>
      <c r="DB35" s="92"/>
      <c r="DC35" s="92"/>
      <c r="DD35" s="59"/>
      <c r="DE35" s="59"/>
      <c r="DJ35" s="3" t="s">
        <v>241</v>
      </c>
      <c r="DK35" s="86"/>
      <c r="DL35" s="86"/>
      <c r="DM35" s="86"/>
      <c r="DN35" s="86"/>
      <c r="DQ35" s="15">
        <v>2</v>
      </c>
      <c r="DR35" s="92"/>
      <c r="DS35" s="92"/>
      <c r="DT35" s="59"/>
      <c r="DU35" s="59"/>
      <c r="DZ35" s="3" t="s">
        <v>241</v>
      </c>
      <c r="EA35" s="86"/>
      <c r="EB35" s="86"/>
      <c r="EC35" s="86"/>
      <c r="ED35" s="86"/>
      <c r="EG35" s="15">
        <v>2</v>
      </c>
      <c r="EH35" s="92"/>
      <c r="EI35" s="92"/>
      <c r="EJ35" s="59"/>
      <c r="EK35" s="59"/>
      <c r="EP35" s="3" t="s">
        <v>241</v>
      </c>
      <c r="EQ35" s="86"/>
      <c r="ER35" s="86"/>
      <c r="ES35" s="86"/>
      <c r="ET35" s="86"/>
      <c r="EW35" s="15">
        <v>2</v>
      </c>
      <c r="EX35" s="92"/>
      <c r="EY35" s="92"/>
      <c r="EZ35" s="59"/>
      <c r="FA35" s="59"/>
    </row>
    <row r="36" spans="2:157" x14ac:dyDescent="0.45">
      <c r="B36" s="88" t="s">
        <v>215</v>
      </c>
      <c r="C36" s="89"/>
      <c r="D36" s="65" t="s">
        <v>216</v>
      </c>
      <c r="E36" s="47" t="s">
        <v>238</v>
      </c>
      <c r="F36" s="66" t="s">
        <v>239</v>
      </c>
      <c r="I36" s="15">
        <v>3</v>
      </c>
      <c r="J36" s="92"/>
      <c r="K36" s="92"/>
      <c r="L36" s="59"/>
      <c r="M36" s="59"/>
      <c r="R36" s="88" t="s">
        <v>215</v>
      </c>
      <c r="S36" s="89"/>
      <c r="T36" s="65" t="s">
        <v>216</v>
      </c>
      <c r="U36" s="47" t="s">
        <v>238</v>
      </c>
      <c r="V36" s="66" t="s">
        <v>239</v>
      </c>
      <c r="Y36" s="15">
        <v>3</v>
      </c>
      <c r="Z36" s="92"/>
      <c r="AA36" s="92"/>
      <c r="AB36" s="59"/>
      <c r="AC36" s="59"/>
      <c r="AH36" s="88" t="s">
        <v>215</v>
      </c>
      <c r="AI36" s="89"/>
      <c r="AJ36" s="65" t="s">
        <v>216</v>
      </c>
      <c r="AK36" s="47" t="s">
        <v>238</v>
      </c>
      <c r="AL36" s="66" t="s">
        <v>239</v>
      </c>
      <c r="AO36" s="15">
        <v>3</v>
      </c>
      <c r="AP36" s="92"/>
      <c r="AQ36" s="92"/>
      <c r="AR36" s="59"/>
      <c r="AS36" s="59"/>
      <c r="AX36" s="88" t="s">
        <v>215</v>
      </c>
      <c r="AY36" s="89"/>
      <c r="AZ36" s="65" t="s">
        <v>216</v>
      </c>
      <c r="BA36" s="47" t="s">
        <v>238</v>
      </c>
      <c r="BB36" s="66" t="s">
        <v>239</v>
      </c>
      <c r="BE36" s="15">
        <v>3</v>
      </c>
      <c r="BF36" s="92"/>
      <c r="BG36" s="92"/>
      <c r="BH36" s="59"/>
      <c r="BI36" s="59"/>
      <c r="BN36" s="88" t="s">
        <v>215</v>
      </c>
      <c r="BO36" s="89"/>
      <c r="BP36" s="65" t="s">
        <v>216</v>
      </c>
      <c r="BQ36" s="47" t="s">
        <v>238</v>
      </c>
      <c r="BR36" s="66" t="s">
        <v>239</v>
      </c>
      <c r="BU36" s="15">
        <v>3</v>
      </c>
      <c r="BV36" s="92"/>
      <c r="BW36" s="92"/>
      <c r="BX36" s="59"/>
      <c r="BY36" s="59"/>
      <c r="CD36" s="88" t="s">
        <v>215</v>
      </c>
      <c r="CE36" s="89"/>
      <c r="CF36" s="65" t="s">
        <v>216</v>
      </c>
      <c r="CG36" s="47" t="s">
        <v>238</v>
      </c>
      <c r="CH36" s="66" t="s">
        <v>239</v>
      </c>
      <c r="CK36" s="15">
        <v>3</v>
      </c>
      <c r="CL36" s="92"/>
      <c r="CM36" s="92"/>
      <c r="CN36" s="59"/>
      <c r="CO36" s="59"/>
      <c r="CT36" s="88" t="s">
        <v>215</v>
      </c>
      <c r="CU36" s="89"/>
      <c r="CV36" s="65" t="s">
        <v>216</v>
      </c>
      <c r="CW36" s="47" t="s">
        <v>238</v>
      </c>
      <c r="CX36" s="66" t="s">
        <v>239</v>
      </c>
      <c r="DA36" s="15">
        <v>3</v>
      </c>
      <c r="DB36" s="92"/>
      <c r="DC36" s="92"/>
      <c r="DD36" s="59"/>
      <c r="DE36" s="59"/>
      <c r="DJ36" s="88" t="s">
        <v>215</v>
      </c>
      <c r="DK36" s="89"/>
      <c r="DL36" s="65" t="s">
        <v>216</v>
      </c>
      <c r="DM36" s="47" t="s">
        <v>238</v>
      </c>
      <c r="DN36" s="66" t="s">
        <v>239</v>
      </c>
      <c r="DQ36" s="15">
        <v>3</v>
      </c>
      <c r="DR36" s="92"/>
      <c r="DS36" s="92"/>
      <c r="DT36" s="59"/>
      <c r="DU36" s="59"/>
      <c r="DZ36" s="88" t="s">
        <v>215</v>
      </c>
      <c r="EA36" s="89"/>
      <c r="EB36" s="65" t="s">
        <v>216</v>
      </c>
      <c r="EC36" s="47" t="s">
        <v>238</v>
      </c>
      <c r="ED36" s="66" t="s">
        <v>239</v>
      </c>
      <c r="EG36" s="15">
        <v>3</v>
      </c>
      <c r="EH36" s="92"/>
      <c r="EI36" s="92"/>
      <c r="EJ36" s="59"/>
      <c r="EK36" s="59"/>
      <c r="EP36" s="88" t="s">
        <v>215</v>
      </c>
      <c r="EQ36" s="89"/>
      <c r="ER36" s="65" t="s">
        <v>216</v>
      </c>
      <c r="ES36" s="47" t="s">
        <v>238</v>
      </c>
      <c r="ET36" s="66" t="s">
        <v>239</v>
      </c>
      <c r="EW36" s="15">
        <v>3</v>
      </c>
      <c r="EX36" s="92"/>
      <c r="EY36" s="92"/>
      <c r="EZ36" s="59"/>
      <c r="FA36" s="59"/>
    </row>
    <row r="37" spans="2:157" x14ac:dyDescent="0.45">
      <c r="B37" s="90"/>
      <c r="C37" s="91"/>
      <c r="D37" s="59"/>
      <c r="E37" s="61"/>
      <c r="F37" s="62"/>
      <c r="I37" s="15">
        <v>4</v>
      </c>
      <c r="J37" s="90"/>
      <c r="K37" s="91"/>
      <c r="L37" s="59"/>
      <c r="M37" s="59"/>
      <c r="R37" s="90"/>
      <c r="S37" s="91"/>
      <c r="T37" s="59"/>
      <c r="U37" s="61"/>
      <c r="V37" s="62"/>
      <c r="Y37" s="15">
        <v>4</v>
      </c>
      <c r="Z37" s="90"/>
      <c r="AA37" s="91"/>
      <c r="AB37" s="59"/>
      <c r="AC37" s="59"/>
      <c r="AH37" s="90"/>
      <c r="AI37" s="91"/>
      <c r="AJ37" s="59"/>
      <c r="AK37" s="61"/>
      <c r="AL37" s="62"/>
      <c r="AO37" s="15">
        <v>4</v>
      </c>
      <c r="AP37" s="90"/>
      <c r="AQ37" s="91"/>
      <c r="AR37" s="59"/>
      <c r="AS37" s="59"/>
      <c r="AX37" s="90"/>
      <c r="AY37" s="91"/>
      <c r="AZ37" s="59"/>
      <c r="BA37" s="61"/>
      <c r="BB37" s="62"/>
      <c r="BE37" s="15">
        <v>4</v>
      </c>
      <c r="BF37" s="90"/>
      <c r="BG37" s="91"/>
      <c r="BH37" s="59"/>
      <c r="BI37" s="59"/>
      <c r="BN37" s="90"/>
      <c r="BO37" s="91"/>
      <c r="BP37" s="59"/>
      <c r="BQ37" s="61"/>
      <c r="BR37" s="62"/>
      <c r="BU37" s="15">
        <v>4</v>
      </c>
      <c r="BV37" s="90"/>
      <c r="BW37" s="91"/>
      <c r="BX37" s="59"/>
      <c r="BY37" s="59"/>
      <c r="CD37" s="90"/>
      <c r="CE37" s="91"/>
      <c r="CF37" s="59"/>
      <c r="CG37" s="61"/>
      <c r="CH37" s="62"/>
      <c r="CK37" s="15">
        <v>4</v>
      </c>
      <c r="CL37" s="90"/>
      <c r="CM37" s="91"/>
      <c r="CN37" s="59"/>
      <c r="CO37" s="59"/>
      <c r="CT37" s="90"/>
      <c r="CU37" s="91"/>
      <c r="CV37" s="59"/>
      <c r="CW37" s="61"/>
      <c r="CX37" s="62"/>
      <c r="DA37" s="15">
        <v>4</v>
      </c>
      <c r="DB37" s="90"/>
      <c r="DC37" s="91"/>
      <c r="DD37" s="59"/>
      <c r="DE37" s="59"/>
      <c r="DJ37" s="90"/>
      <c r="DK37" s="91"/>
      <c r="DL37" s="59"/>
      <c r="DM37" s="61"/>
      <c r="DN37" s="62"/>
      <c r="DQ37" s="15">
        <v>4</v>
      </c>
      <c r="DR37" s="90"/>
      <c r="DS37" s="91"/>
      <c r="DT37" s="59"/>
      <c r="DU37" s="59"/>
      <c r="DZ37" s="90"/>
      <c r="EA37" s="91"/>
      <c r="EB37" s="59"/>
      <c r="EC37" s="61"/>
      <c r="ED37" s="62"/>
      <c r="EG37" s="15">
        <v>4</v>
      </c>
      <c r="EH37" s="90"/>
      <c r="EI37" s="91"/>
      <c r="EJ37" s="59"/>
      <c r="EK37" s="59"/>
      <c r="EP37" s="90"/>
      <c r="EQ37" s="91"/>
      <c r="ER37" s="59"/>
      <c r="ES37" s="61"/>
      <c r="ET37" s="62"/>
      <c r="EW37" s="15">
        <v>4</v>
      </c>
      <c r="EX37" s="90"/>
      <c r="EY37" s="91"/>
      <c r="EZ37" s="59"/>
      <c r="FA37" s="59"/>
    </row>
    <row r="38" spans="2:157" x14ac:dyDescent="0.45">
      <c r="B38" s="90"/>
      <c r="C38" s="91"/>
      <c r="D38" s="59"/>
      <c r="E38" s="61"/>
      <c r="F38" s="62"/>
      <c r="I38" s="15">
        <v>5</v>
      </c>
      <c r="J38" s="90"/>
      <c r="K38" s="91"/>
      <c r="L38" s="59"/>
      <c r="M38" s="59"/>
      <c r="R38" s="90"/>
      <c r="S38" s="91"/>
      <c r="T38" s="59"/>
      <c r="U38" s="61"/>
      <c r="V38" s="62"/>
      <c r="Y38" s="15">
        <v>5</v>
      </c>
      <c r="Z38" s="90"/>
      <c r="AA38" s="91"/>
      <c r="AB38" s="59"/>
      <c r="AC38" s="59"/>
      <c r="AH38" s="90"/>
      <c r="AI38" s="91"/>
      <c r="AJ38" s="59"/>
      <c r="AK38" s="61"/>
      <c r="AL38" s="62"/>
      <c r="AO38" s="15">
        <v>5</v>
      </c>
      <c r="AP38" s="90"/>
      <c r="AQ38" s="91"/>
      <c r="AR38" s="59"/>
      <c r="AS38" s="59"/>
      <c r="AX38" s="90"/>
      <c r="AY38" s="91"/>
      <c r="AZ38" s="59"/>
      <c r="BA38" s="61"/>
      <c r="BB38" s="62"/>
      <c r="BE38" s="15">
        <v>5</v>
      </c>
      <c r="BF38" s="90"/>
      <c r="BG38" s="91"/>
      <c r="BH38" s="59"/>
      <c r="BI38" s="59"/>
      <c r="BN38" s="90"/>
      <c r="BO38" s="91"/>
      <c r="BP38" s="59"/>
      <c r="BQ38" s="61"/>
      <c r="BR38" s="62"/>
      <c r="BU38" s="15">
        <v>5</v>
      </c>
      <c r="BV38" s="90"/>
      <c r="BW38" s="91"/>
      <c r="BX38" s="59"/>
      <c r="BY38" s="59"/>
      <c r="CD38" s="90"/>
      <c r="CE38" s="91"/>
      <c r="CF38" s="59"/>
      <c r="CG38" s="61"/>
      <c r="CH38" s="62"/>
      <c r="CK38" s="15">
        <v>5</v>
      </c>
      <c r="CL38" s="90"/>
      <c r="CM38" s="91"/>
      <c r="CN38" s="59"/>
      <c r="CO38" s="59"/>
      <c r="CT38" s="90"/>
      <c r="CU38" s="91"/>
      <c r="CV38" s="59"/>
      <c r="CW38" s="61"/>
      <c r="CX38" s="62"/>
      <c r="DA38" s="15">
        <v>5</v>
      </c>
      <c r="DB38" s="90"/>
      <c r="DC38" s="91"/>
      <c r="DD38" s="59"/>
      <c r="DE38" s="59"/>
      <c r="DJ38" s="90"/>
      <c r="DK38" s="91"/>
      <c r="DL38" s="59"/>
      <c r="DM38" s="61"/>
      <c r="DN38" s="62"/>
      <c r="DQ38" s="15">
        <v>5</v>
      </c>
      <c r="DR38" s="90"/>
      <c r="DS38" s="91"/>
      <c r="DT38" s="59"/>
      <c r="DU38" s="59"/>
      <c r="DZ38" s="90"/>
      <c r="EA38" s="91"/>
      <c r="EB38" s="59"/>
      <c r="EC38" s="61"/>
      <c r="ED38" s="62"/>
      <c r="EG38" s="15">
        <v>5</v>
      </c>
      <c r="EH38" s="90"/>
      <c r="EI38" s="91"/>
      <c r="EJ38" s="59"/>
      <c r="EK38" s="59"/>
      <c r="EP38" s="90"/>
      <c r="EQ38" s="91"/>
      <c r="ER38" s="59"/>
      <c r="ES38" s="61"/>
      <c r="ET38" s="62"/>
      <c r="EW38" s="15">
        <v>5</v>
      </c>
      <c r="EX38" s="90"/>
      <c r="EY38" s="91"/>
      <c r="EZ38" s="59"/>
      <c r="FA38" s="59"/>
    </row>
    <row r="39" spans="2:157" x14ac:dyDescent="0.45">
      <c r="B39" s="90"/>
      <c r="C39" s="91"/>
      <c r="D39" s="59"/>
      <c r="E39" s="61"/>
      <c r="F39" s="62"/>
      <c r="R39" s="90"/>
      <c r="S39" s="91"/>
      <c r="T39" s="59"/>
      <c r="U39" s="61"/>
      <c r="V39" s="62"/>
      <c r="AH39" s="90"/>
      <c r="AI39" s="91"/>
      <c r="AJ39" s="59"/>
      <c r="AK39" s="61"/>
      <c r="AL39" s="62"/>
      <c r="AX39" s="90"/>
      <c r="AY39" s="91"/>
      <c r="AZ39" s="59"/>
      <c r="BA39" s="61"/>
      <c r="BB39" s="62"/>
      <c r="BN39" s="90"/>
      <c r="BO39" s="91"/>
      <c r="BP39" s="59"/>
      <c r="BQ39" s="61"/>
      <c r="BR39" s="62"/>
      <c r="CD39" s="90"/>
      <c r="CE39" s="91"/>
      <c r="CF39" s="59"/>
      <c r="CG39" s="61"/>
      <c r="CH39" s="62"/>
      <c r="CT39" s="90"/>
      <c r="CU39" s="91"/>
      <c r="CV39" s="59"/>
      <c r="CW39" s="61"/>
      <c r="CX39" s="62"/>
      <c r="DJ39" s="90"/>
      <c r="DK39" s="91"/>
      <c r="DL39" s="59"/>
      <c r="DM39" s="61"/>
      <c r="DN39" s="62"/>
      <c r="DZ39" s="90"/>
      <c r="EA39" s="91"/>
      <c r="EB39" s="59"/>
      <c r="EC39" s="61"/>
      <c r="ED39" s="62"/>
      <c r="EP39" s="90"/>
      <c r="EQ39" s="91"/>
      <c r="ER39" s="59"/>
      <c r="ES39" s="61"/>
      <c r="ET39" s="62"/>
    </row>
    <row r="40" spans="2:157" x14ac:dyDescent="0.45">
      <c r="B40" s="90"/>
      <c r="C40" s="91"/>
      <c r="D40" s="59"/>
      <c r="E40" s="61"/>
      <c r="F40" s="62"/>
      <c r="R40" s="90"/>
      <c r="S40" s="91"/>
      <c r="T40" s="59"/>
      <c r="U40" s="61"/>
      <c r="V40" s="62"/>
      <c r="AH40" s="90"/>
      <c r="AI40" s="91"/>
      <c r="AJ40" s="59"/>
      <c r="AK40" s="61"/>
      <c r="AL40" s="62"/>
      <c r="AX40" s="90"/>
      <c r="AY40" s="91"/>
      <c r="AZ40" s="59"/>
      <c r="BA40" s="61"/>
      <c r="BB40" s="62"/>
      <c r="BN40" s="90"/>
      <c r="BO40" s="91"/>
      <c r="BP40" s="59"/>
      <c r="BQ40" s="61"/>
      <c r="BR40" s="62"/>
      <c r="CD40" s="90"/>
      <c r="CE40" s="91"/>
      <c r="CF40" s="59"/>
      <c r="CG40" s="61"/>
      <c r="CH40" s="62"/>
      <c r="CT40" s="90"/>
      <c r="CU40" s="91"/>
      <c r="CV40" s="59"/>
      <c r="CW40" s="61"/>
      <c r="CX40" s="62"/>
      <c r="DJ40" s="90"/>
      <c r="DK40" s="91"/>
      <c r="DL40" s="59"/>
      <c r="DM40" s="61"/>
      <c r="DN40" s="62"/>
      <c r="DZ40" s="90"/>
      <c r="EA40" s="91"/>
      <c r="EB40" s="59"/>
      <c r="EC40" s="61"/>
      <c r="ED40" s="62"/>
      <c r="EP40" s="90"/>
      <c r="EQ40" s="91"/>
      <c r="ER40" s="59"/>
      <c r="ES40" s="61"/>
      <c r="ET40" s="62"/>
    </row>
    <row r="41" spans="2:157" x14ac:dyDescent="0.45">
      <c r="B41" s="90"/>
      <c r="C41" s="91"/>
      <c r="D41" s="59"/>
      <c r="E41" s="61"/>
      <c r="F41" s="62"/>
      <c r="R41" s="90"/>
      <c r="S41" s="91"/>
      <c r="T41" s="59"/>
      <c r="U41" s="61"/>
      <c r="V41" s="62"/>
      <c r="AH41" s="90"/>
      <c r="AI41" s="91"/>
      <c r="AJ41" s="59"/>
      <c r="AK41" s="61"/>
      <c r="AL41" s="62"/>
      <c r="AX41" s="90"/>
      <c r="AY41" s="91"/>
      <c r="AZ41" s="59"/>
      <c r="BA41" s="61"/>
      <c r="BB41" s="62"/>
      <c r="BN41" s="90"/>
      <c r="BO41" s="91"/>
      <c r="BP41" s="59"/>
      <c r="BQ41" s="61"/>
      <c r="BR41" s="62"/>
      <c r="CD41" s="90"/>
      <c r="CE41" s="91"/>
      <c r="CF41" s="59"/>
      <c r="CG41" s="61"/>
      <c r="CH41" s="62"/>
      <c r="CT41" s="90"/>
      <c r="CU41" s="91"/>
      <c r="CV41" s="59"/>
      <c r="CW41" s="61"/>
      <c r="CX41" s="62"/>
      <c r="DJ41" s="90"/>
      <c r="DK41" s="91"/>
      <c r="DL41" s="59"/>
      <c r="DM41" s="61"/>
      <c r="DN41" s="62"/>
      <c r="DZ41" s="90"/>
      <c r="EA41" s="91"/>
      <c r="EB41" s="59"/>
      <c r="EC41" s="61"/>
      <c r="ED41" s="62"/>
      <c r="EP41" s="90"/>
      <c r="EQ41" s="91"/>
      <c r="ER41" s="59"/>
      <c r="ES41" s="61"/>
      <c r="ET41" s="62"/>
    </row>
    <row r="42" spans="2:157" x14ac:dyDescent="0.45">
      <c r="D42" s="60"/>
      <c r="E42" s="60"/>
      <c r="F42" s="55"/>
      <c r="T42" s="60"/>
      <c r="U42" s="60"/>
      <c r="V42" s="55"/>
      <c r="AJ42" s="60"/>
      <c r="AK42" s="60"/>
      <c r="AL42" s="55"/>
      <c r="AZ42" s="60"/>
      <c r="BA42" s="60"/>
      <c r="BB42" s="55"/>
      <c r="BP42" s="60"/>
      <c r="BQ42" s="60"/>
      <c r="BR42" s="55"/>
      <c r="CF42" s="60"/>
      <c r="CG42" s="60"/>
      <c r="CH42" s="55"/>
      <c r="CV42" s="60"/>
      <c r="CW42" s="60"/>
      <c r="CX42" s="55"/>
      <c r="DL42" s="60"/>
      <c r="DM42" s="60"/>
      <c r="DN42" s="55"/>
      <c r="EB42" s="60"/>
      <c r="EC42" s="60"/>
      <c r="ED42" s="55"/>
      <c r="ER42" s="60"/>
      <c r="ES42" s="60"/>
      <c r="ET42" s="55"/>
    </row>
    <row r="43" spans="2:157" x14ac:dyDescent="0.45">
      <c r="B43" s="3" t="s">
        <v>242</v>
      </c>
      <c r="C43" s="87"/>
      <c r="D43" s="64" t="s">
        <v>243</v>
      </c>
      <c r="E43" s="60"/>
      <c r="F43" s="55"/>
      <c r="R43" s="3" t="s">
        <v>242</v>
      </c>
      <c r="S43" s="87"/>
      <c r="T43" s="64" t="s">
        <v>243</v>
      </c>
      <c r="U43" s="60"/>
      <c r="V43" s="55"/>
      <c r="AH43" s="3" t="s">
        <v>242</v>
      </c>
      <c r="AI43" s="87"/>
      <c r="AJ43" s="64" t="s">
        <v>243</v>
      </c>
      <c r="AK43" s="60"/>
      <c r="AL43" s="55"/>
      <c r="AX43" s="3" t="s">
        <v>242</v>
      </c>
      <c r="AY43" s="87"/>
      <c r="AZ43" s="64" t="s">
        <v>243</v>
      </c>
      <c r="BA43" s="60"/>
      <c r="BB43" s="55"/>
      <c r="BN43" s="3" t="s">
        <v>242</v>
      </c>
      <c r="BO43" s="87"/>
      <c r="BP43" s="64" t="s">
        <v>243</v>
      </c>
      <c r="BQ43" s="60"/>
      <c r="BR43" s="55"/>
      <c r="CD43" s="3" t="s">
        <v>242</v>
      </c>
      <c r="CE43" s="87"/>
      <c r="CF43" s="64" t="s">
        <v>243</v>
      </c>
      <c r="CG43" s="60"/>
      <c r="CH43" s="55"/>
      <c r="CT43" s="3" t="s">
        <v>242</v>
      </c>
      <c r="CU43" s="87"/>
      <c r="CV43" s="64" t="s">
        <v>243</v>
      </c>
      <c r="CW43" s="60"/>
      <c r="CX43" s="55"/>
      <c r="DJ43" s="3" t="s">
        <v>242</v>
      </c>
      <c r="DK43" s="87"/>
      <c r="DL43" s="64" t="s">
        <v>243</v>
      </c>
      <c r="DM43" s="60"/>
      <c r="DN43" s="55"/>
      <c r="DZ43" s="3" t="s">
        <v>242</v>
      </c>
      <c r="EA43" s="87"/>
      <c r="EB43" s="64" t="s">
        <v>243</v>
      </c>
      <c r="EC43" s="60"/>
      <c r="ED43" s="55"/>
      <c r="EP43" s="3" t="s">
        <v>242</v>
      </c>
      <c r="EQ43" s="87"/>
      <c r="ER43" s="64" t="s">
        <v>243</v>
      </c>
      <c r="ES43" s="60"/>
      <c r="ET43" s="55"/>
    </row>
    <row r="44" spans="2:157" x14ac:dyDescent="0.45">
      <c r="B44" s="88" t="s">
        <v>244</v>
      </c>
      <c r="C44" s="89"/>
      <c r="D44" s="57"/>
      <c r="E44" s="60"/>
      <c r="F44" s="55"/>
      <c r="R44" s="88" t="s">
        <v>244</v>
      </c>
      <c r="S44" s="89"/>
      <c r="T44" s="57"/>
      <c r="U44" s="60"/>
      <c r="V44" s="55"/>
      <c r="AH44" s="88" t="s">
        <v>244</v>
      </c>
      <c r="AI44" s="89"/>
      <c r="AJ44" s="57"/>
      <c r="AK44" s="60"/>
      <c r="AL44" s="55"/>
      <c r="AX44" s="88" t="s">
        <v>244</v>
      </c>
      <c r="AY44" s="89"/>
      <c r="AZ44" s="57"/>
      <c r="BA44" s="60"/>
      <c r="BB44" s="55"/>
      <c r="BN44" s="88" t="s">
        <v>244</v>
      </c>
      <c r="BO44" s="89"/>
      <c r="BP44" s="57"/>
      <c r="BQ44" s="60"/>
      <c r="BR44" s="55"/>
      <c r="CD44" s="88" t="s">
        <v>244</v>
      </c>
      <c r="CE44" s="89"/>
      <c r="CF44" s="57"/>
      <c r="CG44" s="60"/>
      <c r="CH44" s="55"/>
      <c r="CT44" s="88" t="s">
        <v>244</v>
      </c>
      <c r="CU44" s="89"/>
      <c r="CV44" s="57"/>
      <c r="CW44" s="60"/>
      <c r="CX44" s="55"/>
      <c r="DJ44" s="88" t="s">
        <v>244</v>
      </c>
      <c r="DK44" s="89"/>
      <c r="DL44" s="57"/>
      <c r="DM44" s="60"/>
      <c r="DN44" s="55"/>
      <c r="DZ44" s="88" t="s">
        <v>244</v>
      </c>
      <c r="EA44" s="89"/>
      <c r="EB44" s="57"/>
      <c r="EC44" s="60"/>
      <c r="ED44" s="55"/>
      <c r="EP44" s="88" t="s">
        <v>244</v>
      </c>
      <c r="EQ44" s="89"/>
      <c r="ER44" s="57"/>
      <c r="ES44" s="60"/>
      <c r="ET44" s="55"/>
    </row>
    <row r="45" spans="2:157" x14ac:dyDescent="0.45">
      <c r="B45" s="88" t="s">
        <v>245</v>
      </c>
      <c r="C45" s="89"/>
      <c r="D45" s="57"/>
      <c r="E45" s="60"/>
      <c r="F45" s="55"/>
      <c r="R45" s="88" t="s">
        <v>245</v>
      </c>
      <c r="S45" s="89"/>
      <c r="T45" s="57"/>
      <c r="U45" s="60"/>
      <c r="V45" s="55"/>
      <c r="AH45" s="88" t="s">
        <v>245</v>
      </c>
      <c r="AI45" s="89"/>
      <c r="AJ45" s="57"/>
      <c r="AK45" s="60"/>
      <c r="AL45" s="55"/>
      <c r="AX45" s="88" t="s">
        <v>245</v>
      </c>
      <c r="AY45" s="89"/>
      <c r="AZ45" s="57"/>
      <c r="BA45" s="60"/>
      <c r="BB45" s="55"/>
      <c r="BN45" s="88" t="s">
        <v>245</v>
      </c>
      <c r="BO45" s="89"/>
      <c r="BP45" s="57"/>
      <c r="BQ45" s="60"/>
      <c r="BR45" s="55"/>
      <c r="CD45" s="88" t="s">
        <v>245</v>
      </c>
      <c r="CE45" s="89"/>
      <c r="CF45" s="57"/>
      <c r="CG45" s="60"/>
      <c r="CH45" s="55"/>
      <c r="CT45" s="88" t="s">
        <v>245</v>
      </c>
      <c r="CU45" s="89"/>
      <c r="CV45" s="57"/>
      <c r="CW45" s="60"/>
      <c r="CX45" s="55"/>
      <c r="DJ45" s="88" t="s">
        <v>245</v>
      </c>
      <c r="DK45" s="89"/>
      <c r="DL45" s="57"/>
      <c r="DM45" s="60"/>
      <c r="DN45" s="55"/>
      <c r="DZ45" s="88" t="s">
        <v>245</v>
      </c>
      <c r="EA45" s="89"/>
      <c r="EB45" s="57"/>
      <c r="EC45" s="60"/>
      <c r="ED45" s="55"/>
      <c r="EP45" s="88" t="s">
        <v>245</v>
      </c>
      <c r="EQ45" s="89"/>
      <c r="ER45" s="57"/>
      <c r="ES45" s="60"/>
      <c r="ET45" s="55"/>
    </row>
    <row r="46" spans="2:157" x14ac:dyDescent="0.45">
      <c r="B46" s="88" t="s">
        <v>246</v>
      </c>
      <c r="C46" s="89"/>
      <c r="D46" s="57"/>
      <c r="E46" s="60"/>
      <c r="F46" s="55"/>
      <c r="R46" s="88" t="s">
        <v>246</v>
      </c>
      <c r="S46" s="89"/>
      <c r="T46" s="57"/>
      <c r="U46" s="60"/>
      <c r="V46" s="55"/>
      <c r="AH46" s="88" t="s">
        <v>246</v>
      </c>
      <c r="AI46" s="89"/>
      <c r="AJ46" s="57"/>
      <c r="AK46" s="60"/>
      <c r="AL46" s="55"/>
      <c r="AX46" s="88" t="s">
        <v>246</v>
      </c>
      <c r="AY46" s="89"/>
      <c r="AZ46" s="57"/>
      <c r="BA46" s="60"/>
      <c r="BB46" s="55"/>
      <c r="BN46" s="88" t="s">
        <v>246</v>
      </c>
      <c r="BO46" s="89"/>
      <c r="BP46" s="57"/>
      <c r="BQ46" s="60"/>
      <c r="BR46" s="55"/>
      <c r="CD46" s="88" t="s">
        <v>246</v>
      </c>
      <c r="CE46" s="89"/>
      <c r="CF46" s="57"/>
      <c r="CG46" s="60"/>
      <c r="CH46" s="55"/>
      <c r="CT46" s="88" t="s">
        <v>246</v>
      </c>
      <c r="CU46" s="89"/>
      <c r="CV46" s="57"/>
      <c r="CW46" s="60"/>
      <c r="CX46" s="55"/>
      <c r="DJ46" s="88" t="s">
        <v>246</v>
      </c>
      <c r="DK46" s="89"/>
      <c r="DL46" s="57"/>
      <c r="DM46" s="60"/>
      <c r="DN46" s="55"/>
      <c r="DZ46" s="88" t="s">
        <v>246</v>
      </c>
      <c r="EA46" s="89"/>
      <c r="EB46" s="57"/>
      <c r="EC46" s="60"/>
      <c r="ED46" s="55"/>
      <c r="EP46" s="88" t="s">
        <v>246</v>
      </c>
      <c r="EQ46" s="89"/>
      <c r="ER46" s="57"/>
      <c r="ES46" s="60"/>
      <c r="ET46" s="55"/>
    </row>
    <row r="47" spans="2:157" x14ac:dyDescent="0.45">
      <c r="B47" s="88" t="s">
        <v>247</v>
      </c>
      <c r="C47" s="89"/>
      <c r="D47" s="57"/>
      <c r="E47" s="60"/>
      <c r="F47" s="55"/>
      <c r="R47" s="88" t="s">
        <v>247</v>
      </c>
      <c r="S47" s="89"/>
      <c r="T47" s="57"/>
      <c r="U47" s="60"/>
      <c r="V47" s="55"/>
      <c r="AH47" s="88" t="s">
        <v>247</v>
      </c>
      <c r="AI47" s="89"/>
      <c r="AJ47" s="57"/>
      <c r="AK47" s="60"/>
      <c r="AL47" s="55"/>
      <c r="AX47" s="88" t="s">
        <v>247</v>
      </c>
      <c r="AY47" s="89"/>
      <c r="AZ47" s="57"/>
      <c r="BA47" s="60"/>
      <c r="BB47" s="55"/>
      <c r="BN47" s="88" t="s">
        <v>247</v>
      </c>
      <c r="BO47" s="89"/>
      <c r="BP47" s="57"/>
      <c r="BQ47" s="60"/>
      <c r="BR47" s="55"/>
      <c r="CD47" s="88" t="s">
        <v>247</v>
      </c>
      <c r="CE47" s="89"/>
      <c r="CF47" s="57"/>
      <c r="CG47" s="60"/>
      <c r="CH47" s="55"/>
      <c r="CT47" s="88" t="s">
        <v>247</v>
      </c>
      <c r="CU47" s="89"/>
      <c r="CV47" s="57"/>
      <c r="CW47" s="60"/>
      <c r="CX47" s="55"/>
      <c r="DJ47" s="88" t="s">
        <v>247</v>
      </c>
      <c r="DK47" s="89"/>
      <c r="DL47" s="57"/>
      <c r="DM47" s="60"/>
      <c r="DN47" s="55"/>
      <c r="DZ47" s="88" t="s">
        <v>247</v>
      </c>
      <c r="EA47" s="89"/>
      <c r="EB47" s="57"/>
      <c r="EC47" s="60"/>
      <c r="ED47" s="55"/>
      <c r="EP47" s="88" t="s">
        <v>247</v>
      </c>
      <c r="EQ47" s="89"/>
      <c r="ER47" s="57"/>
      <c r="ES47" s="60"/>
      <c r="ET47" s="55"/>
    </row>
    <row r="48" spans="2:157" x14ac:dyDescent="0.45">
      <c r="B48" s="71" t="s">
        <v>248</v>
      </c>
      <c r="C48" s="71"/>
      <c r="D48" s="57"/>
      <c r="E48" s="60"/>
      <c r="F48" s="55"/>
      <c r="R48" s="71" t="s">
        <v>248</v>
      </c>
      <c r="S48" s="71"/>
      <c r="T48" s="57"/>
      <c r="U48" s="60"/>
      <c r="V48" s="55"/>
      <c r="AH48" s="71" t="s">
        <v>248</v>
      </c>
      <c r="AI48" s="71"/>
      <c r="AJ48" s="57"/>
      <c r="AK48" s="60"/>
      <c r="AL48" s="55"/>
      <c r="AX48" s="71" t="s">
        <v>248</v>
      </c>
      <c r="AY48" s="71"/>
      <c r="AZ48" s="57"/>
      <c r="BA48" s="60"/>
      <c r="BB48" s="55"/>
      <c r="BN48" s="71" t="s">
        <v>248</v>
      </c>
      <c r="BO48" s="71"/>
      <c r="BP48" s="57"/>
      <c r="BQ48" s="60"/>
      <c r="BR48" s="55"/>
      <c r="CD48" s="71" t="s">
        <v>248</v>
      </c>
      <c r="CE48" s="71"/>
      <c r="CF48" s="57"/>
      <c r="CG48" s="60"/>
      <c r="CH48" s="55"/>
      <c r="CT48" s="71" t="s">
        <v>248</v>
      </c>
      <c r="CU48" s="71"/>
      <c r="CV48" s="57"/>
      <c r="CW48" s="60"/>
      <c r="CX48" s="55"/>
      <c r="DJ48" s="71" t="s">
        <v>248</v>
      </c>
      <c r="DK48" s="71"/>
      <c r="DL48" s="57"/>
      <c r="DM48" s="60"/>
      <c r="DN48" s="55"/>
      <c r="DZ48" s="71" t="s">
        <v>248</v>
      </c>
      <c r="EA48" s="71"/>
      <c r="EB48" s="57"/>
      <c r="EC48" s="60"/>
      <c r="ED48" s="55"/>
      <c r="EP48" s="71" t="s">
        <v>248</v>
      </c>
      <c r="EQ48" s="71"/>
      <c r="ER48" s="57"/>
      <c r="ES48" s="60"/>
      <c r="ET48" s="55"/>
    </row>
    <row r="66" spans="14:142" x14ac:dyDescent="0.45">
      <c r="N66" s="51">
        <f t="shared" ref="N66:N69" si="0">I66</f>
        <v>0</v>
      </c>
      <c r="AD66" s="51">
        <f t="shared" ref="AD66:AD69" si="1">Y66</f>
        <v>0</v>
      </c>
      <c r="AT66" s="51">
        <f t="shared" ref="AT66:AT69" si="2">AO66</f>
        <v>0</v>
      </c>
      <c r="BJ66" s="51">
        <f t="shared" ref="BJ66:BJ69" si="3">BE66</f>
        <v>0</v>
      </c>
      <c r="BZ66" s="51">
        <f t="shared" ref="BZ66:BZ69" si="4">BU66</f>
        <v>0</v>
      </c>
      <c r="CP66" s="51">
        <f t="shared" ref="CP66:CP69" si="5">CK66</f>
        <v>0</v>
      </c>
      <c r="DF66" s="51">
        <f t="shared" ref="DF66:DF69" si="6">DA66</f>
        <v>0</v>
      </c>
      <c r="DV66" s="51">
        <f t="shared" ref="DV66:DV69" si="7">DQ66</f>
        <v>0</v>
      </c>
      <c r="EL66" s="51">
        <f t="shared" ref="EL66:EL69" si="8">EG66</f>
        <v>0</v>
      </c>
    </row>
    <row r="67" spans="14:142" x14ac:dyDescent="0.45">
      <c r="N67" s="51">
        <f t="shared" si="0"/>
        <v>0</v>
      </c>
      <c r="AD67" s="51">
        <f t="shared" si="1"/>
        <v>0</v>
      </c>
      <c r="AT67" s="51">
        <f t="shared" si="2"/>
        <v>0</v>
      </c>
      <c r="BJ67" s="51">
        <f t="shared" si="3"/>
        <v>0</v>
      </c>
      <c r="BZ67" s="51">
        <f t="shared" si="4"/>
        <v>0</v>
      </c>
      <c r="CP67" s="51">
        <f t="shared" si="5"/>
        <v>0</v>
      </c>
      <c r="DF67" s="51">
        <f t="shared" si="6"/>
        <v>0</v>
      </c>
      <c r="DV67" s="51">
        <f t="shared" si="7"/>
        <v>0</v>
      </c>
      <c r="EL67" s="51">
        <f t="shared" si="8"/>
        <v>0</v>
      </c>
    </row>
    <row r="68" spans="14:142" x14ac:dyDescent="0.45">
      <c r="N68" s="51">
        <f t="shared" si="0"/>
        <v>0</v>
      </c>
      <c r="AD68" s="51">
        <f t="shared" si="1"/>
        <v>0</v>
      </c>
      <c r="AT68" s="51">
        <f t="shared" si="2"/>
        <v>0</v>
      </c>
      <c r="BJ68" s="51">
        <f t="shared" si="3"/>
        <v>0</v>
      </c>
      <c r="BZ68" s="51">
        <f t="shared" si="4"/>
        <v>0</v>
      </c>
      <c r="CP68" s="51">
        <f t="shared" si="5"/>
        <v>0</v>
      </c>
      <c r="DF68" s="51">
        <f t="shared" si="6"/>
        <v>0</v>
      </c>
      <c r="DV68" s="51">
        <f t="shared" si="7"/>
        <v>0</v>
      </c>
      <c r="EL68" s="51">
        <f t="shared" si="8"/>
        <v>0</v>
      </c>
    </row>
    <row r="69" spans="14:142" x14ac:dyDescent="0.45">
      <c r="N69" s="51">
        <f t="shared" si="0"/>
        <v>0</v>
      </c>
      <c r="AD69" s="51">
        <f t="shared" si="1"/>
        <v>0</v>
      </c>
      <c r="AT69" s="51">
        <f t="shared" si="2"/>
        <v>0</v>
      </c>
      <c r="BJ69" s="51">
        <f t="shared" si="3"/>
        <v>0</v>
      </c>
      <c r="BZ69" s="51">
        <f t="shared" si="4"/>
        <v>0</v>
      </c>
      <c r="CP69" s="51">
        <f t="shared" si="5"/>
        <v>0</v>
      </c>
      <c r="DF69" s="51">
        <f t="shared" si="6"/>
        <v>0</v>
      </c>
      <c r="DV69" s="51">
        <f t="shared" si="7"/>
        <v>0</v>
      </c>
      <c r="EL69" s="51">
        <f t="shared" si="8"/>
        <v>0</v>
      </c>
    </row>
  </sheetData>
  <mergeCells count="81">
    <mergeCell ref="EP8:EQ8"/>
    <mergeCell ref="ER8:ET8"/>
    <mergeCell ref="EX8:FA8"/>
    <mergeCell ref="DZ6:EA6"/>
    <mergeCell ref="EB6:ED6"/>
    <mergeCell ref="EH6:EK6"/>
    <mergeCell ref="DZ7:EA7"/>
    <mergeCell ref="EB7:ED7"/>
    <mergeCell ref="DZ8:EA8"/>
    <mergeCell ref="EB8:ED8"/>
    <mergeCell ref="EH8:EK8"/>
    <mergeCell ref="EP6:EQ6"/>
    <mergeCell ref="ER6:ET6"/>
    <mergeCell ref="EX6:FA6"/>
    <mergeCell ref="EP7:EQ7"/>
    <mergeCell ref="ER7:ET7"/>
    <mergeCell ref="DJ8:DK8"/>
    <mergeCell ref="DL8:DN8"/>
    <mergeCell ref="DR8:DU8"/>
    <mergeCell ref="CT6:CU6"/>
    <mergeCell ref="CV6:CX6"/>
    <mergeCell ref="DB6:DE6"/>
    <mergeCell ref="CT7:CU7"/>
    <mergeCell ref="CV7:CX7"/>
    <mergeCell ref="CT8:CU8"/>
    <mergeCell ref="CV8:CX8"/>
    <mergeCell ref="DB8:DE8"/>
    <mergeCell ref="DJ6:DK6"/>
    <mergeCell ref="DL6:DN6"/>
    <mergeCell ref="DR6:DU6"/>
    <mergeCell ref="DJ7:DK7"/>
    <mergeCell ref="DL7:DN7"/>
    <mergeCell ref="CD8:CE8"/>
    <mergeCell ref="CF8:CH8"/>
    <mergeCell ref="CL8:CO8"/>
    <mergeCell ref="BN6:BO6"/>
    <mergeCell ref="BP6:BR6"/>
    <mergeCell ref="BV6:BY6"/>
    <mergeCell ref="BN7:BO7"/>
    <mergeCell ref="BP7:BR7"/>
    <mergeCell ref="BN8:BO8"/>
    <mergeCell ref="BP8:BR8"/>
    <mergeCell ref="BV8:BY8"/>
    <mergeCell ref="CD6:CE6"/>
    <mergeCell ref="CF6:CH6"/>
    <mergeCell ref="CL6:CO6"/>
    <mergeCell ref="CD7:CE7"/>
    <mergeCell ref="CF7:CH7"/>
    <mergeCell ref="BF8:BI8"/>
    <mergeCell ref="AH6:AI6"/>
    <mergeCell ref="AJ6:AL6"/>
    <mergeCell ref="AP6:AS6"/>
    <mergeCell ref="AH7:AI7"/>
    <mergeCell ref="AJ7:AL7"/>
    <mergeCell ref="AH8:AI8"/>
    <mergeCell ref="AJ8:AL8"/>
    <mergeCell ref="AP8:AS8"/>
    <mergeCell ref="AX6:AY6"/>
    <mergeCell ref="AZ6:BB6"/>
    <mergeCell ref="BF6:BI6"/>
    <mergeCell ref="AX7:AY7"/>
    <mergeCell ref="AZ7:BB7"/>
    <mergeCell ref="R8:S8"/>
    <mergeCell ref="T8:V8"/>
    <mergeCell ref="Z8:AC8"/>
    <mergeCell ref="AX8:AY8"/>
    <mergeCell ref="AZ8:BB8"/>
    <mergeCell ref="R6:S6"/>
    <mergeCell ref="T6:V6"/>
    <mergeCell ref="Z6:AC6"/>
    <mergeCell ref="R7:S7"/>
    <mergeCell ref="T7:V7"/>
    <mergeCell ref="B8:C8"/>
    <mergeCell ref="D8:F8"/>
    <mergeCell ref="B6:C6"/>
    <mergeCell ref="D6:F6"/>
    <mergeCell ref="B4:M4"/>
    <mergeCell ref="J6:M6"/>
    <mergeCell ref="B7:C7"/>
    <mergeCell ref="D7:F7"/>
    <mergeCell ref="J8:M8"/>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FEB08-95BB-4F2C-A774-ABE971D64740}">
  <sheetPr codeName="Sheet6"/>
  <dimension ref="A1:H46"/>
  <sheetViews>
    <sheetView topLeftCell="A29" workbookViewId="0">
      <selection activeCell="L6" sqref="L6"/>
    </sheetView>
  </sheetViews>
  <sheetFormatPr defaultRowHeight="14.25" x14ac:dyDescent="0.45"/>
  <cols>
    <col min="1" max="1" width="56.33203125" customWidth="1"/>
    <col min="2" max="2" width="11.53125" customWidth="1"/>
    <col min="3" max="3" width="13" customWidth="1"/>
    <col min="4" max="4" width="13.33203125" customWidth="1"/>
  </cols>
  <sheetData>
    <row r="1" spans="1:8" ht="18" x14ac:dyDescent="0.55000000000000004">
      <c r="A1" s="101" t="s">
        <v>249</v>
      </c>
    </row>
    <row r="3" spans="1:8" ht="60" customHeight="1" x14ac:dyDescent="0.45">
      <c r="A3" s="24" t="s">
        <v>250</v>
      </c>
    </row>
    <row r="4" spans="1:8" ht="32.25" customHeight="1" x14ac:dyDescent="0.45">
      <c r="A4" s="24"/>
      <c r="B4" s="241" t="s">
        <v>251</v>
      </c>
      <c r="C4" s="242"/>
      <c r="D4" s="242"/>
      <c r="E4" s="242"/>
      <c r="F4" s="242"/>
      <c r="G4" s="242"/>
      <c r="H4" s="243"/>
    </row>
    <row r="5" spans="1:8" ht="57" x14ac:dyDescent="0.45">
      <c r="A5" s="24"/>
      <c r="B5" s="109" t="s">
        <v>252</v>
      </c>
      <c r="C5" s="110" t="s">
        <v>253</v>
      </c>
      <c r="D5" s="110" t="s">
        <v>254</v>
      </c>
      <c r="E5" s="110" t="s">
        <v>255</v>
      </c>
      <c r="F5" s="110" t="s">
        <v>256</v>
      </c>
      <c r="G5" s="110" t="s">
        <v>257</v>
      </c>
      <c r="H5" s="110" t="s">
        <v>258</v>
      </c>
    </row>
    <row r="6" spans="1:8" x14ac:dyDescent="0.45">
      <c r="A6" s="103" t="s">
        <v>72</v>
      </c>
      <c r="B6" s="15"/>
      <c r="C6" s="15"/>
      <c r="D6" s="15"/>
      <c r="E6" s="15"/>
      <c r="F6" s="15"/>
      <c r="G6" s="15"/>
      <c r="H6" s="15"/>
    </row>
    <row r="7" spans="1:8" x14ac:dyDescent="0.45">
      <c r="A7" s="103" t="s">
        <v>103</v>
      </c>
      <c r="B7" s="15"/>
      <c r="C7" s="15"/>
      <c r="D7" s="15"/>
      <c r="E7" s="15"/>
      <c r="F7" s="15"/>
      <c r="G7" s="15"/>
      <c r="H7" s="15"/>
    </row>
    <row r="8" spans="1:8" x14ac:dyDescent="0.45">
      <c r="A8" s="103" t="s">
        <v>105</v>
      </c>
      <c r="B8" s="15"/>
      <c r="C8" s="15"/>
      <c r="D8" s="15"/>
      <c r="E8" s="15"/>
      <c r="F8" s="15"/>
      <c r="G8" s="15"/>
      <c r="H8" s="15"/>
    </row>
    <row r="9" spans="1:8" x14ac:dyDescent="0.45">
      <c r="A9" s="103" t="s">
        <v>106</v>
      </c>
      <c r="B9" s="15"/>
      <c r="C9" s="15"/>
      <c r="D9" s="15"/>
      <c r="E9" s="15"/>
      <c r="F9" s="15"/>
      <c r="G9" s="15"/>
      <c r="H9" s="15"/>
    </row>
    <row r="10" spans="1:8" x14ac:dyDescent="0.45">
      <c r="A10" s="103" t="s">
        <v>107</v>
      </c>
      <c r="B10" s="15"/>
      <c r="C10" s="15"/>
      <c r="D10" s="15"/>
      <c r="E10" s="15"/>
      <c r="F10" s="15"/>
      <c r="G10" s="15"/>
      <c r="H10" s="15"/>
    </row>
    <row r="12" spans="1:8" ht="30" customHeight="1" x14ac:dyDescent="0.45">
      <c r="A12" s="24"/>
      <c r="B12" s="241" t="s">
        <v>259</v>
      </c>
      <c r="C12" s="242"/>
      <c r="D12" s="242"/>
      <c r="E12" s="242"/>
      <c r="F12" s="242"/>
      <c r="G12" s="242"/>
      <c r="H12" s="243"/>
    </row>
    <row r="13" spans="1:8" ht="63" customHeight="1" x14ac:dyDescent="0.45">
      <c r="A13" s="24"/>
      <c r="B13" s="109" t="s">
        <v>252</v>
      </c>
      <c r="C13" s="110" t="s">
        <v>253</v>
      </c>
      <c r="D13" s="110" t="s">
        <v>254</v>
      </c>
      <c r="E13" s="110" t="s">
        <v>255</v>
      </c>
      <c r="F13" s="110" t="s">
        <v>256</v>
      </c>
      <c r="G13" s="110" t="s">
        <v>257</v>
      </c>
      <c r="H13" s="110" t="s">
        <v>258</v>
      </c>
    </row>
    <row r="14" spans="1:8" x14ac:dyDescent="0.45">
      <c r="A14" s="103" t="s">
        <v>72</v>
      </c>
      <c r="B14" s="15"/>
      <c r="C14" s="15"/>
      <c r="D14" s="15"/>
      <c r="E14" s="15"/>
      <c r="F14" s="15"/>
      <c r="G14" s="15"/>
      <c r="H14" s="15"/>
    </row>
    <row r="15" spans="1:8" x14ac:dyDescent="0.45">
      <c r="A15" s="103" t="s">
        <v>103</v>
      </c>
      <c r="B15" s="15"/>
      <c r="C15" s="15"/>
      <c r="D15" s="15"/>
      <c r="E15" s="15"/>
      <c r="F15" s="15"/>
      <c r="G15" s="15"/>
      <c r="H15" s="15"/>
    </row>
    <row r="16" spans="1:8" x14ac:dyDescent="0.45">
      <c r="A16" s="103" t="s">
        <v>105</v>
      </c>
      <c r="B16" s="15"/>
      <c r="C16" s="15"/>
      <c r="D16" s="15"/>
      <c r="E16" s="15"/>
      <c r="F16" s="15"/>
      <c r="G16" s="15"/>
      <c r="H16" s="15"/>
    </row>
    <row r="17" spans="1:8" x14ac:dyDescent="0.45">
      <c r="A17" s="103" t="s">
        <v>106</v>
      </c>
      <c r="B17" s="15"/>
      <c r="C17" s="15"/>
      <c r="D17" s="15"/>
      <c r="E17" s="15"/>
      <c r="F17" s="15"/>
      <c r="G17" s="15"/>
      <c r="H17" s="15"/>
    </row>
    <row r="18" spans="1:8" x14ac:dyDescent="0.45">
      <c r="A18" s="103" t="s">
        <v>107</v>
      </c>
      <c r="B18" s="15"/>
      <c r="C18" s="15"/>
      <c r="D18" s="15"/>
      <c r="E18" s="15"/>
      <c r="F18" s="15"/>
      <c r="G18" s="15"/>
      <c r="H18" s="15"/>
    </row>
    <row r="22" spans="1:8" ht="14.65" thickBot="1" x14ac:dyDescent="0.5"/>
    <row r="23" spans="1:8" ht="14.65" thickBot="1" x14ac:dyDescent="0.5">
      <c r="A23" s="238" t="s">
        <v>260</v>
      </c>
      <c r="B23" s="239"/>
      <c r="C23" s="239"/>
      <c r="D23" s="239"/>
      <c r="E23" s="239"/>
      <c r="F23" s="239"/>
      <c r="G23" s="240"/>
    </row>
    <row r="24" spans="1:8" ht="28.9" thickBot="1" x14ac:dyDescent="0.5">
      <c r="A24" s="132"/>
      <c r="B24" s="133" t="s">
        <v>261</v>
      </c>
      <c r="C24" s="133" t="s">
        <v>262</v>
      </c>
      <c r="D24" s="133" t="s">
        <v>263</v>
      </c>
      <c r="E24" s="133" t="s">
        <v>264</v>
      </c>
      <c r="F24" s="133" t="s">
        <v>265</v>
      </c>
      <c r="G24" s="133" t="s">
        <v>266</v>
      </c>
    </row>
    <row r="25" spans="1:8" ht="14.65" thickBot="1" x14ac:dyDescent="0.5">
      <c r="A25" s="134" t="s">
        <v>267</v>
      </c>
      <c r="B25" s="135">
        <v>0.9032</v>
      </c>
      <c r="C25" s="135">
        <v>0.91720000000000002</v>
      </c>
      <c r="D25" s="135">
        <v>0.96530000000000005</v>
      </c>
      <c r="E25" s="135">
        <v>0.99790000000000001</v>
      </c>
      <c r="F25" s="135">
        <v>0.99790000000000001</v>
      </c>
      <c r="G25" s="135">
        <v>1</v>
      </c>
    </row>
    <row r="26" spans="1:8" ht="16.149999999999999" thickBot="1" x14ac:dyDescent="0.5">
      <c r="A26" s="136"/>
    </row>
    <row r="27" spans="1:8" ht="14.65" thickBot="1" x14ac:dyDescent="0.5">
      <c r="A27" s="238" t="s">
        <v>268</v>
      </c>
      <c r="B27" s="239"/>
      <c r="C27" s="239"/>
      <c r="D27" s="239"/>
      <c r="E27" s="239"/>
      <c r="F27" s="239"/>
      <c r="G27" s="240"/>
    </row>
    <row r="28" spans="1:8" ht="28.9" thickBot="1" x14ac:dyDescent="0.5">
      <c r="A28" s="132"/>
      <c r="B28" s="133" t="s">
        <v>261</v>
      </c>
      <c r="C28" s="133" t="s">
        <v>262</v>
      </c>
      <c r="D28" s="133" t="s">
        <v>263</v>
      </c>
      <c r="E28" s="133" t="s">
        <v>264</v>
      </c>
      <c r="F28" s="133" t="s">
        <v>265</v>
      </c>
      <c r="G28" s="133" t="s">
        <v>266</v>
      </c>
    </row>
    <row r="29" spans="1:8" ht="14.65" thickBot="1" x14ac:dyDescent="0.5">
      <c r="A29" s="134" t="s">
        <v>267</v>
      </c>
      <c r="B29" s="135">
        <v>0.81510000000000005</v>
      </c>
      <c r="C29" s="135">
        <v>0.84360000000000002</v>
      </c>
      <c r="D29" s="135">
        <v>0.90169999999999995</v>
      </c>
      <c r="E29" s="135">
        <v>0.9788</v>
      </c>
      <c r="F29" s="135">
        <v>0.99790000000000001</v>
      </c>
      <c r="G29" s="135">
        <v>1</v>
      </c>
    </row>
    <row r="30" spans="1:8" ht="16.149999999999999" thickBot="1" x14ac:dyDescent="0.5">
      <c r="A30" s="136"/>
    </row>
    <row r="31" spans="1:8" ht="14.65" thickBot="1" x14ac:dyDescent="0.5">
      <c r="A31" s="238" t="s">
        <v>269</v>
      </c>
      <c r="B31" s="239"/>
      <c r="C31" s="239"/>
      <c r="D31" s="239"/>
      <c r="E31" s="239"/>
      <c r="F31" s="239"/>
      <c r="G31" s="240"/>
    </row>
    <row r="32" spans="1:8" ht="28.9" thickBot="1" x14ac:dyDescent="0.5">
      <c r="A32" s="132"/>
      <c r="B32" s="133" t="s">
        <v>261</v>
      </c>
      <c r="C32" s="133" t="s">
        <v>262</v>
      </c>
      <c r="D32" s="133" t="s">
        <v>263</v>
      </c>
      <c r="E32" s="133" t="s">
        <v>264</v>
      </c>
      <c r="F32" s="133" t="s">
        <v>265</v>
      </c>
      <c r="G32" s="133" t="s">
        <v>266</v>
      </c>
    </row>
    <row r="33" spans="1:7" ht="14.65" thickBot="1" x14ac:dyDescent="0.5">
      <c r="A33" s="134" t="s">
        <v>267</v>
      </c>
      <c r="B33" s="135">
        <v>0.72299999999999998</v>
      </c>
      <c r="C33" s="135">
        <v>0.76649999999999996</v>
      </c>
      <c r="D33" s="135">
        <v>0.84299999999999997</v>
      </c>
      <c r="E33" s="135">
        <v>0.90190000000000003</v>
      </c>
      <c r="F33" s="135">
        <v>0.99719999999999998</v>
      </c>
      <c r="G33" s="135">
        <v>0.99929999999999997</v>
      </c>
    </row>
    <row r="34" spans="1:7" ht="16.149999999999999" thickBot="1" x14ac:dyDescent="0.5">
      <c r="A34" s="136"/>
    </row>
    <row r="35" spans="1:7" ht="14.65" thickBot="1" x14ac:dyDescent="0.5">
      <c r="A35" s="238" t="s">
        <v>260</v>
      </c>
      <c r="B35" s="239"/>
      <c r="C35" s="239"/>
      <c r="D35" s="239"/>
      <c r="E35" s="239"/>
      <c r="F35" s="239"/>
      <c r="G35" s="240"/>
    </row>
    <row r="36" spans="1:7" ht="28.9" thickBot="1" x14ac:dyDescent="0.5">
      <c r="A36" s="132"/>
      <c r="B36" s="133" t="s">
        <v>261</v>
      </c>
      <c r="C36" s="133" t="s">
        <v>262</v>
      </c>
      <c r="D36" s="133" t="s">
        <v>263</v>
      </c>
      <c r="E36" s="133" t="s">
        <v>264</v>
      </c>
      <c r="F36" s="133" t="s">
        <v>265</v>
      </c>
      <c r="G36" s="133" t="s">
        <v>266</v>
      </c>
    </row>
    <row r="37" spans="1:7" ht="14.65" thickBot="1" x14ac:dyDescent="0.5">
      <c r="A37" s="134" t="s">
        <v>270</v>
      </c>
      <c r="B37" s="135">
        <v>0.91139999999999999</v>
      </c>
      <c r="C37" s="135">
        <v>0.96819999999999995</v>
      </c>
      <c r="D37" s="135">
        <v>0.99360000000000004</v>
      </c>
      <c r="E37" s="135">
        <v>0.99419999999999997</v>
      </c>
      <c r="F37" s="135">
        <v>0.99439999999999995</v>
      </c>
      <c r="G37" s="135">
        <v>1</v>
      </c>
    </row>
    <row r="38" spans="1:7" ht="16.149999999999999" thickBot="1" x14ac:dyDescent="0.5">
      <c r="A38" s="136"/>
    </row>
    <row r="39" spans="1:7" ht="14.65" thickBot="1" x14ac:dyDescent="0.5">
      <c r="A39" s="238" t="s">
        <v>268</v>
      </c>
      <c r="B39" s="239"/>
      <c r="C39" s="239"/>
      <c r="D39" s="239"/>
      <c r="E39" s="239"/>
      <c r="F39" s="239"/>
      <c r="G39" s="240"/>
    </row>
    <row r="40" spans="1:7" ht="28.9" thickBot="1" x14ac:dyDescent="0.5">
      <c r="A40" s="132"/>
      <c r="B40" s="137" t="s">
        <v>261</v>
      </c>
      <c r="C40" s="137" t="s">
        <v>262</v>
      </c>
      <c r="D40" s="137" t="s">
        <v>263</v>
      </c>
      <c r="E40" s="137" t="s">
        <v>264</v>
      </c>
      <c r="F40" s="137" t="s">
        <v>265</v>
      </c>
      <c r="G40" s="137" t="s">
        <v>266</v>
      </c>
    </row>
    <row r="41" spans="1:7" ht="14.65" thickBot="1" x14ac:dyDescent="0.5">
      <c r="A41" s="134" t="s">
        <v>270</v>
      </c>
      <c r="B41" s="138">
        <v>0.79269999999999996</v>
      </c>
      <c r="C41" s="138">
        <v>0.90390000000000004</v>
      </c>
      <c r="D41" s="138">
        <v>0.9778</v>
      </c>
      <c r="E41" s="138">
        <v>0.99399999999999999</v>
      </c>
      <c r="F41" s="138">
        <v>0.99439999999999995</v>
      </c>
      <c r="G41" s="138">
        <v>1</v>
      </c>
    </row>
    <row r="42" spans="1:7" ht="16.149999999999999" thickBot="1" x14ac:dyDescent="0.5">
      <c r="A42" s="136"/>
    </row>
    <row r="43" spans="1:7" ht="14.65" thickBot="1" x14ac:dyDescent="0.5">
      <c r="A43" s="238" t="s">
        <v>269</v>
      </c>
      <c r="B43" s="239"/>
      <c r="C43" s="239"/>
      <c r="D43" s="239"/>
      <c r="E43" s="239"/>
      <c r="F43" s="239"/>
      <c r="G43" s="240"/>
    </row>
    <row r="44" spans="1:7" ht="28.9" thickBot="1" x14ac:dyDescent="0.5">
      <c r="A44" s="132"/>
      <c r="B44" s="133" t="s">
        <v>261</v>
      </c>
      <c r="C44" s="133" t="s">
        <v>262</v>
      </c>
      <c r="D44" s="133" t="s">
        <v>263</v>
      </c>
      <c r="E44" s="133" t="s">
        <v>264</v>
      </c>
      <c r="F44" s="133" t="s">
        <v>265</v>
      </c>
      <c r="G44" s="133" t="s">
        <v>266</v>
      </c>
    </row>
    <row r="45" spans="1:7" ht="14.65" thickBot="1" x14ac:dyDescent="0.5">
      <c r="A45" s="134" t="s">
        <v>270</v>
      </c>
      <c r="B45" s="135">
        <v>0.67200000000000004</v>
      </c>
      <c r="C45" s="135">
        <v>0.74139999999999995</v>
      </c>
      <c r="D45" s="135">
        <v>0.94510000000000005</v>
      </c>
      <c r="E45" s="135">
        <v>0.97809999999999997</v>
      </c>
      <c r="F45" s="135">
        <v>0.99439999999999995</v>
      </c>
      <c r="G45" s="135">
        <v>1</v>
      </c>
    </row>
    <row r="46" spans="1:7" ht="15.75" x14ac:dyDescent="0.45">
      <c r="A46" s="136"/>
    </row>
  </sheetData>
  <mergeCells count="8">
    <mergeCell ref="A35:G35"/>
    <mergeCell ref="A39:G39"/>
    <mergeCell ref="A43:G43"/>
    <mergeCell ref="B4:H4"/>
    <mergeCell ref="B12:H12"/>
    <mergeCell ref="A23:G23"/>
    <mergeCell ref="A27:G27"/>
    <mergeCell ref="A31:G31"/>
  </mergeCells>
  <phoneticPr fontId="17" type="noConversion"/>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42544-092D-4F09-94D7-435C4B0CE094}">
  <sheetPr codeName="Sheet7"/>
  <dimension ref="A1:K11"/>
  <sheetViews>
    <sheetView workbookViewId="0">
      <selection activeCell="A10" sqref="A10"/>
    </sheetView>
  </sheetViews>
  <sheetFormatPr defaultRowHeight="14.25" x14ac:dyDescent="0.45"/>
  <cols>
    <col min="1" max="1" width="63.6640625" customWidth="1"/>
    <col min="2" max="2" width="10.33203125" bestFit="1" customWidth="1"/>
    <col min="3" max="3" width="11" bestFit="1" customWidth="1"/>
    <col min="4" max="4" width="10.33203125" bestFit="1" customWidth="1"/>
    <col min="5" max="5" width="11" bestFit="1" customWidth="1"/>
    <col min="6" max="6" width="10.33203125" bestFit="1" customWidth="1"/>
    <col min="7" max="7" width="11" bestFit="1" customWidth="1"/>
    <col min="8" max="8" width="10.33203125" bestFit="1" customWidth="1"/>
    <col min="9" max="9" width="11" bestFit="1" customWidth="1"/>
    <col min="10" max="10" width="11.33203125" bestFit="1" customWidth="1"/>
  </cols>
  <sheetData>
    <row r="1" spans="1:11" ht="20" customHeight="1" x14ac:dyDescent="0.45">
      <c r="A1" s="100" t="s">
        <v>271</v>
      </c>
    </row>
    <row r="4" spans="1:11" ht="15.75" x14ac:dyDescent="0.5">
      <c r="A4" s="102" t="s">
        <v>272</v>
      </c>
      <c r="B4" s="102" t="s">
        <v>72</v>
      </c>
      <c r="C4" s="102" t="s">
        <v>213</v>
      </c>
      <c r="D4" s="102" t="s">
        <v>103</v>
      </c>
      <c r="E4" s="102" t="s">
        <v>213</v>
      </c>
      <c r="F4" s="102" t="s">
        <v>105</v>
      </c>
      <c r="G4" s="102" t="s">
        <v>213</v>
      </c>
      <c r="H4" s="102" t="s">
        <v>106</v>
      </c>
      <c r="I4" s="102" t="s">
        <v>213</v>
      </c>
      <c r="J4" s="102" t="s">
        <v>107</v>
      </c>
      <c r="K4" s="102" t="s">
        <v>213</v>
      </c>
    </row>
    <row r="5" spans="1:11" x14ac:dyDescent="0.45">
      <c r="A5" s="15" t="s">
        <v>273</v>
      </c>
      <c r="B5" s="108"/>
      <c r="C5" s="108"/>
      <c r="D5" s="108"/>
      <c r="E5" s="108"/>
      <c r="F5" s="108"/>
      <c r="G5" s="108"/>
      <c r="H5" s="108"/>
      <c r="I5" s="108"/>
      <c r="J5" s="108"/>
      <c r="K5" s="108"/>
    </row>
    <row r="6" spans="1:11" x14ac:dyDescent="0.45">
      <c r="A6" s="15" t="s">
        <v>274</v>
      </c>
      <c r="B6" s="108"/>
      <c r="C6" s="108"/>
      <c r="D6" s="108"/>
      <c r="E6" s="108"/>
      <c r="F6" s="108"/>
      <c r="G6" s="108"/>
      <c r="H6" s="108"/>
      <c r="I6" s="108"/>
      <c r="J6" s="108"/>
      <c r="K6" s="108"/>
    </row>
    <row r="7" spans="1:11" x14ac:dyDescent="0.45">
      <c r="A7" s="15" t="s">
        <v>275</v>
      </c>
      <c r="B7" s="108"/>
      <c r="C7" s="108"/>
      <c r="D7" s="108"/>
      <c r="E7" s="108"/>
      <c r="F7" s="108"/>
      <c r="G7" s="108"/>
      <c r="H7" s="108"/>
      <c r="I7" s="108"/>
      <c r="J7" s="108"/>
      <c r="K7" s="108"/>
    </row>
    <row r="8" spans="1:11" x14ac:dyDescent="0.45">
      <c r="A8" s="15" t="s">
        <v>276</v>
      </c>
      <c r="B8" s="108"/>
      <c r="C8" s="108"/>
      <c r="D8" s="108"/>
      <c r="E8" s="108"/>
      <c r="F8" s="108"/>
      <c r="G8" s="108"/>
      <c r="H8" s="108"/>
      <c r="I8" s="108"/>
      <c r="J8" s="108"/>
      <c r="K8" s="108"/>
    </row>
    <row r="9" spans="1:11" x14ac:dyDescent="0.45">
      <c r="A9" s="15" t="s">
        <v>277</v>
      </c>
      <c r="B9" s="108"/>
      <c r="C9" s="108"/>
      <c r="D9" s="108"/>
      <c r="E9" s="108"/>
      <c r="F9" s="108"/>
      <c r="G9" s="108"/>
      <c r="H9" s="108"/>
      <c r="I9" s="108"/>
      <c r="J9" s="108"/>
      <c r="K9" s="108"/>
    </row>
    <row r="10" spans="1:11" x14ac:dyDescent="0.45">
      <c r="A10" s="15" t="s">
        <v>278</v>
      </c>
      <c r="B10" s="108"/>
      <c r="C10" s="108"/>
      <c r="D10" s="108"/>
      <c r="E10" s="108"/>
      <c r="F10" s="108"/>
      <c r="G10" s="108"/>
      <c r="H10" s="108"/>
      <c r="I10" s="108"/>
      <c r="J10" s="108"/>
      <c r="K10" s="108"/>
    </row>
    <row r="11" spans="1:11" x14ac:dyDescent="0.45">
      <c r="A11" s="15" t="s">
        <v>279</v>
      </c>
      <c r="B11" s="108"/>
      <c r="C11" s="108"/>
      <c r="D11" s="108"/>
      <c r="E11" s="108"/>
      <c r="F11" s="108"/>
      <c r="G11" s="108"/>
      <c r="H11" s="108"/>
      <c r="I11" s="108"/>
      <c r="J11" s="108"/>
      <c r="K11" s="108"/>
    </row>
  </sheetData>
  <phoneticPr fontId="17" type="noConversion"/>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446B53-6F4A-4AE7-9E73-7F6627CBF9B0}">
  <sheetPr codeName="Sheet8"/>
  <dimension ref="A3:J30"/>
  <sheetViews>
    <sheetView workbookViewId="0">
      <pane xSplit="1" ySplit="3" topLeftCell="C4" activePane="bottomRight" state="frozen"/>
      <selection pane="topRight" activeCell="B1" sqref="B1"/>
      <selection pane="bottomLeft" activeCell="A4" sqref="A4"/>
      <selection pane="bottomRight" activeCell="C16" sqref="C16"/>
    </sheetView>
  </sheetViews>
  <sheetFormatPr defaultRowHeight="14.25" x14ac:dyDescent="0.45"/>
  <cols>
    <col min="1" max="1" width="56.53125" customWidth="1"/>
    <col min="2" max="2" width="35.6640625" customWidth="1"/>
    <col min="3" max="3" width="45.6640625" bestFit="1" customWidth="1"/>
    <col min="4" max="4" width="17.33203125" customWidth="1"/>
    <col min="5" max="5" width="25.33203125" customWidth="1"/>
    <col min="6" max="6" width="23" customWidth="1"/>
  </cols>
  <sheetData>
    <row r="3" spans="1:6" ht="28.5" x14ac:dyDescent="0.45">
      <c r="A3" s="104" t="s">
        <v>280</v>
      </c>
      <c r="B3" s="105" t="s">
        <v>281</v>
      </c>
      <c r="C3" s="105" t="s">
        <v>282</v>
      </c>
      <c r="D3" s="105" t="s">
        <v>283</v>
      </c>
      <c r="E3" s="105" t="s">
        <v>284</v>
      </c>
      <c r="F3" s="105" t="s">
        <v>285</v>
      </c>
    </row>
    <row r="4" spans="1:6" x14ac:dyDescent="0.45">
      <c r="A4" s="111" t="s">
        <v>111</v>
      </c>
      <c r="B4" s="85" t="s">
        <v>286</v>
      </c>
      <c r="C4" s="85" t="s">
        <v>287</v>
      </c>
      <c r="D4" s="85" t="s">
        <v>288</v>
      </c>
      <c r="E4" s="85" t="s">
        <v>289</v>
      </c>
      <c r="F4" s="17" t="s">
        <v>290</v>
      </c>
    </row>
    <row r="5" spans="1:6" x14ac:dyDescent="0.45">
      <c r="A5" s="111" t="s">
        <v>114</v>
      </c>
      <c r="B5" s="85" t="s">
        <v>291</v>
      </c>
      <c r="C5" s="85" t="s">
        <v>292</v>
      </c>
      <c r="D5" s="128">
        <v>0.03</v>
      </c>
      <c r="E5" s="85" t="s">
        <v>293</v>
      </c>
      <c r="F5" s="130">
        <v>0.05</v>
      </c>
    </row>
    <row r="6" spans="1:6" x14ac:dyDescent="0.45">
      <c r="A6" s="111" t="s">
        <v>116</v>
      </c>
      <c r="B6" s="85" t="s">
        <v>291</v>
      </c>
      <c r="C6" s="85" t="s">
        <v>292</v>
      </c>
      <c r="D6" s="85" t="s">
        <v>29</v>
      </c>
      <c r="E6" s="85" t="s">
        <v>294</v>
      </c>
      <c r="F6" s="17" t="s">
        <v>29</v>
      </c>
    </row>
    <row r="7" spans="1:6" x14ac:dyDescent="0.45">
      <c r="A7" s="111" t="s">
        <v>118</v>
      </c>
      <c r="B7" s="85" t="s">
        <v>295</v>
      </c>
      <c r="C7" s="85" t="s">
        <v>296</v>
      </c>
      <c r="D7" s="128">
        <v>7.0000000000000007E-2</v>
      </c>
      <c r="E7" s="85" t="s">
        <v>297</v>
      </c>
      <c r="F7" s="130">
        <v>0.08</v>
      </c>
    </row>
    <row r="8" spans="1:6" x14ac:dyDescent="0.45">
      <c r="A8" s="111" t="s">
        <v>120</v>
      </c>
      <c r="B8" s="85" t="s">
        <v>298</v>
      </c>
      <c r="C8" s="85" t="s">
        <v>292</v>
      </c>
      <c r="D8" s="85" t="s">
        <v>29</v>
      </c>
      <c r="E8" s="85" t="s">
        <v>299</v>
      </c>
      <c r="F8" s="17" t="s">
        <v>29</v>
      </c>
    </row>
    <row r="9" spans="1:6" x14ac:dyDescent="0.45">
      <c r="A9" s="111" t="s">
        <v>122</v>
      </c>
      <c r="B9" s="85" t="s">
        <v>300</v>
      </c>
      <c r="C9" s="85" t="s">
        <v>301</v>
      </c>
      <c r="D9" s="85" t="s">
        <v>302</v>
      </c>
      <c r="E9" s="85" t="s">
        <v>303</v>
      </c>
      <c r="F9" s="17" t="s">
        <v>288</v>
      </c>
    </row>
    <row r="10" spans="1:6" x14ac:dyDescent="0.45">
      <c r="A10" s="111" t="s">
        <v>124</v>
      </c>
      <c r="B10" s="85" t="s">
        <v>300</v>
      </c>
      <c r="C10" s="127" t="s">
        <v>304</v>
      </c>
      <c r="D10" s="128">
        <v>0.03</v>
      </c>
      <c r="E10" s="85" t="s">
        <v>305</v>
      </c>
      <c r="F10" s="17" t="s">
        <v>306</v>
      </c>
    </row>
    <row r="11" spans="1:6" x14ac:dyDescent="0.45">
      <c r="A11" s="111" t="s">
        <v>126</v>
      </c>
      <c r="B11" s="85" t="s">
        <v>307</v>
      </c>
      <c r="C11" s="85" t="s">
        <v>308</v>
      </c>
      <c r="D11" s="85" t="s">
        <v>29</v>
      </c>
      <c r="E11" s="85" t="s">
        <v>309</v>
      </c>
      <c r="F11" s="17" t="s">
        <v>29</v>
      </c>
    </row>
    <row r="12" spans="1:6" x14ac:dyDescent="0.45">
      <c r="A12" s="111" t="s">
        <v>128</v>
      </c>
      <c r="B12" s="85" t="s">
        <v>300</v>
      </c>
      <c r="C12" s="85" t="s">
        <v>301</v>
      </c>
      <c r="D12" s="85" t="s">
        <v>29</v>
      </c>
      <c r="E12" s="85" t="s">
        <v>310</v>
      </c>
      <c r="F12" s="17" t="s">
        <v>29</v>
      </c>
    </row>
    <row r="13" spans="1:6" x14ac:dyDescent="0.45">
      <c r="A13" s="111" t="s">
        <v>129</v>
      </c>
      <c r="B13" s="85" t="s">
        <v>300</v>
      </c>
      <c r="C13" s="127" t="s">
        <v>311</v>
      </c>
      <c r="D13" s="85" t="s">
        <v>29</v>
      </c>
      <c r="E13" s="85" t="s">
        <v>312</v>
      </c>
      <c r="F13" s="17" t="s">
        <v>29</v>
      </c>
    </row>
    <row r="14" spans="1:6" x14ac:dyDescent="0.45">
      <c r="A14" s="111" t="s">
        <v>130</v>
      </c>
      <c r="B14" s="85" t="s">
        <v>313</v>
      </c>
      <c r="C14" s="85" t="s">
        <v>314</v>
      </c>
      <c r="D14" s="85" t="s">
        <v>29</v>
      </c>
      <c r="E14" s="85" t="s">
        <v>315</v>
      </c>
      <c r="F14" s="17" t="s">
        <v>316</v>
      </c>
    </row>
    <row r="15" spans="1:6" x14ac:dyDescent="0.45">
      <c r="A15" s="111" t="s">
        <v>131</v>
      </c>
      <c r="B15" s="85" t="s">
        <v>317</v>
      </c>
      <c r="C15" s="85" t="s">
        <v>318</v>
      </c>
      <c r="D15" s="85" t="s">
        <v>29</v>
      </c>
      <c r="E15" s="85" t="s">
        <v>299</v>
      </c>
      <c r="F15" s="17" t="s">
        <v>29</v>
      </c>
    </row>
    <row r="16" spans="1:6" x14ac:dyDescent="0.45">
      <c r="A16" s="111" t="s">
        <v>132</v>
      </c>
      <c r="B16" s="85" t="s">
        <v>319</v>
      </c>
      <c r="C16" s="85" t="s">
        <v>320</v>
      </c>
      <c r="D16" s="85" t="s">
        <v>29</v>
      </c>
      <c r="E16" s="85" t="s">
        <v>299</v>
      </c>
      <c r="F16" s="17" t="s">
        <v>29</v>
      </c>
    </row>
    <row r="17" spans="1:10" x14ac:dyDescent="0.45">
      <c r="A17" s="111" t="s">
        <v>133</v>
      </c>
      <c r="B17" s="85" t="s">
        <v>321</v>
      </c>
      <c r="C17" t="s">
        <v>322</v>
      </c>
      <c r="D17" s="85" t="s">
        <v>29</v>
      </c>
      <c r="E17" s="85" t="s">
        <v>321</v>
      </c>
      <c r="F17" s="17" t="s">
        <v>29</v>
      </c>
    </row>
    <row r="18" spans="1:10" x14ac:dyDescent="0.45">
      <c r="A18" s="111" t="s">
        <v>134</v>
      </c>
      <c r="B18" s="85" t="s">
        <v>323</v>
      </c>
      <c r="C18" s="85" t="s">
        <v>324</v>
      </c>
      <c r="D18" s="85" t="s">
        <v>29</v>
      </c>
      <c r="E18" s="85" t="s">
        <v>325</v>
      </c>
      <c r="F18" s="17" t="s">
        <v>29</v>
      </c>
    </row>
    <row r="19" spans="1:10" x14ac:dyDescent="0.45">
      <c r="A19" s="111" t="s">
        <v>112</v>
      </c>
      <c r="B19" s="85" t="s">
        <v>326</v>
      </c>
      <c r="C19" s="85" t="s">
        <v>327</v>
      </c>
      <c r="D19" s="85" t="s">
        <v>328</v>
      </c>
      <c r="E19" s="85" t="s">
        <v>329</v>
      </c>
      <c r="F19" s="17" t="s">
        <v>29</v>
      </c>
    </row>
    <row r="20" spans="1:10" x14ac:dyDescent="0.45">
      <c r="A20" s="111" t="s">
        <v>115</v>
      </c>
      <c r="B20" s="85" t="s">
        <v>326</v>
      </c>
      <c r="C20" s="85" t="s">
        <v>330</v>
      </c>
      <c r="D20" s="85" t="s">
        <v>328</v>
      </c>
      <c r="E20" s="85" t="s">
        <v>329</v>
      </c>
      <c r="F20" s="17" t="s">
        <v>331</v>
      </c>
    </row>
    <row r="21" spans="1:10" x14ac:dyDescent="0.45">
      <c r="A21" s="111" t="s">
        <v>117</v>
      </c>
      <c r="B21" s="85" t="s">
        <v>326</v>
      </c>
      <c r="C21" s="85" t="s">
        <v>327</v>
      </c>
      <c r="D21" s="128">
        <v>0.02</v>
      </c>
      <c r="E21" s="85" t="s">
        <v>332</v>
      </c>
      <c r="F21" s="17" t="s">
        <v>333</v>
      </c>
    </row>
    <row r="22" spans="1:10" x14ac:dyDescent="0.45">
      <c r="A22" s="111" t="s">
        <v>119</v>
      </c>
      <c r="B22" s="85" t="s">
        <v>334</v>
      </c>
      <c r="C22" s="85" t="s">
        <v>335</v>
      </c>
      <c r="D22" s="85" t="s">
        <v>336</v>
      </c>
      <c r="E22" s="85" t="s">
        <v>337</v>
      </c>
      <c r="F22" s="131">
        <v>1.4999999999999999E-2</v>
      </c>
    </row>
    <row r="23" spans="1:10" ht="42.75" x14ac:dyDescent="0.45">
      <c r="A23" s="111" t="s">
        <v>121</v>
      </c>
      <c r="B23" s="85" t="s">
        <v>338</v>
      </c>
      <c r="C23" s="127" t="s">
        <v>339</v>
      </c>
      <c r="D23" s="128">
        <v>0.01</v>
      </c>
      <c r="E23" s="85" t="s">
        <v>337</v>
      </c>
      <c r="F23" s="130">
        <v>0.03</v>
      </c>
    </row>
    <row r="24" spans="1:10" x14ac:dyDescent="0.45">
      <c r="A24" s="111" t="s">
        <v>123</v>
      </c>
      <c r="B24" s="85" t="s">
        <v>340</v>
      </c>
      <c r="C24" s="127" t="s">
        <v>341</v>
      </c>
      <c r="D24" s="85" t="s">
        <v>342</v>
      </c>
      <c r="E24" s="85" t="s">
        <v>340</v>
      </c>
      <c r="F24" s="17" t="s">
        <v>29</v>
      </c>
    </row>
    <row r="25" spans="1:10" ht="28.5" x14ac:dyDescent="0.45">
      <c r="A25" s="111" t="s">
        <v>125</v>
      </c>
      <c r="B25" s="85" t="s">
        <v>343</v>
      </c>
      <c r="C25" s="24" t="s">
        <v>344</v>
      </c>
      <c r="D25" s="128">
        <v>0.02</v>
      </c>
      <c r="E25" s="85" t="s">
        <v>345</v>
      </c>
      <c r="F25" s="17" t="s">
        <v>29</v>
      </c>
    </row>
    <row r="26" spans="1:10" x14ac:dyDescent="0.45">
      <c r="A26" s="111" t="s">
        <v>127</v>
      </c>
      <c r="B26" s="85" t="s">
        <v>343</v>
      </c>
      <c r="C26" s="85" t="s">
        <v>327</v>
      </c>
      <c r="D26" s="85" t="s">
        <v>346</v>
      </c>
      <c r="E26" s="85" t="s">
        <v>345</v>
      </c>
      <c r="F26" s="17" t="s">
        <v>29</v>
      </c>
    </row>
    <row r="30" spans="1:10" x14ac:dyDescent="0.45">
      <c r="E30" s="111"/>
      <c r="F30" s="85"/>
      <c r="G30" s="85"/>
      <c r="H30" s="85"/>
      <c r="I30" s="85"/>
      <c r="J30" s="17"/>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214513-14F4-4656-B211-302FA75DF4BB}">
  <sheetPr codeName="Sheet9"/>
  <dimension ref="B1:H19"/>
  <sheetViews>
    <sheetView workbookViewId="0">
      <selection activeCell="H28" sqref="H28"/>
    </sheetView>
  </sheetViews>
  <sheetFormatPr defaultRowHeight="14.25" x14ac:dyDescent="0.45"/>
  <cols>
    <col min="2" max="2" width="17.33203125" customWidth="1"/>
    <col min="3" max="3" width="49.6640625" customWidth="1"/>
    <col min="4" max="4" width="15.6640625" customWidth="1"/>
    <col min="5" max="5" width="25" customWidth="1"/>
    <col min="6" max="6" width="26.6640625" customWidth="1"/>
    <col min="7" max="7" width="24.46484375" customWidth="1"/>
    <col min="8" max="8" width="29.53125" customWidth="1"/>
  </cols>
  <sheetData>
    <row r="1" spans="2:8" ht="14.65" thickBot="1" x14ac:dyDescent="0.5"/>
    <row r="2" spans="2:8" ht="33.4" x14ac:dyDescent="0.9">
      <c r="B2" s="9" t="s">
        <v>0</v>
      </c>
      <c r="C2" s="10"/>
      <c r="D2" s="10"/>
      <c r="E2" s="10"/>
      <c r="F2" s="10"/>
      <c r="G2" s="11"/>
    </row>
    <row r="3" spans="2:8" ht="31.15" thickBot="1" x14ac:dyDescent="0.95">
      <c r="B3" s="21" t="s">
        <v>347</v>
      </c>
      <c r="C3" s="20"/>
      <c r="D3" s="20"/>
      <c r="E3" s="20"/>
      <c r="F3" s="20"/>
      <c r="G3" s="22"/>
    </row>
    <row r="4" spans="2:8" ht="14.65" thickBot="1" x14ac:dyDescent="0.5">
      <c r="B4" s="164" t="s">
        <v>71</v>
      </c>
      <c r="C4" s="165"/>
      <c r="D4" s="165"/>
      <c r="E4" s="165"/>
      <c r="F4" s="165"/>
      <c r="G4" s="166"/>
    </row>
    <row r="7" spans="2:8" x14ac:dyDescent="0.45">
      <c r="B7" s="183" t="s">
        <v>348</v>
      </c>
      <c r="C7" s="184"/>
      <c r="D7" s="244"/>
      <c r="E7" s="245" t="s">
        <v>349</v>
      </c>
      <c r="F7" s="246"/>
      <c r="G7" s="246"/>
      <c r="H7" s="246"/>
    </row>
    <row r="8" spans="2:8" ht="28.5" x14ac:dyDescent="0.45">
      <c r="B8" s="4" t="s">
        <v>350</v>
      </c>
      <c r="C8" s="4" t="s">
        <v>351</v>
      </c>
      <c r="D8" s="50" t="s">
        <v>352</v>
      </c>
      <c r="E8" s="50" t="s">
        <v>353</v>
      </c>
      <c r="F8" s="50" t="s">
        <v>354</v>
      </c>
      <c r="G8" s="50" t="s">
        <v>355</v>
      </c>
      <c r="H8" s="50" t="s">
        <v>356</v>
      </c>
    </row>
    <row r="9" spans="2:8" x14ac:dyDescent="0.45">
      <c r="B9" s="122" t="s">
        <v>357</v>
      </c>
      <c r="C9" s="123" t="s">
        <v>358</v>
      </c>
      <c r="D9" s="126">
        <v>2E-3</v>
      </c>
      <c r="E9" s="124" t="s">
        <v>359</v>
      </c>
      <c r="F9" s="124" t="s">
        <v>360</v>
      </c>
      <c r="G9" s="125" t="s">
        <v>361</v>
      </c>
      <c r="H9" s="124" t="s">
        <v>362</v>
      </c>
    </row>
    <row r="10" spans="2:8" x14ac:dyDescent="0.45">
      <c r="B10" s="15"/>
      <c r="C10" s="16"/>
      <c r="D10" s="18"/>
      <c r="E10" s="18"/>
      <c r="F10" s="18"/>
      <c r="G10" s="121"/>
      <c r="H10" s="18"/>
    </row>
    <row r="11" spans="2:8" x14ac:dyDescent="0.45">
      <c r="B11" s="15"/>
      <c r="C11" s="15"/>
      <c r="D11" s="15"/>
      <c r="E11" s="15"/>
      <c r="F11" s="15"/>
      <c r="G11" s="15"/>
      <c r="H11" s="15"/>
    </row>
    <row r="12" spans="2:8" x14ac:dyDescent="0.45">
      <c r="B12" s="15"/>
      <c r="C12" s="15"/>
      <c r="D12" s="15"/>
      <c r="E12" s="15"/>
      <c r="F12" s="15"/>
      <c r="G12" s="15"/>
      <c r="H12" s="15"/>
    </row>
    <row r="13" spans="2:8" x14ac:dyDescent="0.45">
      <c r="B13" s="15"/>
      <c r="C13" s="15"/>
      <c r="D13" s="15"/>
      <c r="E13" s="15"/>
      <c r="F13" s="15"/>
      <c r="G13" s="15"/>
      <c r="H13" s="15"/>
    </row>
    <row r="14" spans="2:8" x14ac:dyDescent="0.45">
      <c r="B14" s="15"/>
      <c r="C14" s="15"/>
      <c r="D14" s="15"/>
      <c r="E14" s="15"/>
      <c r="F14" s="15"/>
      <c r="G14" s="15"/>
      <c r="H14" s="15"/>
    </row>
    <row r="15" spans="2:8" x14ac:dyDescent="0.45">
      <c r="B15" s="15"/>
      <c r="C15" s="15"/>
      <c r="D15" s="15"/>
      <c r="E15" s="15"/>
      <c r="F15" s="15"/>
      <c r="G15" s="15"/>
      <c r="H15" s="15"/>
    </row>
    <row r="16" spans="2:8" x14ac:dyDescent="0.45">
      <c r="B16" s="15"/>
      <c r="C16" s="15"/>
      <c r="D16" s="15"/>
      <c r="E16" s="15"/>
      <c r="F16" s="15"/>
      <c r="G16" s="15"/>
      <c r="H16" s="15"/>
    </row>
    <row r="17" spans="2:8" x14ac:dyDescent="0.45">
      <c r="B17" s="15"/>
      <c r="C17" s="15"/>
      <c r="D17" s="15"/>
      <c r="E17" s="15"/>
      <c r="F17" s="15"/>
      <c r="G17" s="15"/>
      <c r="H17" s="15"/>
    </row>
    <row r="18" spans="2:8" x14ac:dyDescent="0.45">
      <c r="B18" s="15"/>
      <c r="C18" s="15"/>
      <c r="D18" s="15"/>
      <c r="E18" s="15"/>
      <c r="F18" s="15"/>
      <c r="G18" s="15"/>
      <c r="H18" s="15"/>
    </row>
    <row r="19" spans="2:8" x14ac:dyDescent="0.45">
      <c r="B19" s="15"/>
      <c r="C19" s="15"/>
      <c r="D19" s="15"/>
      <c r="E19" s="15"/>
      <c r="F19" s="15"/>
      <c r="G19" s="15"/>
      <c r="H19" s="15"/>
    </row>
  </sheetData>
  <mergeCells count="3">
    <mergeCell ref="B7:D7"/>
    <mergeCell ref="E7:H7"/>
    <mergeCell ref="B4:G4"/>
  </mergeCells>
  <pageMargins left="0.7" right="0.7" top="0.75" bottom="0.75" header="0.3" footer="0.3"/>
  <ignoredErrors>
    <ignoredError sqref="G9" numberStoredAsText="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19CD60-1C0A-40BF-A9A4-1A8F8608603C}">
  <sheetPr codeName="Sheet10"/>
  <dimension ref="A1:K1"/>
  <sheetViews>
    <sheetView workbookViewId="0">
      <selection activeCell="M16" sqref="M16"/>
    </sheetView>
  </sheetViews>
  <sheetFormatPr defaultRowHeight="14.25" x14ac:dyDescent="0.45"/>
  <cols>
    <col min="2" max="2" width="10" customWidth="1"/>
  </cols>
  <sheetData>
    <row r="1" spans="1:11" x14ac:dyDescent="0.45">
      <c r="A1" s="106" t="s">
        <v>363</v>
      </c>
      <c r="B1" s="106"/>
      <c r="C1" s="106"/>
      <c r="D1" s="106"/>
      <c r="E1" s="106"/>
      <c r="F1" s="106"/>
      <c r="G1" s="106"/>
      <c r="H1" s="106"/>
      <c r="I1" s="106"/>
      <c r="J1" s="106"/>
      <c r="K1" s="106"/>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AF6D44-797D-4B5B-87BB-3C64FC7BA513}">
  <sheetPr codeName="Sheet12"/>
  <dimension ref="B1:BY40"/>
  <sheetViews>
    <sheetView workbookViewId="0"/>
  </sheetViews>
  <sheetFormatPr defaultRowHeight="14.25" x14ac:dyDescent="0.45"/>
  <cols>
    <col min="2" max="2" width="1.53125" customWidth="1"/>
    <col min="3" max="3" width="53.6640625" bestFit="1" customWidth="1"/>
    <col min="4" max="4" width="27" customWidth="1"/>
    <col min="5" max="5" width="27.33203125" customWidth="1"/>
    <col min="6" max="6" width="1" customWidth="1"/>
    <col min="7" max="8" width="1.33203125" style="34" customWidth="1"/>
    <col min="9" max="9" width="0.53125" customWidth="1"/>
    <col min="10" max="10" width="1.53125" customWidth="1"/>
    <col min="11" max="11" width="53.6640625" bestFit="1" customWidth="1"/>
    <col min="12" max="12" width="23.6640625" customWidth="1"/>
    <col min="13" max="13" width="21.6640625" customWidth="1"/>
    <col min="14" max="14" width="1" customWidth="1"/>
    <col min="15" max="16" width="1.33203125" style="34" customWidth="1"/>
    <col min="17" max="17" width="0.53125" customWidth="1"/>
    <col min="18" max="18" width="1.53125" customWidth="1"/>
    <col min="19" max="19" width="53.6640625" bestFit="1" customWidth="1"/>
    <col min="20" max="20" width="22.46484375" customWidth="1"/>
    <col min="21" max="21" width="22.6640625" customWidth="1"/>
    <col min="22" max="22" width="1" customWidth="1"/>
    <col min="23" max="24" width="1.33203125" style="34" customWidth="1"/>
    <col min="25" max="25" width="0.53125" customWidth="1"/>
    <col min="26" max="26" width="1.53125" customWidth="1"/>
    <col min="27" max="27" width="53.6640625" bestFit="1" customWidth="1"/>
    <col min="28" max="28" width="22.33203125" customWidth="1"/>
    <col min="29" max="29" width="21.33203125" customWidth="1"/>
    <col min="30" max="30" width="1" customWidth="1"/>
    <col min="31" max="32" width="1.33203125" style="34" customWidth="1"/>
    <col min="33" max="33" width="0.53125" customWidth="1"/>
    <col min="34" max="34" width="1.53125" customWidth="1"/>
    <col min="35" max="35" width="53.6640625" bestFit="1" customWidth="1"/>
    <col min="36" max="36" width="21.6640625" customWidth="1"/>
    <col min="37" max="37" width="21.46484375" customWidth="1"/>
    <col min="38" max="38" width="1" customWidth="1"/>
    <col min="39" max="40" width="1.33203125" style="34" customWidth="1"/>
    <col min="41" max="41" width="0.53125" customWidth="1"/>
    <col min="42" max="42" width="1.53125" customWidth="1"/>
    <col min="43" max="43" width="53.6640625" bestFit="1" customWidth="1"/>
    <col min="44" max="44" width="21.53125" customWidth="1"/>
    <col min="45" max="45" width="21.6640625" customWidth="1"/>
    <col min="46" max="46" width="1" customWidth="1"/>
    <col min="47" max="48" width="1.33203125" style="34" customWidth="1"/>
    <col min="49" max="49" width="0.53125" customWidth="1"/>
    <col min="50" max="50" width="1.53125" customWidth="1"/>
    <col min="51" max="51" width="53.6640625" bestFit="1" customWidth="1"/>
    <col min="52" max="52" width="20.6640625" customWidth="1"/>
    <col min="53" max="53" width="19.6640625" customWidth="1"/>
    <col min="54" max="54" width="1" customWidth="1"/>
    <col min="55" max="56" width="1.33203125" style="34" customWidth="1"/>
    <col min="57" max="57" width="0.53125" customWidth="1"/>
    <col min="58" max="58" width="1.53125" customWidth="1"/>
    <col min="59" max="59" width="53.6640625" bestFit="1" customWidth="1"/>
    <col min="60" max="60" width="20.33203125" customWidth="1"/>
    <col min="61" max="61" width="19.33203125" customWidth="1"/>
    <col min="62" max="62" width="1" customWidth="1"/>
    <col min="63" max="64" width="1.33203125" style="34" customWidth="1"/>
    <col min="65" max="65" width="0.53125" customWidth="1"/>
    <col min="66" max="66" width="1.53125" customWidth="1"/>
    <col min="67" max="67" width="53.6640625" bestFit="1" customWidth="1"/>
    <col min="68" max="68" width="20.6640625" customWidth="1"/>
    <col min="69" max="69" width="19.33203125" customWidth="1"/>
    <col min="70" max="70" width="1" customWidth="1"/>
    <col min="71" max="72" width="1.33203125" style="34" customWidth="1"/>
    <col min="73" max="73" width="0.53125" customWidth="1"/>
    <col min="74" max="74" width="1.53125" customWidth="1"/>
    <col min="75" max="75" width="53.6640625" bestFit="1" customWidth="1"/>
    <col min="76" max="76" width="19.6640625" customWidth="1"/>
    <col min="77" max="77" width="19.33203125" customWidth="1"/>
  </cols>
  <sheetData>
    <row r="1" spans="2:77" ht="14.65" thickBot="1" x14ac:dyDescent="0.5"/>
    <row r="2" spans="2:77" ht="33.4" x14ac:dyDescent="0.9">
      <c r="B2" s="9" t="s">
        <v>0</v>
      </c>
      <c r="C2" s="32"/>
      <c r="D2" s="32"/>
      <c r="E2" s="32"/>
      <c r="F2" s="2"/>
      <c r="G2" s="35"/>
      <c r="H2" s="35"/>
      <c r="I2" s="2"/>
      <c r="N2" s="2"/>
      <c r="O2" s="35"/>
      <c r="P2" s="35"/>
      <c r="Q2" s="2"/>
      <c r="V2" s="2"/>
      <c r="W2" s="35"/>
      <c r="X2" s="35"/>
      <c r="Y2" s="2"/>
      <c r="AD2" s="2"/>
      <c r="AE2" s="35"/>
      <c r="AF2" s="35"/>
      <c r="AG2" s="2"/>
      <c r="AL2" s="2"/>
      <c r="AM2" s="35"/>
      <c r="AN2" s="35"/>
      <c r="AO2" s="2"/>
      <c r="AT2" s="2"/>
      <c r="AU2" s="35"/>
      <c r="AV2" s="35"/>
      <c r="AW2" s="2"/>
      <c r="BB2" s="2"/>
      <c r="BC2" s="35"/>
      <c r="BD2" s="35"/>
      <c r="BE2" s="2"/>
      <c r="BJ2" s="2"/>
      <c r="BK2" s="35"/>
      <c r="BL2" s="35"/>
      <c r="BM2" s="2"/>
      <c r="BR2" s="2"/>
      <c r="BS2" s="35"/>
      <c r="BT2" s="35"/>
      <c r="BU2" s="2"/>
    </row>
    <row r="3" spans="2:77" ht="31.15" thickBot="1" x14ac:dyDescent="0.95">
      <c r="B3" s="28" t="s">
        <v>364</v>
      </c>
      <c r="C3" s="29"/>
      <c r="D3" s="29"/>
      <c r="E3" s="29"/>
      <c r="F3" s="2"/>
      <c r="G3" s="35"/>
      <c r="H3" s="35"/>
      <c r="I3" s="2"/>
      <c r="N3" s="2"/>
      <c r="O3" s="35"/>
      <c r="P3" s="35"/>
      <c r="Q3" s="2"/>
      <c r="V3" s="2"/>
      <c r="W3" s="35"/>
      <c r="X3" s="35"/>
      <c r="Y3" s="2"/>
      <c r="AD3" s="2"/>
      <c r="AE3" s="35"/>
      <c r="AF3" s="35"/>
      <c r="AG3" s="2"/>
      <c r="AL3" s="2"/>
      <c r="AM3" s="35"/>
      <c r="AN3" s="35"/>
      <c r="AO3" s="2"/>
      <c r="AT3" s="2"/>
      <c r="AU3" s="35"/>
      <c r="AV3" s="35"/>
      <c r="AW3" s="2"/>
      <c r="BB3" s="2"/>
      <c r="BC3" s="35"/>
      <c r="BD3" s="35"/>
      <c r="BE3" s="2"/>
      <c r="BJ3" s="2"/>
      <c r="BK3" s="35"/>
      <c r="BL3" s="35"/>
      <c r="BM3" s="2"/>
      <c r="BR3" s="2"/>
      <c r="BS3" s="35"/>
      <c r="BT3" s="35"/>
      <c r="BU3" s="2"/>
    </row>
    <row r="5" spans="2:77" ht="15" customHeight="1" x14ac:dyDescent="0.45">
      <c r="B5" s="177" t="s">
        <v>365</v>
      </c>
      <c r="C5" s="191"/>
      <c r="D5" s="250" t="e">
        <f>'Page Two - IM Info contd'!#REF!</f>
        <v>#REF!</v>
      </c>
      <c r="E5" s="250"/>
      <c r="J5" s="177" t="s">
        <v>365</v>
      </c>
      <c r="K5" s="191"/>
      <c r="L5" s="250" t="e">
        <f>'Page Two - IM Info contd'!#REF!</f>
        <v>#REF!</v>
      </c>
      <c r="M5" s="250"/>
      <c r="R5" s="177" t="s">
        <v>365</v>
      </c>
      <c r="S5" s="191"/>
      <c r="T5" s="250" t="e">
        <f>'Page Two - IM Info contd'!#REF!</f>
        <v>#REF!</v>
      </c>
      <c r="U5" s="250"/>
      <c r="Z5" s="177" t="s">
        <v>365</v>
      </c>
      <c r="AA5" s="191"/>
      <c r="AB5" s="250" t="e">
        <f>'Page Two - IM Info contd'!#REF!</f>
        <v>#REF!</v>
      </c>
      <c r="AC5" s="250"/>
      <c r="AH5" s="177" t="s">
        <v>365</v>
      </c>
      <c r="AI5" s="191"/>
      <c r="AJ5" s="250" t="e">
        <f>'Page Two - IM Info contd'!#REF!</f>
        <v>#REF!</v>
      </c>
      <c r="AK5" s="250"/>
      <c r="AP5" s="177" t="s">
        <v>365</v>
      </c>
      <c r="AQ5" s="191"/>
      <c r="AR5" s="250" t="e">
        <f>'Page Two - IM Info contd'!#REF!</f>
        <v>#REF!</v>
      </c>
      <c r="AS5" s="250"/>
      <c r="AX5" s="177" t="s">
        <v>365</v>
      </c>
      <c r="AY5" s="191"/>
      <c r="AZ5" s="250" t="e">
        <f>'Page Two - IM Info contd'!#REF!</f>
        <v>#REF!</v>
      </c>
      <c r="BA5" s="250"/>
      <c r="BF5" s="177" t="s">
        <v>365</v>
      </c>
      <c r="BG5" s="191"/>
      <c r="BH5" s="250" t="e">
        <f>'Page Two - IM Info contd'!#REF!</f>
        <v>#REF!</v>
      </c>
      <c r="BI5" s="250"/>
      <c r="BN5" s="177" t="s">
        <v>365</v>
      </c>
      <c r="BO5" s="191"/>
      <c r="BP5" s="250" t="e">
        <f>'Page Two - IM Info contd'!#REF!</f>
        <v>#REF!</v>
      </c>
      <c r="BQ5" s="250"/>
      <c r="BV5" s="177" t="s">
        <v>365</v>
      </c>
      <c r="BW5" s="191"/>
      <c r="BX5" s="250" t="e">
        <f>'Page Two - IM Info contd'!#REF!</f>
        <v>#REF!</v>
      </c>
      <c r="BY5" s="250"/>
    </row>
    <row r="6" spans="2:77" x14ac:dyDescent="0.45">
      <c r="C6" s="24"/>
      <c r="D6" s="25"/>
      <c r="E6" s="25"/>
      <c r="K6" s="24"/>
      <c r="L6" s="25"/>
      <c r="M6" s="25"/>
      <c r="S6" s="24"/>
      <c r="T6" s="25"/>
      <c r="U6" s="25"/>
      <c r="AA6" s="24"/>
      <c r="AB6" s="25"/>
      <c r="AC6" s="25"/>
      <c r="AI6" s="24"/>
      <c r="AJ6" s="25"/>
      <c r="AK6" s="25"/>
      <c r="AQ6" s="24"/>
      <c r="AR6" s="25"/>
      <c r="AS6" s="25"/>
      <c r="AY6" s="24"/>
      <c r="AZ6" s="25"/>
      <c r="BA6" s="25"/>
      <c r="BG6" s="24"/>
      <c r="BH6" s="25"/>
      <c r="BI6" s="25"/>
      <c r="BO6" s="24"/>
      <c r="BP6" s="25"/>
      <c r="BQ6" s="25"/>
      <c r="BW6" s="24"/>
      <c r="BX6" s="25"/>
      <c r="BY6" s="25"/>
    </row>
    <row r="7" spans="2:77" ht="15" customHeight="1" x14ac:dyDescent="0.45">
      <c r="C7" s="73" t="s">
        <v>366</v>
      </c>
      <c r="D7" s="167" t="s">
        <v>3</v>
      </c>
      <c r="E7" s="168"/>
      <c r="K7" s="73" t="s">
        <v>366</v>
      </c>
      <c r="L7" s="167" t="s">
        <v>3</v>
      </c>
      <c r="M7" s="168"/>
      <c r="S7" s="73" t="s">
        <v>366</v>
      </c>
      <c r="T7" s="167" t="s">
        <v>3</v>
      </c>
      <c r="U7" s="168"/>
      <c r="AA7" s="73" t="s">
        <v>366</v>
      </c>
      <c r="AB7" s="167" t="s">
        <v>3</v>
      </c>
      <c r="AC7" s="168"/>
      <c r="AI7" s="73" t="s">
        <v>366</v>
      </c>
      <c r="AJ7" s="167" t="s">
        <v>3</v>
      </c>
      <c r="AK7" s="168"/>
      <c r="AQ7" s="73" t="s">
        <v>366</v>
      </c>
      <c r="AR7" s="167" t="s">
        <v>3</v>
      </c>
      <c r="AS7" s="168"/>
      <c r="AY7" s="73" t="s">
        <v>366</v>
      </c>
      <c r="AZ7" s="167" t="s">
        <v>3</v>
      </c>
      <c r="BA7" s="168"/>
      <c r="BG7" s="73" t="s">
        <v>366</v>
      </c>
      <c r="BH7" s="167" t="s">
        <v>3</v>
      </c>
      <c r="BI7" s="168"/>
      <c r="BO7" s="73" t="s">
        <v>366</v>
      </c>
      <c r="BP7" s="167" t="s">
        <v>3</v>
      </c>
      <c r="BQ7" s="168"/>
      <c r="BW7" s="73" t="s">
        <v>366</v>
      </c>
      <c r="BX7" s="167" t="s">
        <v>3</v>
      </c>
      <c r="BY7" s="168"/>
    </row>
    <row r="8" spans="2:77" x14ac:dyDescent="0.45">
      <c r="C8" s="45" t="s">
        <v>367</v>
      </c>
      <c r="D8" s="206" t="str">
        <f>'Page One - IM Info'!$G$8</f>
        <v>Salita Portfolio Services Pty Ltd</v>
      </c>
      <c r="E8" s="206"/>
      <c r="K8" s="45" t="s">
        <v>367</v>
      </c>
      <c r="L8" s="206" t="str">
        <f>'Page One - IM Info'!$G$8</f>
        <v>Salita Portfolio Services Pty Ltd</v>
      </c>
      <c r="M8" s="206"/>
      <c r="S8" s="45" t="s">
        <v>367</v>
      </c>
      <c r="T8" s="206" t="str">
        <f>'Page One - IM Info'!$G$8</f>
        <v>Salita Portfolio Services Pty Ltd</v>
      </c>
      <c r="U8" s="206"/>
      <c r="AA8" s="45" t="s">
        <v>367</v>
      </c>
      <c r="AB8" s="206" t="str">
        <f>'Page One - IM Info'!$G$8</f>
        <v>Salita Portfolio Services Pty Ltd</v>
      </c>
      <c r="AC8" s="206"/>
      <c r="AI8" s="45" t="s">
        <v>367</v>
      </c>
      <c r="AJ8" s="206" t="str">
        <f>'Page One - IM Info'!$G$8</f>
        <v>Salita Portfolio Services Pty Ltd</v>
      </c>
      <c r="AK8" s="206"/>
      <c r="AQ8" s="45" t="s">
        <v>367</v>
      </c>
      <c r="AR8" s="206" t="str">
        <f>'Page One - IM Info'!$G$8</f>
        <v>Salita Portfolio Services Pty Ltd</v>
      </c>
      <c r="AS8" s="206"/>
      <c r="AY8" s="45" t="s">
        <v>367</v>
      </c>
      <c r="AZ8" s="206" t="str">
        <f>'Page One - IM Info'!$G$8</f>
        <v>Salita Portfolio Services Pty Ltd</v>
      </c>
      <c r="BA8" s="206"/>
      <c r="BG8" s="45" t="s">
        <v>367</v>
      </c>
      <c r="BH8" s="206" t="str">
        <f>'Page One - IM Info'!$G$8</f>
        <v>Salita Portfolio Services Pty Ltd</v>
      </c>
      <c r="BI8" s="206"/>
      <c r="BO8" s="45" t="s">
        <v>367</v>
      </c>
      <c r="BP8" s="206" t="str">
        <f>'Page One - IM Info'!$G$8</f>
        <v>Salita Portfolio Services Pty Ltd</v>
      </c>
      <c r="BQ8" s="206"/>
      <c r="BW8" s="45" t="s">
        <v>367</v>
      </c>
      <c r="BX8" s="206" t="str">
        <f>'Page One - IM Info'!$G$8</f>
        <v>Salita Portfolio Services Pty Ltd</v>
      </c>
      <c r="BY8" s="206"/>
    </row>
    <row r="9" spans="2:77" x14ac:dyDescent="0.45">
      <c r="C9" s="45" t="s">
        <v>368</v>
      </c>
      <c r="D9" s="206" t="str">
        <f>'Page One - IM Info'!$G$9</f>
        <v>39 609 946 616</v>
      </c>
      <c r="E9" s="206"/>
      <c r="K9" s="45" t="s">
        <v>368</v>
      </c>
      <c r="L9" s="206" t="str">
        <f>'Page One - IM Info'!$G$9</f>
        <v>39 609 946 616</v>
      </c>
      <c r="M9" s="206"/>
      <c r="S9" s="45" t="s">
        <v>368</v>
      </c>
      <c r="T9" s="206" t="str">
        <f>'Page One - IM Info'!$G$9</f>
        <v>39 609 946 616</v>
      </c>
      <c r="U9" s="206"/>
      <c r="AA9" s="45" t="s">
        <v>368</v>
      </c>
      <c r="AB9" s="206" t="str">
        <f>'Page One - IM Info'!$G$9</f>
        <v>39 609 946 616</v>
      </c>
      <c r="AC9" s="206"/>
      <c r="AI9" s="45" t="s">
        <v>368</v>
      </c>
      <c r="AJ9" s="206" t="str">
        <f>'Page One - IM Info'!$G$9</f>
        <v>39 609 946 616</v>
      </c>
      <c r="AK9" s="206"/>
      <c r="AQ9" s="45" t="s">
        <v>368</v>
      </c>
      <c r="AR9" s="206" t="str">
        <f>'Page One - IM Info'!$G$9</f>
        <v>39 609 946 616</v>
      </c>
      <c r="AS9" s="206"/>
      <c r="AY9" s="45" t="s">
        <v>368</v>
      </c>
      <c r="AZ9" s="206" t="str">
        <f>'Page One - IM Info'!$G$9</f>
        <v>39 609 946 616</v>
      </c>
      <c r="BA9" s="206"/>
      <c r="BG9" s="45" t="s">
        <v>368</v>
      </c>
      <c r="BH9" s="206" t="str">
        <f>'Page One - IM Info'!$G$9</f>
        <v>39 609 946 616</v>
      </c>
      <c r="BI9" s="206"/>
      <c r="BO9" s="45" t="s">
        <v>368</v>
      </c>
      <c r="BP9" s="206" t="str">
        <f>'Page One - IM Info'!$G$9</f>
        <v>39 609 946 616</v>
      </c>
      <c r="BQ9" s="206"/>
      <c r="BW9" s="45" t="s">
        <v>368</v>
      </c>
      <c r="BX9" s="206" t="str">
        <f>'Page One - IM Info'!$G$9</f>
        <v>39 609 946 616</v>
      </c>
      <c r="BY9" s="206"/>
    </row>
    <row r="10" spans="2:77" x14ac:dyDescent="0.45">
      <c r="C10" s="45" t="s">
        <v>369</v>
      </c>
      <c r="D10" s="206" t="str">
        <f>'Page One - IM Info'!$G$10</f>
        <v>Salita Portfolio Services Pty Ltd is a corporate authorised representative of Personal Financial Services Ltd (PFS) 
CAR 1241713</v>
      </c>
      <c r="E10" s="206"/>
      <c r="K10" s="45" t="s">
        <v>369</v>
      </c>
      <c r="L10" s="206" t="str">
        <f>'Page One - IM Info'!$G$10</f>
        <v>Salita Portfolio Services Pty Ltd is a corporate authorised representative of Personal Financial Services Ltd (PFS) 
CAR 1241713</v>
      </c>
      <c r="M10" s="206"/>
      <c r="S10" s="45" t="s">
        <v>369</v>
      </c>
      <c r="T10" s="206" t="str">
        <f>'Page One - IM Info'!$G$10</f>
        <v>Salita Portfolio Services Pty Ltd is a corporate authorised representative of Personal Financial Services Ltd (PFS) 
CAR 1241713</v>
      </c>
      <c r="U10" s="206"/>
      <c r="AA10" s="45" t="s">
        <v>369</v>
      </c>
      <c r="AB10" s="206" t="str">
        <f>'Page One - IM Info'!$G$10</f>
        <v>Salita Portfolio Services Pty Ltd is a corporate authorised representative of Personal Financial Services Ltd (PFS) 
CAR 1241713</v>
      </c>
      <c r="AC10" s="206"/>
      <c r="AI10" s="45" t="s">
        <v>369</v>
      </c>
      <c r="AJ10" s="206" t="str">
        <f>'Page One - IM Info'!$G$10</f>
        <v>Salita Portfolio Services Pty Ltd is a corporate authorised representative of Personal Financial Services Ltd (PFS) 
CAR 1241713</v>
      </c>
      <c r="AK10" s="206"/>
      <c r="AQ10" s="45" t="s">
        <v>369</v>
      </c>
      <c r="AR10" s="206" t="str">
        <f>'Page One - IM Info'!$G$10</f>
        <v>Salita Portfolio Services Pty Ltd is a corporate authorised representative of Personal Financial Services Ltd (PFS) 
CAR 1241713</v>
      </c>
      <c r="AS10" s="206"/>
      <c r="AY10" s="45" t="s">
        <v>369</v>
      </c>
      <c r="AZ10" s="206" t="str">
        <f>'Page One - IM Info'!$G$10</f>
        <v>Salita Portfolio Services Pty Ltd is a corporate authorised representative of Personal Financial Services Ltd (PFS) 
CAR 1241713</v>
      </c>
      <c r="BA10" s="206"/>
      <c r="BG10" s="45" t="s">
        <v>369</v>
      </c>
      <c r="BH10" s="206" t="str">
        <f>'Page One - IM Info'!$G$10</f>
        <v>Salita Portfolio Services Pty Ltd is a corporate authorised representative of Personal Financial Services Ltd (PFS) 
CAR 1241713</v>
      </c>
      <c r="BI10" s="206"/>
      <c r="BO10" s="45" t="s">
        <v>369</v>
      </c>
      <c r="BP10" s="206" t="str">
        <f>'Page One - IM Info'!$G$10</f>
        <v>Salita Portfolio Services Pty Ltd is a corporate authorised representative of Personal Financial Services Ltd (PFS) 
CAR 1241713</v>
      </c>
      <c r="BQ10" s="206"/>
      <c r="BW10" s="45" t="s">
        <v>369</v>
      </c>
      <c r="BX10" s="206" t="str">
        <f>'Page One - IM Info'!$G$10</f>
        <v>Salita Portfolio Services Pty Ltd is a corporate authorised representative of Personal Financial Services Ltd (PFS) 
CAR 1241713</v>
      </c>
      <c r="BY10" s="206"/>
    </row>
    <row r="11" spans="2:77" x14ac:dyDescent="0.45">
      <c r="C11" s="45" t="s">
        <v>370</v>
      </c>
      <c r="D11" s="206">
        <f>'Page One - IM Info'!$G$17</f>
        <v>0</v>
      </c>
      <c r="E11" s="206"/>
      <c r="K11" s="45" t="s">
        <v>370</v>
      </c>
      <c r="L11" s="206">
        <f>'Page One - IM Info'!$G$17</f>
        <v>0</v>
      </c>
      <c r="M11" s="206"/>
      <c r="S11" s="45" t="s">
        <v>370</v>
      </c>
      <c r="T11" s="206">
        <f>'Page One - IM Info'!$G$17</f>
        <v>0</v>
      </c>
      <c r="U11" s="206"/>
      <c r="AA11" s="45" t="s">
        <v>370</v>
      </c>
      <c r="AB11" s="206">
        <f>'Page One - IM Info'!$G$17</f>
        <v>0</v>
      </c>
      <c r="AC11" s="206"/>
      <c r="AI11" s="45" t="s">
        <v>370</v>
      </c>
      <c r="AJ11" s="206">
        <f>'Page One - IM Info'!$G$17</f>
        <v>0</v>
      </c>
      <c r="AK11" s="206"/>
      <c r="AQ11" s="45" t="s">
        <v>370</v>
      </c>
      <c r="AR11" s="206">
        <f>'Page One - IM Info'!$G$17</f>
        <v>0</v>
      </c>
      <c r="AS11" s="206"/>
      <c r="AY11" s="45" t="s">
        <v>370</v>
      </c>
      <c r="AZ11" s="206">
        <f>'Page One - IM Info'!$G$17</f>
        <v>0</v>
      </c>
      <c r="BA11" s="206"/>
      <c r="BG11" s="45" t="s">
        <v>370</v>
      </c>
      <c r="BH11" s="206">
        <f>'Page One - IM Info'!$G$17</f>
        <v>0</v>
      </c>
      <c r="BI11" s="206"/>
      <c r="BO11" s="45" t="s">
        <v>370</v>
      </c>
      <c r="BP11" s="206">
        <f>'Page One - IM Info'!$G$17</f>
        <v>0</v>
      </c>
      <c r="BQ11" s="206"/>
      <c r="BW11" s="45" t="s">
        <v>370</v>
      </c>
      <c r="BX11" s="206">
        <f>'Page One - IM Info'!$G$17</f>
        <v>0</v>
      </c>
      <c r="BY11" s="206"/>
    </row>
    <row r="12" spans="2:77" x14ac:dyDescent="0.45">
      <c r="C12" s="45" t="s">
        <v>371</v>
      </c>
      <c r="D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E12" s="206"/>
      <c r="K12" s="45" t="s">
        <v>371</v>
      </c>
      <c r="L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M12" s="206"/>
      <c r="S12" s="45" t="s">
        <v>371</v>
      </c>
      <c r="T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U12" s="206"/>
      <c r="AA12" s="45" t="s">
        <v>371</v>
      </c>
      <c r="AB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C12" s="206"/>
      <c r="AI12" s="45" t="s">
        <v>371</v>
      </c>
      <c r="AJ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K12" s="206"/>
      <c r="AQ12" s="45" t="s">
        <v>371</v>
      </c>
      <c r="AR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AS12" s="206"/>
      <c r="AY12" s="45" t="s">
        <v>371</v>
      </c>
      <c r="AZ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A12" s="206"/>
      <c r="BG12" s="45" t="s">
        <v>371</v>
      </c>
      <c r="BH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I12" s="206"/>
      <c r="BO12" s="45" t="s">
        <v>371</v>
      </c>
      <c r="BP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Q12" s="206"/>
      <c r="BW12" s="45" t="s">
        <v>371</v>
      </c>
      <c r="BX12" s="206" t="str">
        <f>'Page One - IM Info'!$G$18</f>
        <v>At Salita Portfolio Services, the approach to portfolio construction is driven by the following investment principles: 
•	Growing and preserving capital - The overarching goal is to grow investor wealth over time whilst minimising the risk of permanent capital loss. Whilst negative returns may be experienced over various time periods, Salita Portfolio Services' focus is on minimising drawdowns and preserving capital over the medium to long term. 
•	Long term approach - Salita Portfolio Services ensures the Strategic Asset Allocation (SAA) is aligned to client risk profiles. The SAA is built around medium to long term capital market assumptions and is reviewed annually to ensure consistency with overall portfolio objectives. Salita Portfolio Services believe that timing the market is difficult and therefore do not intend to take a short-term tactical asset allocation approach. Rather they interrogate the SAA on a regular basis to determine if changes are warranted to support a high conviction medium term view. 
•	Managing turnover - As part of a longer-term approach, Salita Portfolio Services aim to keep turnover within the portfolio to a minimum. Part of this approach is to ensure  investment products are measured over the appropriate time horizon.  
•	Active and passive investment strategies - Salita Portfolio Services assess the merits of active management across each asset class and will use active management where they have strong conviction that it will lead to a superior outcome, either via outperformance and/or lowering drawdown risk. Typically, this results in a blend of active and passive investment strategies in portfolios. 
•	A focus on fees - Assessing the level and appropriateness of fees, both at the individual investment product and overall portfolio level is an important feature of Salita Portfolio Services' approach. Lower fees are the preference but paying an appropriate fee to gain access to superior investment skills is also worthy of consideration.
•	Diversification - Salita Portfolio Services believe that diversification is an effective way to manage risk. It enables portfolios to perform through varied market conditions and not be wholly reliant on a particular style (i.e. Growth or Value) being in favour.</v>
      </c>
      <c r="BY12" s="206"/>
    </row>
    <row r="13" spans="2:77" x14ac:dyDescent="0.45">
      <c r="C13" s="45" t="s">
        <v>380</v>
      </c>
      <c r="D13" s="206" t="str">
        <f>'Page One - IM Info'!$G$21</f>
        <v>https://salitaportfolioservices.com.au/</v>
      </c>
      <c r="E13" s="206"/>
      <c r="K13" s="45" t="s">
        <v>380</v>
      </c>
      <c r="L13" s="206" t="str">
        <f>'Page One - IM Info'!$G$21</f>
        <v>https://salitaportfolioservices.com.au/</v>
      </c>
      <c r="M13" s="206"/>
      <c r="S13" s="45" t="s">
        <v>380</v>
      </c>
      <c r="T13" s="206" t="str">
        <f>'Page One - IM Info'!$G$21</f>
        <v>https://salitaportfolioservices.com.au/</v>
      </c>
      <c r="U13" s="206"/>
      <c r="AA13" s="45" t="s">
        <v>380</v>
      </c>
      <c r="AB13" s="206" t="str">
        <f>'Page One - IM Info'!$G$21</f>
        <v>https://salitaportfolioservices.com.au/</v>
      </c>
      <c r="AC13" s="206"/>
      <c r="AI13" s="45" t="s">
        <v>380</v>
      </c>
      <c r="AJ13" s="206" t="str">
        <f>'Page One - IM Info'!$G$21</f>
        <v>https://salitaportfolioservices.com.au/</v>
      </c>
      <c r="AK13" s="206"/>
      <c r="AQ13" s="45" t="s">
        <v>380</v>
      </c>
      <c r="AR13" s="206" t="str">
        <f>'Page One - IM Info'!$G$21</f>
        <v>https://salitaportfolioservices.com.au/</v>
      </c>
      <c r="AS13" s="206"/>
      <c r="AY13" s="45" t="s">
        <v>380</v>
      </c>
      <c r="AZ13" s="206" t="str">
        <f>'Page One - IM Info'!$G$21</f>
        <v>https://salitaportfolioservices.com.au/</v>
      </c>
      <c r="BA13" s="206"/>
      <c r="BG13" s="45" t="s">
        <v>380</v>
      </c>
      <c r="BH13" s="206" t="str">
        <f>'Page One - IM Info'!$G$21</f>
        <v>https://salitaportfolioservices.com.au/</v>
      </c>
      <c r="BI13" s="206"/>
      <c r="BO13" s="45" t="s">
        <v>380</v>
      </c>
      <c r="BP13" s="206" t="str">
        <f>'Page One - IM Info'!$G$21</f>
        <v>https://salitaportfolioservices.com.au/</v>
      </c>
      <c r="BQ13" s="206"/>
      <c r="BW13" s="45" t="s">
        <v>380</v>
      </c>
      <c r="BX13" s="206" t="str">
        <f>'Page One - IM Info'!$G$21</f>
        <v>https://salitaportfolioservices.com.au/</v>
      </c>
      <c r="BY13" s="206"/>
    </row>
    <row r="14" spans="2:77" x14ac:dyDescent="0.45">
      <c r="C14" s="24"/>
      <c r="D14" s="25"/>
      <c r="E14" s="25"/>
      <c r="K14" s="24"/>
      <c r="L14" s="25"/>
      <c r="M14" s="25"/>
      <c r="S14" s="24"/>
      <c r="T14" s="25"/>
      <c r="U14" s="25"/>
      <c r="AA14" s="24"/>
      <c r="AB14" s="25"/>
      <c r="AC14" s="25"/>
      <c r="AI14" s="24"/>
      <c r="AJ14" s="25"/>
      <c r="AK14" s="25"/>
      <c r="AQ14" s="24"/>
      <c r="AR14" s="25"/>
      <c r="AS14" s="25"/>
      <c r="AY14" s="24"/>
      <c r="AZ14" s="25"/>
      <c r="BA14" s="25"/>
      <c r="BG14" s="24"/>
      <c r="BH14" s="25"/>
      <c r="BI14" s="25"/>
      <c r="BO14" s="24"/>
      <c r="BP14" s="25"/>
      <c r="BQ14" s="25"/>
      <c r="BW14" s="24"/>
      <c r="BX14" s="25"/>
      <c r="BY14" s="25"/>
    </row>
    <row r="15" spans="2:77" ht="15" customHeight="1" x14ac:dyDescent="0.45">
      <c r="C15" s="53" t="s">
        <v>373</v>
      </c>
      <c r="D15" s="251" t="s">
        <v>3</v>
      </c>
      <c r="E15" s="252"/>
      <c r="K15" s="53" t="s">
        <v>373</v>
      </c>
      <c r="L15" s="251" t="s">
        <v>3</v>
      </c>
      <c r="M15" s="252"/>
      <c r="S15" s="53" t="s">
        <v>373</v>
      </c>
      <c r="T15" s="251" t="s">
        <v>3</v>
      </c>
      <c r="U15" s="252"/>
      <c r="AA15" s="53" t="s">
        <v>373</v>
      </c>
      <c r="AB15" s="251" t="s">
        <v>3</v>
      </c>
      <c r="AC15" s="252"/>
      <c r="AI15" s="53" t="s">
        <v>373</v>
      </c>
      <c r="AJ15" s="251" t="s">
        <v>3</v>
      </c>
      <c r="AK15" s="252"/>
      <c r="AQ15" s="53" t="s">
        <v>373</v>
      </c>
      <c r="AR15" s="251" t="s">
        <v>3</v>
      </c>
      <c r="AS15" s="252"/>
      <c r="AY15" s="53" t="s">
        <v>373</v>
      </c>
      <c r="AZ15" s="251" t="s">
        <v>3</v>
      </c>
      <c r="BA15" s="252"/>
      <c r="BG15" s="53" t="s">
        <v>373</v>
      </c>
      <c r="BH15" s="251" t="s">
        <v>3</v>
      </c>
      <c r="BI15" s="252"/>
      <c r="BO15" s="53" t="s">
        <v>373</v>
      </c>
      <c r="BP15" s="251" t="s">
        <v>3</v>
      </c>
      <c r="BQ15" s="252"/>
      <c r="BW15" s="53" t="s">
        <v>373</v>
      </c>
      <c r="BX15" s="251" t="s">
        <v>3</v>
      </c>
      <c r="BY15" s="252"/>
    </row>
    <row r="16" spans="2:77" x14ac:dyDescent="0.45">
      <c r="C16" s="46" t="s">
        <v>381</v>
      </c>
      <c r="D16" s="253" t="s">
        <v>372</v>
      </c>
      <c r="E16" s="254"/>
      <c r="K16" s="46" t="s">
        <v>381</v>
      </c>
      <c r="L16" s="253" t="s">
        <v>372</v>
      </c>
      <c r="M16" s="254"/>
      <c r="S16" s="46" t="s">
        <v>381</v>
      </c>
      <c r="T16" s="253" t="s">
        <v>372</v>
      </c>
      <c r="U16" s="254"/>
      <c r="AA16" s="46" t="s">
        <v>381</v>
      </c>
      <c r="AB16" s="253" t="s">
        <v>372</v>
      </c>
      <c r="AC16" s="254"/>
      <c r="AI16" s="46" t="s">
        <v>381</v>
      </c>
      <c r="AJ16" s="253" t="s">
        <v>372</v>
      </c>
      <c r="AK16" s="254"/>
      <c r="AQ16" s="46" t="s">
        <v>381</v>
      </c>
      <c r="AR16" s="253" t="s">
        <v>372</v>
      </c>
      <c r="AS16" s="254"/>
      <c r="AY16" s="46" t="s">
        <v>381</v>
      </c>
      <c r="AZ16" s="253" t="s">
        <v>372</v>
      </c>
      <c r="BA16" s="254"/>
      <c r="BG16" s="46" t="s">
        <v>381</v>
      </c>
      <c r="BH16" s="253" t="s">
        <v>372</v>
      </c>
      <c r="BI16" s="254"/>
      <c r="BO16" s="46" t="s">
        <v>381</v>
      </c>
      <c r="BP16" s="253" t="s">
        <v>372</v>
      </c>
      <c r="BQ16" s="254"/>
      <c r="BW16" s="46" t="s">
        <v>381</v>
      </c>
      <c r="BX16" s="253" t="s">
        <v>372</v>
      </c>
      <c r="BY16" s="254"/>
    </row>
    <row r="17" spans="3:77" x14ac:dyDescent="0.45">
      <c r="C17" s="46" t="s">
        <v>374</v>
      </c>
      <c r="D17" s="248" t="str">
        <f>D8</f>
        <v>Salita Portfolio Services Pty Ltd</v>
      </c>
      <c r="E17" s="249"/>
      <c r="K17" s="46" t="s">
        <v>374</v>
      </c>
      <c r="L17" s="248" t="str">
        <f>L8</f>
        <v>Salita Portfolio Services Pty Ltd</v>
      </c>
      <c r="M17" s="249"/>
      <c r="S17" s="46" t="s">
        <v>374</v>
      </c>
      <c r="T17" s="248" t="str">
        <f>T8</f>
        <v>Salita Portfolio Services Pty Ltd</v>
      </c>
      <c r="U17" s="249"/>
      <c r="AA17" s="46" t="s">
        <v>374</v>
      </c>
      <c r="AB17" s="248" t="str">
        <f>AB8</f>
        <v>Salita Portfolio Services Pty Ltd</v>
      </c>
      <c r="AC17" s="249"/>
      <c r="AI17" s="46" t="s">
        <v>374</v>
      </c>
      <c r="AJ17" s="248" t="str">
        <f>AJ8</f>
        <v>Salita Portfolio Services Pty Ltd</v>
      </c>
      <c r="AK17" s="249"/>
      <c r="AQ17" s="46" t="s">
        <v>374</v>
      </c>
      <c r="AR17" s="248" t="str">
        <f>AR8</f>
        <v>Salita Portfolio Services Pty Ltd</v>
      </c>
      <c r="AS17" s="249"/>
      <c r="AY17" s="46" t="s">
        <v>374</v>
      </c>
      <c r="AZ17" s="248" t="str">
        <f>AZ8</f>
        <v>Salita Portfolio Services Pty Ltd</v>
      </c>
      <c r="BA17" s="249"/>
      <c r="BG17" s="46" t="s">
        <v>374</v>
      </c>
      <c r="BH17" s="248" t="str">
        <f>BH8</f>
        <v>Salita Portfolio Services Pty Ltd</v>
      </c>
      <c r="BI17" s="249"/>
      <c r="BO17" s="46" t="s">
        <v>374</v>
      </c>
      <c r="BP17" s="248" t="str">
        <f>BP8</f>
        <v>Salita Portfolio Services Pty Ltd</v>
      </c>
      <c r="BQ17" s="249"/>
      <c r="BW17" s="46" t="s">
        <v>374</v>
      </c>
      <c r="BX17" s="248" t="str">
        <f>BX8</f>
        <v>Salita Portfolio Services Pty Ltd</v>
      </c>
      <c r="BY17" s="249"/>
    </row>
    <row r="18" spans="3:77" ht="15" customHeight="1" x14ac:dyDescent="0.45">
      <c r="C18" s="46" t="s">
        <v>109</v>
      </c>
      <c r="D18" s="248">
        <f>'Page Four - Portfolio Details'!E80</f>
        <v>0</v>
      </c>
      <c r="E18" s="249"/>
      <c r="K18" s="46" t="s">
        <v>109</v>
      </c>
      <c r="L18" s="248">
        <f>'Page Four - Portfolio Details'!O80</f>
        <v>0</v>
      </c>
      <c r="M18" s="249"/>
      <c r="S18" s="46" t="s">
        <v>109</v>
      </c>
      <c r="T18" s="248">
        <f>'Page Four - Portfolio Details'!Y80</f>
        <v>0</v>
      </c>
      <c r="U18" s="249"/>
      <c r="AA18" s="46" t="s">
        <v>109</v>
      </c>
      <c r="AB18" s="248">
        <f>'Page Four - Portfolio Details'!AI80</f>
        <v>0</v>
      </c>
      <c r="AC18" s="249"/>
      <c r="AI18" s="46" t="s">
        <v>109</v>
      </c>
      <c r="AJ18" s="248">
        <f>'Page Four - Portfolio Details'!AS80</f>
        <v>0</v>
      </c>
      <c r="AK18" s="249"/>
      <c r="AQ18" s="46" t="s">
        <v>109</v>
      </c>
      <c r="AR18" s="248">
        <f>'Page Four - Portfolio Details'!BC80</f>
        <v>0</v>
      </c>
      <c r="AS18" s="249"/>
      <c r="AY18" s="46" t="s">
        <v>109</v>
      </c>
      <c r="AZ18" s="248">
        <f>'Page Four - Portfolio Details'!BM80</f>
        <v>0</v>
      </c>
      <c r="BA18" s="249"/>
      <c r="BG18" s="46" t="s">
        <v>109</v>
      </c>
      <c r="BH18" s="248">
        <f>'Page Four - Portfolio Details'!BW80</f>
        <v>0</v>
      </c>
      <c r="BI18" s="249"/>
      <c r="BO18" s="46" t="s">
        <v>109</v>
      </c>
      <c r="BP18" s="248">
        <f>'Page Four - Portfolio Details'!CG80</f>
        <v>0</v>
      </c>
      <c r="BQ18" s="249"/>
      <c r="BW18" s="46" t="s">
        <v>109</v>
      </c>
      <c r="BX18" s="248">
        <f>'Page Four - Portfolio Details'!CQ80</f>
        <v>0</v>
      </c>
      <c r="BY18" s="249"/>
    </row>
    <row r="19" spans="3:77" x14ac:dyDescent="0.45">
      <c r="C19" s="46" t="s">
        <v>375</v>
      </c>
      <c r="D19" s="253"/>
      <c r="E19" s="254"/>
      <c r="K19" s="46" t="s">
        <v>375</v>
      </c>
      <c r="L19" s="253"/>
      <c r="M19" s="254"/>
      <c r="S19" s="46" t="s">
        <v>375</v>
      </c>
      <c r="T19" s="253"/>
      <c r="U19" s="254"/>
      <c r="AA19" s="46" t="s">
        <v>375</v>
      </c>
      <c r="AB19" s="253"/>
      <c r="AC19" s="254"/>
      <c r="AI19" s="46" t="s">
        <v>375</v>
      </c>
      <c r="AJ19" s="253"/>
      <c r="AK19" s="254"/>
      <c r="AQ19" s="46" t="s">
        <v>375</v>
      </c>
      <c r="AR19" s="253"/>
      <c r="AS19" s="254"/>
      <c r="AY19" s="46" t="s">
        <v>375</v>
      </c>
      <c r="AZ19" s="253"/>
      <c r="BA19" s="254"/>
      <c r="BG19" s="46" t="s">
        <v>375</v>
      </c>
      <c r="BH19" s="253"/>
      <c r="BI19" s="254"/>
      <c r="BO19" s="46" t="s">
        <v>375</v>
      </c>
      <c r="BP19" s="253"/>
      <c r="BQ19" s="254"/>
      <c r="BW19" s="46" t="s">
        <v>375</v>
      </c>
      <c r="BX19" s="253"/>
      <c r="BY19" s="254"/>
    </row>
    <row r="20" spans="3:77" ht="15" customHeight="1" x14ac:dyDescent="0.45">
      <c r="C20" s="49" t="s">
        <v>376</v>
      </c>
      <c r="D20" s="206">
        <f>'Page Four - Portfolio Details'!E85</f>
        <v>0</v>
      </c>
      <c r="E20" s="247"/>
      <c r="K20" s="49" t="s">
        <v>376</v>
      </c>
      <c r="L20" s="206">
        <f>'Page Four - Portfolio Details'!O85</f>
        <v>0</v>
      </c>
      <c r="M20" s="247"/>
      <c r="S20" s="49" t="s">
        <v>376</v>
      </c>
      <c r="T20" s="206">
        <f>'Page Four - Portfolio Details'!Y85</f>
        <v>0</v>
      </c>
      <c r="U20" s="247"/>
      <c r="AA20" s="49" t="s">
        <v>376</v>
      </c>
      <c r="AB20" s="206">
        <f>'Page Four - Portfolio Details'!AI85</f>
        <v>0</v>
      </c>
      <c r="AC20" s="247"/>
      <c r="AI20" s="49" t="s">
        <v>376</v>
      </c>
      <c r="AJ20" s="206">
        <f>'Page Four - Portfolio Details'!AS85</f>
        <v>0</v>
      </c>
      <c r="AK20" s="247"/>
      <c r="AQ20" s="49" t="s">
        <v>376</v>
      </c>
      <c r="AR20" s="206">
        <f>'Page Four - Portfolio Details'!BC85</f>
        <v>0</v>
      </c>
      <c r="AS20" s="247"/>
      <c r="AY20" s="49" t="s">
        <v>376</v>
      </c>
      <c r="AZ20" s="206">
        <f>'Page Four - Portfolio Details'!BM85</f>
        <v>0</v>
      </c>
      <c r="BA20" s="247"/>
      <c r="BG20" s="49" t="s">
        <v>376</v>
      </c>
      <c r="BH20" s="206">
        <f>'Page Four - Portfolio Details'!BW85</f>
        <v>0</v>
      </c>
      <c r="BI20" s="247"/>
      <c r="BO20" s="49" t="s">
        <v>376</v>
      </c>
      <c r="BP20" s="206">
        <f>'Page Four - Portfolio Details'!CG85</f>
        <v>0</v>
      </c>
      <c r="BQ20" s="247"/>
      <c r="BW20" s="49" t="s">
        <v>376</v>
      </c>
      <c r="BX20" s="206">
        <f>'Page Four - Portfolio Details'!CQ85</f>
        <v>0</v>
      </c>
      <c r="BY20" s="247"/>
    </row>
    <row r="21" spans="3:77" x14ac:dyDescent="0.45">
      <c r="C21" s="46" t="s">
        <v>213</v>
      </c>
      <c r="D21" s="152">
        <f>'Page Four - Portfolio Details'!E86</f>
        <v>0</v>
      </c>
      <c r="E21" s="152"/>
      <c r="K21" s="46" t="s">
        <v>213</v>
      </c>
      <c r="L21" s="152">
        <f>'Page Four - Portfolio Details'!O86</f>
        <v>0</v>
      </c>
      <c r="M21" s="152"/>
      <c r="S21" s="46" t="s">
        <v>213</v>
      </c>
      <c r="T21" s="152">
        <f>'Page Four - Portfolio Details'!Y86</f>
        <v>0</v>
      </c>
      <c r="U21" s="152"/>
      <c r="AA21" s="46" t="s">
        <v>213</v>
      </c>
      <c r="AB21" s="152">
        <f>'Page Four - Portfolio Details'!AI86</f>
        <v>0</v>
      </c>
      <c r="AC21" s="152"/>
      <c r="AI21" s="46" t="s">
        <v>213</v>
      </c>
      <c r="AJ21" s="152">
        <f>'Page Four - Portfolio Details'!AS86</f>
        <v>0</v>
      </c>
      <c r="AK21" s="152"/>
      <c r="AQ21" s="46" t="s">
        <v>213</v>
      </c>
      <c r="AR21" s="152">
        <f>'Page Four - Portfolio Details'!BC86</f>
        <v>0</v>
      </c>
      <c r="AS21" s="152"/>
      <c r="AY21" s="46" t="s">
        <v>213</v>
      </c>
      <c r="AZ21" s="152">
        <f>'Page Four - Portfolio Details'!BM86</f>
        <v>0</v>
      </c>
      <c r="BA21" s="152"/>
      <c r="BG21" s="46" t="s">
        <v>213</v>
      </c>
      <c r="BH21" s="152">
        <f>'Page Four - Portfolio Details'!BW86</f>
        <v>0</v>
      </c>
      <c r="BI21" s="152"/>
      <c r="BO21" s="46" t="s">
        <v>213</v>
      </c>
      <c r="BP21" s="152">
        <f>'Page Four - Portfolio Details'!CG86</f>
        <v>0</v>
      </c>
      <c r="BQ21" s="152"/>
      <c r="BW21" s="46" t="s">
        <v>213</v>
      </c>
      <c r="BX21" s="152">
        <f>'Page Four - Portfolio Details'!CQ86</f>
        <v>0</v>
      </c>
      <c r="BY21" s="152"/>
    </row>
    <row r="22" spans="3:77" ht="15" customHeight="1" x14ac:dyDescent="0.45">
      <c r="C22" s="46" t="s">
        <v>154</v>
      </c>
      <c r="D22" s="248">
        <f>'Page Four - Portfolio Details'!E89</f>
        <v>0</v>
      </c>
      <c r="E22" s="249"/>
      <c r="K22" s="46" t="s">
        <v>154</v>
      </c>
      <c r="L22" s="248">
        <f>'Page Four - Portfolio Details'!O89</f>
        <v>0</v>
      </c>
      <c r="M22" s="249"/>
      <c r="S22" s="46" t="s">
        <v>154</v>
      </c>
      <c r="T22" s="248">
        <f>'Page Four - Portfolio Details'!Y89</f>
        <v>0</v>
      </c>
      <c r="U22" s="249"/>
      <c r="AA22" s="46" t="s">
        <v>154</v>
      </c>
      <c r="AB22" s="248">
        <f>'Page Four - Portfolio Details'!AI89</f>
        <v>0</v>
      </c>
      <c r="AC22" s="249"/>
      <c r="AI22" s="46" t="s">
        <v>154</v>
      </c>
      <c r="AJ22" s="248">
        <f>'Page Four - Portfolio Details'!AS89</f>
        <v>0</v>
      </c>
      <c r="AK22" s="249"/>
      <c r="AQ22" s="46" t="s">
        <v>154</v>
      </c>
      <c r="AR22" s="248">
        <f>'Page Four - Portfolio Details'!BC89</f>
        <v>0</v>
      </c>
      <c r="AS22" s="249"/>
      <c r="AY22" s="46" t="s">
        <v>154</v>
      </c>
      <c r="AZ22" s="248">
        <f>'Page Four - Portfolio Details'!BM89</f>
        <v>0</v>
      </c>
      <c r="BA22" s="249"/>
      <c r="BG22" s="46" t="s">
        <v>154</v>
      </c>
      <c r="BH22" s="248">
        <f>'Page Four - Portfolio Details'!BW89</f>
        <v>0</v>
      </c>
      <c r="BI22" s="249"/>
      <c r="BO22" s="46" t="s">
        <v>154</v>
      </c>
      <c r="BP22" s="248">
        <f>'Page Four - Portfolio Details'!CG89</f>
        <v>0</v>
      </c>
      <c r="BQ22" s="249"/>
      <c r="BW22" s="46" t="s">
        <v>154</v>
      </c>
      <c r="BX22" s="248">
        <f>'Page Four - Portfolio Details'!CQ89</f>
        <v>0</v>
      </c>
      <c r="BY22" s="249"/>
    </row>
    <row r="23" spans="3:77" x14ac:dyDescent="0.45">
      <c r="C23" s="46" t="s">
        <v>377</v>
      </c>
      <c r="D23" s="253"/>
      <c r="E23" s="254"/>
      <c r="K23" s="46" t="s">
        <v>377</v>
      </c>
      <c r="L23" s="253"/>
      <c r="M23" s="254"/>
      <c r="S23" s="46" t="s">
        <v>377</v>
      </c>
      <c r="T23" s="253"/>
      <c r="U23" s="254"/>
      <c r="AA23" s="46" t="s">
        <v>377</v>
      </c>
      <c r="AB23" s="253"/>
      <c r="AC23" s="254"/>
      <c r="AI23" s="46" t="s">
        <v>377</v>
      </c>
      <c r="AJ23" s="253"/>
      <c r="AK23" s="254"/>
      <c r="AQ23" s="46" t="s">
        <v>377</v>
      </c>
      <c r="AR23" s="253"/>
      <c r="AS23" s="254"/>
      <c r="AY23" s="46" t="s">
        <v>377</v>
      </c>
      <c r="AZ23" s="253"/>
      <c r="BA23" s="254"/>
      <c r="BG23" s="46" t="s">
        <v>377</v>
      </c>
      <c r="BH23" s="253"/>
      <c r="BI23" s="254"/>
      <c r="BO23" s="46" t="s">
        <v>377</v>
      </c>
      <c r="BP23" s="253"/>
      <c r="BQ23" s="254"/>
      <c r="BW23" s="46" t="s">
        <v>377</v>
      </c>
      <c r="BX23" s="253"/>
      <c r="BY23" s="254"/>
    </row>
    <row r="24" spans="3:77" x14ac:dyDescent="0.45">
      <c r="C24" s="46" t="s">
        <v>382</v>
      </c>
      <c r="D24" s="253"/>
      <c r="E24" s="254"/>
      <c r="K24" s="46" t="s">
        <v>382</v>
      </c>
      <c r="L24" s="253"/>
      <c r="M24" s="254"/>
      <c r="S24" s="46" t="s">
        <v>382</v>
      </c>
      <c r="T24" s="253"/>
      <c r="U24" s="254"/>
      <c r="AA24" s="46" t="s">
        <v>382</v>
      </c>
      <c r="AB24" s="253"/>
      <c r="AC24" s="254"/>
      <c r="AI24" s="46" t="s">
        <v>382</v>
      </c>
      <c r="AJ24" s="253"/>
      <c r="AK24" s="254"/>
      <c r="AQ24" s="46" t="s">
        <v>382</v>
      </c>
      <c r="AR24" s="253"/>
      <c r="AS24" s="254"/>
      <c r="AY24" s="46" t="s">
        <v>382</v>
      </c>
      <c r="AZ24" s="253"/>
      <c r="BA24" s="254"/>
      <c r="BG24" s="46" t="s">
        <v>382</v>
      </c>
      <c r="BH24" s="253"/>
      <c r="BI24" s="254"/>
      <c r="BO24" s="46" t="s">
        <v>382</v>
      </c>
      <c r="BP24" s="253"/>
      <c r="BQ24" s="254"/>
      <c r="BW24" s="46" t="s">
        <v>382</v>
      </c>
      <c r="BX24" s="253"/>
      <c r="BY24" s="254"/>
    </row>
    <row r="25" spans="3:77" x14ac:dyDescent="0.45">
      <c r="C25" s="46" t="s">
        <v>383</v>
      </c>
      <c r="D25" s="253"/>
      <c r="E25" s="254"/>
      <c r="K25" s="46" t="s">
        <v>383</v>
      </c>
      <c r="L25" s="253"/>
      <c r="M25" s="254"/>
      <c r="S25" s="46" t="s">
        <v>383</v>
      </c>
      <c r="T25" s="253"/>
      <c r="U25" s="254"/>
      <c r="AA25" s="46" t="s">
        <v>383</v>
      </c>
      <c r="AB25" s="253"/>
      <c r="AC25" s="254"/>
      <c r="AI25" s="46" t="s">
        <v>383</v>
      </c>
      <c r="AJ25" s="253"/>
      <c r="AK25" s="254"/>
      <c r="AQ25" s="46" t="s">
        <v>383</v>
      </c>
      <c r="AR25" s="253"/>
      <c r="AS25" s="254"/>
      <c r="AY25" s="46" t="s">
        <v>383</v>
      </c>
      <c r="AZ25" s="253"/>
      <c r="BA25" s="254"/>
      <c r="BG25" s="46" t="s">
        <v>383</v>
      </c>
      <c r="BH25" s="253"/>
      <c r="BI25" s="254"/>
      <c r="BO25" s="46" t="s">
        <v>383</v>
      </c>
      <c r="BP25" s="253"/>
      <c r="BQ25" s="254"/>
      <c r="BW25" s="46" t="s">
        <v>383</v>
      </c>
      <c r="BX25" s="253"/>
      <c r="BY25" s="254"/>
    </row>
    <row r="26" spans="3:77" ht="14.75" customHeight="1" x14ac:dyDescent="0.45">
      <c r="C26" s="46" t="s">
        <v>384</v>
      </c>
      <c r="D26" s="255" t="s">
        <v>385</v>
      </c>
      <c r="E26" s="256"/>
      <c r="K26" s="46" t="s">
        <v>384</v>
      </c>
      <c r="L26" s="255" t="s">
        <v>385</v>
      </c>
      <c r="M26" s="256"/>
      <c r="S26" s="46" t="s">
        <v>384</v>
      </c>
      <c r="T26" s="255" t="s">
        <v>385</v>
      </c>
      <c r="U26" s="256"/>
      <c r="AA26" s="46" t="s">
        <v>384</v>
      </c>
      <c r="AB26" s="255" t="s">
        <v>385</v>
      </c>
      <c r="AC26" s="256"/>
      <c r="AI26" s="46" t="s">
        <v>384</v>
      </c>
      <c r="AJ26" s="255" t="s">
        <v>385</v>
      </c>
      <c r="AK26" s="256"/>
      <c r="AQ26" s="46" t="s">
        <v>384</v>
      </c>
      <c r="AR26" s="255" t="s">
        <v>385</v>
      </c>
      <c r="AS26" s="256"/>
      <c r="AY26" s="46" t="s">
        <v>384</v>
      </c>
      <c r="AZ26" s="255" t="s">
        <v>385</v>
      </c>
      <c r="BA26" s="256"/>
      <c r="BG26" s="46" t="s">
        <v>384</v>
      </c>
      <c r="BH26" s="255" t="s">
        <v>385</v>
      </c>
      <c r="BI26" s="256"/>
      <c r="BO26" s="46" t="s">
        <v>384</v>
      </c>
      <c r="BP26" s="255" t="s">
        <v>385</v>
      </c>
      <c r="BQ26" s="256"/>
      <c r="BW26" s="46" t="s">
        <v>384</v>
      </c>
      <c r="BX26" s="255" t="s">
        <v>385</v>
      </c>
      <c r="BY26" s="256"/>
    </row>
    <row r="27" spans="3:77" x14ac:dyDescent="0.45">
      <c r="C27" s="71" t="s">
        <v>379</v>
      </c>
      <c r="D27" s="152">
        <f>'Page Four - Portfolio Details'!E110</f>
        <v>0</v>
      </c>
      <c r="E27" s="152"/>
      <c r="K27" s="71" t="s">
        <v>379</v>
      </c>
      <c r="L27" s="152">
        <f>'Page Four - Portfolio Details'!O110</f>
        <v>0</v>
      </c>
      <c r="M27" s="152"/>
      <c r="S27" s="71" t="s">
        <v>379</v>
      </c>
      <c r="T27" s="152">
        <f>'Page Four - Portfolio Details'!Y110</f>
        <v>0</v>
      </c>
      <c r="U27" s="152"/>
      <c r="AA27" s="71" t="s">
        <v>379</v>
      </c>
      <c r="AB27" s="152">
        <f>'Page Four - Portfolio Details'!AI110</f>
        <v>0</v>
      </c>
      <c r="AC27" s="152"/>
      <c r="AI27" s="71" t="s">
        <v>379</v>
      </c>
      <c r="AJ27" s="152">
        <f>'Page Four - Portfolio Details'!AS110</f>
        <v>0</v>
      </c>
      <c r="AK27" s="152"/>
      <c r="AQ27" s="71" t="s">
        <v>379</v>
      </c>
      <c r="AR27" s="152">
        <f>'Page Four - Portfolio Details'!BC110</f>
        <v>0</v>
      </c>
      <c r="AS27" s="152"/>
      <c r="AY27" s="71" t="s">
        <v>379</v>
      </c>
      <c r="AZ27" s="152">
        <f>'Page Four - Portfolio Details'!BM110</f>
        <v>0</v>
      </c>
      <c r="BA27" s="152"/>
      <c r="BG27" s="71" t="s">
        <v>379</v>
      </c>
      <c r="BH27" s="152">
        <f>'Page Four - Portfolio Details'!BW110</f>
        <v>0</v>
      </c>
      <c r="BI27" s="152"/>
      <c r="BO27" s="71" t="s">
        <v>379</v>
      </c>
      <c r="BP27" s="152">
        <f>'Page Four - Portfolio Details'!CG110</f>
        <v>0</v>
      </c>
      <c r="BQ27" s="152"/>
      <c r="BW27" s="71" t="s">
        <v>379</v>
      </c>
      <c r="BX27" s="152">
        <f>'Page Four - Portfolio Details'!CQ110</f>
        <v>0</v>
      </c>
      <c r="BY27" s="152"/>
    </row>
    <row r="28" spans="3:77" x14ac:dyDescent="0.45">
      <c r="C28" s="46" t="s">
        <v>378</v>
      </c>
      <c r="D28" s="152">
        <f>'Page Four - Portfolio Details'!E84</f>
        <v>0</v>
      </c>
      <c r="E28" s="152"/>
      <c r="K28" s="46" t="s">
        <v>378</v>
      </c>
      <c r="L28" s="152">
        <f>'Page Four - Portfolio Details'!O84</f>
        <v>0</v>
      </c>
      <c r="M28" s="152"/>
      <c r="S28" s="46" t="s">
        <v>378</v>
      </c>
      <c r="T28" s="152">
        <f>'Page Four - Portfolio Details'!Y84</f>
        <v>0</v>
      </c>
      <c r="U28" s="152"/>
      <c r="AA28" s="46" t="s">
        <v>378</v>
      </c>
      <c r="AB28" s="152">
        <f>'Page Four - Portfolio Details'!AI84</f>
        <v>0</v>
      </c>
      <c r="AC28" s="152"/>
      <c r="AI28" s="46" t="s">
        <v>378</v>
      </c>
      <c r="AJ28" s="152">
        <f>'Page Four - Portfolio Details'!AS84</f>
        <v>0</v>
      </c>
      <c r="AK28" s="152"/>
      <c r="AQ28" s="46" t="s">
        <v>378</v>
      </c>
      <c r="AR28" s="152">
        <f>'Page Four - Portfolio Details'!BC84</f>
        <v>0</v>
      </c>
      <c r="AS28" s="152"/>
      <c r="AY28" s="46" t="s">
        <v>378</v>
      </c>
      <c r="AZ28" s="152">
        <f>'Page Four - Portfolio Details'!BM84</f>
        <v>0</v>
      </c>
      <c r="BA28" s="152"/>
      <c r="BG28" s="46" t="s">
        <v>378</v>
      </c>
      <c r="BH28" s="152">
        <f>'Page Four - Portfolio Details'!BW84</f>
        <v>0</v>
      </c>
      <c r="BI28" s="152"/>
      <c r="BO28" s="46" t="s">
        <v>378</v>
      </c>
      <c r="BP28" s="152">
        <f>'Page Four - Portfolio Details'!CG84</f>
        <v>0</v>
      </c>
      <c r="BQ28" s="152"/>
      <c r="BW28" s="46" t="s">
        <v>378</v>
      </c>
      <c r="BX28" s="152">
        <f>'Page Four - Portfolio Details'!CQ84</f>
        <v>0</v>
      </c>
      <c r="BY28" s="152"/>
    </row>
    <row r="29" spans="3:77" x14ac:dyDescent="0.45">
      <c r="C29" s="24"/>
      <c r="D29" s="25"/>
      <c r="E29" s="25"/>
      <c r="K29" s="24"/>
      <c r="L29" s="25"/>
      <c r="M29" s="25"/>
      <c r="S29" s="24"/>
      <c r="T29" s="25"/>
      <c r="U29" s="25"/>
      <c r="AA29" s="24"/>
      <c r="AB29" s="25"/>
      <c r="AC29" s="25"/>
      <c r="AI29" s="24"/>
      <c r="AJ29" s="25"/>
      <c r="AK29" s="25"/>
      <c r="AQ29" s="24"/>
      <c r="AR29" s="25"/>
      <c r="AS29" s="25"/>
      <c r="AY29" s="24"/>
      <c r="AZ29" s="25"/>
      <c r="BA29" s="25"/>
      <c r="BG29" s="24"/>
      <c r="BH29" s="25"/>
      <c r="BI29" s="25"/>
      <c r="BO29" s="24"/>
      <c r="BP29" s="25"/>
      <c r="BQ29" s="25"/>
      <c r="BW29" s="24"/>
      <c r="BX29" s="25"/>
      <c r="BY29" s="25"/>
    </row>
    <row r="30" spans="3:77" x14ac:dyDescent="0.45">
      <c r="C30" s="69" t="s">
        <v>386</v>
      </c>
      <c r="D30" s="119" t="s">
        <v>387</v>
      </c>
      <c r="E30" s="119" t="s">
        <v>388</v>
      </c>
      <c r="K30" s="69" t="s">
        <v>386</v>
      </c>
      <c r="L30" s="119" t="s">
        <v>387</v>
      </c>
      <c r="M30" s="119" t="s">
        <v>388</v>
      </c>
      <c r="S30" s="69" t="s">
        <v>386</v>
      </c>
      <c r="T30" s="119" t="s">
        <v>387</v>
      </c>
      <c r="U30" s="119" t="s">
        <v>388</v>
      </c>
      <c r="AA30" s="69" t="s">
        <v>386</v>
      </c>
      <c r="AB30" s="119" t="s">
        <v>387</v>
      </c>
      <c r="AC30" s="119" t="s">
        <v>388</v>
      </c>
      <c r="AI30" s="69" t="s">
        <v>386</v>
      </c>
      <c r="AJ30" s="119" t="s">
        <v>387</v>
      </c>
      <c r="AK30" s="119" t="s">
        <v>388</v>
      </c>
      <c r="AQ30" s="69" t="s">
        <v>386</v>
      </c>
      <c r="AR30" s="119" t="s">
        <v>387</v>
      </c>
      <c r="AS30" s="119" t="s">
        <v>388</v>
      </c>
      <c r="AY30" s="69" t="s">
        <v>386</v>
      </c>
      <c r="AZ30" s="119" t="s">
        <v>387</v>
      </c>
      <c r="BA30" s="119" t="s">
        <v>388</v>
      </c>
      <c r="BG30" s="69" t="s">
        <v>386</v>
      </c>
      <c r="BH30" s="119" t="s">
        <v>387</v>
      </c>
      <c r="BI30" s="119" t="s">
        <v>388</v>
      </c>
      <c r="BO30" s="69" t="s">
        <v>386</v>
      </c>
      <c r="BP30" s="119" t="s">
        <v>387</v>
      </c>
      <c r="BQ30" s="119" t="s">
        <v>388</v>
      </c>
      <c r="BW30" s="69" t="s">
        <v>386</v>
      </c>
      <c r="BX30" s="119" t="s">
        <v>387</v>
      </c>
      <c r="BY30" s="119" t="s">
        <v>388</v>
      </c>
    </row>
    <row r="31" spans="3:77" x14ac:dyDescent="0.45">
      <c r="C31" s="53" t="s">
        <v>389</v>
      </c>
      <c r="D31" s="68"/>
      <c r="E31" s="68"/>
      <c r="K31" s="53" t="s">
        <v>389</v>
      </c>
      <c r="L31" s="68"/>
      <c r="M31" s="68"/>
      <c r="S31" s="53" t="s">
        <v>389</v>
      </c>
      <c r="T31" s="68"/>
      <c r="U31" s="68"/>
      <c r="AA31" s="53" t="s">
        <v>389</v>
      </c>
      <c r="AB31" s="68"/>
      <c r="AC31" s="68"/>
      <c r="AI31" s="53" t="s">
        <v>389</v>
      </c>
      <c r="AJ31" s="68"/>
      <c r="AK31" s="68"/>
      <c r="AQ31" s="53" t="s">
        <v>389</v>
      </c>
      <c r="AR31" s="68"/>
      <c r="AS31" s="68"/>
      <c r="AY31" s="53" t="s">
        <v>389</v>
      </c>
      <c r="AZ31" s="68"/>
      <c r="BA31" s="68"/>
      <c r="BG31" s="53" t="s">
        <v>389</v>
      </c>
      <c r="BH31" s="68"/>
      <c r="BI31" s="68"/>
      <c r="BO31" s="53" t="s">
        <v>389</v>
      </c>
      <c r="BP31" s="68"/>
      <c r="BQ31" s="68"/>
      <c r="BW31" s="53" t="s">
        <v>389</v>
      </c>
      <c r="BX31" s="68"/>
      <c r="BY31" s="68"/>
    </row>
    <row r="32" spans="3:77" x14ac:dyDescent="0.45">
      <c r="C32" s="71" t="s">
        <v>197</v>
      </c>
      <c r="D32" s="120">
        <f>'Page Four - Portfolio Details'!D51</f>
        <v>0</v>
      </c>
      <c r="E32" s="120">
        <f>'Page Four - Portfolio Details'!F51</f>
        <v>0.85</v>
      </c>
      <c r="K32" s="71" t="s">
        <v>197</v>
      </c>
      <c r="L32" s="120">
        <f>'Page Four - Portfolio Details'!N51</f>
        <v>0</v>
      </c>
      <c r="M32" s="120">
        <f>'Page Four - Portfolio Details'!P51</f>
        <v>0.2</v>
      </c>
      <c r="S32" s="71" t="s">
        <v>197</v>
      </c>
      <c r="T32" s="120">
        <f>'Page Four - Portfolio Details'!X51</f>
        <v>0</v>
      </c>
      <c r="U32" s="120">
        <f>'Page Four - Portfolio Details'!Z51</f>
        <v>0</v>
      </c>
      <c r="AA32" s="71" t="s">
        <v>197</v>
      </c>
      <c r="AB32" s="120">
        <f>'Page Four - Portfolio Details'!AH51</f>
        <v>0</v>
      </c>
      <c r="AC32" s="120">
        <f>'Page Four - Portfolio Details'!AJ51</f>
        <v>0</v>
      </c>
      <c r="AI32" s="71" t="s">
        <v>197</v>
      </c>
      <c r="AJ32" s="120">
        <f>'Page Four - Portfolio Details'!AR51</f>
        <v>0</v>
      </c>
      <c r="AK32" s="120">
        <f>'Page Four - Portfolio Details'!AT51</f>
        <v>0</v>
      </c>
      <c r="AQ32" s="71" t="s">
        <v>197</v>
      </c>
      <c r="AR32" s="120">
        <f>'Page Four - Portfolio Details'!BB51</f>
        <v>0</v>
      </c>
      <c r="AS32" s="120">
        <f>'Page Four - Portfolio Details'!BD51</f>
        <v>0</v>
      </c>
      <c r="AY32" s="71" t="s">
        <v>197</v>
      </c>
      <c r="AZ32" s="120">
        <f>'Page Four - Portfolio Details'!BL51</f>
        <v>0</v>
      </c>
      <c r="BA32" s="120">
        <f>'Page Four - Portfolio Details'!BN51</f>
        <v>0</v>
      </c>
      <c r="BG32" s="71" t="s">
        <v>197</v>
      </c>
      <c r="BH32" s="120">
        <f>'Page Four - Portfolio Details'!BV51</f>
        <v>0</v>
      </c>
      <c r="BI32" s="120">
        <f>'Page Four - Portfolio Details'!BX51</f>
        <v>0</v>
      </c>
      <c r="BO32" s="71" t="s">
        <v>197</v>
      </c>
      <c r="BP32" s="120">
        <f>'Page Four - Portfolio Details'!CF51</f>
        <v>0</v>
      </c>
      <c r="BQ32" s="120">
        <f>'Page Four - Portfolio Details'!CH51</f>
        <v>0</v>
      </c>
      <c r="BW32" s="71" t="s">
        <v>197</v>
      </c>
      <c r="BX32" s="120">
        <f>'Page Four - Portfolio Details'!CP51</f>
        <v>0</v>
      </c>
      <c r="BY32" s="120">
        <f>'Page Four - Portfolio Details'!CR51</f>
        <v>0</v>
      </c>
    </row>
    <row r="33" spans="3:77" x14ac:dyDescent="0.45">
      <c r="C33" s="71" t="s">
        <v>198</v>
      </c>
      <c r="D33" s="120">
        <f>'Page Four - Portfolio Details'!D52</f>
        <v>0</v>
      </c>
      <c r="E33" s="120">
        <f>'Page Four - Portfolio Details'!F52</f>
        <v>0.85</v>
      </c>
      <c r="K33" s="71" t="s">
        <v>198</v>
      </c>
      <c r="L33" s="120">
        <f>'Page Four - Portfolio Details'!N52</f>
        <v>0</v>
      </c>
      <c r="M33" s="120">
        <f>'Page Four - Portfolio Details'!P52</f>
        <v>0.2</v>
      </c>
      <c r="S33" s="71" t="s">
        <v>198</v>
      </c>
      <c r="T33" s="120">
        <f>'Page Four - Portfolio Details'!X52</f>
        <v>0</v>
      </c>
      <c r="U33" s="120">
        <f>'Page Four - Portfolio Details'!Z52</f>
        <v>0</v>
      </c>
      <c r="AA33" s="71" t="s">
        <v>198</v>
      </c>
      <c r="AB33" s="120">
        <f>'Page Four - Portfolio Details'!AH52</f>
        <v>0</v>
      </c>
      <c r="AC33" s="120">
        <f>'Page Four - Portfolio Details'!AJ52</f>
        <v>0</v>
      </c>
      <c r="AI33" s="71" t="s">
        <v>198</v>
      </c>
      <c r="AJ33" s="120">
        <f>'Page Four - Portfolio Details'!AR52</f>
        <v>0</v>
      </c>
      <c r="AK33" s="120">
        <f>'Page Four - Portfolio Details'!AT52</f>
        <v>0</v>
      </c>
      <c r="AQ33" s="71" t="s">
        <v>198</v>
      </c>
      <c r="AR33" s="120">
        <f>'Page Four - Portfolio Details'!BB52</f>
        <v>0</v>
      </c>
      <c r="AS33" s="120">
        <f>'Page Four - Portfolio Details'!BD52</f>
        <v>0</v>
      </c>
      <c r="AY33" s="71" t="s">
        <v>198</v>
      </c>
      <c r="AZ33" s="120">
        <f>'Page Four - Portfolio Details'!BL52</f>
        <v>0</v>
      </c>
      <c r="BA33" s="120">
        <f>'Page Four - Portfolio Details'!BN52</f>
        <v>0</v>
      </c>
      <c r="BG33" s="71" t="s">
        <v>198</v>
      </c>
      <c r="BH33" s="120">
        <f>'Page Four - Portfolio Details'!BV52</f>
        <v>0</v>
      </c>
      <c r="BI33" s="120">
        <f>'Page Four - Portfolio Details'!BX52</f>
        <v>0</v>
      </c>
      <c r="BO33" s="71" t="s">
        <v>198</v>
      </c>
      <c r="BP33" s="120">
        <f>'Page Four - Portfolio Details'!CF52</f>
        <v>0</v>
      </c>
      <c r="BQ33" s="120">
        <f>'Page Four - Portfolio Details'!CH52</f>
        <v>0</v>
      </c>
      <c r="BW33" s="71" t="s">
        <v>198</v>
      </c>
      <c r="BX33" s="120">
        <f>'Page Four - Portfolio Details'!CP52</f>
        <v>0</v>
      </c>
      <c r="BY33" s="120">
        <f>'Page Four - Portfolio Details'!CR52</f>
        <v>0</v>
      </c>
    </row>
    <row r="34" spans="3:77" x14ac:dyDescent="0.45">
      <c r="C34" s="259" t="s">
        <v>390</v>
      </c>
      <c r="D34" s="257">
        <f>'Page Four - Portfolio Details'!D53</f>
        <v>0</v>
      </c>
      <c r="E34" s="120">
        <f>'Page Four - Portfolio Details'!F53</f>
        <v>0.35</v>
      </c>
      <c r="K34" s="259" t="s">
        <v>390</v>
      </c>
      <c r="L34" s="257">
        <f>'Page Four - Portfolio Details'!N53</f>
        <v>0</v>
      </c>
      <c r="M34" s="120">
        <f>'Page Four - Portfolio Details'!P53</f>
        <v>0.2</v>
      </c>
      <c r="S34" s="259" t="s">
        <v>390</v>
      </c>
      <c r="T34" s="257">
        <f>'Page Four - Portfolio Details'!X53</f>
        <v>0</v>
      </c>
      <c r="U34" s="120">
        <f>'Page Four - Portfolio Details'!Z53</f>
        <v>0</v>
      </c>
      <c r="AA34" s="259" t="s">
        <v>390</v>
      </c>
      <c r="AB34" s="257">
        <f>'Page Four - Portfolio Details'!AH53</f>
        <v>0</v>
      </c>
      <c r="AC34" s="120">
        <f>'Page Four - Portfolio Details'!AJ53</f>
        <v>0</v>
      </c>
      <c r="AI34" s="259" t="s">
        <v>390</v>
      </c>
      <c r="AJ34" s="257">
        <f>'Page Four - Portfolio Details'!AR53</f>
        <v>0</v>
      </c>
      <c r="AK34" s="120">
        <f>'Page Four - Portfolio Details'!AT53</f>
        <v>0</v>
      </c>
      <c r="AQ34" s="259" t="s">
        <v>390</v>
      </c>
      <c r="AR34" s="257">
        <f>'Page Four - Portfolio Details'!BB53</f>
        <v>0</v>
      </c>
      <c r="AS34" s="120">
        <f>'Page Four - Portfolio Details'!BD53</f>
        <v>0</v>
      </c>
      <c r="AY34" s="259" t="s">
        <v>390</v>
      </c>
      <c r="AZ34" s="257">
        <f>'Page Four - Portfolio Details'!BL53</f>
        <v>0</v>
      </c>
      <c r="BA34" s="120">
        <f>'Page Four - Portfolio Details'!BN53</f>
        <v>0</v>
      </c>
      <c r="BG34" s="259" t="s">
        <v>390</v>
      </c>
      <c r="BH34" s="257">
        <f>'Page Four - Portfolio Details'!BV53</f>
        <v>0</v>
      </c>
      <c r="BI34" s="120">
        <f>'Page Four - Portfolio Details'!BX53</f>
        <v>0</v>
      </c>
      <c r="BO34" s="259" t="s">
        <v>390</v>
      </c>
      <c r="BP34" s="257">
        <f>'Page Four - Portfolio Details'!CF53</f>
        <v>0</v>
      </c>
      <c r="BQ34" s="120">
        <f>'Page Four - Portfolio Details'!CH53</f>
        <v>0</v>
      </c>
      <c r="BW34" s="259" t="s">
        <v>390</v>
      </c>
      <c r="BX34" s="257">
        <f>'Page Four - Portfolio Details'!CP53</f>
        <v>0</v>
      </c>
      <c r="BY34" s="120">
        <f>'Page Four - Portfolio Details'!CR53</f>
        <v>0</v>
      </c>
    </row>
    <row r="35" spans="3:77" x14ac:dyDescent="0.45">
      <c r="C35" s="260"/>
      <c r="D35" s="258"/>
      <c r="E35" s="120">
        <f>'Page Four - Portfolio Details'!F54</f>
        <v>0</v>
      </c>
      <c r="K35" s="260"/>
      <c r="L35" s="258"/>
      <c r="M35" s="120">
        <f>'Page Four - Portfolio Details'!P54</f>
        <v>0</v>
      </c>
      <c r="S35" s="260"/>
      <c r="T35" s="258"/>
      <c r="U35" s="120">
        <f>'Page Four - Portfolio Details'!Z54</f>
        <v>0</v>
      </c>
      <c r="AA35" s="260"/>
      <c r="AB35" s="258"/>
      <c r="AC35" s="120">
        <f>'Page Four - Portfolio Details'!AJ54</f>
        <v>0</v>
      </c>
      <c r="AI35" s="260"/>
      <c r="AJ35" s="258"/>
      <c r="AK35" s="120">
        <f>'Page Four - Portfolio Details'!AT54</f>
        <v>0</v>
      </c>
      <c r="AQ35" s="260"/>
      <c r="AR35" s="258"/>
      <c r="AS35" s="120">
        <f>'Page Four - Portfolio Details'!BD54</f>
        <v>0</v>
      </c>
      <c r="AY35" s="260"/>
      <c r="AZ35" s="258"/>
      <c r="BA35" s="120">
        <f>'Page Four - Portfolio Details'!BN54</f>
        <v>0</v>
      </c>
      <c r="BG35" s="260"/>
      <c r="BH35" s="258"/>
      <c r="BI35" s="120">
        <f>'Page Four - Portfolio Details'!BX54</f>
        <v>0</v>
      </c>
      <c r="BO35" s="260"/>
      <c r="BP35" s="258"/>
      <c r="BQ35" s="120">
        <f>'Page Four - Portfolio Details'!CH54</f>
        <v>0</v>
      </c>
      <c r="BW35" s="260"/>
      <c r="BX35" s="258"/>
      <c r="BY35" s="120">
        <f>'Page Four - Portfolio Details'!CR54</f>
        <v>0</v>
      </c>
    </row>
    <row r="36" spans="3:77" x14ac:dyDescent="0.45">
      <c r="C36" s="71" t="s">
        <v>201</v>
      </c>
      <c r="D36" s="120">
        <f>'Page Four - Portfolio Details'!D55</f>
        <v>0</v>
      </c>
      <c r="E36" s="120">
        <f>'Page Four - Portfolio Details'!F55</f>
        <v>0.2</v>
      </c>
      <c r="K36" s="71" t="s">
        <v>201</v>
      </c>
      <c r="L36" s="120">
        <f>'Page Four - Portfolio Details'!N55</f>
        <v>0</v>
      </c>
      <c r="M36" s="120">
        <f>'Page Four - Portfolio Details'!P55</f>
        <v>0.2</v>
      </c>
      <c r="S36" s="71" t="s">
        <v>201</v>
      </c>
      <c r="T36" s="120">
        <f>'Page Four - Portfolio Details'!X55</f>
        <v>0</v>
      </c>
      <c r="U36" s="120">
        <f>'Page Four - Portfolio Details'!Z55</f>
        <v>0</v>
      </c>
      <c r="AA36" s="71" t="s">
        <v>201</v>
      </c>
      <c r="AB36" s="120">
        <f>'Page Four - Portfolio Details'!AH55</f>
        <v>0</v>
      </c>
      <c r="AC36" s="120">
        <f>'Page Four - Portfolio Details'!AJ55</f>
        <v>0</v>
      </c>
      <c r="AI36" s="71" t="s">
        <v>201</v>
      </c>
      <c r="AJ36" s="120">
        <f>'Page Four - Portfolio Details'!AR55</f>
        <v>0</v>
      </c>
      <c r="AK36" s="120">
        <f>'Page Four - Portfolio Details'!AT55</f>
        <v>0</v>
      </c>
      <c r="AQ36" s="71" t="s">
        <v>201</v>
      </c>
      <c r="AR36" s="120">
        <f>'Page Four - Portfolio Details'!BB55</f>
        <v>0</v>
      </c>
      <c r="AS36" s="120">
        <f>'Page Four - Portfolio Details'!BD55</f>
        <v>0</v>
      </c>
      <c r="AY36" s="71" t="s">
        <v>201</v>
      </c>
      <c r="AZ36" s="120">
        <f>'Page Four - Portfolio Details'!BL55</f>
        <v>0</v>
      </c>
      <c r="BA36" s="120">
        <f>'Page Four - Portfolio Details'!BN55</f>
        <v>0</v>
      </c>
      <c r="BG36" s="71" t="s">
        <v>201</v>
      </c>
      <c r="BH36" s="120">
        <f>'Page Four - Portfolio Details'!BV55</f>
        <v>0</v>
      </c>
      <c r="BI36" s="120">
        <f>'Page Four - Portfolio Details'!BX55</f>
        <v>0</v>
      </c>
      <c r="BO36" s="71" t="s">
        <v>201</v>
      </c>
      <c r="BP36" s="120">
        <f>'Page Four - Portfolio Details'!CF55</f>
        <v>0</v>
      </c>
      <c r="BQ36" s="120">
        <f>'Page Four - Portfolio Details'!CH55</f>
        <v>0</v>
      </c>
      <c r="BW36" s="71" t="s">
        <v>201</v>
      </c>
      <c r="BX36" s="120">
        <f>'Page Four - Portfolio Details'!CP55</f>
        <v>0</v>
      </c>
      <c r="BY36" s="120">
        <f>'Page Four - Portfolio Details'!CR55</f>
        <v>0</v>
      </c>
    </row>
    <row r="37" spans="3:77" x14ac:dyDescent="0.45">
      <c r="C37" s="72" t="s">
        <v>391</v>
      </c>
      <c r="D37" s="80"/>
      <c r="E37" s="80"/>
      <c r="K37" s="72" t="s">
        <v>391</v>
      </c>
      <c r="L37" s="80"/>
      <c r="M37" s="80"/>
      <c r="S37" s="72" t="s">
        <v>391</v>
      </c>
      <c r="T37" s="80"/>
      <c r="U37" s="80"/>
      <c r="AA37" s="72" t="s">
        <v>391</v>
      </c>
      <c r="AB37" s="80"/>
      <c r="AC37" s="80"/>
      <c r="AI37" s="72" t="s">
        <v>391</v>
      </c>
      <c r="AJ37" s="80"/>
      <c r="AK37" s="80"/>
      <c r="AQ37" s="72" t="s">
        <v>391</v>
      </c>
      <c r="AR37" s="80"/>
      <c r="AS37" s="80"/>
      <c r="AY37" s="72" t="s">
        <v>391</v>
      </c>
      <c r="AZ37" s="80"/>
      <c r="BA37" s="80"/>
      <c r="BG37" s="72" t="s">
        <v>391</v>
      </c>
      <c r="BH37" s="80"/>
      <c r="BI37" s="80"/>
      <c r="BO37" s="72" t="s">
        <v>391</v>
      </c>
      <c r="BP37" s="80"/>
      <c r="BQ37" s="80"/>
      <c r="BW37" s="72" t="s">
        <v>391</v>
      </c>
      <c r="BX37" s="80"/>
      <c r="BY37" s="80"/>
    </row>
    <row r="38" spans="3:77" x14ac:dyDescent="0.45">
      <c r="C38" s="71" t="s">
        <v>113</v>
      </c>
      <c r="D38" s="120">
        <f>'Page Four - Portfolio Details'!D57</f>
        <v>0</v>
      </c>
      <c r="E38" s="120">
        <f>'Page Four - Portfolio Details'!F57</f>
        <v>0.19</v>
      </c>
      <c r="K38" s="71" t="s">
        <v>113</v>
      </c>
      <c r="L38" s="120">
        <f>'Page Four - Portfolio Details'!N57</f>
        <v>0</v>
      </c>
      <c r="M38" s="120">
        <f>'Page Four - Portfolio Details'!P57</f>
        <v>0.98</v>
      </c>
      <c r="S38" s="71" t="s">
        <v>113</v>
      </c>
      <c r="T38" s="120">
        <f>'Page Four - Portfolio Details'!X57</f>
        <v>0</v>
      </c>
      <c r="U38" s="120">
        <f>'Page Four - Portfolio Details'!Z57</f>
        <v>0</v>
      </c>
      <c r="AA38" s="71" t="s">
        <v>113</v>
      </c>
      <c r="AB38" s="120">
        <f>'Page Four - Portfolio Details'!AH57</f>
        <v>0</v>
      </c>
      <c r="AC38" s="120">
        <f>'Page Four - Portfolio Details'!AJ57</f>
        <v>0</v>
      </c>
      <c r="AI38" s="71" t="s">
        <v>113</v>
      </c>
      <c r="AJ38" s="120">
        <f>'Page Four - Portfolio Details'!AR57</f>
        <v>0</v>
      </c>
      <c r="AK38" s="120">
        <f>'Page Four - Portfolio Details'!AT57</f>
        <v>0</v>
      </c>
      <c r="AQ38" s="71" t="s">
        <v>113</v>
      </c>
      <c r="AR38" s="120">
        <f>'Page Four - Portfolio Details'!BB57</f>
        <v>0</v>
      </c>
      <c r="AS38" s="120">
        <f>'Page Four - Portfolio Details'!BD57</f>
        <v>0</v>
      </c>
      <c r="AY38" s="71" t="s">
        <v>113</v>
      </c>
      <c r="AZ38" s="120">
        <f>'Page Four - Portfolio Details'!BL57</f>
        <v>0</v>
      </c>
      <c r="BA38" s="120">
        <f>'Page Four - Portfolio Details'!BN57</f>
        <v>0</v>
      </c>
      <c r="BG38" s="71" t="s">
        <v>113</v>
      </c>
      <c r="BH38" s="120">
        <f>'Page Four - Portfolio Details'!BV57</f>
        <v>0</v>
      </c>
      <c r="BI38" s="120">
        <f>'Page Four - Portfolio Details'!BX57</f>
        <v>0</v>
      </c>
      <c r="BO38" s="71" t="s">
        <v>113</v>
      </c>
      <c r="BP38" s="120">
        <f>'Page Four - Portfolio Details'!CF57</f>
        <v>0</v>
      </c>
      <c r="BQ38" s="120">
        <f>'Page Four - Portfolio Details'!CH57</f>
        <v>0</v>
      </c>
      <c r="BW38" s="71" t="s">
        <v>113</v>
      </c>
      <c r="BX38" s="120">
        <f>'Page Four - Portfolio Details'!CP57</f>
        <v>0</v>
      </c>
      <c r="BY38" s="120">
        <f>'Page Four - Portfolio Details'!CR57</f>
        <v>0</v>
      </c>
    </row>
    <row r="39" spans="3:77" x14ac:dyDescent="0.45">
      <c r="C39" s="71" t="s">
        <v>203</v>
      </c>
      <c r="D39" s="120">
        <f>'Page Four - Portfolio Details'!D58</f>
        <v>0</v>
      </c>
      <c r="E39" s="120">
        <f>'Page Four - Portfolio Details'!F58</f>
        <v>0.19</v>
      </c>
      <c r="K39" s="71" t="s">
        <v>203</v>
      </c>
      <c r="L39" s="120">
        <f>'Page Four - Portfolio Details'!N58</f>
        <v>0</v>
      </c>
      <c r="M39" s="120">
        <f>'Page Four - Portfolio Details'!P58</f>
        <v>0.98</v>
      </c>
      <c r="S39" s="71" t="s">
        <v>203</v>
      </c>
      <c r="T39" s="120">
        <f>'Page Four - Portfolio Details'!X58</f>
        <v>0</v>
      </c>
      <c r="U39" s="120">
        <f>'Page Four - Portfolio Details'!Z58</f>
        <v>0</v>
      </c>
      <c r="AA39" s="71" t="s">
        <v>203</v>
      </c>
      <c r="AB39" s="120">
        <f>'Page Four - Portfolio Details'!AH58</f>
        <v>0</v>
      </c>
      <c r="AC39" s="120">
        <f>'Page Four - Portfolio Details'!AJ58</f>
        <v>0</v>
      </c>
      <c r="AI39" s="71" t="s">
        <v>203</v>
      </c>
      <c r="AJ39" s="120">
        <f>'Page Four - Portfolio Details'!AR58</f>
        <v>0</v>
      </c>
      <c r="AK39" s="120">
        <f>'Page Four - Portfolio Details'!AT58</f>
        <v>0</v>
      </c>
      <c r="AQ39" s="71" t="s">
        <v>203</v>
      </c>
      <c r="AR39" s="120">
        <f>'Page Four - Portfolio Details'!BB58</f>
        <v>0</v>
      </c>
      <c r="AS39" s="120">
        <f>'Page Four - Portfolio Details'!BD58</f>
        <v>0</v>
      </c>
      <c r="AY39" s="71" t="s">
        <v>203</v>
      </c>
      <c r="AZ39" s="120">
        <f>'Page Four - Portfolio Details'!BL58</f>
        <v>0</v>
      </c>
      <c r="BA39" s="120">
        <f>'Page Four - Portfolio Details'!BN58</f>
        <v>0</v>
      </c>
      <c r="BG39" s="71" t="s">
        <v>203</v>
      </c>
      <c r="BH39" s="120">
        <f>'Page Four - Portfolio Details'!BV58</f>
        <v>0</v>
      </c>
      <c r="BI39" s="120">
        <f>'Page Four - Portfolio Details'!BX58</f>
        <v>0</v>
      </c>
      <c r="BO39" s="71" t="s">
        <v>203</v>
      </c>
      <c r="BP39" s="120">
        <f>'Page Four - Portfolio Details'!CF58</f>
        <v>0</v>
      </c>
      <c r="BQ39" s="120">
        <f>'Page Four - Portfolio Details'!CH58</f>
        <v>0</v>
      </c>
      <c r="BW39" s="71" t="s">
        <v>203</v>
      </c>
      <c r="BX39" s="120">
        <f>'Page Four - Portfolio Details'!CP58</f>
        <v>0</v>
      </c>
      <c r="BY39" s="120">
        <f>'Page Four - Portfolio Details'!CR58</f>
        <v>0</v>
      </c>
    </row>
    <row r="40" spans="3:77" x14ac:dyDescent="0.45">
      <c r="C40" s="71" t="s">
        <v>110</v>
      </c>
      <c r="D40" s="120">
        <f>'Page Four - Portfolio Details'!D59</f>
        <v>0.01</v>
      </c>
      <c r="E40" s="120">
        <f>'Page Four - Portfolio Details'!F59</f>
        <v>0.2</v>
      </c>
      <c r="K40" s="71" t="s">
        <v>110</v>
      </c>
      <c r="L40" s="120">
        <f>'Page Four - Portfolio Details'!N59</f>
        <v>0.01</v>
      </c>
      <c r="M40" s="120">
        <f>'Page Four - Portfolio Details'!P59</f>
        <v>1</v>
      </c>
      <c r="S40" s="71" t="s">
        <v>110</v>
      </c>
      <c r="T40" s="120">
        <f>'Page Four - Portfolio Details'!X59</f>
        <v>0</v>
      </c>
      <c r="U40" s="120">
        <f>'Page Four - Portfolio Details'!Z59</f>
        <v>0</v>
      </c>
      <c r="AA40" s="71" t="s">
        <v>110</v>
      </c>
      <c r="AB40" s="120">
        <f>'Page Four - Portfolio Details'!AH59</f>
        <v>0</v>
      </c>
      <c r="AC40" s="120">
        <f>'Page Four - Portfolio Details'!AJ59</f>
        <v>0</v>
      </c>
      <c r="AI40" s="71" t="s">
        <v>110</v>
      </c>
      <c r="AJ40" s="120">
        <f>'Page Four - Portfolio Details'!AR59</f>
        <v>0</v>
      </c>
      <c r="AK40" s="120">
        <f>'Page Four - Portfolio Details'!AT59</f>
        <v>0</v>
      </c>
      <c r="AQ40" s="71" t="s">
        <v>110</v>
      </c>
      <c r="AR40" s="120">
        <f>'Page Four - Portfolio Details'!BB59</f>
        <v>0</v>
      </c>
      <c r="AS40" s="120">
        <f>'Page Four - Portfolio Details'!BD59</f>
        <v>0</v>
      </c>
      <c r="AY40" s="71" t="s">
        <v>110</v>
      </c>
      <c r="AZ40" s="120">
        <f>'Page Four - Portfolio Details'!BL59</f>
        <v>0</v>
      </c>
      <c r="BA40" s="120">
        <f>'Page Four - Portfolio Details'!BN59</f>
        <v>0</v>
      </c>
      <c r="BG40" s="71" t="s">
        <v>110</v>
      </c>
      <c r="BH40" s="120">
        <f>'Page Four - Portfolio Details'!BV59</f>
        <v>0</v>
      </c>
      <c r="BI40" s="120">
        <f>'Page Four - Portfolio Details'!BX59</f>
        <v>0</v>
      </c>
      <c r="BO40" s="71" t="s">
        <v>110</v>
      </c>
      <c r="BP40" s="120">
        <f>'Page Four - Portfolio Details'!CF59</f>
        <v>0</v>
      </c>
      <c r="BQ40" s="120">
        <f>'Page Four - Portfolio Details'!CH59</f>
        <v>0</v>
      </c>
      <c r="BW40" s="71" t="s">
        <v>110</v>
      </c>
      <c r="BX40" s="120">
        <f>'Page Four - Portfolio Details'!CP59</f>
        <v>0</v>
      </c>
      <c r="BY40" s="120">
        <f>'Page Four - Portfolio Details'!CR59</f>
        <v>0</v>
      </c>
    </row>
  </sheetData>
  <mergeCells count="250">
    <mergeCell ref="BG34:BG35"/>
    <mergeCell ref="BO34:BO35"/>
    <mergeCell ref="BW34:BW35"/>
    <mergeCell ref="B5:C5"/>
    <mergeCell ref="D5:E5"/>
    <mergeCell ref="J5:K5"/>
    <mergeCell ref="L5:M5"/>
    <mergeCell ref="R5:S5"/>
    <mergeCell ref="T5:U5"/>
    <mergeCell ref="C34:C35"/>
    <mergeCell ref="K34:K35"/>
    <mergeCell ref="S34:S35"/>
    <mergeCell ref="BV5:BW5"/>
    <mergeCell ref="D8:E8"/>
    <mergeCell ref="L8:M8"/>
    <mergeCell ref="T8:U8"/>
    <mergeCell ref="AB8:AC8"/>
    <mergeCell ref="AJ8:AK8"/>
    <mergeCell ref="AR8:AS8"/>
    <mergeCell ref="AZ8:BA8"/>
    <mergeCell ref="BH8:BI8"/>
    <mergeCell ref="BP8:BQ8"/>
    <mergeCell ref="D10:E10"/>
    <mergeCell ref="L10:M10"/>
    <mergeCell ref="BX5:BY5"/>
    <mergeCell ref="D7:E7"/>
    <mergeCell ref="L7:M7"/>
    <mergeCell ref="T7:U7"/>
    <mergeCell ref="AB7:AC7"/>
    <mergeCell ref="AJ7:AK7"/>
    <mergeCell ref="AR7:AS7"/>
    <mergeCell ref="AZ7:BA7"/>
    <mergeCell ref="BH7:BI7"/>
    <mergeCell ref="AX5:AY5"/>
    <mergeCell ref="AZ5:BA5"/>
    <mergeCell ref="BF5:BG5"/>
    <mergeCell ref="BH5:BI5"/>
    <mergeCell ref="BN5:BO5"/>
    <mergeCell ref="BP5:BQ5"/>
    <mergeCell ref="Z5:AA5"/>
    <mergeCell ref="AB5:AC5"/>
    <mergeCell ref="AH5:AI5"/>
    <mergeCell ref="AJ5:AK5"/>
    <mergeCell ref="AP5:AQ5"/>
    <mergeCell ref="AR5:AS5"/>
    <mergeCell ref="BP7:BQ7"/>
    <mergeCell ref="BX7:BY7"/>
    <mergeCell ref="BX8:BY8"/>
    <mergeCell ref="D9:E9"/>
    <mergeCell ref="L9:M9"/>
    <mergeCell ref="T9:U9"/>
    <mergeCell ref="AB9:AC9"/>
    <mergeCell ref="AJ9:AK9"/>
    <mergeCell ref="AR9:AS9"/>
    <mergeCell ref="AZ9:BA9"/>
    <mergeCell ref="BH9:BI9"/>
    <mergeCell ref="BP9:BQ9"/>
    <mergeCell ref="BX9:BY9"/>
    <mergeCell ref="T10:U10"/>
    <mergeCell ref="AB10:AC10"/>
    <mergeCell ref="AJ10:AK10"/>
    <mergeCell ref="AR10:AS10"/>
    <mergeCell ref="AZ10:BA10"/>
    <mergeCell ref="BH10:BI10"/>
    <mergeCell ref="BP10:BQ10"/>
    <mergeCell ref="BX10:BY10"/>
    <mergeCell ref="D11:E11"/>
    <mergeCell ref="L11:M11"/>
    <mergeCell ref="T11:U11"/>
    <mergeCell ref="AB11:AC11"/>
    <mergeCell ref="AJ11:AK11"/>
    <mergeCell ref="AR11:AS11"/>
    <mergeCell ref="AZ11:BA11"/>
    <mergeCell ref="BH11:BI11"/>
    <mergeCell ref="BP11:BQ11"/>
    <mergeCell ref="BX11:BY11"/>
    <mergeCell ref="BX15:BY15"/>
    <mergeCell ref="BP12:BQ12"/>
    <mergeCell ref="BX12:BY12"/>
    <mergeCell ref="D15:E15"/>
    <mergeCell ref="L15:M15"/>
    <mergeCell ref="T15:U15"/>
    <mergeCell ref="AB15:AC15"/>
    <mergeCell ref="AJ15:AK15"/>
    <mergeCell ref="AR15:AS15"/>
    <mergeCell ref="AZ15:BA15"/>
    <mergeCell ref="BH15:BI15"/>
    <mergeCell ref="AB13:AC13"/>
    <mergeCell ref="AZ13:BA13"/>
    <mergeCell ref="D12:E12"/>
    <mergeCell ref="L12:M12"/>
    <mergeCell ref="T12:U12"/>
    <mergeCell ref="AB12:AC12"/>
    <mergeCell ref="AJ12:AK12"/>
    <mergeCell ref="AR12:AS12"/>
    <mergeCell ref="AZ12:BA12"/>
    <mergeCell ref="BH12:BI12"/>
    <mergeCell ref="BP15:BQ15"/>
    <mergeCell ref="BP16:BQ16"/>
    <mergeCell ref="BX16:BY16"/>
    <mergeCell ref="D17:E17"/>
    <mergeCell ref="L17:M17"/>
    <mergeCell ref="T17:U17"/>
    <mergeCell ref="AB17:AC17"/>
    <mergeCell ref="AJ17:AK17"/>
    <mergeCell ref="AR17:AS17"/>
    <mergeCell ref="AZ17:BA17"/>
    <mergeCell ref="BH17:BI17"/>
    <mergeCell ref="D16:E16"/>
    <mergeCell ref="L16:M16"/>
    <mergeCell ref="T16:U16"/>
    <mergeCell ref="AB16:AC16"/>
    <mergeCell ref="AJ16:AK16"/>
    <mergeCell ref="AR16:AS16"/>
    <mergeCell ref="AZ16:BA16"/>
    <mergeCell ref="BH16:BI16"/>
    <mergeCell ref="BP17:BQ17"/>
    <mergeCell ref="BX17:BY17"/>
    <mergeCell ref="BX19:BY19"/>
    <mergeCell ref="D18:E18"/>
    <mergeCell ref="L18:M18"/>
    <mergeCell ref="T18:U18"/>
    <mergeCell ref="AB18:AC18"/>
    <mergeCell ref="AJ18:AK18"/>
    <mergeCell ref="AR18:AS18"/>
    <mergeCell ref="AZ18:BA18"/>
    <mergeCell ref="BH18:BI18"/>
    <mergeCell ref="D20:E20"/>
    <mergeCell ref="L20:M20"/>
    <mergeCell ref="T20:U20"/>
    <mergeCell ref="AB20:AC20"/>
    <mergeCell ref="AJ20:AK20"/>
    <mergeCell ref="AR20:AS20"/>
    <mergeCell ref="AZ20:BA20"/>
    <mergeCell ref="BH20:BI20"/>
    <mergeCell ref="BP18:BQ18"/>
    <mergeCell ref="D19:E19"/>
    <mergeCell ref="L19:M19"/>
    <mergeCell ref="T19:U19"/>
    <mergeCell ref="AB19:AC19"/>
    <mergeCell ref="AJ19:AK19"/>
    <mergeCell ref="AR19:AS19"/>
    <mergeCell ref="AZ19:BA19"/>
    <mergeCell ref="BH19:BI19"/>
    <mergeCell ref="BP19:BQ19"/>
    <mergeCell ref="L24:M24"/>
    <mergeCell ref="T24:U24"/>
    <mergeCell ref="AB24:AC24"/>
    <mergeCell ref="AJ24:AK24"/>
    <mergeCell ref="AR24:AS24"/>
    <mergeCell ref="AZ24:BA24"/>
    <mergeCell ref="BH24:BI24"/>
    <mergeCell ref="BP22:BQ22"/>
    <mergeCell ref="D23:E23"/>
    <mergeCell ref="L23:M23"/>
    <mergeCell ref="T23:U23"/>
    <mergeCell ref="AB23:AC23"/>
    <mergeCell ref="AJ23:AK23"/>
    <mergeCell ref="AR23:AS23"/>
    <mergeCell ref="AZ23:BA23"/>
    <mergeCell ref="BH23:BI23"/>
    <mergeCell ref="D22:E22"/>
    <mergeCell ref="L22:M22"/>
    <mergeCell ref="T22:U22"/>
    <mergeCell ref="AB22:AC22"/>
    <mergeCell ref="AJ22:AK22"/>
    <mergeCell ref="AR22:AS22"/>
    <mergeCell ref="AZ22:BA22"/>
    <mergeCell ref="BP34:BP35"/>
    <mergeCell ref="BX34:BX35"/>
    <mergeCell ref="BP28:BQ28"/>
    <mergeCell ref="BX28:BY28"/>
    <mergeCell ref="D34:D35"/>
    <mergeCell ref="L34:L35"/>
    <mergeCell ref="T34:T35"/>
    <mergeCell ref="AB34:AB35"/>
    <mergeCell ref="AJ34:AJ35"/>
    <mergeCell ref="AR34:AR35"/>
    <mergeCell ref="AZ34:AZ35"/>
    <mergeCell ref="BH34:BH35"/>
    <mergeCell ref="D28:E28"/>
    <mergeCell ref="L28:M28"/>
    <mergeCell ref="T28:U28"/>
    <mergeCell ref="AB28:AC28"/>
    <mergeCell ref="AJ28:AK28"/>
    <mergeCell ref="AR28:AS28"/>
    <mergeCell ref="AZ28:BA28"/>
    <mergeCell ref="BH28:BI28"/>
    <mergeCell ref="AA34:AA35"/>
    <mergeCell ref="AI34:AI35"/>
    <mergeCell ref="AQ34:AQ35"/>
    <mergeCell ref="AY34:AY35"/>
    <mergeCell ref="BP27:BQ27"/>
    <mergeCell ref="BX27:BY27"/>
    <mergeCell ref="D27:E27"/>
    <mergeCell ref="L27:M27"/>
    <mergeCell ref="T27:U27"/>
    <mergeCell ref="AB27:AC27"/>
    <mergeCell ref="AJ27:AK27"/>
    <mergeCell ref="AR27:AS27"/>
    <mergeCell ref="AZ27:BA27"/>
    <mergeCell ref="BH27:BI27"/>
    <mergeCell ref="AB25:AC25"/>
    <mergeCell ref="AJ13:AK13"/>
    <mergeCell ref="AJ25:AK25"/>
    <mergeCell ref="AR13:AS13"/>
    <mergeCell ref="AR25:AS25"/>
    <mergeCell ref="D13:E13"/>
    <mergeCell ref="L13:M13"/>
    <mergeCell ref="L26:M26"/>
    <mergeCell ref="L25:M25"/>
    <mergeCell ref="T26:U26"/>
    <mergeCell ref="T25:U25"/>
    <mergeCell ref="T13:U13"/>
    <mergeCell ref="D25:E25"/>
    <mergeCell ref="D26:E26"/>
    <mergeCell ref="AB26:AC26"/>
    <mergeCell ref="AJ26:AK26"/>
    <mergeCell ref="AR26:AS26"/>
    <mergeCell ref="D21:E21"/>
    <mergeCell ref="L21:M21"/>
    <mergeCell ref="T21:U21"/>
    <mergeCell ref="AB21:AC21"/>
    <mergeCell ref="AJ21:AK21"/>
    <mergeCell ref="AR21:AS21"/>
    <mergeCell ref="D24:E24"/>
    <mergeCell ref="AZ25:BA25"/>
    <mergeCell ref="BH13:BI13"/>
    <mergeCell ref="BH25:BI25"/>
    <mergeCell ref="BP13:BQ13"/>
    <mergeCell ref="BX13:BY13"/>
    <mergeCell ref="BP25:BQ25"/>
    <mergeCell ref="BX25:BY25"/>
    <mergeCell ref="AZ26:BA26"/>
    <mergeCell ref="BH26:BI26"/>
    <mergeCell ref="BP26:BQ26"/>
    <mergeCell ref="BX26:BY26"/>
    <mergeCell ref="BP21:BQ21"/>
    <mergeCell ref="BX21:BY21"/>
    <mergeCell ref="BP24:BQ24"/>
    <mergeCell ref="BX24:BY24"/>
    <mergeCell ref="AZ21:BA21"/>
    <mergeCell ref="BH21:BI21"/>
    <mergeCell ref="BP23:BQ23"/>
    <mergeCell ref="BX23:BY23"/>
    <mergeCell ref="BX22:BY22"/>
    <mergeCell ref="BH22:BI22"/>
    <mergeCell ref="BP20:BQ20"/>
    <mergeCell ref="BX20:BY20"/>
    <mergeCell ref="BX18:BY1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1AAECD4FFAEC24881DE1F6007DB1196" ma:contentTypeVersion="19" ma:contentTypeDescription="Create a new document." ma:contentTypeScope="" ma:versionID="dfaa4fe9fdfaebd2b3fb94fdbc0e2fd9">
  <xsd:schema xmlns:xsd="http://www.w3.org/2001/XMLSchema" xmlns:xs="http://www.w3.org/2001/XMLSchema" xmlns:p="http://schemas.microsoft.com/office/2006/metadata/properties" xmlns:ns2="b6f0f157-b05d-47b5-a4ad-9104388b9e00" xmlns:ns3="695474d6-1b83-4b70-99c6-99f4784a3023" xmlns:ns4="28c4117a-bbb3-4e1f-8a90-b630a637c5f5" targetNamespace="http://schemas.microsoft.com/office/2006/metadata/properties" ma:root="true" ma:fieldsID="87f642a867bb127e08f296f551362199" ns2:_="" ns3:_="" ns4:_="">
    <xsd:import namespace="b6f0f157-b05d-47b5-a4ad-9104388b9e00"/>
    <xsd:import namespace="695474d6-1b83-4b70-99c6-99f4784a3023"/>
    <xsd:import namespace="28c4117a-bbb3-4e1f-8a90-b630a637c5f5"/>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Location" minOccurs="0"/>
                <xsd:element ref="ns2:MediaServiceGenerationTime" minOccurs="0"/>
                <xsd:element ref="ns2:MediaServiceEventHashCode" minOccurs="0"/>
                <xsd:element ref="ns2:MediaServiceOCR" minOccurs="0"/>
                <xsd:element ref="ns2:MediaLengthInSeconds" minOccurs="0"/>
                <xsd:element ref="ns2:lcf76f155ced4ddcb4097134ff3c332f" minOccurs="0"/>
                <xsd:element ref="ns4:TaxCatchAll"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f0f157-b05d-47b5-a4ad-9104388b9e0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Location" ma:index="16" nillable="true" ma:displayName="Location"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b0616e0a-51ce-457b-a9c4-6ff1e00dfc56"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MediaServiceBillingMetadata" ma:index="2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95474d6-1b83-4b70-99c6-99f4784a3023"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28c4117a-bbb3-4e1f-8a90-b630a637c5f5"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2d9efa9e-e86d-421a-b29c-68cba4ec1ac4}" ma:internalName="TaxCatchAll" ma:showField="CatchAllData" ma:web="695474d6-1b83-4b70-99c6-99f4784a302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28c4117a-bbb3-4e1f-8a90-b630a637c5f5" xsi:nil="true"/>
    <lcf76f155ced4ddcb4097134ff3c332f xmlns="b6f0f157-b05d-47b5-a4ad-9104388b9e00">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DAA858D-17E0-4319-8465-84C2F9CFF8D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f0f157-b05d-47b5-a4ad-9104388b9e00"/>
    <ds:schemaRef ds:uri="695474d6-1b83-4b70-99c6-99f4784a3023"/>
    <ds:schemaRef ds:uri="28c4117a-bbb3-4e1f-8a90-b630a637c5f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A569D96-EBC1-4F05-A274-F7D34647513F}">
  <ds:schemaRefs>
    <ds:schemaRef ds:uri="http://schemas.microsoft.com/office/2006/metadata/properties"/>
    <ds:schemaRef ds:uri="http://schemas.microsoft.com/office/infopath/2007/PartnerControls"/>
    <ds:schemaRef ds:uri="28c4117a-bbb3-4e1f-8a90-b630a637c5f5"/>
    <ds:schemaRef ds:uri="b6f0f157-b05d-47b5-a4ad-9104388b9e00"/>
  </ds:schemaRefs>
</ds:datastoreItem>
</file>

<file path=customXml/itemProps3.xml><?xml version="1.0" encoding="utf-8"?>
<ds:datastoreItem xmlns:ds="http://schemas.openxmlformats.org/officeDocument/2006/customXml" ds:itemID="{39299E98-CCB7-43FF-A59F-E13BC180F587}">
  <ds:schemaRefs>
    <ds:schemaRef ds:uri="http://schemas.microsoft.com/sharepoint/v3/contenttype/forms"/>
  </ds:schemaRefs>
</ds:datastoreItem>
</file>

<file path=docMetadata/LabelInfo.xml><?xml version="1.0" encoding="utf-8"?>
<clbl:labelList xmlns:clbl="http://schemas.microsoft.com/office/2020/mipLabelMetadata">
  <clbl:label id="{7d8a056e-981a-4d0b-83ea-062214276430}" enabled="1" method="Standard" siteId="{c64d49cd-d138-4cdb-a5d4-324a4040c74a}"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Page One - IM Info</vt:lpstr>
      <vt:lpstr>Page Two - IM Info contd</vt:lpstr>
      <vt:lpstr>Page Four - Portfolio Details</vt:lpstr>
      <vt:lpstr>Page Five - Portfolio Snapshot</vt:lpstr>
      <vt:lpstr>Page Six - Liquidity Testing</vt:lpstr>
      <vt:lpstr>Page Seven - Scenario Testing</vt:lpstr>
      <vt:lpstr>Page Eight - Underlying Funds</vt:lpstr>
      <vt:lpstr>Page Ten - Rebates</vt:lpstr>
      <vt:lpstr>Page Nine - Directy Equity </vt:lpstr>
      <vt:lpstr>Internal Use Only - PDS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Brann</dc:creator>
  <cp:keywords/>
  <dc:description/>
  <cp:lastModifiedBy>Danlei Li</cp:lastModifiedBy>
  <cp:revision/>
  <dcterms:created xsi:type="dcterms:W3CDTF">2020-10-20T04:20:17Z</dcterms:created>
  <dcterms:modified xsi:type="dcterms:W3CDTF">2026-04-30T09:24:23Z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8a056e-981a-4d0b-83ea-062214276430_Enabled">
    <vt:lpwstr>true</vt:lpwstr>
  </property>
  <property fmtid="{D5CDD505-2E9C-101B-9397-08002B2CF9AE}" pid="3" name="MSIP_Label_7d8a056e-981a-4d0b-83ea-062214276430_SetDate">
    <vt:lpwstr>2020-10-20T05:10:20Z</vt:lpwstr>
  </property>
  <property fmtid="{D5CDD505-2E9C-101B-9397-08002B2CF9AE}" pid="4" name="MSIP_Label_7d8a056e-981a-4d0b-83ea-062214276430_Method">
    <vt:lpwstr>Standard</vt:lpwstr>
  </property>
  <property fmtid="{D5CDD505-2E9C-101B-9397-08002B2CF9AE}" pid="5" name="MSIP_Label_7d8a056e-981a-4d0b-83ea-062214276430_Name">
    <vt:lpwstr>General</vt:lpwstr>
  </property>
  <property fmtid="{D5CDD505-2E9C-101B-9397-08002B2CF9AE}" pid="6" name="MSIP_Label_7d8a056e-981a-4d0b-83ea-062214276430_SiteId">
    <vt:lpwstr>c64d49cd-d138-4cdb-a5d4-324a4040c74a</vt:lpwstr>
  </property>
  <property fmtid="{D5CDD505-2E9C-101B-9397-08002B2CF9AE}" pid="7" name="MSIP_Label_7d8a056e-981a-4d0b-83ea-062214276430_ActionId">
    <vt:lpwstr>6bb1cc8c-2939-4937-ab22-75da8e2dff9c</vt:lpwstr>
  </property>
  <property fmtid="{D5CDD505-2E9C-101B-9397-08002B2CF9AE}" pid="8" name="MSIP_Label_7d8a056e-981a-4d0b-83ea-062214276430_ContentBits">
    <vt:lpwstr>0</vt:lpwstr>
  </property>
  <property fmtid="{D5CDD505-2E9C-101B-9397-08002B2CF9AE}" pid="9" name="ContentTypeId">
    <vt:lpwstr>0x010100F1AAECD4FFAEC24881DE1F6007DB1196</vt:lpwstr>
  </property>
  <property fmtid="{D5CDD505-2E9C-101B-9397-08002B2CF9AE}" pid="10" name="MediaServiceImageTags">
    <vt:lpwstr/>
  </property>
</Properties>
</file>